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16.xml" ContentType="application/vnd.openxmlformats-officedocument.spreadsheetml.pivotCacheRecords+xml"/>
  <Override PartName="/xl/pivotCache/pivotCacheDefinition17.xml" ContentType="application/vnd.openxmlformats-officedocument.spreadsheetml.pivotCacheDefinition+xml"/>
  <Override PartName="/xl/pivotCache/pivotCacheRecords17.xml" ContentType="application/vnd.openxmlformats-officedocument.spreadsheetml.pivotCacheRecords+xml"/>
  <Override PartName="/xl/pivotCache/pivotCacheDefinition18.xml" ContentType="application/vnd.openxmlformats-officedocument.spreadsheetml.pivotCacheDefinition+xml"/>
  <Override PartName="/xl/pivotCache/pivotCacheRecords18.xml" ContentType="application/vnd.openxmlformats-officedocument.spreadsheetml.pivotCacheRecords+xml"/>
  <Override PartName="/xl/pivotCache/pivotCacheDefinition19.xml" ContentType="application/vnd.openxmlformats-officedocument.spreadsheetml.pivotCacheDefinition+xml"/>
  <Override PartName="/xl/pivotCache/pivotCacheRecords19.xml" ContentType="application/vnd.openxmlformats-officedocument.spreadsheetml.pivotCacheRecords+xml"/>
  <Override PartName="/xl/pivotCache/pivotCacheDefinition20.xml" ContentType="application/vnd.openxmlformats-officedocument.spreadsheetml.pivotCacheDefinition+xml"/>
  <Override PartName="/xl/pivotCache/pivotCacheRecords20.xml" ContentType="application/vnd.openxmlformats-officedocument.spreadsheetml.pivotCacheRecords+xml"/>
  <Override PartName="/xl/pivotCache/pivotCacheDefinition21.xml" ContentType="application/vnd.openxmlformats-officedocument.spreadsheetml.pivotCacheDefinition+xml"/>
  <Override PartName="/xl/pivotCache/pivotCacheRecords21.xml" ContentType="application/vnd.openxmlformats-officedocument.spreadsheetml.pivotCacheRecords+xml"/>
  <Override PartName="/xl/pivotCache/pivotCacheDefinition22.xml" ContentType="application/vnd.openxmlformats-officedocument.spreadsheetml.pivotCacheDefinition+xml"/>
  <Override PartName="/xl/pivotCache/pivotCacheRecords2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pivotTables/pivotTable11.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5.xml" ContentType="application/vnd.openxmlformats-officedocument.drawing+xml"/>
  <Override PartName="/xl/tables/table4.xml" ContentType="application/vnd.openxmlformats-officedocument.spreadsheetml.table+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6.xml" ContentType="application/vnd.openxmlformats-officedocument.drawing+xml"/>
  <Override PartName="/xl/tables/table5.xml" ContentType="application/vnd.openxmlformats-officedocument.spreadsheetml.table+xml"/>
  <Override PartName="/xl/diagrams/data5.xml" ContentType="application/vnd.openxmlformats-officedocument.drawingml.diagramData+xml"/>
  <Override PartName="/xl/diagrams/layout5.xml" ContentType="application/vnd.openxmlformats-officedocument.drawingml.diagramLayout+xml"/>
  <Override PartName="/xl/diagrams/quickStyle5.xml" ContentType="application/vnd.openxmlformats-officedocument.drawingml.diagramStyle+xml"/>
  <Override PartName="/xl/diagrams/colors5.xml" ContentType="application/vnd.openxmlformats-officedocument.drawingml.diagramColors+xml"/>
  <Override PartName="/xl/diagrams/drawing5.xml" ContentType="application/vnd.ms-office.drawingml.diagramDrawing+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7.xml" ContentType="application/vnd.openxmlformats-officedocument.drawing+xml"/>
  <Override PartName="/xl/tables/table6.xml" ContentType="application/vnd.openxmlformats-officedocument.spreadsheetml.table+xml"/>
  <Override PartName="/xl/diagrams/data6.xml" ContentType="application/vnd.openxmlformats-officedocument.drawingml.diagramData+xml"/>
  <Override PartName="/xl/diagrams/layout6.xml" ContentType="application/vnd.openxmlformats-officedocument.drawingml.diagramLayout+xml"/>
  <Override PartName="/xl/diagrams/quickStyle6.xml" ContentType="application/vnd.openxmlformats-officedocument.drawingml.diagramStyle+xml"/>
  <Override PartName="/xl/diagrams/colors6.xml" ContentType="application/vnd.openxmlformats-officedocument.drawingml.diagramColors+xml"/>
  <Override PartName="/xl/diagrams/drawing6.xml" ContentType="application/vnd.ms-office.drawingml.diagramDrawing+xml"/>
  <Override PartName="/xl/pivotTables/pivotTable20.xml" ContentType="application/vnd.openxmlformats-officedocument.spreadsheetml.pivotTable+xml"/>
  <Override PartName="/xl/drawings/drawing8.xml" ContentType="application/vnd.openxmlformats-officedocument.drawing+xml"/>
  <Override PartName="/xl/charts/chart3.xml" ContentType="application/vnd.openxmlformats-officedocument.drawingml.chart+xml"/>
  <Override PartName="/xl/drawings/drawing9.xml" ContentType="application/vnd.openxmlformats-officedocument.drawing+xml"/>
  <Override PartName="/xl/slicers/slicer1.xml" ContentType="application/vnd.ms-excel.slicer+xml"/>
  <Override PartName="/xl/diagrams/data7.xml" ContentType="application/vnd.openxmlformats-officedocument.drawingml.diagramData+xml"/>
  <Override PartName="/xl/diagrams/layout7.xml" ContentType="application/vnd.openxmlformats-officedocument.drawingml.diagramLayout+xml"/>
  <Override PartName="/xl/diagrams/quickStyle7.xml" ContentType="application/vnd.openxmlformats-officedocument.drawingml.diagramStyle+xml"/>
  <Override PartName="/xl/diagrams/colors7.xml" ContentType="application/vnd.openxmlformats-officedocument.drawingml.diagramColors+xml"/>
  <Override PartName="/xl/diagrams/drawing7.xml" ContentType="application/vnd.ms-office.drawingml.diagramDrawing+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0.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hidePivotFieldList="1"/>
  <bookViews>
    <workbookView xWindow="8280" yWindow="9030" windowWidth="13770" windowHeight="2355" firstSheet="11" activeTab="12"/>
  </bookViews>
  <sheets>
    <sheet name="Summary" sheetId="14" r:id="rId1"/>
    <sheet name="Raw Materials" sheetId="1" r:id="rId2"/>
    <sheet name="Feb 2025 - Sales" sheetId="2" r:id="rId3"/>
    <sheet name="Mar 2025 - Sales" sheetId="3" r:id="rId4"/>
    <sheet name="Apr 2025 - Sales" sheetId="5" r:id="rId5"/>
    <sheet name="May 2025 - Sales" sheetId="9" r:id="rId6"/>
    <sheet name="June 2025 - Sales" sheetId="10" r:id="rId7"/>
    <sheet name="July 2025 - Sales" sheetId="11" r:id="rId8"/>
    <sheet name="Aug 2025 - Sales" sheetId="16" r:id="rId9"/>
    <sheet name="Sep 2025 - Sales " sheetId="17" r:id="rId10"/>
    <sheet name="Oct 2025 - Sales" sheetId="20" r:id="rId11"/>
    <sheet name="Nov 2025 - Sales" sheetId="21" r:id="rId12"/>
    <sheet name="Dec 2025 - Sales" sheetId="22" r:id="rId13"/>
    <sheet name="P&amp;L - 2025" sheetId="4" r:id="rId14"/>
    <sheet name="Sheet2" sheetId="6" r:id="rId15"/>
    <sheet name="Sheet1" sheetId="8" state="hidden" r:id="rId16"/>
    <sheet name="Sheet3" sheetId="15" r:id="rId17"/>
    <sheet name="DashBoard" sheetId="18" r:id="rId18"/>
    <sheet name="Sheet5" sheetId="19" r:id="rId19"/>
  </sheets>
  <definedNames>
    <definedName name="_xlnm._FilterDatabase" localSheetId="4" hidden="1">'Apr 2025 - Sales'!$A$1:$G$93</definedName>
    <definedName name="_xlnm._FilterDatabase" localSheetId="8" hidden="1">'Aug 2025 - Sales'!$A$1:$M$157</definedName>
    <definedName name="_xlnm._FilterDatabase" localSheetId="12" hidden="1">'Dec 2025 - Sales'!$A$1:$M$240</definedName>
    <definedName name="_xlnm._FilterDatabase" localSheetId="7" hidden="1">'July 2025 - Sales'!$A$1:$H$143</definedName>
    <definedName name="_xlnm._FilterDatabase" localSheetId="6" hidden="1">'June 2025 - Sales'!$A$1:$G$144</definedName>
    <definedName name="_xlnm._FilterDatabase" localSheetId="3" hidden="1">'Mar 2025 - Sales'!$A$1:$G$126</definedName>
    <definedName name="_xlnm._FilterDatabase" localSheetId="5" hidden="1">'May 2025 - Sales'!$A$1:$G$131</definedName>
    <definedName name="_xlnm._FilterDatabase" localSheetId="11" hidden="1">'Nov 2025 - Sales'!$A$1:$M$317</definedName>
    <definedName name="_xlnm._FilterDatabase" localSheetId="10" hidden="1">'Oct 2025 - Sales'!$A$1:$M$89</definedName>
    <definedName name="_xlnm._FilterDatabase" localSheetId="1" hidden="1">'Raw Materials'!$A$2:$H$130</definedName>
    <definedName name="_xlnm._FilterDatabase" localSheetId="9" hidden="1">'Sep 2025 - Sales '!$A$1:$M$145</definedName>
    <definedName name="_xlnm.Print_Area" localSheetId="12">'Dec 2025 - Sales'!$A$1:$E$247</definedName>
    <definedName name="_xlnm.Print_Area" localSheetId="7">'July 2025 - Sales'!$A$1:$H$152</definedName>
    <definedName name="_xlnm.Print_Area" localSheetId="11">'Nov 2025 - Sales'!$A$1:$E$324</definedName>
    <definedName name="_xlnm.Print_Area" localSheetId="10">'Oct 2025 - Sales'!$A$1:$E$356</definedName>
    <definedName name="_xlnm.Print_Area" localSheetId="15">Sheet1!$A$1:$K$37</definedName>
    <definedName name="_xlnm.Print_Titles" localSheetId="12">'Dec 2025 - Sales'!$1:$1</definedName>
    <definedName name="_xlnm.Print_Titles" localSheetId="7">'July 2025 - Sales'!$1:$1</definedName>
    <definedName name="_xlnm.Print_Titles" localSheetId="11">'Nov 2025 - Sales'!$1:$1</definedName>
    <definedName name="_xlnm.Print_Titles" localSheetId="10">'Oct 2025 - Sales'!$1:$1</definedName>
    <definedName name="Slicer_Bill_To">#N/A</definedName>
    <definedName name="Slicer_Description">#N/A</definedName>
  </definedNames>
  <calcPr calcId="145621"/>
  <pivotCaches>
    <pivotCache cacheId="0" r:id="rId20"/>
    <pivotCache cacheId="1" r:id="rId21"/>
    <pivotCache cacheId="2" r:id="rId22"/>
    <pivotCache cacheId="3" r:id="rId23"/>
    <pivotCache cacheId="4" r:id="rId24"/>
    <pivotCache cacheId="5" r:id="rId25"/>
    <pivotCache cacheId="6" r:id="rId26"/>
    <pivotCache cacheId="7" r:id="rId27"/>
    <pivotCache cacheId="8" r:id="rId28"/>
    <pivotCache cacheId="9" r:id="rId29"/>
    <pivotCache cacheId="10" r:id="rId30"/>
    <pivotCache cacheId="11" r:id="rId31"/>
    <pivotCache cacheId="12" r:id="rId32"/>
    <pivotCache cacheId="13" r:id="rId33"/>
    <pivotCache cacheId="14" r:id="rId34"/>
    <pivotCache cacheId="15" r:id="rId35"/>
    <pivotCache cacheId="16" r:id="rId36"/>
    <pivotCache cacheId="17" r:id="rId37"/>
    <pivotCache cacheId="18" r:id="rId38"/>
    <pivotCache cacheId="19" r:id="rId39"/>
    <pivotCache cacheId="20" r:id="rId40"/>
    <pivotCache cacheId="36" r:id="rId41"/>
  </pivotCaches>
  <extLst>
    <ext xmlns:x14="http://schemas.microsoft.com/office/spreadsheetml/2009/9/main" uri="{BBE1A952-AA13-448e-AADC-164F8A28A991}">
      <x14:slicerCaches>
        <x14:slicerCache r:id="rId42"/>
        <x14:slicerCache r:id="rId43"/>
      </x14:slicerCaches>
    </ext>
    <ext xmlns:x14="http://schemas.microsoft.com/office/spreadsheetml/2009/9/main" uri="{79F54976-1DA5-4618-B147-4CDE4B953A38}">
      <x14:workbookPr/>
    </ext>
  </extLst>
</workbook>
</file>

<file path=xl/calcChain.xml><?xml version="1.0" encoding="utf-8"?>
<calcChain xmlns="http://schemas.openxmlformats.org/spreadsheetml/2006/main">
  <c r="E242" i="22" l="1"/>
  <c r="C16" i="4" s="1"/>
  <c r="D241" i="22"/>
  <c r="B16" i="4" s="1"/>
  <c r="D16" i="4" s="1"/>
  <c r="T91" i="21"/>
  <c r="F16" i="4" l="1"/>
  <c r="D244" i="22"/>
  <c r="E319" i="21" l="1"/>
  <c r="C15" i="4" s="1"/>
  <c r="D318" i="21"/>
  <c r="B15" i="4" s="1"/>
  <c r="D15" i="4" s="1"/>
  <c r="F15" i="4" l="1"/>
  <c r="D321" i="21"/>
  <c r="H382" i="20"/>
  <c r="H363" i="20"/>
  <c r="G363" i="20"/>
  <c r="D2" i="22" l="1"/>
  <c r="D242" i="22" s="1"/>
  <c r="D245" i="22" s="1"/>
  <c r="D328" i="21"/>
  <c r="G365" i="20"/>
  <c r="H369" i="20" s="1"/>
  <c r="G371" i="20" s="1"/>
  <c r="G375" i="20" l="1"/>
  <c r="G383" i="20" s="1"/>
  <c r="I383" i="20" s="1"/>
  <c r="G374" i="20"/>
  <c r="G382" i="20" s="1"/>
  <c r="I382" i="20" s="1"/>
  <c r="G373" i="20"/>
  <c r="G125" i="1" l="1"/>
  <c r="G124" i="1"/>
  <c r="G123" i="1"/>
  <c r="G122" i="1"/>
  <c r="E350" i="20" l="1"/>
  <c r="C14" i="4" s="1"/>
  <c r="D349" i="20"/>
  <c r="B14" i="4" s="1"/>
  <c r="D14" i="4" s="1"/>
  <c r="F14" i="4" s="1"/>
  <c r="D352" i="20" l="1"/>
  <c r="D327" i="21" s="1"/>
  <c r="D350" i="20"/>
  <c r="D353" i="20" s="1"/>
  <c r="G121" i="1"/>
  <c r="G120" i="1"/>
  <c r="G119" i="1"/>
  <c r="G118" i="1"/>
  <c r="G117" i="1"/>
  <c r="G116" i="1"/>
  <c r="G115" i="1"/>
  <c r="G114" i="1"/>
  <c r="D329" i="21" l="1"/>
  <c r="D334" i="21"/>
  <c r="D333" i="21"/>
  <c r="D332" i="21"/>
  <c r="D355" i="20"/>
  <c r="D2" i="21"/>
  <c r="D319" i="21" s="1"/>
  <c r="D322" i="21" s="1"/>
  <c r="F151" i="1"/>
  <c r="G113" i="1"/>
  <c r="G112" i="1"/>
  <c r="G111" i="1"/>
  <c r="G110" i="1" l="1"/>
  <c r="G109" i="1"/>
  <c r="G108" i="1"/>
  <c r="G107" i="1"/>
  <c r="E155" i="1" l="1"/>
  <c r="D155" i="1"/>
  <c r="C155" i="1"/>
  <c r="B155" i="1"/>
  <c r="D130" i="1"/>
  <c r="G106" i="1"/>
  <c r="G105" i="1"/>
  <c r="G104" i="1"/>
  <c r="G103" i="1"/>
  <c r="G102" i="1"/>
  <c r="G101" i="1"/>
  <c r="G100" i="1"/>
  <c r="G99" i="1"/>
  <c r="E342" i="17" l="1"/>
  <c r="D341" i="17"/>
  <c r="B13" i="4" s="1"/>
  <c r="D13" i="4" s="1"/>
  <c r="C13" i="4" l="1"/>
  <c r="F13" i="4" s="1"/>
  <c r="D344" i="17"/>
  <c r="J58" i="15"/>
  <c r="I59" i="15" s="1"/>
  <c r="G98" i="1" l="1"/>
  <c r="F150" i="1" l="1"/>
  <c r="G97" i="1"/>
  <c r="G96" i="1"/>
  <c r="G95" i="1"/>
  <c r="G94" i="1"/>
  <c r="G93" i="1"/>
  <c r="G92" i="1"/>
  <c r="D50" i="15"/>
  <c r="D40" i="15"/>
  <c r="G91" i="1"/>
  <c r="D52" i="15" l="1"/>
  <c r="G90" i="1" l="1"/>
  <c r="L86" i="1"/>
  <c r="G89" i="1"/>
  <c r="G87" i="1"/>
  <c r="E159" i="16"/>
  <c r="C12" i="4" s="1"/>
  <c r="D158" i="16"/>
  <c r="D12" i="4" l="1"/>
  <c r="F12" i="4" s="1"/>
  <c r="B12" i="4"/>
  <c r="D161" i="16"/>
  <c r="E32" i="4" l="1"/>
  <c r="B32" i="4"/>
  <c r="H32" i="4"/>
  <c r="G21" i="15"/>
  <c r="G88" i="1" l="1"/>
  <c r="K86" i="1"/>
  <c r="G85" i="1"/>
  <c r="G86" i="1"/>
  <c r="F21" i="15"/>
  <c r="G22" i="15" s="1"/>
  <c r="G84" i="1" l="1"/>
  <c r="G83" i="1"/>
  <c r="G82" i="1"/>
  <c r="G81" i="1"/>
  <c r="G80" i="1"/>
  <c r="G79" i="1"/>
  <c r="G78" i="1" l="1"/>
  <c r="G77" i="1"/>
  <c r="F149" i="1" l="1"/>
  <c r="G76" i="1"/>
  <c r="G75" i="1" l="1"/>
  <c r="J117" i="10" l="1"/>
  <c r="K117" i="10"/>
  <c r="J44" i="10"/>
  <c r="J45" i="10" s="1"/>
  <c r="J43" i="10"/>
  <c r="K118" i="10" l="1"/>
  <c r="G74" i="1"/>
  <c r="E147" i="11" l="1"/>
  <c r="C11" i="4" s="1"/>
  <c r="D146" i="11"/>
  <c r="B11" i="4" s="1"/>
  <c r="D11" i="4" s="1"/>
  <c r="F11" i="4" l="1"/>
  <c r="H31" i="4" s="1"/>
  <c r="D149" i="11"/>
  <c r="G73" i="1"/>
  <c r="G72" i="1"/>
  <c r="G69" i="1"/>
  <c r="G71" i="1"/>
  <c r="G70" i="1"/>
  <c r="E31" i="4" l="1"/>
  <c r="B31" i="4"/>
  <c r="G68" i="1" l="1"/>
  <c r="G67" i="1" l="1"/>
  <c r="F147" i="1" l="1"/>
  <c r="F148" i="1"/>
  <c r="G66" i="1"/>
  <c r="G65" i="1"/>
  <c r="G64" i="1"/>
  <c r="G63" i="1"/>
  <c r="G61" i="1"/>
  <c r="G62" i="1"/>
  <c r="G60" i="1"/>
  <c r="G59" i="1"/>
  <c r="G58" i="1"/>
  <c r="G57" i="1"/>
  <c r="E144" i="10" l="1"/>
  <c r="C10" i="4" s="1"/>
  <c r="D143" i="10"/>
  <c r="B10" i="4" s="1"/>
  <c r="D10" i="4" s="1"/>
  <c r="F10" i="4" l="1"/>
  <c r="D146" i="10"/>
  <c r="G56" i="1"/>
  <c r="E30" i="4" l="1"/>
  <c r="B30" i="4"/>
  <c r="H30" i="4"/>
  <c r="G55" i="1"/>
  <c r="G54" i="1"/>
  <c r="G53" i="1"/>
  <c r="G52" i="1"/>
  <c r="G51" i="1"/>
  <c r="G50" i="1" l="1"/>
  <c r="G49" i="1"/>
  <c r="G48" i="1"/>
  <c r="G47" i="1"/>
  <c r="E134" i="9" l="1"/>
  <c r="C9" i="4" s="1"/>
  <c r="D133" i="9"/>
  <c r="B9" i="4" s="1"/>
  <c r="D9" i="4" s="1"/>
  <c r="F9" i="4" l="1"/>
  <c r="E29" i="4" s="1"/>
  <c r="D136" i="9"/>
  <c r="G46" i="1"/>
  <c r="H29" i="4" l="1"/>
  <c r="B29" i="4"/>
  <c r="G44" i="1"/>
  <c r="G45" i="1"/>
  <c r="G43" i="1"/>
  <c r="E105" i="5" l="1"/>
  <c r="D104" i="5"/>
  <c r="G42" i="1" l="1"/>
  <c r="G40" i="1"/>
  <c r="G41" i="1"/>
  <c r="F146" i="1" l="1"/>
  <c r="G38" i="1"/>
  <c r="G37" i="1"/>
  <c r="C8" i="4" l="1"/>
  <c r="B8" i="4"/>
  <c r="D8" i="4" s="1"/>
  <c r="G36" i="1"/>
  <c r="G35" i="1"/>
  <c r="I38" i="4"/>
  <c r="F38" i="4"/>
  <c r="C38" i="4"/>
  <c r="E129" i="3"/>
  <c r="D128" i="3"/>
  <c r="B7" i="4" s="1"/>
  <c r="D7" i="4" s="1"/>
  <c r="E18" i="4"/>
  <c r="D25" i="2"/>
  <c r="C24" i="2"/>
  <c r="B6" i="4" s="1"/>
  <c r="F145" i="1"/>
  <c r="F144" i="1"/>
  <c r="G29" i="1"/>
  <c r="G28" i="1"/>
  <c r="G130" i="1" l="1"/>
  <c r="F155" i="1"/>
  <c r="B40" i="4"/>
  <c r="F8" i="4"/>
  <c r="C25" i="2"/>
  <c r="C28" i="2" s="1"/>
  <c r="D107" i="5"/>
  <c r="D131" i="3"/>
  <c r="D129" i="3"/>
  <c r="D132" i="3" s="1"/>
  <c r="D2" i="5" s="1"/>
  <c r="D105" i="5" s="1"/>
  <c r="D108" i="5" s="1"/>
  <c r="B18" i="4"/>
  <c r="D6" i="4"/>
  <c r="C6" i="4"/>
  <c r="C7" i="4"/>
  <c r="F7" i="4" s="1"/>
  <c r="B28" i="4" l="1"/>
  <c r="H28" i="4"/>
  <c r="E28" i="4"/>
  <c r="D110" i="5"/>
  <c r="D2" i="9"/>
  <c r="D134" i="9" s="1"/>
  <c r="D137" i="9" s="1"/>
  <c r="E27" i="4"/>
  <c r="G27" i="4" s="1"/>
  <c r="B27" i="4"/>
  <c r="D27" i="4" s="1"/>
  <c r="H27" i="4"/>
  <c r="J27" i="4" s="1"/>
  <c r="C18" i="4"/>
  <c r="F6" i="4"/>
  <c r="D18" i="4"/>
  <c r="D139" i="9" l="1"/>
  <c r="D2" i="10"/>
  <c r="D144" i="10" s="1"/>
  <c r="D147" i="10" s="1"/>
  <c r="F18" i="4"/>
  <c r="E26" i="4"/>
  <c r="E38" i="4" s="1"/>
  <c r="G38" i="4" s="1"/>
  <c r="H26" i="4"/>
  <c r="H38" i="4" s="1"/>
  <c r="J38" i="4" s="1"/>
  <c r="B26" i="4"/>
  <c r="B38" i="4" s="1"/>
  <c r="D38" i="4" s="1"/>
  <c r="D149" i="10" l="1"/>
  <c r="D2" i="11"/>
  <c r="D147" i="11" s="1"/>
  <c r="D150" i="11" s="1"/>
  <c r="D152" i="11" l="1"/>
  <c r="D2" i="16"/>
  <c r="D159" i="16" s="1"/>
  <c r="D162" i="16" s="1"/>
  <c r="D164" i="16" l="1"/>
  <c r="D2" i="17"/>
  <c r="D342" i="17" s="1"/>
  <c r="D345" i="17" s="1"/>
  <c r="D347" i="17" s="1"/>
</calcChain>
</file>

<file path=xl/sharedStrings.xml><?xml version="1.0" encoding="utf-8"?>
<sst xmlns="http://schemas.openxmlformats.org/spreadsheetml/2006/main" count="5984" uniqueCount="1794">
  <si>
    <t>Raw Materials Procurement</t>
  </si>
  <si>
    <t>Date</t>
  </si>
  <si>
    <t>Description</t>
  </si>
  <si>
    <t>Supplier</t>
  </si>
  <si>
    <t>Kgs</t>
  </si>
  <si>
    <t>Unit Price</t>
  </si>
  <si>
    <t>Transportation</t>
  </si>
  <si>
    <t>Price</t>
  </si>
  <si>
    <t>Remarks</t>
  </si>
  <si>
    <t>Garlic</t>
  </si>
  <si>
    <t>Rs90 per kg</t>
  </si>
  <si>
    <t>Ginger</t>
  </si>
  <si>
    <t>Advance payment</t>
  </si>
  <si>
    <t>Sum of Kgs</t>
  </si>
  <si>
    <t>Sum of Price</t>
  </si>
  <si>
    <t>PK Garlic Vadugapatti</t>
  </si>
  <si>
    <t>Grand Total</t>
  </si>
  <si>
    <t>Local Purchase</t>
  </si>
  <si>
    <t>Bala Vegetables</t>
  </si>
  <si>
    <t>Jakakodi Traders</t>
  </si>
  <si>
    <t>Ameen Bandary</t>
  </si>
  <si>
    <t>Total</t>
  </si>
  <si>
    <t>Raw Material</t>
  </si>
  <si>
    <t>Wastage</t>
  </si>
  <si>
    <t>Total Production</t>
  </si>
  <si>
    <t>Sales Projection avg 140/kg</t>
  </si>
  <si>
    <t>Month</t>
  </si>
  <si>
    <t>Ginger Kgs</t>
  </si>
  <si>
    <t>Ginger cost</t>
  </si>
  <si>
    <t>Garlic Kgs</t>
  </si>
  <si>
    <t>Garlic cost</t>
  </si>
  <si>
    <t>Monthly RM purchase cost</t>
  </si>
  <si>
    <t>Sales</t>
  </si>
  <si>
    <t>Expences</t>
  </si>
  <si>
    <t>Credit</t>
  </si>
  <si>
    <t>Petty Cash</t>
  </si>
  <si>
    <t>Hassan's Investment balance, Tobe returned. This includes Rs10550 of Garlic ruturned refund amount.</t>
  </si>
  <si>
    <t>KG ????</t>
  </si>
  <si>
    <t>4 kg paste 
2 kg peeled</t>
  </si>
  <si>
    <t xml:space="preserve">Paste 1kg - 150
Peeled 2 kg - 230*2 = 460
Paste 130*6 = 780
Paste 130*7 = 910
</t>
  </si>
  <si>
    <t>Tea &amp; Cleaning Items</t>
  </si>
  <si>
    <t>Ansari sari sales balance - 770</t>
  </si>
  <si>
    <t>4 kg paste - 560
2 kg peeled - 480</t>
  </si>
  <si>
    <t>Expenses 
Water cane 3* 35 =105
Garlic parcel 
+ auto fare - 520</t>
  </si>
  <si>
    <t>Paste
2 kg - 280 (hasan)
8 kg - 1040
Peeled 
2 kg - 460
Total 1780</t>
  </si>
  <si>
    <t>1 kg - 150
1 kg - 130
Total - 280 only</t>
  </si>
  <si>
    <t>Tea</t>
  </si>
  <si>
    <t xml:space="preserve">Nagore dealer
19 kg *130 = 2470
Peeled
2 kg * 230 = 460
Total - 2930
</t>
  </si>
  <si>
    <t>Tea - 50</t>
  </si>
  <si>
    <t>Ginger 60 kg - 2400</t>
  </si>
  <si>
    <t>Delivery - 100</t>
  </si>
  <si>
    <t>Head cap &amp; cloves - 710</t>
  </si>
  <si>
    <t>Property Rent - Jan 2025</t>
  </si>
  <si>
    <t xml:space="preserve">Nagore dealer
19 kg
</t>
  </si>
  <si>
    <t>Credit to Riluwan</t>
  </si>
  <si>
    <t>Credit Riluwan Cleared</t>
  </si>
  <si>
    <t>Garlic 160kg</t>
  </si>
  <si>
    <t>28/2/25 sales
Counter sales - 150 1 kg
Counter sales - 150 1 kg
Counter sales - 130 500grm
Rilwan ( buket )-120*6kg 720
(paste) - 130*16kg 2080
( peeled) - 230* 2 kg 460
Total Sales - 3690</t>
  </si>
  <si>
    <t>Tea Exp</t>
  </si>
  <si>
    <t>Total Sales</t>
  </si>
  <si>
    <t>Net Balance</t>
  </si>
  <si>
    <t>Invoice No</t>
  </si>
  <si>
    <t>Opening Balance</t>
  </si>
  <si>
    <t>Pouch &amp; Transport for Fridge</t>
  </si>
  <si>
    <t>GST-023</t>
  </si>
  <si>
    <t>1Kg Box Purchase 100Nos</t>
  </si>
  <si>
    <t>GST-024</t>
  </si>
  <si>
    <t>GST-025</t>
  </si>
  <si>
    <t>GST-026</t>
  </si>
  <si>
    <t>Expenses</t>
  </si>
  <si>
    <t>GST-027</t>
  </si>
  <si>
    <t>Thar Pai &amp; Sealing machine</t>
  </si>
  <si>
    <t>Tea, Petrol &amp; Mask</t>
  </si>
  <si>
    <t>GST-028</t>
  </si>
  <si>
    <t>GST-029</t>
  </si>
  <si>
    <t>GST-030</t>
  </si>
  <si>
    <t>GST-031</t>
  </si>
  <si>
    <t>Rent</t>
  </si>
  <si>
    <t>GST-032</t>
  </si>
  <si>
    <t>GST-033</t>
  </si>
  <si>
    <t>GST-034</t>
  </si>
  <si>
    <t>GST-035</t>
  </si>
  <si>
    <t>GST-036</t>
  </si>
  <si>
    <t>Essential items purchase</t>
  </si>
  <si>
    <t>GST-037</t>
  </si>
  <si>
    <t>GST-038</t>
  </si>
  <si>
    <t>GST-039</t>
  </si>
  <si>
    <t>GST-040</t>
  </si>
  <si>
    <t>GST-041</t>
  </si>
  <si>
    <t>GST-042</t>
  </si>
  <si>
    <t>GST-043</t>
  </si>
  <si>
    <t>GST-044</t>
  </si>
  <si>
    <t>GST-045</t>
  </si>
  <si>
    <t>GST-046</t>
  </si>
  <si>
    <t>GST-047</t>
  </si>
  <si>
    <t>GST-048</t>
  </si>
  <si>
    <t>GST-049</t>
  </si>
  <si>
    <t>GST-050</t>
  </si>
  <si>
    <t>GST-051</t>
  </si>
  <si>
    <t>Wifi Bill</t>
  </si>
  <si>
    <t>GST-052</t>
  </si>
  <si>
    <t>GST-053</t>
  </si>
  <si>
    <t>INV-001</t>
  </si>
  <si>
    <t>INV-002</t>
  </si>
  <si>
    <t>Electrician &amp; Tea</t>
  </si>
  <si>
    <t>Pouch purchase</t>
  </si>
  <si>
    <t>INV-003</t>
  </si>
  <si>
    <t>INV-004</t>
  </si>
  <si>
    <t>INV-005</t>
  </si>
  <si>
    <t>Petrol</t>
  </si>
  <si>
    <t>Siva Malar</t>
  </si>
  <si>
    <t>Chitra</t>
  </si>
  <si>
    <t>INV-006</t>
  </si>
  <si>
    <t>INV-007</t>
  </si>
  <si>
    <t>INV-008</t>
  </si>
  <si>
    <t>INV-009</t>
  </si>
  <si>
    <t>INV-010</t>
  </si>
  <si>
    <t>INV-011</t>
  </si>
  <si>
    <t>INV-012</t>
  </si>
  <si>
    <t>INV-013</t>
  </si>
  <si>
    <t>INV-014</t>
  </si>
  <si>
    <t>INV-015</t>
  </si>
  <si>
    <t>INV-016</t>
  </si>
  <si>
    <t>INV-017</t>
  </si>
  <si>
    <t>INV-018</t>
  </si>
  <si>
    <t>INV-019</t>
  </si>
  <si>
    <t>Gross Revenue</t>
  </si>
  <si>
    <t>Net Revenue</t>
  </si>
  <si>
    <t xml:space="preserve"> </t>
  </si>
  <si>
    <t>Profit &amp; Loss - 2025</t>
  </si>
  <si>
    <t>Gross Profit</t>
  </si>
  <si>
    <t>Net Profit</t>
  </si>
  <si>
    <t xml:space="preserve">Total </t>
  </si>
  <si>
    <t/>
  </si>
  <si>
    <t>INV-020</t>
  </si>
  <si>
    <t>INV-021</t>
  </si>
  <si>
    <t>INV-022</t>
  </si>
  <si>
    <t>Profit Share</t>
  </si>
  <si>
    <t>Nassar</t>
  </si>
  <si>
    <t>Share</t>
  </si>
  <si>
    <t>Paid</t>
  </si>
  <si>
    <t>Ansari</t>
  </si>
  <si>
    <t>Hassan</t>
  </si>
  <si>
    <t>Balance</t>
  </si>
  <si>
    <t>INV-024</t>
  </si>
  <si>
    <t>Ginger Purchase</t>
  </si>
  <si>
    <t xml:space="preserve"> 20Kg * 60Rs</t>
  </si>
  <si>
    <t>Garlic Purchase</t>
  </si>
  <si>
    <t xml:space="preserve"> 98kg * 80Rs</t>
  </si>
  <si>
    <t>56kkgs * 43Rs</t>
  </si>
  <si>
    <t>56kg</t>
  </si>
  <si>
    <t xml:space="preserve">Garlic Purchase </t>
  </si>
  <si>
    <t>137kg * 80 +810</t>
  </si>
  <si>
    <t>56Kgs</t>
  </si>
  <si>
    <t>165kg * 80Rs</t>
  </si>
  <si>
    <t>56Kgs *38.39</t>
  </si>
  <si>
    <t xml:space="preserve"> 56Kgs *38.39</t>
  </si>
  <si>
    <t xml:space="preserve"> 5kgs * 50Rs kg</t>
  </si>
  <si>
    <t>10kgs *75Rs kg</t>
  </si>
  <si>
    <t>160kg * 80Rs</t>
  </si>
  <si>
    <t>158kg * 80Rs</t>
  </si>
  <si>
    <t>Staff Salary</t>
  </si>
  <si>
    <t>Advance</t>
  </si>
  <si>
    <t>Row Labels</t>
  </si>
  <si>
    <t>Sum of Expences</t>
  </si>
  <si>
    <t>Sum of Sales</t>
  </si>
  <si>
    <t>Jayanthi</t>
  </si>
  <si>
    <t>INV-025</t>
  </si>
  <si>
    <t>Bills</t>
  </si>
  <si>
    <t>INV-026</t>
  </si>
  <si>
    <t>INV-027</t>
  </si>
  <si>
    <t>INV-028</t>
  </si>
  <si>
    <t>INV-029</t>
  </si>
  <si>
    <t>INV-030</t>
  </si>
  <si>
    <t>INV-031</t>
  </si>
  <si>
    <t>INV-032</t>
  </si>
  <si>
    <t>INV-033</t>
  </si>
  <si>
    <t>INV-034</t>
  </si>
  <si>
    <t>INV-035</t>
  </si>
  <si>
    <t>Total Share Paid</t>
  </si>
  <si>
    <t>INV-036</t>
  </si>
  <si>
    <t>INV-037</t>
  </si>
  <si>
    <t>INV-038</t>
  </si>
  <si>
    <t>INV-039</t>
  </si>
  <si>
    <t>March Profit Share Paid</t>
  </si>
  <si>
    <t>INV-040</t>
  </si>
  <si>
    <t>Material</t>
  </si>
  <si>
    <t>Stock-in</t>
  </si>
  <si>
    <t>Pre-Production</t>
  </si>
  <si>
    <t>Weight(Kgs)</t>
  </si>
  <si>
    <t>Post-Production</t>
  </si>
  <si>
    <t>Nila Foods &amp; Spices</t>
  </si>
  <si>
    <t>Daily Stock &amp; Production</t>
  </si>
  <si>
    <t>Ginger / Garlic</t>
  </si>
  <si>
    <t>Paste / Peeled</t>
  </si>
  <si>
    <t>INV-041</t>
  </si>
  <si>
    <t>Deficit</t>
  </si>
  <si>
    <t>INV-042</t>
  </si>
  <si>
    <t>INV-043</t>
  </si>
  <si>
    <t>INV-044</t>
  </si>
  <si>
    <t>INV-045</t>
  </si>
  <si>
    <t>INV-046</t>
  </si>
  <si>
    <t>INV-048</t>
  </si>
  <si>
    <t>INV-049</t>
  </si>
  <si>
    <t>INV-051</t>
  </si>
  <si>
    <t>INV-047</t>
  </si>
  <si>
    <t>INV-050</t>
  </si>
  <si>
    <t>Others</t>
  </si>
  <si>
    <t>INV-052</t>
  </si>
  <si>
    <t>INV-053</t>
  </si>
  <si>
    <t>INV-054</t>
  </si>
  <si>
    <t>INV-055</t>
  </si>
  <si>
    <t>INV-056</t>
  </si>
  <si>
    <t>NFS</t>
  </si>
  <si>
    <t>INV-057</t>
  </si>
  <si>
    <t>INV-058</t>
  </si>
  <si>
    <t>INV-059</t>
  </si>
  <si>
    <t>INV-060</t>
  </si>
  <si>
    <t>INV-061</t>
  </si>
  <si>
    <t>INV-062</t>
  </si>
  <si>
    <t>INV-064</t>
  </si>
  <si>
    <t>INV-066</t>
  </si>
  <si>
    <t>INV-067</t>
  </si>
  <si>
    <t>INV-068</t>
  </si>
  <si>
    <t>INV-063</t>
  </si>
  <si>
    <t>INV-065</t>
  </si>
  <si>
    <t>INV-069</t>
  </si>
  <si>
    <t>INV-070</t>
  </si>
  <si>
    <t>INV-071</t>
  </si>
  <si>
    <t>INV-072</t>
  </si>
  <si>
    <t>INV-075</t>
  </si>
  <si>
    <t>INV-076</t>
  </si>
  <si>
    <t>INV-077</t>
  </si>
  <si>
    <t>INV-078</t>
  </si>
  <si>
    <t>(blank)</t>
  </si>
  <si>
    <t>INV-079</t>
  </si>
  <si>
    <t>INV-080</t>
  </si>
  <si>
    <t>INV-081</t>
  </si>
  <si>
    <t>INV-082</t>
  </si>
  <si>
    <t>INV-083</t>
  </si>
  <si>
    <t>30th April missing</t>
  </si>
  <si>
    <t>INV-084</t>
  </si>
  <si>
    <t>INV-085</t>
  </si>
  <si>
    <t>INV-086</t>
  </si>
  <si>
    <t>INV-087</t>
  </si>
  <si>
    <t>Barcode Purchase 2 Nos</t>
  </si>
  <si>
    <t>INV-088</t>
  </si>
  <si>
    <t>INV-089</t>
  </si>
  <si>
    <t>Freezer purchase</t>
  </si>
  <si>
    <t>INV-090</t>
  </si>
  <si>
    <t>INV-091</t>
  </si>
  <si>
    <t>INV-093</t>
  </si>
  <si>
    <t>Siva Malar Salary advance</t>
  </si>
  <si>
    <t>INV-094</t>
  </si>
  <si>
    <t>INV-095</t>
  </si>
  <si>
    <t>Freezer purchase kkl</t>
  </si>
  <si>
    <t>INV-096</t>
  </si>
  <si>
    <t>INV-097</t>
  </si>
  <si>
    <t>INV-098</t>
  </si>
  <si>
    <t>INV-099</t>
  </si>
  <si>
    <t>INV-100</t>
  </si>
  <si>
    <t>Temp Staff</t>
  </si>
  <si>
    <t>INV-102</t>
  </si>
  <si>
    <t>INV-101</t>
  </si>
  <si>
    <t>INV-103</t>
  </si>
  <si>
    <t>INV-104</t>
  </si>
  <si>
    <t>INV-105</t>
  </si>
  <si>
    <t>INV-108</t>
  </si>
  <si>
    <t>INV-106</t>
  </si>
  <si>
    <t>INV-107</t>
  </si>
  <si>
    <t>EB KV increment</t>
  </si>
  <si>
    <t>INV-109</t>
  </si>
  <si>
    <t>INV-110</t>
  </si>
  <si>
    <t>INV-111</t>
  </si>
  <si>
    <t>INV-113</t>
  </si>
  <si>
    <t>INV-112</t>
  </si>
  <si>
    <t>INV-114</t>
  </si>
  <si>
    <t>INV-115</t>
  </si>
  <si>
    <t>INV-116</t>
  </si>
  <si>
    <t>INV-117</t>
  </si>
  <si>
    <t>INV-118</t>
  </si>
  <si>
    <t>INV-119</t>
  </si>
  <si>
    <t>500 Rs pathiram x2</t>
  </si>
  <si>
    <t>INV-120</t>
  </si>
  <si>
    <t>INV-121</t>
  </si>
  <si>
    <t>INV-122</t>
  </si>
  <si>
    <t>INV-123</t>
  </si>
  <si>
    <t>INV-124</t>
  </si>
  <si>
    <t>INV-125</t>
  </si>
  <si>
    <t>Mass Traders</t>
  </si>
  <si>
    <t>INV-126</t>
  </si>
  <si>
    <t>INV-127</t>
  </si>
  <si>
    <t>INV-128</t>
  </si>
  <si>
    <t>INV-129</t>
  </si>
  <si>
    <t>INV-130</t>
  </si>
  <si>
    <t>INV-131</t>
  </si>
  <si>
    <t>INV-132</t>
  </si>
  <si>
    <t>INV-133</t>
  </si>
  <si>
    <t>INV-134</t>
  </si>
  <si>
    <t>INV-135</t>
  </si>
  <si>
    <t>INV-136</t>
  </si>
  <si>
    <t>INV-137</t>
  </si>
  <si>
    <t>INV-138</t>
  </si>
  <si>
    <t>INV-139</t>
  </si>
  <si>
    <t xml:space="preserve">Nilaa WH </t>
  </si>
  <si>
    <t>INV-140</t>
  </si>
  <si>
    <t>INV-141</t>
  </si>
  <si>
    <t>INV-142</t>
  </si>
  <si>
    <t>INV-143</t>
  </si>
  <si>
    <t>INV-144</t>
  </si>
  <si>
    <t>INV-145</t>
  </si>
  <si>
    <t>INV-146</t>
  </si>
  <si>
    <t>Sivamalar</t>
  </si>
  <si>
    <t>Maheshwari</t>
  </si>
  <si>
    <t>INV-147</t>
  </si>
  <si>
    <t>INV-148</t>
  </si>
  <si>
    <t>INV-149</t>
  </si>
  <si>
    <t>INV-150</t>
  </si>
  <si>
    <t>INV-151</t>
  </si>
  <si>
    <t>INV-152</t>
  </si>
  <si>
    <t>INV-153</t>
  </si>
  <si>
    <t>INV-155</t>
  </si>
  <si>
    <t>INV-154</t>
  </si>
  <si>
    <t>INV-156</t>
  </si>
  <si>
    <t>Nilaa WH</t>
  </si>
  <si>
    <t>Temp</t>
  </si>
  <si>
    <t>INV-157</t>
  </si>
  <si>
    <t>INV-158</t>
  </si>
  <si>
    <t>INV-159</t>
  </si>
  <si>
    <t>INV-160</t>
  </si>
  <si>
    <t>INV-161</t>
  </si>
  <si>
    <t>INV-162</t>
  </si>
  <si>
    <t>INV-163</t>
  </si>
  <si>
    <t>INV-164</t>
  </si>
  <si>
    <t>INV-165</t>
  </si>
  <si>
    <t>INV-166</t>
  </si>
  <si>
    <t>INV-167</t>
  </si>
  <si>
    <t>INV-168</t>
  </si>
  <si>
    <t>INV-170</t>
  </si>
  <si>
    <t>INV-169</t>
  </si>
  <si>
    <t>INV-171</t>
  </si>
  <si>
    <t>INV-172</t>
  </si>
  <si>
    <t>INV-173</t>
  </si>
  <si>
    <t>INV-174</t>
  </si>
  <si>
    <t>INV-175</t>
  </si>
  <si>
    <t>INV-176</t>
  </si>
  <si>
    <t>INV-177</t>
  </si>
  <si>
    <t>INV-178</t>
  </si>
  <si>
    <t>INV-179</t>
  </si>
  <si>
    <t>INV-180</t>
  </si>
  <si>
    <t>INV-181</t>
  </si>
  <si>
    <t>INV-182</t>
  </si>
  <si>
    <t>INV-183</t>
  </si>
  <si>
    <t>INV-184</t>
  </si>
  <si>
    <t>INV-185</t>
  </si>
  <si>
    <t>INV-186</t>
  </si>
  <si>
    <t>INV-187</t>
  </si>
  <si>
    <t>INV-188</t>
  </si>
  <si>
    <t>INV-189</t>
  </si>
  <si>
    <t>INV-190</t>
  </si>
  <si>
    <t>Wi-fi Bill</t>
  </si>
  <si>
    <t>Sulaiman kaka order</t>
  </si>
  <si>
    <t>Nilaa Wholesale Supplies</t>
  </si>
  <si>
    <t>Count of Kgs</t>
  </si>
  <si>
    <t>Column Labels</t>
  </si>
  <si>
    <t>INV-191</t>
  </si>
  <si>
    <t>INV-192</t>
  </si>
  <si>
    <t>Siva Malar Advance</t>
  </si>
  <si>
    <t>INV-193</t>
  </si>
  <si>
    <t>INV-194</t>
  </si>
  <si>
    <t>INV-195</t>
  </si>
  <si>
    <t>INV-196</t>
  </si>
  <si>
    <t>INV-197</t>
  </si>
  <si>
    <t>INV-198</t>
  </si>
  <si>
    <t>INV-199</t>
  </si>
  <si>
    <t>INV-200</t>
  </si>
  <si>
    <t>Rs 90 per kg</t>
  </si>
  <si>
    <t>INV-201</t>
  </si>
  <si>
    <t>INV-202</t>
  </si>
  <si>
    <t>INV-203</t>
  </si>
  <si>
    <t>INV-204</t>
  </si>
  <si>
    <t>Sum of Ginger Kgs</t>
  </si>
  <si>
    <t>Sum of Garlic Kgs</t>
  </si>
  <si>
    <t>INV-205</t>
  </si>
  <si>
    <t>INV-206</t>
  </si>
  <si>
    <t>INV-207</t>
  </si>
  <si>
    <t>INV-208</t>
  </si>
  <si>
    <t>INV-209</t>
  </si>
  <si>
    <t>INV-210</t>
  </si>
  <si>
    <t>INV-211</t>
  </si>
  <si>
    <t>INV-212</t>
  </si>
  <si>
    <t>INV-213</t>
  </si>
  <si>
    <t>INV-214</t>
  </si>
  <si>
    <t>INV-215</t>
  </si>
  <si>
    <t>INV-216</t>
  </si>
  <si>
    <t>INV-217</t>
  </si>
  <si>
    <t>INV-218</t>
  </si>
  <si>
    <t>INV-219</t>
  </si>
  <si>
    <t>INV-220</t>
  </si>
  <si>
    <t>INV-221</t>
  </si>
  <si>
    <t>INV-222</t>
  </si>
  <si>
    <t>INV-223</t>
  </si>
  <si>
    <t>FSSAI Advance paid 1600</t>
  </si>
  <si>
    <t>INV-224</t>
  </si>
  <si>
    <t>INV-225</t>
  </si>
  <si>
    <t>INV-226</t>
  </si>
  <si>
    <t>INV-227</t>
  </si>
  <si>
    <t>INV-228</t>
  </si>
  <si>
    <t>INV-229</t>
  </si>
  <si>
    <t>INV-230</t>
  </si>
  <si>
    <t>INV-231</t>
  </si>
  <si>
    <t>INV-232</t>
  </si>
  <si>
    <t>INV-233</t>
  </si>
  <si>
    <t xml:space="preserve">Siva Malar </t>
  </si>
  <si>
    <t>Summary of Sales and Expences - June 2025</t>
  </si>
  <si>
    <t>INV-234</t>
  </si>
  <si>
    <t>INV-235</t>
  </si>
  <si>
    <t>INV-236</t>
  </si>
  <si>
    <t>INV-237</t>
  </si>
  <si>
    <t>INV-238</t>
  </si>
  <si>
    <t>Salary Advance - Malar</t>
  </si>
  <si>
    <t>Sulaiman</t>
  </si>
  <si>
    <t>FSSAI Expences</t>
  </si>
  <si>
    <t>Invoice bal from Ansari</t>
  </si>
  <si>
    <t>Bal to Ansari</t>
  </si>
  <si>
    <t>INV-239</t>
  </si>
  <si>
    <t>INV-240</t>
  </si>
  <si>
    <t>INV-241</t>
  </si>
  <si>
    <t>INV-242</t>
  </si>
  <si>
    <t>INV-243</t>
  </si>
  <si>
    <t>INV-244</t>
  </si>
  <si>
    <t>INV-245</t>
  </si>
  <si>
    <t>INV-246</t>
  </si>
  <si>
    <t>(All)</t>
  </si>
  <si>
    <t>INV-247</t>
  </si>
  <si>
    <t>INV-248</t>
  </si>
  <si>
    <t>INV-249</t>
  </si>
  <si>
    <t>INV-250</t>
  </si>
  <si>
    <t>INV-251</t>
  </si>
  <si>
    <t>INV-252</t>
  </si>
  <si>
    <t>INV-253</t>
  </si>
  <si>
    <t>INV-254</t>
  </si>
  <si>
    <t>INV-255</t>
  </si>
  <si>
    <t>INV-256</t>
  </si>
  <si>
    <t>INV-257</t>
  </si>
  <si>
    <t>INV-258</t>
  </si>
  <si>
    <t>INV-259</t>
  </si>
  <si>
    <t>INV-260</t>
  </si>
  <si>
    <t>INV-261</t>
  </si>
  <si>
    <t>Sum of Ginger cost</t>
  </si>
  <si>
    <t>Sum of Garlic cost</t>
  </si>
  <si>
    <t>INV-262</t>
  </si>
  <si>
    <t>INV-263</t>
  </si>
  <si>
    <t>INV-264</t>
  </si>
  <si>
    <t>INV-265</t>
  </si>
  <si>
    <t>INV-266</t>
  </si>
  <si>
    <t>INV-267</t>
  </si>
  <si>
    <t>INV-268</t>
  </si>
  <si>
    <t>INV-269</t>
  </si>
  <si>
    <t>INV-270</t>
  </si>
  <si>
    <t>INV-271</t>
  </si>
  <si>
    <t>INV-272</t>
  </si>
  <si>
    <t>INV-273</t>
  </si>
  <si>
    <t>INV-274</t>
  </si>
  <si>
    <t>INV-275</t>
  </si>
  <si>
    <t>INV-276</t>
  </si>
  <si>
    <t>INV-277</t>
  </si>
  <si>
    <t>INV-278</t>
  </si>
  <si>
    <t>INV-279</t>
  </si>
  <si>
    <t>INV-280</t>
  </si>
  <si>
    <t>INV-281</t>
  </si>
  <si>
    <t>INV-282</t>
  </si>
  <si>
    <t>INV-283</t>
  </si>
  <si>
    <t>INV-284</t>
  </si>
  <si>
    <t>INV-285</t>
  </si>
  <si>
    <t>INV-286</t>
  </si>
  <si>
    <t>INV-287</t>
  </si>
  <si>
    <t>INV-288</t>
  </si>
  <si>
    <t>INV-289</t>
  </si>
  <si>
    <t>INV-290</t>
  </si>
  <si>
    <t>INV-291</t>
  </si>
  <si>
    <t>INV-292</t>
  </si>
  <si>
    <t>INV-293</t>
  </si>
  <si>
    <t>INV-294</t>
  </si>
  <si>
    <t>INV-295</t>
  </si>
  <si>
    <t>Malar</t>
  </si>
  <si>
    <t>INV-298</t>
  </si>
  <si>
    <t>INV-299</t>
  </si>
  <si>
    <t>INV-300</t>
  </si>
  <si>
    <t>INV-301</t>
  </si>
  <si>
    <t>INV-302</t>
  </si>
  <si>
    <t>INV-303</t>
  </si>
  <si>
    <t>Ansari - Frame &amp; Belt</t>
  </si>
  <si>
    <t xml:space="preserve">Ansari </t>
  </si>
  <si>
    <t>Ansari - FSSAI pre bal</t>
  </si>
  <si>
    <t>MGK - Paid</t>
  </si>
  <si>
    <t>Ansari's Invoice Balances</t>
  </si>
  <si>
    <t>Machine Belt</t>
  </si>
  <si>
    <t>FSSAI Frame</t>
  </si>
  <si>
    <t>MGK Invoice</t>
  </si>
  <si>
    <t>INV-304</t>
  </si>
  <si>
    <t>INV-305</t>
  </si>
  <si>
    <t>INV-306</t>
  </si>
  <si>
    <t>Cash with Malar</t>
  </si>
  <si>
    <t>Faisal Nagai - Unpaid</t>
  </si>
  <si>
    <t>Malar Salary Ad</t>
  </si>
  <si>
    <t>INV-307</t>
  </si>
  <si>
    <t>INV-308</t>
  </si>
  <si>
    <t>P-93</t>
  </si>
  <si>
    <t>INV-309</t>
  </si>
  <si>
    <t>INV-310</t>
  </si>
  <si>
    <t>INV-311</t>
  </si>
  <si>
    <t>INV-312</t>
  </si>
  <si>
    <t>INV-313</t>
  </si>
  <si>
    <t>P-94</t>
  </si>
  <si>
    <t>P-95</t>
  </si>
  <si>
    <t>Company phone Rechange</t>
  </si>
  <si>
    <t>P-96</t>
  </si>
  <si>
    <t>INV-314</t>
  </si>
  <si>
    <t>INV-315</t>
  </si>
  <si>
    <t>INV-316</t>
  </si>
  <si>
    <t>Cash</t>
  </si>
  <si>
    <t>Gpay</t>
  </si>
  <si>
    <t>INV-317</t>
  </si>
  <si>
    <t>INV-318</t>
  </si>
  <si>
    <t>INV-319</t>
  </si>
  <si>
    <t>INV-320</t>
  </si>
  <si>
    <t>INV-321</t>
  </si>
  <si>
    <t>INV-322</t>
  </si>
  <si>
    <t>Maheswari Salary</t>
  </si>
  <si>
    <t>Malar OT</t>
  </si>
  <si>
    <t>Ungal Kadai</t>
  </si>
  <si>
    <t>Bucket *11</t>
  </si>
  <si>
    <t>INV-323</t>
  </si>
  <si>
    <t>INV-324</t>
  </si>
  <si>
    <t>INV-325</t>
  </si>
  <si>
    <t>INV-326</t>
  </si>
  <si>
    <t>INV-327</t>
  </si>
  <si>
    <t>INV-328</t>
  </si>
  <si>
    <t>INV-329</t>
  </si>
  <si>
    <t>INV-330</t>
  </si>
  <si>
    <t>P-53</t>
  </si>
  <si>
    <t>INV-331</t>
  </si>
  <si>
    <t>INV-332</t>
  </si>
  <si>
    <t>INV-333</t>
  </si>
  <si>
    <t>Trasport</t>
  </si>
  <si>
    <t>Delivery charge</t>
  </si>
  <si>
    <t>Nagai delivery</t>
  </si>
  <si>
    <t>PK Garlic</t>
  </si>
  <si>
    <t>Energy</t>
  </si>
  <si>
    <t>Protein</t>
  </si>
  <si>
    <t>Fiber</t>
  </si>
  <si>
    <t>Carbohydrate</t>
  </si>
  <si>
    <t>Total Sugar</t>
  </si>
  <si>
    <t>Total Fat</t>
  </si>
  <si>
    <t>Cholesterol</t>
  </si>
  <si>
    <t>Trans Fat Not more than</t>
  </si>
  <si>
    <t>Sodium</t>
  </si>
  <si>
    <t>Calcium</t>
  </si>
  <si>
    <t>Iron</t>
  </si>
  <si>
    <t>99 Kcal</t>
  </si>
  <si>
    <t>4.16 g</t>
  </si>
  <si>
    <t>4.95 g</t>
  </si>
  <si>
    <t>13.8 g</t>
  </si>
  <si>
    <t>NIL</t>
  </si>
  <si>
    <t>2.97 g</t>
  </si>
  <si>
    <t>212 mg</t>
  </si>
  <si>
    <t>11 mg</t>
  </si>
  <si>
    <t>0.16 mg</t>
  </si>
  <si>
    <t>NUTRITIONAL INFORMATION*
Per 100g of the Product (Approx)</t>
  </si>
  <si>
    <t>Nutritional
Information per
Serving -10g</t>
  </si>
  <si>
    <t>9.9 Kcal</t>
  </si>
  <si>
    <t>0.41 g</t>
  </si>
  <si>
    <t>0.49 g</t>
  </si>
  <si>
    <t>1.38 g</t>
  </si>
  <si>
    <t>0.29 g</t>
  </si>
  <si>
    <t>21.2 mg</t>
  </si>
  <si>
    <t>1.1 mg</t>
  </si>
  <si>
    <t>0.01 mg</t>
  </si>
  <si>
    <t>% Daily Values Per
serving (10g)</t>
  </si>
  <si>
    <t>~</t>
  </si>
  <si>
    <t>With Citrix acid</t>
  </si>
  <si>
    <t xml:space="preserve">*Source: NIN-Nutritive Value of Indian Foods
</t>
  </si>
  <si>
    <t>**Percent Daily Values are based on a 2,000 calorie Diet. Your daily values may be higher or lower depending on your calorie need</t>
  </si>
  <si>
    <t>INV-334</t>
  </si>
  <si>
    <t>INV-335</t>
  </si>
  <si>
    <t>INV-336</t>
  </si>
  <si>
    <t>INV-337</t>
  </si>
  <si>
    <t>INV-338</t>
  </si>
  <si>
    <t>Pouch</t>
  </si>
  <si>
    <t>Sticker 10 Sheets</t>
  </si>
  <si>
    <t>INV-339</t>
  </si>
  <si>
    <t>INV-340</t>
  </si>
  <si>
    <t>INV-341</t>
  </si>
  <si>
    <t>INV-342</t>
  </si>
  <si>
    <t>INV-343</t>
  </si>
  <si>
    <t>INV-344</t>
  </si>
  <si>
    <t>INV-345</t>
  </si>
  <si>
    <t>INV-346</t>
  </si>
  <si>
    <t>INV-347</t>
  </si>
  <si>
    <t>INV-348</t>
  </si>
  <si>
    <t>INV-349</t>
  </si>
  <si>
    <t>INV-350</t>
  </si>
  <si>
    <t>INV-351</t>
  </si>
  <si>
    <t>INV-352</t>
  </si>
  <si>
    <t>Bill To</t>
  </si>
  <si>
    <t>Nasar</t>
  </si>
  <si>
    <t>Market Shop</t>
  </si>
  <si>
    <t>Riluwan(Nagore)</t>
  </si>
  <si>
    <t>Faisal(Nagai)</t>
  </si>
  <si>
    <t>Barak Vegetables</t>
  </si>
  <si>
    <t>Shaha Malim</t>
  </si>
  <si>
    <t>INV-353</t>
  </si>
  <si>
    <t>INV-354</t>
  </si>
  <si>
    <t>INV-355</t>
  </si>
  <si>
    <t>INV-356</t>
  </si>
  <si>
    <t>Variety</t>
  </si>
  <si>
    <t>Qty</t>
  </si>
  <si>
    <t>Water Cane</t>
  </si>
  <si>
    <t>Old Ginger</t>
  </si>
  <si>
    <t>Desi 4A</t>
  </si>
  <si>
    <t>Desi 3A</t>
  </si>
  <si>
    <t>Desi 2A</t>
  </si>
  <si>
    <t>Naatu Poondu</t>
  </si>
  <si>
    <t>Halidh Cook</t>
  </si>
  <si>
    <t>Invoice No.</t>
  </si>
  <si>
    <t>Customer</t>
  </si>
  <si>
    <t>Amount</t>
  </si>
  <si>
    <t>ANSARI ( PARTNER )</t>
  </si>
  <si>
    <t>Jul &amp; Aug Total</t>
  </si>
  <si>
    <t>Payment Status</t>
  </si>
  <si>
    <t>Purchase</t>
  </si>
  <si>
    <t>Sales &amp; Expences</t>
  </si>
  <si>
    <t>INV-357</t>
  </si>
  <si>
    <t>INV-358</t>
  </si>
  <si>
    <t>INV-359</t>
  </si>
  <si>
    <t>INV-360</t>
  </si>
  <si>
    <t>INV-361</t>
  </si>
  <si>
    <t>Sulaiman &amp; Nagai</t>
  </si>
  <si>
    <t>Peerodam St, 300 Auto</t>
  </si>
  <si>
    <t>24 Saha Malim</t>
  </si>
  <si>
    <t>90 Shaha Malim</t>
  </si>
  <si>
    <t>16kg Rs 2400 Shaha Malim
Rs 3000 M Palli</t>
  </si>
  <si>
    <t>3000 Paid</t>
  </si>
  <si>
    <t>Bava Mandi</t>
  </si>
  <si>
    <t>900 Paid</t>
  </si>
  <si>
    <t>6kg Sulaiman 900 Paid
4kg Nagai 460 Unpaid</t>
  </si>
  <si>
    <t>RS 1700 Paid Nagai delivery</t>
  </si>
  <si>
    <t>1700 Paid</t>
  </si>
  <si>
    <t>8000 Paid MGK</t>
  </si>
  <si>
    <t>INV-362</t>
  </si>
  <si>
    <t>INV-363</t>
  </si>
  <si>
    <t>INV-364</t>
  </si>
  <si>
    <t>INV-365</t>
  </si>
  <si>
    <t>INV-366</t>
  </si>
  <si>
    <t>INV-367</t>
  </si>
  <si>
    <t>INV-368</t>
  </si>
  <si>
    <t>INV-369</t>
  </si>
  <si>
    <t>P-55</t>
  </si>
  <si>
    <t>P-56</t>
  </si>
  <si>
    <t>INV-370</t>
  </si>
  <si>
    <t>INV-371</t>
  </si>
  <si>
    <t>INV-372</t>
  </si>
  <si>
    <t>INV-373</t>
  </si>
  <si>
    <t>INV-374</t>
  </si>
  <si>
    <t>INV-375</t>
  </si>
  <si>
    <t>Sticker Printing</t>
  </si>
  <si>
    <t>SVG Garlics</t>
  </si>
  <si>
    <t>Transport cost</t>
  </si>
  <si>
    <t>Desi Bom size</t>
  </si>
  <si>
    <t>INV-376</t>
  </si>
  <si>
    <t>INV-377</t>
  </si>
  <si>
    <t>INV-378</t>
  </si>
  <si>
    <t>INV-379</t>
  </si>
  <si>
    <t>INV-380</t>
  </si>
  <si>
    <t>INV-381</t>
  </si>
  <si>
    <t>INV-382</t>
  </si>
  <si>
    <t>P-58</t>
  </si>
  <si>
    <t>Sellapa</t>
  </si>
  <si>
    <t>Karthi</t>
  </si>
  <si>
    <t>Marketting</t>
  </si>
  <si>
    <t>KRC Advertisement</t>
  </si>
  <si>
    <t>Packaging Material</t>
  </si>
  <si>
    <t>INV-383</t>
  </si>
  <si>
    <t>INV-384</t>
  </si>
  <si>
    <t>INV-385</t>
  </si>
  <si>
    <t>INV-386</t>
  </si>
  <si>
    <t>INV-387</t>
  </si>
  <si>
    <t>INV-388</t>
  </si>
  <si>
    <t>INV-389</t>
  </si>
  <si>
    <t>INV-390</t>
  </si>
  <si>
    <t>INV-391</t>
  </si>
  <si>
    <t>INV-392</t>
  </si>
  <si>
    <t>INV-393</t>
  </si>
  <si>
    <t>INV-394</t>
  </si>
  <si>
    <t>INV-395</t>
  </si>
  <si>
    <t>INV-396</t>
  </si>
  <si>
    <t>INV-397</t>
  </si>
  <si>
    <t>INV-398</t>
  </si>
  <si>
    <t>INV-399</t>
  </si>
  <si>
    <t>INV-400</t>
  </si>
  <si>
    <t>INV-401</t>
  </si>
  <si>
    <t>INV-402</t>
  </si>
  <si>
    <t>INV-403</t>
  </si>
  <si>
    <t>INV-404</t>
  </si>
  <si>
    <t>Masthan Aliyur</t>
  </si>
  <si>
    <t>.</t>
  </si>
  <si>
    <t>Hotel Noordeen</t>
  </si>
  <si>
    <t>Bava</t>
  </si>
  <si>
    <t>Mansoor</t>
  </si>
  <si>
    <t>EB</t>
  </si>
  <si>
    <t>Lab Test</t>
  </si>
  <si>
    <t>Ooty Seed A</t>
  </si>
  <si>
    <t>INV-405</t>
  </si>
  <si>
    <t>Malar Salary</t>
  </si>
  <si>
    <t>Saranya Salary</t>
  </si>
  <si>
    <r>
      <rPr>
        <b/>
        <sz val="12"/>
        <color rgb="FF00B050"/>
        <rFont val="Calibri"/>
        <family val="2"/>
        <scheme val="minor"/>
      </rPr>
      <t>Sales</t>
    </r>
    <r>
      <rPr>
        <b/>
        <sz val="12"/>
        <color theme="1"/>
        <rFont val="Calibri"/>
        <family val="2"/>
        <scheme val="minor"/>
      </rPr>
      <t xml:space="preserve"> Dashboard</t>
    </r>
  </si>
  <si>
    <t>Count of Invoice No</t>
  </si>
  <si>
    <t>Values</t>
  </si>
  <si>
    <t>August</t>
  </si>
  <si>
    <t>July</t>
  </si>
  <si>
    <t>INV-406</t>
  </si>
  <si>
    <t>INV-407</t>
  </si>
  <si>
    <t>INV-408</t>
  </si>
  <si>
    <t>INV-409</t>
  </si>
  <si>
    <t>INV-410</t>
  </si>
  <si>
    <t>INV-411</t>
  </si>
  <si>
    <t>INV-412</t>
  </si>
  <si>
    <t>INV-413</t>
  </si>
  <si>
    <t>INV-414</t>
  </si>
  <si>
    <t>INV-415</t>
  </si>
  <si>
    <t>Maraikar Shop</t>
  </si>
  <si>
    <t>REAL SUPER MARKET</t>
  </si>
  <si>
    <t>BILAL COOK</t>
  </si>
  <si>
    <t>INV-416</t>
  </si>
  <si>
    <t>INV-417</t>
  </si>
  <si>
    <t>INV-418</t>
  </si>
  <si>
    <t>INV-419</t>
  </si>
  <si>
    <t>INV-420</t>
  </si>
  <si>
    <t>DARBAR CATERING</t>
  </si>
  <si>
    <t>AL AZEEM CATERS &amp; RESTAURANT</t>
  </si>
  <si>
    <t>AMEEN MASTER CHEF</t>
  </si>
  <si>
    <t>INV-421</t>
  </si>
  <si>
    <t>INV-422</t>
  </si>
  <si>
    <t>INV-423</t>
  </si>
  <si>
    <t>INV-424</t>
  </si>
  <si>
    <t>INV-425</t>
  </si>
  <si>
    <t>INV-426</t>
  </si>
  <si>
    <t>HABIL SAHIB</t>
  </si>
  <si>
    <t>ARAFATH</t>
  </si>
  <si>
    <t>VANJUR SHOP MARKET VASAL</t>
  </si>
  <si>
    <t>ISMAIL BANDARI (THARANGAPADI )</t>
  </si>
  <si>
    <t>HASSIM CATERING</t>
  </si>
  <si>
    <t>HOTEL BISMI</t>
  </si>
  <si>
    <t>INV-427</t>
  </si>
  <si>
    <t>INV-428</t>
  </si>
  <si>
    <t>INV-429</t>
  </si>
  <si>
    <t>INV-430</t>
  </si>
  <si>
    <t>INV-431</t>
  </si>
  <si>
    <t>INV-432</t>
  </si>
  <si>
    <t>INV-433</t>
  </si>
  <si>
    <t>INV-434</t>
  </si>
  <si>
    <t>Maligai Kadai</t>
  </si>
  <si>
    <t>Tem Staff</t>
  </si>
  <si>
    <t>Auto</t>
  </si>
  <si>
    <t>SAHABUDEEN</t>
  </si>
  <si>
    <t>HABEEB</t>
  </si>
  <si>
    <t>INV-435</t>
  </si>
  <si>
    <t>INV-436</t>
  </si>
  <si>
    <t>INV-437</t>
  </si>
  <si>
    <t>INV-438</t>
  </si>
  <si>
    <t>INV-439</t>
  </si>
  <si>
    <t>INV-440</t>
  </si>
  <si>
    <t>INV-441</t>
  </si>
  <si>
    <t>INV-442</t>
  </si>
  <si>
    <t>INV-443</t>
  </si>
  <si>
    <t>INV-444</t>
  </si>
  <si>
    <t>RIYAS BANDARI</t>
  </si>
  <si>
    <t>YOUSUF BANDARI</t>
  </si>
  <si>
    <t>INV-445</t>
  </si>
  <si>
    <t>INV-446</t>
  </si>
  <si>
    <t>INV-447</t>
  </si>
  <si>
    <t>INV-448</t>
  </si>
  <si>
    <t>INV-449</t>
  </si>
  <si>
    <t>INV-450</t>
  </si>
  <si>
    <t>INV-451</t>
  </si>
  <si>
    <t>INV-452</t>
  </si>
  <si>
    <t>INV-453</t>
  </si>
  <si>
    <t>INV-454</t>
  </si>
  <si>
    <t>INV-455</t>
  </si>
  <si>
    <t>INV-456</t>
  </si>
  <si>
    <t>INV-457</t>
  </si>
  <si>
    <t>INV-458</t>
  </si>
  <si>
    <t>INV-459</t>
  </si>
  <si>
    <t>ARAFA RESTAURANT</t>
  </si>
  <si>
    <t>MALAYSIAN FAST FOOD</t>
  </si>
  <si>
    <t>halidh cook</t>
  </si>
  <si>
    <t>SANDWICH SHOP</t>
  </si>
  <si>
    <t>RR Mini Mart</t>
  </si>
  <si>
    <t>INV-460</t>
  </si>
  <si>
    <t>Desi Udiri</t>
  </si>
  <si>
    <t>INV-461</t>
  </si>
  <si>
    <t>INV-462</t>
  </si>
  <si>
    <t>INV-463</t>
  </si>
  <si>
    <t>AR RAHIM HOTEL</t>
  </si>
  <si>
    <t>INV-464</t>
  </si>
  <si>
    <t>INV-465</t>
  </si>
  <si>
    <t>INV-466</t>
  </si>
  <si>
    <t>INV-467</t>
  </si>
  <si>
    <t>INV-468</t>
  </si>
  <si>
    <t>INV-469</t>
  </si>
  <si>
    <t>INV-470</t>
  </si>
  <si>
    <t>INV-471</t>
  </si>
  <si>
    <t>INV-472</t>
  </si>
  <si>
    <t>INV-473</t>
  </si>
  <si>
    <t>INV-474</t>
  </si>
  <si>
    <t>INV-475</t>
  </si>
  <si>
    <t>NFS DELIVERY</t>
  </si>
  <si>
    <t>Essential Items</t>
  </si>
  <si>
    <t>INV-476</t>
  </si>
  <si>
    <t>INV-477</t>
  </si>
  <si>
    <t>INV-478</t>
  </si>
  <si>
    <t>INV-479</t>
  </si>
  <si>
    <t>INV-480</t>
  </si>
  <si>
    <t>INV-481</t>
  </si>
  <si>
    <t>INV-482</t>
  </si>
  <si>
    <t>INV-483</t>
  </si>
  <si>
    <t>Flip kart</t>
  </si>
  <si>
    <t>INV-485</t>
  </si>
  <si>
    <t>INV-484</t>
  </si>
  <si>
    <t>INV-486</t>
  </si>
  <si>
    <t>INV-487</t>
  </si>
  <si>
    <t>INV-488</t>
  </si>
  <si>
    <t>INV-489</t>
  </si>
  <si>
    <t>INV-490</t>
  </si>
  <si>
    <t>INV-491</t>
  </si>
  <si>
    <t>INV-492</t>
  </si>
  <si>
    <t>AL BAIK MANDI</t>
  </si>
  <si>
    <t>INV-493</t>
  </si>
  <si>
    <t>arafath</t>
  </si>
  <si>
    <t>INV-494</t>
  </si>
  <si>
    <t>INV-495</t>
  </si>
  <si>
    <t>INV-496</t>
  </si>
  <si>
    <t>INV-497</t>
  </si>
  <si>
    <t>INV-498</t>
  </si>
  <si>
    <t>INV-499</t>
  </si>
  <si>
    <t>INV-500</t>
  </si>
  <si>
    <t>SUPPLAYKART</t>
  </si>
  <si>
    <t>INV-501</t>
  </si>
  <si>
    <t>INV-502</t>
  </si>
  <si>
    <t>INV-503</t>
  </si>
  <si>
    <t>Salary - Saranya</t>
  </si>
  <si>
    <t>INV-504</t>
  </si>
  <si>
    <t>INV-505</t>
  </si>
  <si>
    <t>INV-506</t>
  </si>
  <si>
    <t>INV-507</t>
  </si>
  <si>
    <t>INV-508</t>
  </si>
  <si>
    <t>INV-509</t>
  </si>
  <si>
    <t>bava chef</t>
  </si>
  <si>
    <t>INV-510</t>
  </si>
  <si>
    <t>INV-511</t>
  </si>
  <si>
    <t>INV-512</t>
  </si>
  <si>
    <t>INV-513</t>
  </si>
  <si>
    <t>INV-514</t>
  </si>
  <si>
    <t>INV-515</t>
  </si>
  <si>
    <t>BAVA CHEF</t>
  </si>
  <si>
    <t>Salary - Malar</t>
  </si>
  <si>
    <t>INV-516</t>
  </si>
  <si>
    <t>INV-517</t>
  </si>
  <si>
    <t>INV-518</t>
  </si>
  <si>
    <t>INV-519</t>
  </si>
  <si>
    <t>INV-520</t>
  </si>
  <si>
    <t>INV-521</t>
  </si>
  <si>
    <t>INV-522</t>
  </si>
  <si>
    <t>INV-523</t>
  </si>
  <si>
    <t>Andrew Cook</t>
  </si>
  <si>
    <t>INV-524</t>
  </si>
  <si>
    <t>INV-525</t>
  </si>
  <si>
    <t>INV-526</t>
  </si>
  <si>
    <t>INV-527</t>
  </si>
  <si>
    <t>INV-528</t>
  </si>
  <si>
    <t>INV-529</t>
  </si>
  <si>
    <t>INV-530</t>
  </si>
  <si>
    <t>Sealer Machine</t>
  </si>
  <si>
    <t>INV-531</t>
  </si>
  <si>
    <t>INV-532</t>
  </si>
  <si>
    <t>INV-533</t>
  </si>
  <si>
    <t>INV-534</t>
  </si>
  <si>
    <t>INV-535</t>
  </si>
  <si>
    <t>INV-536</t>
  </si>
  <si>
    <t>INV-537</t>
  </si>
  <si>
    <t>INV-538</t>
  </si>
  <si>
    <t>INV-539</t>
  </si>
  <si>
    <t>INV-540</t>
  </si>
  <si>
    <t>INV-541</t>
  </si>
  <si>
    <t>INV-542</t>
  </si>
  <si>
    <t>INV-543</t>
  </si>
  <si>
    <t>INV-544</t>
  </si>
  <si>
    <t>INV-545</t>
  </si>
  <si>
    <t>INV-546</t>
  </si>
  <si>
    <t>INV-547</t>
  </si>
  <si>
    <t>INV-548</t>
  </si>
  <si>
    <t>INV-549</t>
  </si>
  <si>
    <t>INV-550</t>
  </si>
  <si>
    <t>INV-551</t>
  </si>
  <si>
    <t>INV-552</t>
  </si>
  <si>
    <t>INV-553</t>
  </si>
  <si>
    <t>INV-554</t>
  </si>
  <si>
    <t>INV-555</t>
  </si>
  <si>
    <t>INV-556</t>
  </si>
  <si>
    <t>INV-557</t>
  </si>
  <si>
    <t>INV-558</t>
  </si>
  <si>
    <t>INV-559</t>
  </si>
  <si>
    <t>INV-560</t>
  </si>
  <si>
    <t>INV-561</t>
  </si>
  <si>
    <t>INV-562</t>
  </si>
  <si>
    <t>INV-563</t>
  </si>
  <si>
    <t>INV-564</t>
  </si>
  <si>
    <t>INV-565</t>
  </si>
  <si>
    <t>INV-566</t>
  </si>
  <si>
    <t>INV-567</t>
  </si>
  <si>
    <t>INV-568</t>
  </si>
  <si>
    <t>INV-569</t>
  </si>
  <si>
    <t>INV-570</t>
  </si>
  <si>
    <t>INV-571</t>
  </si>
  <si>
    <t>INV-572</t>
  </si>
  <si>
    <t>INV-573</t>
  </si>
  <si>
    <t>INV-574</t>
  </si>
  <si>
    <t>INV-575</t>
  </si>
  <si>
    <t>INV-576</t>
  </si>
  <si>
    <t>INV-577</t>
  </si>
  <si>
    <t>INV-578</t>
  </si>
  <si>
    <t>INV-579</t>
  </si>
  <si>
    <t>INV-580</t>
  </si>
  <si>
    <t>INV-581</t>
  </si>
  <si>
    <t>INV-582</t>
  </si>
  <si>
    <t>INV-583</t>
  </si>
  <si>
    <t>INV-584</t>
  </si>
  <si>
    <t>INV-585</t>
  </si>
  <si>
    <t>INV-586</t>
  </si>
  <si>
    <t>INV-587</t>
  </si>
  <si>
    <t>INV-588</t>
  </si>
  <si>
    <t>INV-589</t>
  </si>
  <si>
    <t>INV-590</t>
  </si>
  <si>
    <t>INV-591</t>
  </si>
  <si>
    <t>INV-592</t>
  </si>
  <si>
    <t>INV-593</t>
  </si>
  <si>
    <t>INV-594</t>
  </si>
  <si>
    <t>INV-595</t>
  </si>
  <si>
    <t>INV-596</t>
  </si>
  <si>
    <t>INV-597</t>
  </si>
  <si>
    <t>Burhaan</t>
  </si>
  <si>
    <t>For bring back Fridge from KKL</t>
  </si>
  <si>
    <t>INV-598</t>
  </si>
  <si>
    <t>INV-599</t>
  </si>
  <si>
    <t>INV-600</t>
  </si>
  <si>
    <t>INV-601</t>
  </si>
  <si>
    <t>INV-602</t>
  </si>
  <si>
    <t>INV-603</t>
  </si>
  <si>
    <t>INV-604</t>
  </si>
  <si>
    <t>INV-605</t>
  </si>
  <si>
    <t>INV-606</t>
  </si>
  <si>
    <t>INV-607</t>
  </si>
  <si>
    <t>INV-608</t>
  </si>
  <si>
    <t>INV-609</t>
  </si>
  <si>
    <t>INV-610</t>
  </si>
  <si>
    <t>INV-611</t>
  </si>
  <si>
    <t>INV-612</t>
  </si>
  <si>
    <t>INV-613</t>
  </si>
  <si>
    <t>INV-614</t>
  </si>
  <si>
    <t>INV-615</t>
  </si>
  <si>
    <t>INV-616</t>
  </si>
  <si>
    <t>INV-617</t>
  </si>
  <si>
    <t>INV-618</t>
  </si>
  <si>
    <t>INV-619</t>
  </si>
  <si>
    <t>INV-620</t>
  </si>
  <si>
    <t>INV-621</t>
  </si>
  <si>
    <t>INV-622</t>
  </si>
  <si>
    <t>UMAR BRIYANI</t>
  </si>
  <si>
    <t>INV-623</t>
  </si>
  <si>
    <t>INV-624</t>
  </si>
  <si>
    <t>INV-625</t>
  </si>
  <si>
    <t>INV-626</t>
  </si>
  <si>
    <t>INV-627</t>
  </si>
  <si>
    <t>INV-628</t>
  </si>
  <si>
    <t>INV-629</t>
  </si>
  <si>
    <t>AHEE BANDARI</t>
  </si>
  <si>
    <t>Phone Bill</t>
  </si>
  <si>
    <t>INV-630</t>
  </si>
  <si>
    <t>INV-631</t>
  </si>
  <si>
    <t>INV-632</t>
  </si>
  <si>
    <t>INV-633</t>
  </si>
  <si>
    <t>INV-634</t>
  </si>
  <si>
    <t>INV-635</t>
  </si>
  <si>
    <t>INV-636</t>
  </si>
  <si>
    <t>INV-637</t>
  </si>
  <si>
    <t>INV-638</t>
  </si>
  <si>
    <t>INV-639</t>
  </si>
  <si>
    <t>hassan</t>
  </si>
  <si>
    <t>INV-640</t>
  </si>
  <si>
    <t>INV-641</t>
  </si>
  <si>
    <t>INV-642</t>
  </si>
  <si>
    <t>Bill Book</t>
  </si>
  <si>
    <t>INV-643</t>
  </si>
  <si>
    <t>INV-644</t>
  </si>
  <si>
    <t>INV-645</t>
  </si>
  <si>
    <t>INV-646</t>
  </si>
  <si>
    <t>INV-647</t>
  </si>
  <si>
    <t>INV-648</t>
  </si>
  <si>
    <t>INV-649</t>
  </si>
  <si>
    <t>INV-650</t>
  </si>
  <si>
    <t>INV-651</t>
  </si>
  <si>
    <t>RILWAN</t>
  </si>
  <si>
    <t>Saranya</t>
  </si>
  <si>
    <t>Ashiq</t>
  </si>
  <si>
    <t>INV-652</t>
  </si>
  <si>
    <t>NFS Delivery</t>
  </si>
  <si>
    <t>INV-653</t>
  </si>
  <si>
    <t>INV-654</t>
  </si>
  <si>
    <t>INV-655</t>
  </si>
  <si>
    <t>Hotel Bismi</t>
  </si>
  <si>
    <t>INV-656</t>
  </si>
  <si>
    <t>INV-657</t>
  </si>
  <si>
    <t>INV-658</t>
  </si>
  <si>
    <t>Darbar Catering</t>
  </si>
  <si>
    <t>INV-659</t>
  </si>
  <si>
    <t>Arafath</t>
  </si>
  <si>
    <t>INV-660</t>
  </si>
  <si>
    <t>INV-661</t>
  </si>
  <si>
    <t>INV-662</t>
  </si>
  <si>
    <t>INV-663</t>
  </si>
  <si>
    <t>INV-664</t>
  </si>
  <si>
    <t>Malaysian Fast Food</t>
  </si>
  <si>
    <t>INV-665</t>
  </si>
  <si>
    <t>Hassim Catering</t>
  </si>
  <si>
    <t>INV-666</t>
  </si>
  <si>
    <t>INV-667</t>
  </si>
  <si>
    <t>INV-668</t>
  </si>
  <si>
    <t>INV-669</t>
  </si>
  <si>
    <t>INV-670</t>
  </si>
  <si>
    <t>INV-671</t>
  </si>
  <si>
    <t>INV-672</t>
  </si>
  <si>
    <t>INV-673</t>
  </si>
  <si>
    <t>INV-674</t>
  </si>
  <si>
    <t>Ameen Master Chef</t>
  </si>
  <si>
    <t>Habil Sahib</t>
  </si>
  <si>
    <t>INV-675</t>
  </si>
  <si>
    <t>INV-676</t>
  </si>
  <si>
    <t>INV-677</t>
  </si>
  <si>
    <t>INV-678</t>
  </si>
  <si>
    <t>RR mini Mart</t>
  </si>
  <si>
    <t>INV-679</t>
  </si>
  <si>
    <t>INV-680</t>
  </si>
  <si>
    <t>INV-681</t>
  </si>
  <si>
    <t>INV-682</t>
  </si>
  <si>
    <t>INV-683</t>
  </si>
  <si>
    <t>INV-684</t>
  </si>
  <si>
    <t>INV-685</t>
  </si>
  <si>
    <t>INV-686</t>
  </si>
  <si>
    <t>INV-687</t>
  </si>
  <si>
    <t>INV-688</t>
  </si>
  <si>
    <t>Supplaykart</t>
  </si>
  <si>
    <t>INV-689</t>
  </si>
  <si>
    <t>INV-690</t>
  </si>
  <si>
    <t>INV-691</t>
  </si>
  <si>
    <t>INV-692</t>
  </si>
  <si>
    <t>INV-693</t>
  </si>
  <si>
    <t>Ya Salaam</t>
  </si>
  <si>
    <t>YA SALAAM</t>
  </si>
  <si>
    <t>Loan</t>
  </si>
  <si>
    <t>Bike Cost</t>
  </si>
  <si>
    <t>INV-694</t>
  </si>
  <si>
    <t>INV-695</t>
  </si>
  <si>
    <t>INV-696</t>
  </si>
  <si>
    <t>INV-697</t>
  </si>
  <si>
    <t>INV-698</t>
  </si>
  <si>
    <t>INV-699</t>
  </si>
  <si>
    <t>INV-700</t>
  </si>
  <si>
    <t>INV-701</t>
  </si>
  <si>
    <t>INV-702</t>
  </si>
  <si>
    <t>INV-703</t>
  </si>
  <si>
    <t>INV-704</t>
  </si>
  <si>
    <t>INV-705</t>
  </si>
  <si>
    <t>INV-706</t>
  </si>
  <si>
    <t>INV-707</t>
  </si>
  <si>
    <t>INV-708</t>
  </si>
  <si>
    <t>INV-709</t>
  </si>
  <si>
    <t>INV-710</t>
  </si>
  <si>
    <t>INV-711</t>
  </si>
  <si>
    <t>INV-712</t>
  </si>
  <si>
    <t>INV-713</t>
  </si>
  <si>
    <t>INV-714</t>
  </si>
  <si>
    <t>AL RAYAAN MANDI</t>
  </si>
  <si>
    <t>INV-715</t>
  </si>
  <si>
    <t>INV-716</t>
  </si>
  <si>
    <t>INV-717</t>
  </si>
  <si>
    <t>INV-718</t>
  </si>
  <si>
    <t>INV-719</t>
  </si>
  <si>
    <t>INV-720</t>
  </si>
  <si>
    <t>INV-721</t>
  </si>
  <si>
    <t>INV-722</t>
  </si>
  <si>
    <t>Ar rahim hotel</t>
  </si>
  <si>
    <t>Faizal Nagai</t>
  </si>
  <si>
    <t>FAIZAL NAGAI</t>
  </si>
  <si>
    <t>INV-723</t>
  </si>
  <si>
    <t>Nassar's Balance to Hassan from  NFS</t>
  </si>
  <si>
    <t>Rotation Amount</t>
  </si>
  <si>
    <t>Hassan's  Invoice balance</t>
  </si>
  <si>
    <t>Total to be paid to Hassan [A]</t>
  </si>
  <si>
    <t>September Net Balance from NFS</t>
  </si>
  <si>
    <t>Pending payment to Hassan from NFS</t>
  </si>
  <si>
    <t>Balance Amt to be shared</t>
  </si>
  <si>
    <t>Nazar's Share 50%</t>
  </si>
  <si>
    <r>
      <t xml:space="preserve">Hassan's Share 25% </t>
    </r>
    <r>
      <rPr>
        <b/>
        <sz val="11"/>
        <color theme="1"/>
        <rFont val="Calibri"/>
        <family val="2"/>
        <scheme val="minor"/>
      </rPr>
      <t>[B]</t>
    </r>
  </si>
  <si>
    <r>
      <t xml:space="preserve">Ansari's Share 25% </t>
    </r>
    <r>
      <rPr>
        <b/>
        <sz val="11"/>
        <color theme="1"/>
        <rFont val="Calibri"/>
        <family val="2"/>
        <scheme val="minor"/>
      </rPr>
      <t>[D]</t>
    </r>
  </si>
  <si>
    <r>
      <t xml:space="preserve">Each Share for bike  </t>
    </r>
    <r>
      <rPr>
        <b/>
        <sz val="11"/>
        <color theme="1"/>
        <rFont val="Calibri"/>
        <family val="2"/>
        <scheme val="minor"/>
      </rPr>
      <t>[C]</t>
    </r>
  </si>
  <si>
    <r>
      <t xml:space="preserve">Nassar's old Share Balance to Hassan </t>
    </r>
    <r>
      <rPr>
        <b/>
        <sz val="11"/>
        <color theme="1"/>
        <rFont val="Calibri"/>
        <family val="2"/>
        <scheme val="minor"/>
      </rPr>
      <t>[E]</t>
    </r>
  </si>
  <si>
    <t>Received</t>
  </si>
  <si>
    <r>
      <t xml:space="preserve">Total for Hassan </t>
    </r>
    <r>
      <rPr>
        <b/>
        <sz val="11"/>
        <color theme="1"/>
        <rFont val="Calibri"/>
        <family val="2"/>
        <scheme val="minor"/>
      </rPr>
      <t>[A + B +E] -[C]</t>
    </r>
  </si>
  <si>
    <r>
      <t xml:space="preserve">Total for Ansari </t>
    </r>
    <r>
      <rPr>
        <b/>
        <sz val="11"/>
        <color theme="1"/>
        <rFont val="Calibri"/>
        <family val="2"/>
        <scheme val="minor"/>
      </rPr>
      <t>[D - C]</t>
    </r>
  </si>
  <si>
    <t>INV-724</t>
  </si>
  <si>
    <t>INV-725</t>
  </si>
  <si>
    <t>INV-726</t>
  </si>
  <si>
    <t>INV-727</t>
  </si>
  <si>
    <t>INV-728</t>
  </si>
  <si>
    <t>INV-729</t>
  </si>
  <si>
    <t>INV-730</t>
  </si>
  <si>
    <t>INV-731</t>
  </si>
  <si>
    <t>INV-732</t>
  </si>
  <si>
    <t>INV-733</t>
  </si>
  <si>
    <t>INV-734</t>
  </si>
  <si>
    <t>INV-735</t>
  </si>
  <si>
    <t>INV-736</t>
  </si>
  <si>
    <t>Stickers</t>
  </si>
  <si>
    <t>Pouches</t>
  </si>
  <si>
    <t>Electrician wage</t>
  </si>
  <si>
    <t>Hardwares</t>
  </si>
  <si>
    <t>INV-737</t>
  </si>
  <si>
    <t>INV-738</t>
  </si>
  <si>
    <t>INV-739</t>
  </si>
  <si>
    <t>INV-740</t>
  </si>
  <si>
    <t>INV-741</t>
  </si>
  <si>
    <t>INV-742</t>
  </si>
  <si>
    <t>sandwich shop</t>
  </si>
  <si>
    <t>INV-743</t>
  </si>
  <si>
    <t>INV-744</t>
  </si>
  <si>
    <t>INV-745</t>
  </si>
  <si>
    <t>INV-746</t>
  </si>
  <si>
    <t>INV-747</t>
  </si>
  <si>
    <t>INV-748</t>
  </si>
  <si>
    <t>INV-749</t>
  </si>
  <si>
    <t>habeeb</t>
  </si>
  <si>
    <t>INV-750</t>
  </si>
  <si>
    <t>INV-751</t>
  </si>
  <si>
    <t>INV-752</t>
  </si>
  <si>
    <t>INV-753</t>
  </si>
  <si>
    <t>INV-754</t>
  </si>
  <si>
    <t>INV-755</t>
  </si>
  <si>
    <t>INV-756</t>
  </si>
  <si>
    <t>INV-757</t>
  </si>
  <si>
    <t>INV-758</t>
  </si>
  <si>
    <t>INV-759</t>
  </si>
  <si>
    <t>INV-760</t>
  </si>
  <si>
    <t>INV-761</t>
  </si>
  <si>
    <t>INV-762</t>
  </si>
  <si>
    <t>INV-763</t>
  </si>
  <si>
    <t>INV-764</t>
  </si>
  <si>
    <t>INV-765</t>
  </si>
  <si>
    <t>INV-766</t>
  </si>
  <si>
    <t>ansari</t>
  </si>
  <si>
    <t>cash</t>
  </si>
  <si>
    <t>CHENNAI TAWA BEEF</t>
  </si>
  <si>
    <t>Chennai Tawa Beef</t>
  </si>
  <si>
    <t>INV-767</t>
  </si>
  <si>
    <t>INV-768</t>
  </si>
  <si>
    <t>INV-769</t>
  </si>
  <si>
    <t>Riyas Bandari</t>
  </si>
  <si>
    <t>INV-770</t>
  </si>
  <si>
    <t>INV-771</t>
  </si>
  <si>
    <t>INV-772</t>
  </si>
  <si>
    <t>INV-773</t>
  </si>
  <si>
    <t>INV-774</t>
  </si>
  <si>
    <t>INV-775</t>
  </si>
  <si>
    <t>INV-776</t>
  </si>
  <si>
    <t>INV-777</t>
  </si>
  <si>
    <t>INV-778</t>
  </si>
  <si>
    <t>Bilal Cook</t>
  </si>
  <si>
    <t>Hotel Anas</t>
  </si>
  <si>
    <t>HOTEL ANAS</t>
  </si>
  <si>
    <t>INV-779</t>
  </si>
  <si>
    <t>Diwali Bonus</t>
  </si>
  <si>
    <t>INV-780</t>
  </si>
  <si>
    <t>INV-781</t>
  </si>
  <si>
    <t>INV-782</t>
  </si>
  <si>
    <t>INV-783</t>
  </si>
  <si>
    <t>INV-784</t>
  </si>
  <si>
    <t>INV-785</t>
  </si>
  <si>
    <t>INV-786</t>
  </si>
  <si>
    <t>INV-787</t>
  </si>
  <si>
    <t>INV-788</t>
  </si>
  <si>
    <t>INV-789</t>
  </si>
  <si>
    <t>INV-790</t>
  </si>
  <si>
    <t>INV-791</t>
  </si>
  <si>
    <t>INV-792</t>
  </si>
  <si>
    <t>INV-793</t>
  </si>
  <si>
    <t>INV-794</t>
  </si>
  <si>
    <t>INV-795</t>
  </si>
  <si>
    <t>INV-796</t>
  </si>
  <si>
    <t>INV-797</t>
  </si>
  <si>
    <t>INV-798</t>
  </si>
  <si>
    <t>INV-799</t>
  </si>
  <si>
    <t>INV-800</t>
  </si>
  <si>
    <t>INV-801</t>
  </si>
  <si>
    <t>INV-802</t>
  </si>
  <si>
    <t>INV-803</t>
  </si>
  <si>
    <t>INV-804</t>
  </si>
  <si>
    <t>INV-805</t>
  </si>
  <si>
    <t>INV-806</t>
  </si>
  <si>
    <t>INV-807</t>
  </si>
  <si>
    <t>INV-808</t>
  </si>
  <si>
    <t>INV-809</t>
  </si>
  <si>
    <t>INV-810</t>
  </si>
  <si>
    <t>INV-811</t>
  </si>
  <si>
    <t>INV-812</t>
  </si>
  <si>
    <t>INV-813</t>
  </si>
  <si>
    <t>INV-814</t>
  </si>
  <si>
    <t>INV-815</t>
  </si>
  <si>
    <t>INV-816</t>
  </si>
  <si>
    <t>INV-817</t>
  </si>
  <si>
    <t>INV-818</t>
  </si>
  <si>
    <t>INV-819</t>
  </si>
  <si>
    <t>INV-820</t>
  </si>
  <si>
    <t>INV-821</t>
  </si>
  <si>
    <t>INV-822</t>
  </si>
  <si>
    <t>INV-823</t>
  </si>
  <si>
    <t>INV-824</t>
  </si>
  <si>
    <t>INV-825</t>
  </si>
  <si>
    <t>INV-826</t>
  </si>
  <si>
    <t>INV-827</t>
  </si>
  <si>
    <t>INV-828</t>
  </si>
  <si>
    <t>INV-829</t>
  </si>
  <si>
    <t>INV-830</t>
  </si>
  <si>
    <t>INV-831</t>
  </si>
  <si>
    <t>INV-832</t>
  </si>
  <si>
    <t>INV-833</t>
  </si>
  <si>
    <t>INV-834</t>
  </si>
  <si>
    <t>INV-835</t>
  </si>
  <si>
    <t>INV-836</t>
  </si>
  <si>
    <t>INV-837</t>
  </si>
  <si>
    <t>INV-838</t>
  </si>
  <si>
    <t>INV-839</t>
  </si>
  <si>
    <t>INV-840</t>
  </si>
  <si>
    <t>INV-841</t>
  </si>
  <si>
    <t>INV-842</t>
  </si>
  <si>
    <t>INV-843</t>
  </si>
  <si>
    <t>INV-844</t>
  </si>
  <si>
    <t>INV-845</t>
  </si>
  <si>
    <t>INV-846</t>
  </si>
  <si>
    <t>INV-847</t>
  </si>
  <si>
    <t>INV-848</t>
  </si>
  <si>
    <t>INV-849</t>
  </si>
  <si>
    <t>INV-850</t>
  </si>
  <si>
    <t>INV-851</t>
  </si>
  <si>
    <t>INV-852</t>
  </si>
  <si>
    <t>INV-853</t>
  </si>
  <si>
    <t>INV-854</t>
  </si>
  <si>
    <t>INV-855</t>
  </si>
  <si>
    <t>INV-856</t>
  </si>
  <si>
    <t>INV-857</t>
  </si>
  <si>
    <t>INV-858</t>
  </si>
  <si>
    <t>LE ROYAL MANDI</t>
  </si>
  <si>
    <t>HOTEL LEBBAI</t>
  </si>
  <si>
    <t>Sahabudeen</t>
  </si>
  <si>
    <t>INV-859</t>
  </si>
  <si>
    <t>INV-860</t>
  </si>
  <si>
    <t>INV-861</t>
  </si>
  <si>
    <t>INV-862</t>
  </si>
  <si>
    <t>INV-863</t>
  </si>
  <si>
    <t>INV-864</t>
  </si>
  <si>
    <t>INV-865</t>
  </si>
  <si>
    <t>INV-866</t>
  </si>
  <si>
    <t>INV-867</t>
  </si>
  <si>
    <t>INV-868</t>
  </si>
  <si>
    <t>INV-869</t>
  </si>
  <si>
    <t>RILWAN CATERING</t>
  </si>
  <si>
    <t>INV-870</t>
  </si>
  <si>
    <t>INV-871</t>
  </si>
  <si>
    <t>INV-872</t>
  </si>
  <si>
    <t>INV-873</t>
  </si>
  <si>
    <t>INV-874</t>
  </si>
  <si>
    <t>INV-875</t>
  </si>
  <si>
    <t>INV-876</t>
  </si>
  <si>
    <t>INV-877</t>
  </si>
  <si>
    <t>INV-878</t>
  </si>
  <si>
    <t>INV-879</t>
  </si>
  <si>
    <t>INV-880</t>
  </si>
  <si>
    <t>INV-881</t>
  </si>
  <si>
    <t>INV-882</t>
  </si>
  <si>
    <t>Customer deposit refund</t>
  </si>
  <si>
    <t>INV-883</t>
  </si>
  <si>
    <t>INV-884</t>
  </si>
  <si>
    <t>INV-885</t>
  </si>
  <si>
    <t>INV-886</t>
  </si>
  <si>
    <t>INV-887</t>
  </si>
  <si>
    <t>INV-888</t>
  </si>
  <si>
    <t>INV-889</t>
  </si>
  <si>
    <t>INV-890</t>
  </si>
  <si>
    <t>INV-891</t>
  </si>
  <si>
    <t>INV-892</t>
  </si>
  <si>
    <t>INV-893</t>
  </si>
  <si>
    <t>INV-894</t>
  </si>
  <si>
    <t>INV-895</t>
  </si>
  <si>
    <t>INV-896</t>
  </si>
  <si>
    <t>INV-897</t>
  </si>
  <si>
    <t>INV-898</t>
  </si>
  <si>
    <t>INV-899</t>
  </si>
  <si>
    <t>INV-900</t>
  </si>
  <si>
    <t>INV-901</t>
  </si>
  <si>
    <t>INV-902</t>
  </si>
  <si>
    <t>INV-903</t>
  </si>
  <si>
    <t>INV-904</t>
  </si>
  <si>
    <t>INV-905</t>
  </si>
  <si>
    <t>INV-906</t>
  </si>
  <si>
    <t>INV-907</t>
  </si>
  <si>
    <t>INV-908</t>
  </si>
  <si>
    <t>INV-909</t>
  </si>
  <si>
    <t>INV-910</t>
  </si>
  <si>
    <t>INV-911</t>
  </si>
  <si>
    <t>INV-912</t>
  </si>
  <si>
    <t>INV-913</t>
  </si>
  <si>
    <t>INV-914</t>
  </si>
  <si>
    <t>INV-915</t>
  </si>
  <si>
    <t>INV-916</t>
  </si>
  <si>
    <t>INV-917</t>
  </si>
  <si>
    <t>INV-918</t>
  </si>
  <si>
    <t>INV-919</t>
  </si>
  <si>
    <t>INV-920</t>
  </si>
  <si>
    <t>INV-921</t>
  </si>
  <si>
    <t>INV-922</t>
  </si>
  <si>
    <t>nasar</t>
  </si>
  <si>
    <t>Machinary Maintenance</t>
  </si>
  <si>
    <t>Ashiq Salary</t>
  </si>
  <si>
    <t xml:space="preserve">Customers </t>
  </si>
  <si>
    <t>S.No</t>
  </si>
  <si>
    <t>ANSARI</t>
  </si>
  <si>
    <t>HASSAN</t>
  </si>
  <si>
    <t>NASAR</t>
  </si>
  <si>
    <t>MARKET SHOP</t>
  </si>
  <si>
    <t>RILUWAN(NAGORE)</t>
  </si>
  <si>
    <t>CASH</t>
  </si>
  <si>
    <t>FAISAL(NAGAI)</t>
  </si>
  <si>
    <t>BARAK VEGETABLES</t>
  </si>
  <si>
    <t>HALIDH COOK</t>
  </si>
  <si>
    <t>KARTHI</t>
  </si>
  <si>
    <t>MASTHAN ALIYUR</t>
  </si>
  <si>
    <t>HOTEL NOORDEEN</t>
  </si>
  <si>
    <t>MANSOOR</t>
  </si>
  <si>
    <t>OTHERS</t>
  </si>
  <si>
    <t>MARAIKAR SHOP</t>
  </si>
  <si>
    <t>RR MINI MART</t>
  </si>
  <si>
    <t>ANDREW COOK</t>
  </si>
  <si>
    <t>BURHAAN</t>
  </si>
  <si>
    <t>INV-923</t>
  </si>
  <si>
    <t>INV-924</t>
  </si>
  <si>
    <t>INV-925</t>
  </si>
  <si>
    <t>INV-926</t>
  </si>
  <si>
    <t>INV-927</t>
  </si>
  <si>
    <t>INV-928</t>
  </si>
  <si>
    <t>INV-929</t>
  </si>
  <si>
    <t>INV-930</t>
  </si>
  <si>
    <t>INV-931</t>
  </si>
  <si>
    <t>INV-932</t>
  </si>
  <si>
    <t>INV-933</t>
  </si>
  <si>
    <t>INV-934</t>
  </si>
  <si>
    <t>INV-935</t>
  </si>
  <si>
    <t>INV-936</t>
  </si>
  <si>
    <t>INV-937</t>
  </si>
  <si>
    <t>INV-938</t>
  </si>
  <si>
    <t>INV-939</t>
  </si>
  <si>
    <t>INV-940</t>
  </si>
  <si>
    <t>INV-941</t>
  </si>
  <si>
    <t>INV-942</t>
  </si>
  <si>
    <t>INV-943</t>
  </si>
  <si>
    <t>INV-944</t>
  </si>
  <si>
    <t>INV-945</t>
  </si>
  <si>
    <t>INV-946</t>
  </si>
  <si>
    <t>INV-947</t>
  </si>
  <si>
    <t>INV-948</t>
  </si>
  <si>
    <t>INV-949</t>
  </si>
  <si>
    <t>INV-950</t>
  </si>
  <si>
    <t>INV-951</t>
  </si>
  <si>
    <t>INV-952</t>
  </si>
  <si>
    <t>INV-953</t>
  </si>
  <si>
    <t>INV-954</t>
  </si>
  <si>
    <t>INV-955</t>
  </si>
  <si>
    <t>INV-956</t>
  </si>
  <si>
    <t>INV-957</t>
  </si>
  <si>
    <t>INV-958</t>
  </si>
  <si>
    <t>INV-959</t>
  </si>
  <si>
    <t>INV-960</t>
  </si>
  <si>
    <t>INV-961</t>
  </si>
  <si>
    <t>INV-962</t>
  </si>
  <si>
    <t>INV-963</t>
  </si>
  <si>
    <t>INV-964</t>
  </si>
  <si>
    <t>INV-965</t>
  </si>
  <si>
    <t>INV-966</t>
  </si>
  <si>
    <t>INV-967</t>
  </si>
  <si>
    <t>INV-968</t>
  </si>
  <si>
    <t>SAMSU BANDARI</t>
  </si>
  <si>
    <t>INV-969</t>
  </si>
  <si>
    <t>INV-970</t>
  </si>
  <si>
    <t>INV-971</t>
  </si>
  <si>
    <t>INV-972</t>
  </si>
  <si>
    <t>INV-973</t>
  </si>
  <si>
    <t>INV-974</t>
  </si>
  <si>
    <t>INV-975</t>
  </si>
  <si>
    <t>INV-976</t>
  </si>
  <si>
    <t>INV-977</t>
  </si>
  <si>
    <t>INV-978</t>
  </si>
  <si>
    <t>INV-979</t>
  </si>
  <si>
    <t>INV-980</t>
  </si>
  <si>
    <t>INV-981</t>
  </si>
  <si>
    <t>INV-982</t>
  </si>
  <si>
    <t>INV-983</t>
  </si>
  <si>
    <t>INV-984</t>
  </si>
  <si>
    <t>INV-985</t>
  </si>
  <si>
    <t>INV-986</t>
  </si>
  <si>
    <t>INV-987</t>
  </si>
  <si>
    <t>INV-988</t>
  </si>
  <si>
    <t>INV-989</t>
  </si>
  <si>
    <t>INV-990</t>
  </si>
  <si>
    <t>INV-991</t>
  </si>
  <si>
    <t>INV-992</t>
  </si>
  <si>
    <t>INV-993</t>
  </si>
  <si>
    <t>INV-994</t>
  </si>
  <si>
    <t>INV-995</t>
  </si>
  <si>
    <t>INV-996</t>
  </si>
  <si>
    <t>INV-997</t>
  </si>
  <si>
    <t>INV-998</t>
  </si>
  <si>
    <t>INV-999</t>
  </si>
  <si>
    <t>INV-1000</t>
  </si>
  <si>
    <t>INV-1001</t>
  </si>
  <si>
    <t>INV-1002</t>
  </si>
  <si>
    <t>INV-1003</t>
  </si>
  <si>
    <t>INV-1004</t>
  </si>
  <si>
    <t>RR mini mart</t>
  </si>
  <si>
    <t>sales</t>
  </si>
  <si>
    <t>Sandwich shop</t>
  </si>
  <si>
    <t>INV-1005</t>
  </si>
  <si>
    <t>INV-1006</t>
  </si>
  <si>
    <t>INV-1007</t>
  </si>
  <si>
    <t>INV-1008</t>
  </si>
  <si>
    <t>INV-1009</t>
  </si>
  <si>
    <t>INV-1010</t>
  </si>
  <si>
    <t>INV-1011</t>
  </si>
  <si>
    <t>INV-1012</t>
  </si>
  <si>
    <t>INV-1013</t>
  </si>
  <si>
    <t>INV-1014</t>
  </si>
  <si>
    <t>INV-1015</t>
  </si>
  <si>
    <t>INV-1016</t>
  </si>
  <si>
    <t>INV-1017</t>
  </si>
  <si>
    <t>INV-1018</t>
  </si>
  <si>
    <t>INV-1019</t>
  </si>
  <si>
    <t>INV-1020</t>
  </si>
  <si>
    <t>INV-1021</t>
  </si>
  <si>
    <t>INV-1022</t>
  </si>
  <si>
    <t>INV-1023</t>
  </si>
  <si>
    <t>INV-1024</t>
  </si>
  <si>
    <t>INV-1025</t>
  </si>
  <si>
    <t>INV-1026</t>
  </si>
  <si>
    <t>INV-1027</t>
  </si>
  <si>
    <t>INV-1028</t>
  </si>
  <si>
    <t>INV-1029</t>
  </si>
  <si>
    <t>INV-1030</t>
  </si>
  <si>
    <t>Yousuf Bandari</t>
  </si>
  <si>
    <t>INV-1031</t>
  </si>
  <si>
    <t>INV-1032</t>
  </si>
  <si>
    <t>INV-1033</t>
  </si>
  <si>
    <t>INV-1034</t>
  </si>
  <si>
    <t>INV-1035</t>
  </si>
  <si>
    <t>INV-1036</t>
  </si>
  <si>
    <t>INV-1037</t>
  </si>
  <si>
    <t>INV-1038</t>
  </si>
  <si>
    <t>INV-1039</t>
  </si>
  <si>
    <t>INV-1040</t>
  </si>
  <si>
    <t>INV-1041</t>
  </si>
  <si>
    <t>INV-1042</t>
  </si>
  <si>
    <t>INV-1043</t>
  </si>
  <si>
    <t>INV-1044</t>
  </si>
  <si>
    <t>INV-1045</t>
  </si>
  <si>
    <t>INV-1046</t>
  </si>
  <si>
    <t>INV-1047</t>
  </si>
  <si>
    <t>INV-1048</t>
  </si>
  <si>
    <t>INV-1049</t>
  </si>
  <si>
    <t>INV-1050</t>
  </si>
  <si>
    <t>INV-1051</t>
  </si>
  <si>
    <t>INV-1052</t>
  </si>
  <si>
    <t>INV-1053</t>
  </si>
  <si>
    <t>INV-1054</t>
  </si>
  <si>
    <t>INV-1055</t>
  </si>
  <si>
    <t>INV-1056</t>
  </si>
  <si>
    <t>INV-1057</t>
  </si>
  <si>
    <t>INV-1058</t>
  </si>
  <si>
    <t>INV-1059</t>
  </si>
  <si>
    <t>INV-1060</t>
  </si>
  <si>
    <t>YA Salaam</t>
  </si>
  <si>
    <t>INV-1061</t>
  </si>
  <si>
    <t>INV-1062</t>
  </si>
  <si>
    <t>INV-1063</t>
  </si>
  <si>
    <t>INV-1064</t>
  </si>
  <si>
    <t>INV-1065</t>
  </si>
  <si>
    <t>INV-1066</t>
  </si>
  <si>
    <t>INV-1067</t>
  </si>
  <si>
    <t>INV-1068</t>
  </si>
  <si>
    <t>INV-1069</t>
  </si>
  <si>
    <t>INV-1070</t>
  </si>
  <si>
    <t>INV-1071</t>
  </si>
  <si>
    <t>INV-1072</t>
  </si>
  <si>
    <t>INV-1073</t>
  </si>
  <si>
    <t>INV-1074</t>
  </si>
  <si>
    <t>INV-1075</t>
  </si>
  <si>
    <t>INV-1076</t>
  </si>
  <si>
    <t>INV-1077</t>
  </si>
  <si>
    <t>INV-1078</t>
  </si>
  <si>
    <t>INV-1079</t>
  </si>
  <si>
    <t>INV-1080</t>
  </si>
  <si>
    <t>INV-1081</t>
  </si>
  <si>
    <t>INV-1082</t>
  </si>
  <si>
    <t>INV-1083</t>
  </si>
  <si>
    <t>For Sealer &amp; Weighing scale</t>
  </si>
  <si>
    <t>INV-1084</t>
  </si>
  <si>
    <t>INV-1085</t>
  </si>
  <si>
    <t>INV-1086</t>
  </si>
  <si>
    <t>INV-1087</t>
  </si>
  <si>
    <t>INV-1088</t>
  </si>
  <si>
    <t>INV-1089</t>
  </si>
  <si>
    <t>INV-1090</t>
  </si>
  <si>
    <t>INV-1091</t>
  </si>
  <si>
    <t>INV-1092</t>
  </si>
  <si>
    <t>INV-1093</t>
  </si>
  <si>
    <t>INV-1094</t>
  </si>
  <si>
    <t>INV-1095</t>
  </si>
  <si>
    <t>INV-1096</t>
  </si>
  <si>
    <t>INV-1097</t>
  </si>
  <si>
    <t>INV-1098</t>
  </si>
  <si>
    <t>INV-1099</t>
  </si>
  <si>
    <t>INV-1100</t>
  </si>
  <si>
    <t>INV-1101</t>
  </si>
  <si>
    <t>INV-1102</t>
  </si>
  <si>
    <t>INV-1103</t>
  </si>
  <si>
    <t>INV-1104</t>
  </si>
  <si>
    <t>INV-1105</t>
  </si>
  <si>
    <t>INV-1106</t>
  </si>
  <si>
    <t>INV-1107</t>
  </si>
  <si>
    <t>NOORDIN FOOD COURT</t>
  </si>
  <si>
    <t>INV-1108</t>
  </si>
  <si>
    <t>INV-1109</t>
  </si>
  <si>
    <t>INV-1110</t>
  </si>
  <si>
    <t>INV-1111</t>
  </si>
  <si>
    <t>INV-1112</t>
  </si>
  <si>
    <t>INV-1113</t>
  </si>
  <si>
    <t>INV-1114</t>
  </si>
  <si>
    <t>INV-1115</t>
  </si>
  <si>
    <t>INV-1116</t>
  </si>
  <si>
    <t>INV-1117</t>
  </si>
  <si>
    <t>INV-1118</t>
  </si>
  <si>
    <t>INV-1119</t>
  </si>
  <si>
    <t>INV-1120</t>
  </si>
  <si>
    <t>INV-1121</t>
  </si>
  <si>
    <t>INV-1122</t>
  </si>
  <si>
    <t>INV-1123</t>
  </si>
  <si>
    <t>INV-1124</t>
  </si>
  <si>
    <t>INV-1125</t>
  </si>
  <si>
    <t>INV-1126</t>
  </si>
  <si>
    <t>INV-1127</t>
  </si>
  <si>
    <t>INV-1128</t>
  </si>
  <si>
    <t>INV-1129</t>
  </si>
  <si>
    <t>INV-1130</t>
  </si>
  <si>
    <t>INV-1131</t>
  </si>
  <si>
    <t>INV-1132</t>
  </si>
  <si>
    <t>INV-1133</t>
  </si>
  <si>
    <t>INV-1134</t>
  </si>
  <si>
    <t>INV-1135</t>
  </si>
  <si>
    <t>INV-1136</t>
  </si>
  <si>
    <t>INV-1137</t>
  </si>
  <si>
    <t>INV-1138</t>
  </si>
  <si>
    <t>INV-1139</t>
  </si>
  <si>
    <t>INV-1140</t>
  </si>
  <si>
    <t>INV-1141</t>
  </si>
  <si>
    <t>INV-1142</t>
  </si>
  <si>
    <t>INV-1143</t>
  </si>
  <si>
    <t>INV-1144</t>
  </si>
  <si>
    <t>INV-1145</t>
  </si>
  <si>
    <t>INV-1146</t>
  </si>
  <si>
    <t>INV-1147</t>
  </si>
  <si>
    <t>INV-1148</t>
  </si>
  <si>
    <t>INV-1149</t>
  </si>
  <si>
    <t>INV-1150</t>
  </si>
  <si>
    <t>INV-1151</t>
  </si>
  <si>
    <t>INV-1152</t>
  </si>
  <si>
    <t>INV-1153</t>
  </si>
  <si>
    <t>INV-1154</t>
  </si>
  <si>
    <t>INV-1155</t>
  </si>
  <si>
    <t>INV-1156</t>
  </si>
  <si>
    <t>INV-1157</t>
  </si>
  <si>
    <t>INV-1158</t>
  </si>
  <si>
    <t>INV-1159</t>
  </si>
  <si>
    <t>INV-1160</t>
  </si>
  <si>
    <t>INV-1161</t>
  </si>
  <si>
    <t>INV-1162</t>
  </si>
  <si>
    <t>INV-1163</t>
  </si>
  <si>
    <t>INV-1164</t>
  </si>
  <si>
    <t>Badhru Idli Kadai</t>
  </si>
  <si>
    <t>November Sales - Customer wise</t>
  </si>
  <si>
    <t>INV-1165</t>
  </si>
  <si>
    <t>INV-1166</t>
  </si>
  <si>
    <t>INV-1167</t>
  </si>
  <si>
    <t>INV-1168</t>
  </si>
  <si>
    <t>INV-1169</t>
  </si>
  <si>
    <t>INV-1170</t>
  </si>
  <si>
    <t>INV-1171</t>
  </si>
  <si>
    <t>INV-1172</t>
  </si>
  <si>
    <t>INV-1173</t>
  </si>
  <si>
    <t>INV-1174</t>
  </si>
  <si>
    <t>INV-1175</t>
  </si>
  <si>
    <t>Bike Repair</t>
  </si>
  <si>
    <t>INV-1176</t>
  </si>
  <si>
    <t>INV-1177</t>
  </si>
  <si>
    <t>INV-1178</t>
  </si>
  <si>
    <t>INV-1179</t>
  </si>
  <si>
    <t>INV-1180</t>
  </si>
  <si>
    <t>INV-1181</t>
  </si>
  <si>
    <t>INV-1182</t>
  </si>
  <si>
    <t>INV-1183</t>
  </si>
  <si>
    <t>INV-1184</t>
  </si>
  <si>
    <t>INV-1185</t>
  </si>
  <si>
    <t>INV-1186</t>
  </si>
  <si>
    <t>INV-1187</t>
  </si>
  <si>
    <t>INV-1188</t>
  </si>
  <si>
    <t>INV-1189</t>
  </si>
  <si>
    <t>INV-1190</t>
  </si>
  <si>
    <t>INV-1191</t>
  </si>
  <si>
    <t>INV-1192</t>
  </si>
  <si>
    <t>INV-1193</t>
  </si>
  <si>
    <t>INV-1194</t>
  </si>
  <si>
    <t>INV-1195</t>
  </si>
  <si>
    <t>INV-1196</t>
  </si>
  <si>
    <t>INV-1197</t>
  </si>
  <si>
    <t>INV-1198</t>
  </si>
  <si>
    <t>INV-1199</t>
  </si>
  <si>
    <t>INV-1200</t>
  </si>
  <si>
    <t>INV-1201</t>
  </si>
  <si>
    <t>INV-1202</t>
  </si>
  <si>
    <t>INV-1203</t>
  </si>
  <si>
    <t>INV-1204</t>
  </si>
  <si>
    <t>INV-1205</t>
  </si>
  <si>
    <t>INV-1206</t>
  </si>
  <si>
    <t>INV-1207</t>
  </si>
  <si>
    <t>INV-1208</t>
  </si>
  <si>
    <t>INV-1209</t>
  </si>
  <si>
    <t>INV-1210</t>
  </si>
  <si>
    <t>INV-1211</t>
  </si>
  <si>
    <t>INV-1212</t>
  </si>
  <si>
    <t>INV-1213</t>
  </si>
  <si>
    <t>October Net Revenue</t>
  </si>
  <si>
    <t>November Net Revenue</t>
  </si>
  <si>
    <t>Nasar 50%</t>
  </si>
  <si>
    <t>Hassan 25%</t>
  </si>
  <si>
    <t>Ansari 25%</t>
  </si>
  <si>
    <t>October Share Distribution</t>
  </si>
  <si>
    <t>Saranya Salary advance</t>
  </si>
  <si>
    <t>INV-1214</t>
  </si>
  <si>
    <t>INV-1215</t>
  </si>
  <si>
    <t>INV-1216</t>
  </si>
  <si>
    <t>INV-1217</t>
  </si>
  <si>
    <t>INV-1218</t>
  </si>
  <si>
    <t>INV-1219</t>
  </si>
  <si>
    <t>INV-1220</t>
  </si>
  <si>
    <t>INV-1221</t>
  </si>
  <si>
    <t>INV-1222</t>
  </si>
  <si>
    <t>INV-1223</t>
  </si>
  <si>
    <t>INV-1224</t>
  </si>
  <si>
    <t>INV-1225</t>
  </si>
  <si>
    <t>INV-1226</t>
  </si>
  <si>
    <t>INV-1227</t>
  </si>
  <si>
    <t>INV-1228</t>
  </si>
  <si>
    <t>INV-1229</t>
  </si>
  <si>
    <t>INV-1230</t>
  </si>
  <si>
    <t>INV-1231</t>
  </si>
  <si>
    <t>INV-1232</t>
  </si>
  <si>
    <t>INV-1233</t>
  </si>
  <si>
    <t>INV-1234</t>
  </si>
  <si>
    <t>INV-1235</t>
  </si>
  <si>
    <t>INV-1236</t>
  </si>
  <si>
    <t>INV-1237</t>
  </si>
  <si>
    <t>INV-1238</t>
  </si>
  <si>
    <t>INV-1239</t>
  </si>
  <si>
    <t>INV-1240</t>
  </si>
  <si>
    <t>INV-1241</t>
  </si>
  <si>
    <t>INV-1242</t>
  </si>
  <si>
    <t>INV-1243</t>
  </si>
  <si>
    <t>INV-1244</t>
  </si>
  <si>
    <t>INV-1245</t>
  </si>
  <si>
    <t>INV-1246</t>
  </si>
  <si>
    <t>INV-1247</t>
  </si>
  <si>
    <t>INV-1248</t>
  </si>
  <si>
    <t>INV-1249</t>
  </si>
  <si>
    <t>INV-1250</t>
  </si>
  <si>
    <t>INV-1251</t>
  </si>
  <si>
    <t>INV-1252</t>
  </si>
  <si>
    <t>INV-1253</t>
  </si>
  <si>
    <t>INV-1254</t>
  </si>
  <si>
    <t>INV-1255</t>
  </si>
  <si>
    <t>INV-1256</t>
  </si>
  <si>
    <t>INV-1257</t>
  </si>
  <si>
    <t>INV-1258</t>
  </si>
  <si>
    <t>Chennai Trip - Thoppi wappa</t>
  </si>
  <si>
    <t>INV-1259</t>
  </si>
  <si>
    <t>INV-1260</t>
  </si>
  <si>
    <t>INV-1261</t>
  </si>
  <si>
    <t>INV-1262</t>
  </si>
  <si>
    <t>INV-1263</t>
  </si>
  <si>
    <t>INV-1264</t>
  </si>
  <si>
    <t>INV-1265</t>
  </si>
  <si>
    <t>INV-1266</t>
  </si>
  <si>
    <t>INV-1267</t>
  </si>
  <si>
    <t>INV-1268</t>
  </si>
  <si>
    <t>INV-1269</t>
  </si>
  <si>
    <t>INV-1270</t>
  </si>
  <si>
    <t>INV-1271</t>
  </si>
  <si>
    <t>INV-1272</t>
  </si>
  <si>
    <t>INV-1273</t>
  </si>
  <si>
    <t>INV-1274</t>
  </si>
  <si>
    <t>INV-1275</t>
  </si>
  <si>
    <t>INV-1276</t>
  </si>
  <si>
    <t>INV-1277</t>
  </si>
  <si>
    <t>INV-1278</t>
  </si>
  <si>
    <t>INV-1279</t>
  </si>
  <si>
    <t>INV-1280</t>
  </si>
  <si>
    <t>DIAMOND LODGE</t>
  </si>
  <si>
    <t>INV-1281</t>
  </si>
  <si>
    <t>INV-1282</t>
  </si>
  <si>
    <t>INV-1283</t>
  </si>
  <si>
    <t>INV-1284</t>
  </si>
  <si>
    <t>INV-1285</t>
  </si>
  <si>
    <t>INV-1286</t>
  </si>
  <si>
    <t>INV-1287</t>
  </si>
  <si>
    <t>INV-1288</t>
  </si>
  <si>
    <t>INV-1289</t>
  </si>
  <si>
    <t>INV-1290</t>
  </si>
  <si>
    <t>INV-1291</t>
  </si>
  <si>
    <t>INV-1292</t>
  </si>
  <si>
    <t>INV-1293</t>
  </si>
  <si>
    <t>INV-1294</t>
  </si>
  <si>
    <t>INV-1295</t>
  </si>
  <si>
    <t>INV-1296</t>
  </si>
  <si>
    <t>INV-1297</t>
  </si>
  <si>
    <t>INV-1298</t>
  </si>
  <si>
    <t>INV-1299</t>
  </si>
  <si>
    <t>INV-1300</t>
  </si>
  <si>
    <t>INV-1301</t>
  </si>
  <si>
    <t>INV-1302</t>
  </si>
  <si>
    <t>INV-1303</t>
  </si>
  <si>
    <t>INV-1304</t>
  </si>
  <si>
    <t>INV-1305</t>
  </si>
  <si>
    <t>INV-1306</t>
  </si>
  <si>
    <t>INV-1307</t>
  </si>
  <si>
    <t>INV-1308</t>
  </si>
  <si>
    <t>SADAM BANDARI</t>
  </si>
  <si>
    <t>INV-1309</t>
  </si>
  <si>
    <t>INV-1310</t>
  </si>
  <si>
    <t>INV-1311</t>
  </si>
  <si>
    <t>INV-1312</t>
  </si>
  <si>
    <t>INV-1313</t>
  </si>
  <si>
    <t>INV-1314</t>
  </si>
  <si>
    <t>INV-1315</t>
  </si>
  <si>
    <t>INV-1316</t>
  </si>
  <si>
    <t>INV-1317</t>
  </si>
  <si>
    <t>INV-1318</t>
  </si>
  <si>
    <t>INV-1319</t>
  </si>
  <si>
    <t>INV-1320</t>
  </si>
  <si>
    <t>INV-1321</t>
  </si>
  <si>
    <t>INV-1322</t>
  </si>
  <si>
    <t>INV-1323</t>
  </si>
  <si>
    <t>INV-1324</t>
  </si>
  <si>
    <t>INV-1325</t>
  </si>
  <si>
    <t>INV-1326</t>
  </si>
  <si>
    <t>INV-1327</t>
  </si>
  <si>
    <t>INV-1328</t>
  </si>
  <si>
    <t>INV-1329</t>
  </si>
  <si>
    <t>INV-1330</t>
  </si>
  <si>
    <t>INV-1331</t>
  </si>
  <si>
    <t>INV-1332</t>
  </si>
  <si>
    <t>INV-1333</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</si>
</sst>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8" formatCode="&quot;₹&quot;\ #,##0.00;[Red]&quot;₹&quot;\ \-#,##0.00"/>
    <numFmt numFmtId="44" formatCode="_ &quot;₹&quot;\ * #,##0.00_ ;_ &quot;₹&quot;\ * \-#,##0.00_ ;_ &quot;₹&quot;\ * &quot;-&quot;??_ ;_ @_ "/>
    <numFmt numFmtId="164" formatCode="&quot;₹&quot;\ #,##0.00"/>
    <numFmt numFmtId="165" formatCode="_ [$₹-4009]\ * #,##0.00_ ;_ [$₹-4009]\ * \-#,##0.00_ ;_ [$₹-4009]\ * &quot;-&quot;??_ ;_ @_ "/>
  </numFmts>
  <fonts count="66"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theme="1"/>
      <name val="Arial"/>
      <family val="2"/>
    </font>
    <font>
      <sz val="10"/>
      <color theme="1"/>
      <name val="Arial"/>
      <family val="2"/>
    </font>
    <font>
      <i/>
      <sz val="10"/>
      <color theme="1"/>
      <name val="Arial"/>
      <family val="2"/>
    </font>
    <font>
      <sz val="11"/>
      <color theme="1"/>
      <name val="Calibri"/>
      <family val="2"/>
    </font>
    <font>
      <sz val="10"/>
      <color rgb="FFFF0000"/>
      <name val="Arial"/>
      <family val="2"/>
    </font>
    <font>
      <sz val="10"/>
      <color rgb="FF6AA84F"/>
      <name val="Arial"/>
      <family val="2"/>
    </font>
    <font>
      <sz val="10"/>
      <color rgb="FFFF00FF"/>
      <name val="Arial"/>
      <family val="2"/>
    </font>
    <font>
      <b/>
      <i/>
      <sz val="10"/>
      <color theme="1"/>
      <name val="Arial"/>
      <family val="2"/>
    </font>
    <font>
      <sz val="11"/>
      <color rgb="FFFF0000"/>
      <name val="Calibri"/>
      <family val="2"/>
      <scheme val="minor"/>
    </font>
    <font>
      <sz val="11"/>
      <color rgb="FF00B050"/>
      <name val="Calibri"/>
      <family val="2"/>
      <scheme val="minor"/>
    </font>
    <font>
      <b/>
      <sz val="10"/>
      <color theme="1"/>
      <name val="Arial"/>
      <family val="2"/>
    </font>
    <font>
      <b/>
      <i/>
      <sz val="10"/>
      <color theme="1"/>
      <name val="Arial"/>
      <family val="2"/>
    </font>
    <font>
      <sz val="11"/>
      <name val="Calibri"/>
      <family val="2"/>
      <scheme val="minor"/>
    </font>
    <font>
      <sz val="10"/>
      <color theme="1"/>
      <name val="Arial"/>
      <family val="2"/>
    </font>
    <font>
      <b/>
      <sz val="12"/>
      <color theme="1"/>
      <name val="Arial"/>
      <family val="2"/>
    </font>
    <font>
      <sz val="10"/>
      <color rgb="FFFF00FF"/>
      <name val="Arial"/>
      <family val="2"/>
    </font>
    <font>
      <b/>
      <sz val="11"/>
      <color theme="1"/>
      <name val="Calibri"/>
      <family val="2"/>
      <scheme val="minor"/>
    </font>
    <font>
      <b/>
      <i/>
      <sz val="11"/>
      <color theme="1"/>
      <name val="Calibri"/>
      <family val="2"/>
      <scheme val="minor"/>
    </font>
    <font>
      <sz val="11"/>
      <color rgb="FF006100"/>
      <name val="Calibri"/>
      <family val="2"/>
      <scheme val="minor"/>
    </font>
    <font>
      <sz val="11"/>
      <color rgb="FF9C0006"/>
      <name val="Calibri"/>
      <family val="2"/>
      <scheme val="minor"/>
    </font>
    <font>
      <b/>
      <sz val="14"/>
      <color theme="1"/>
      <name val="Calibri"/>
      <family val="2"/>
      <scheme val="minor"/>
    </font>
    <font>
      <sz val="11"/>
      <color theme="0" tint="-0.34998626667073579"/>
      <name val="Calibri"/>
      <family val="2"/>
      <scheme val="minor"/>
    </font>
    <font>
      <b/>
      <sz val="11"/>
      <color rgb="FF9C0006"/>
      <name val="Calibri"/>
      <family val="2"/>
      <scheme val="minor"/>
    </font>
    <font>
      <b/>
      <sz val="11"/>
      <name val="Calibri"/>
      <family val="2"/>
      <scheme val="minor"/>
    </font>
    <font>
      <sz val="10"/>
      <name val="Arial"/>
      <family val="2"/>
    </font>
    <font>
      <b/>
      <sz val="10"/>
      <color rgb="FFFF0000"/>
      <name val="Arial"/>
      <family val="2"/>
    </font>
    <font>
      <sz val="10"/>
      <color theme="9"/>
      <name val="Arial"/>
      <family val="2"/>
    </font>
    <font>
      <b/>
      <i/>
      <sz val="12"/>
      <color theme="5"/>
      <name val="Calibri"/>
      <family val="2"/>
      <scheme val="minor"/>
    </font>
    <font>
      <b/>
      <i/>
      <sz val="11"/>
      <color rgb="FF009644"/>
      <name val="Calibri"/>
      <family val="2"/>
      <scheme val="minor"/>
    </font>
    <font>
      <b/>
      <i/>
      <sz val="11"/>
      <color rgb="FFFF0000"/>
      <name val="Calibri"/>
      <family val="2"/>
      <scheme val="minor"/>
    </font>
    <font>
      <sz val="11"/>
      <color theme="1"/>
      <name val="Calibri"/>
      <family val="2"/>
      <scheme val="minor"/>
    </font>
    <font>
      <sz val="11"/>
      <color rgb="FF009644"/>
      <name val="Calibri"/>
      <family val="2"/>
      <scheme val="minor"/>
    </font>
    <font>
      <sz val="10"/>
      <color theme="1"/>
      <name val="Calibri"/>
      <family val="2"/>
      <scheme val="minor"/>
    </font>
    <font>
      <b/>
      <sz val="12"/>
      <color theme="1"/>
      <name val="Calibri"/>
      <family val="2"/>
      <scheme val="minor"/>
    </font>
    <font>
      <b/>
      <sz val="12"/>
      <color rgb="FF00B050"/>
      <name val="Calibri"/>
      <family val="2"/>
      <scheme val="minor"/>
    </font>
    <font>
      <sz val="10"/>
      <color theme="1"/>
      <name val="Arial"/>
      <family val="2"/>
    </font>
    <font>
      <sz val="11"/>
      <color theme="1"/>
      <name val="Calibri"/>
      <family val="2"/>
      <scheme val="minor"/>
    </font>
    <font>
      <sz val="10"/>
      <name val="Arial"/>
      <family val="2"/>
    </font>
    <font>
      <sz val="11"/>
      <color theme="1"/>
      <name val="Calibri"/>
      <family val="2"/>
      <scheme val="minor"/>
    </font>
    <font>
      <b/>
      <sz val="10"/>
      <color theme="1"/>
      <name val="Arial"/>
      <family val="2"/>
    </font>
    <font>
      <sz val="10"/>
      <color theme="1"/>
      <name val="Arial"/>
      <family val="2"/>
    </font>
    <font>
      <sz val="10"/>
      <name val="Arial"/>
      <family val="2"/>
    </font>
    <font>
      <b/>
      <sz val="11"/>
      <color theme="1"/>
      <name val="Calibri"/>
      <scheme val="minor"/>
    </font>
    <font>
      <sz val="10"/>
      <color theme="1"/>
      <name val="Arial"/>
    </font>
    <font>
      <sz val="10"/>
      <name val="Arial"/>
    </font>
    <font>
      <b/>
      <i/>
      <sz val="11"/>
      <color theme="1"/>
      <name val="Calibri"/>
      <scheme val="minor"/>
    </font>
    <font>
      <b/>
      <u/>
      <sz val="11"/>
      <color theme="4" tint="-0.249977111117893"/>
      <name val="Calibri"/>
      <family val="2"/>
      <scheme val="minor"/>
    </font>
    <font>
      <b/>
      <sz val="11"/>
      <color theme="4" tint="-0.249977111117893"/>
      <name val="Calibri"/>
      <family val="2"/>
      <scheme val="minor"/>
    </font>
    <font>
      <b/>
      <sz val="10"/>
      <color theme="1"/>
      <name val="Arial"/>
    </font>
  </fonts>
  <fills count="43">
    <fill>
      <patternFill patternType="none"/>
    </fill>
    <fill>
      <patternFill patternType="gray125"/>
    </fill>
    <fill>
      <patternFill patternType="solid">
        <fgColor rgb="FF00FFFF"/>
        <bgColor rgb="FF00FFFF"/>
      </patternFill>
    </fill>
    <fill>
      <patternFill patternType="solid">
        <fgColor rgb="FFA4C2F4"/>
        <bgColor rgb="FFA4C2F4"/>
      </patternFill>
    </fill>
    <fill>
      <patternFill patternType="solid">
        <fgColor rgb="FFB6D7A8"/>
        <bgColor rgb="FFB6D7A8"/>
      </patternFill>
    </fill>
    <fill>
      <patternFill patternType="solid">
        <fgColor rgb="FFFFFF00"/>
        <bgColor rgb="FFFFFF00"/>
      </patternFill>
    </fill>
    <fill>
      <patternFill patternType="solid">
        <fgColor rgb="FFFFE599"/>
        <bgColor rgb="FFFFE599"/>
      </patternFill>
    </fill>
    <fill>
      <patternFill patternType="solid">
        <fgColor theme="4" tint="0.79998168889431442"/>
        <bgColor indexed="64"/>
      </patternFill>
    </fill>
    <fill>
      <patternFill patternType="solid">
        <fgColor theme="5" tint="0.59999389629810485"/>
        <bgColor rgb="FFA4C2F4"/>
      </patternFill>
    </fill>
    <fill>
      <patternFill patternType="solid">
        <fgColor theme="5" tint="0.79998168889431442"/>
        <bgColor indexed="64"/>
      </patternFill>
    </fill>
    <fill>
      <patternFill patternType="solid">
        <fgColor theme="6" tint="0.39997558519241921"/>
        <bgColor rgb="FFA4C2F4"/>
      </patternFill>
    </fill>
    <fill>
      <patternFill patternType="solid">
        <fgColor theme="6" tint="0.79998168889431442"/>
        <bgColor indexed="64"/>
      </patternFill>
    </fill>
    <fill>
      <patternFill patternType="solid">
        <fgColor rgb="FFC6EFCE"/>
      </patternFill>
    </fill>
    <fill>
      <patternFill patternType="solid">
        <fgColor rgb="FFFFC7CE"/>
      </patternFill>
    </fill>
    <fill>
      <patternFill patternType="solid">
        <fgColor theme="5"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2" tint="-0.14999847407452621"/>
        <bgColor indexed="64"/>
      </patternFill>
    </fill>
    <fill>
      <patternFill patternType="solid">
        <fgColor theme="6" tint="0.79998168889431442"/>
        <bgColor rgb="FF6D9EEB"/>
      </patternFill>
    </fill>
    <fill>
      <patternFill patternType="solid">
        <fgColor theme="6" tint="0.79998168889431442"/>
        <bgColor rgb="FFFFFFFF"/>
      </patternFill>
    </fill>
    <fill>
      <patternFill patternType="solid">
        <fgColor theme="4" tint="0.79998168889431442"/>
        <bgColor rgb="FF6D9EEB"/>
      </patternFill>
    </fill>
    <fill>
      <patternFill patternType="solid">
        <fgColor theme="4" tint="0.79998168889431442"/>
        <bgColor rgb="FFFFFFFF"/>
      </patternFill>
    </fill>
    <fill>
      <patternFill patternType="solid">
        <fgColor theme="7" tint="0.79998168889431442"/>
        <bgColor rgb="FF6D9EEB"/>
      </patternFill>
    </fill>
    <fill>
      <patternFill patternType="solid">
        <fgColor theme="7" tint="0.79998168889431442"/>
        <bgColor rgb="FFFFFFFF"/>
      </patternFill>
    </fill>
    <fill>
      <patternFill patternType="solid">
        <fgColor theme="7" tint="0.79998168889431442"/>
        <bgColor indexed="64"/>
      </patternFill>
    </fill>
    <fill>
      <patternFill patternType="solid">
        <fgColor theme="8" tint="0.79998168889431442"/>
        <bgColor rgb="FF6D9EEB"/>
      </patternFill>
    </fill>
    <fill>
      <patternFill patternType="solid">
        <fgColor theme="8" tint="0.79998168889431442"/>
        <bgColor rgb="FFFFFFFF"/>
      </patternFill>
    </fill>
    <fill>
      <patternFill patternType="solid">
        <fgColor theme="8" tint="0.79998168889431442"/>
        <bgColor indexed="64"/>
      </patternFill>
    </fill>
    <fill>
      <patternFill patternType="solid">
        <fgColor theme="9" tint="0.79998168889431442"/>
        <bgColor rgb="FF6D9EEB"/>
      </patternFill>
    </fill>
    <fill>
      <patternFill patternType="solid">
        <fgColor theme="9" tint="0.79998168889431442"/>
        <bgColor rgb="FFFFFFFF"/>
      </patternFill>
    </fill>
    <fill>
      <patternFill patternType="solid">
        <fgColor theme="9" tint="0.79998168889431442"/>
        <bgColor indexed="64"/>
      </patternFill>
    </fill>
    <fill>
      <patternFill patternType="solid">
        <fgColor theme="2" tint="-0.14999847407452621"/>
        <bgColor rgb="FFFFFFFF"/>
      </patternFill>
    </fill>
    <fill>
      <patternFill patternType="solid">
        <fgColor theme="2" tint="-0.14999847407452621"/>
        <bgColor rgb="FFB6D7A8"/>
      </patternFill>
    </fill>
    <fill>
      <patternFill patternType="solid">
        <fgColor theme="6" tint="0.59999389629810485"/>
        <bgColor indexed="64"/>
      </patternFill>
    </fill>
    <fill>
      <patternFill patternType="solid">
        <fgColor theme="5" tint="0.59999389629810485"/>
        <bgColor rgb="FF6D9EEB"/>
      </patternFill>
    </fill>
    <fill>
      <patternFill patternType="solid">
        <fgColor theme="5" tint="0.59999389629810485"/>
        <bgColor rgb="FFFFFFFF"/>
      </patternFill>
    </fill>
    <fill>
      <patternFill patternType="solid">
        <fgColor rgb="FF92D050"/>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3" tint="0.79998168889431442"/>
        <bgColor indexed="64"/>
      </patternFill>
    </fill>
    <fill>
      <patternFill patternType="solid">
        <fgColor theme="4" tint="0.39997558519241921"/>
        <bgColor indexed="64"/>
      </patternFill>
    </fill>
    <fill>
      <patternFill patternType="solid">
        <fgColor theme="2" tint="-4.9989318521683403E-2"/>
        <bgColor indexed="64"/>
      </patternFill>
    </fill>
  </fills>
  <borders count="42">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indexed="8"/>
      </left>
      <right/>
      <top style="thin">
        <color indexed="8"/>
      </top>
      <bottom/>
      <diagonal/>
    </border>
    <border>
      <left style="thin">
        <color indexed="65"/>
      </left>
      <right style="thin">
        <color indexed="8"/>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8"/>
      </left>
      <right/>
      <top/>
      <bottom/>
      <diagonal/>
    </border>
    <border>
      <left/>
      <right style="thin">
        <color indexed="8"/>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s>
  <cellStyleXfs count="7">
    <xf numFmtId="0" fontId="0" fillId="0" borderId="0"/>
    <xf numFmtId="0" fontId="35" fillId="12" borderId="0" applyNumberFormat="0" applyBorder="0" applyAlignment="0" applyProtection="0"/>
    <xf numFmtId="0" fontId="36" fillId="13" borderId="0" applyNumberFormat="0" applyBorder="0" applyAlignment="0" applyProtection="0"/>
    <xf numFmtId="44" fontId="47" fillId="0" borderId="0" applyFont="0" applyFill="0" applyBorder="0" applyAlignment="0" applyProtection="0"/>
    <xf numFmtId="0" fontId="6" fillId="0" borderId="2"/>
    <xf numFmtId="0" fontId="53" fillId="0" borderId="2"/>
    <xf numFmtId="0" fontId="55" fillId="0" borderId="2"/>
  </cellStyleXfs>
  <cellXfs count="428">
    <xf numFmtId="0" fontId="0" fillId="0" borderId="0" xfId="0" applyFont="1" applyAlignment="1"/>
    <xf numFmtId="0" fontId="17" fillId="2" borderId="1" xfId="0" applyFont="1" applyFill="1" applyBorder="1" applyAlignment="1">
      <alignment horizontal="center" vertical="center" wrapText="1"/>
    </xf>
    <xf numFmtId="0" fontId="18" fillId="0" borderId="1" xfId="0" applyFont="1" applyBorder="1" applyAlignment="1">
      <alignment wrapText="1"/>
    </xf>
    <xf numFmtId="0" fontId="17" fillId="3" borderId="1" xfId="0" applyFont="1" applyFill="1" applyBorder="1" applyAlignment="1">
      <alignment horizontal="center" wrapText="1"/>
    </xf>
    <xf numFmtId="0" fontId="17" fillId="3" borderId="1" xfId="0" applyFont="1" applyFill="1" applyBorder="1" applyAlignment="1">
      <alignment wrapText="1"/>
    </xf>
    <xf numFmtId="0" fontId="20" fillId="0" borderId="0" xfId="0" applyFont="1"/>
    <xf numFmtId="0" fontId="18" fillId="4" borderId="1" xfId="0" applyFont="1" applyFill="1" applyBorder="1" applyAlignment="1">
      <alignment wrapText="1"/>
    </xf>
    <xf numFmtId="0" fontId="17" fillId="4" borderId="1" xfId="0" applyFont="1" applyFill="1" applyBorder="1" applyAlignment="1">
      <alignment wrapText="1"/>
    </xf>
    <xf numFmtId="0" fontId="17" fillId="4" borderId="1" xfId="0" applyFont="1" applyFill="1" applyBorder="1" applyAlignment="1">
      <alignment horizontal="right" wrapText="1"/>
    </xf>
    <xf numFmtId="8" fontId="17" fillId="4" borderId="1" xfId="0" applyNumberFormat="1" applyFont="1" applyFill="1" applyBorder="1" applyAlignment="1">
      <alignment horizontal="right" wrapText="1"/>
    </xf>
    <xf numFmtId="0" fontId="18" fillId="0" borderId="0" xfId="0" applyFont="1" applyAlignment="1">
      <alignment wrapText="1"/>
    </xf>
    <xf numFmtId="0" fontId="18" fillId="0" borderId="0" xfId="0" applyFont="1" applyAlignment="1">
      <alignment horizontal="right" wrapText="1"/>
    </xf>
    <xf numFmtId="4" fontId="18" fillId="0" borderId="0" xfId="0" applyNumberFormat="1" applyFont="1" applyAlignment="1">
      <alignment horizontal="right" wrapText="1"/>
    </xf>
    <xf numFmtId="17" fontId="19" fillId="0" borderId="1" xfId="0" applyNumberFormat="1" applyFont="1" applyBorder="1" applyAlignment="1">
      <alignment horizontal="center" wrapText="1"/>
    </xf>
    <xf numFmtId="0" fontId="18" fillId="0" borderId="1" xfId="0" applyFont="1" applyBorder="1" applyAlignment="1">
      <alignment horizontal="center" wrapText="1"/>
    </xf>
    <xf numFmtId="8" fontId="18" fillId="0" borderId="1" xfId="0" applyNumberFormat="1" applyFont="1" applyBorder="1" applyAlignment="1">
      <alignment horizontal="center" wrapText="1"/>
    </xf>
    <xf numFmtId="0" fontId="17" fillId="4" borderId="1" xfId="0" applyFont="1" applyFill="1" applyBorder="1" applyAlignment="1">
      <alignment horizontal="center" wrapText="1"/>
    </xf>
    <xf numFmtId="8" fontId="17" fillId="4" borderId="1" xfId="0" applyNumberFormat="1" applyFont="1" applyFill="1" applyBorder="1" applyAlignment="1">
      <alignment horizontal="center" wrapText="1"/>
    </xf>
    <xf numFmtId="0" fontId="18" fillId="5" borderId="1" xfId="0" applyFont="1" applyFill="1" applyBorder="1" applyAlignment="1">
      <alignment vertical="center" wrapText="1"/>
    </xf>
    <xf numFmtId="0" fontId="18" fillId="5" borderId="1" xfId="0" applyFont="1" applyFill="1" applyBorder="1" applyAlignment="1">
      <alignment wrapText="1"/>
    </xf>
    <xf numFmtId="8" fontId="18" fillId="5" borderId="1" xfId="0" applyNumberFormat="1" applyFont="1" applyFill="1" applyBorder="1" applyAlignment="1">
      <alignment horizontal="right" wrapText="1"/>
    </xf>
    <xf numFmtId="14" fontId="17" fillId="0" borderId="1" xfId="0" applyNumberFormat="1" applyFont="1" applyBorder="1" applyAlignment="1">
      <alignment vertical="center" wrapText="1"/>
    </xf>
    <xf numFmtId="8" fontId="18" fillId="0" borderId="1" xfId="0" applyNumberFormat="1" applyFont="1" applyBorder="1" applyAlignment="1">
      <alignment horizontal="right" wrapText="1"/>
    </xf>
    <xf numFmtId="14" fontId="17" fillId="0" borderId="1" xfId="0" applyNumberFormat="1" applyFont="1" applyBorder="1" applyAlignment="1">
      <alignment wrapText="1"/>
    </xf>
    <xf numFmtId="8" fontId="21" fillId="0" borderId="1" xfId="0" applyNumberFormat="1" applyFont="1" applyBorder="1" applyAlignment="1">
      <alignment horizontal="right" wrapText="1"/>
    </xf>
    <xf numFmtId="0" fontId="21" fillId="0" borderId="1" xfId="0" applyFont="1" applyBorder="1" applyAlignment="1">
      <alignment wrapText="1"/>
    </xf>
    <xf numFmtId="0" fontId="22" fillId="0" borderId="1" xfId="0" applyFont="1" applyBorder="1" applyAlignment="1">
      <alignment wrapText="1"/>
    </xf>
    <xf numFmtId="0" fontId="17" fillId="0" borderId="1" xfId="0" applyFont="1" applyBorder="1" applyAlignment="1">
      <alignment wrapText="1"/>
    </xf>
    <xf numFmtId="8" fontId="17" fillId="0" borderId="1" xfId="0" applyNumberFormat="1" applyFont="1" applyBorder="1" applyAlignment="1">
      <alignment horizontal="right" wrapText="1"/>
    </xf>
    <xf numFmtId="0" fontId="17" fillId="5" borderId="1" xfId="0" applyFont="1" applyFill="1" applyBorder="1" applyAlignment="1">
      <alignment wrapText="1"/>
    </xf>
    <xf numFmtId="8" fontId="17" fillId="5" borderId="1" xfId="0" applyNumberFormat="1" applyFont="1" applyFill="1" applyBorder="1" applyAlignment="1">
      <alignment horizontal="right" wrapText="1"/>
    </xf>
    <xf numFmtId="14" fontId="17" fillId="0" borderId="1" xfId="0" applyNumberFormat="1" applyFont="1" applyBorder="1" applyAlignment="1">
      <alignment horizontal="right" vertical="center" wrapText="1"/>
    </xf>
    <xf numFmtId="14" fontId="17" fillId="0" borderId="1" xfId="0" applyNumberFormat="1" applyFont="1" applyBorder="1" applyAlignment="1">
      <alignment horizontal="right" wrapText="1"/>
    </xf>
    <xf numFmtId="0" fontId="23" fillId="0" borderId="1" xfId="0" applyFont="1" applyBorder="1" applyAlignment="1">
      <alignment wrapText="1"/>
    </xf>
    <xf numFmtId="8" fontId="23" fillId="0" borderId="1" xfId="0" applyNumberFormat="1" applyFont="1" applyBorder="1" applyAlignment="1">
      <alignment horizontal="right" wrapText="1"/>
    </xf>
    <xf numFmtId="0" fontId="18" fillId="0" borderId="1" xfId="0" applyFont="1" applyBorder="1" applyAlignment="1">
      <alignment vertical="center"/>
    </xf>
    <xf numFmtId="0" fontId="18" fillId="0" borderId="1" xfId="0" applyFont="1" applyBorder="1" applyAlignment="1">
      <alignment wrapText="1"/>
    </xf>
    <xf numFmtId="8" fontId="18" fillId="0" borderId="1" xfId="0" applyNumberFormat="1" applyFont="1" applyBorder="1" applyAlignment="1">
      <alignment horizontal="right" wrapText="1"/>
    </xf>
    <xf numFmtId="8" fontId="23" fillId="0" borderId="1" xfId="0" applyNumberFormat="1" applyFont="1" applyBorder="1" applyAlignment="1">
      <alignment horizontal="right" wrapText="1"/>
    </xf>
    <xf numFmtId="0" fontId="17" fillId="6" borderId="1" xfId="0" applyFont="1" applyFill="1" applyBorder="1" applyAlignment="1">
      <alignment wrapText="1"/>
    </xf>
    <xf numFmtId="8" fontId="17" fillId="6" borderId="1" xfId="0" applyNumberFormat="1" applyFont="1" applyFill="1" applyBorder="1" applyAlignment="1">
      <alignment horizontal="right" wrapText="1"/>
    </xf>
    <xf numFmtId="8" fontId="17" fillId="5" borderId="1" xfId="0" applyNumberFormat="1" applyFont="1" applyFill="1" applyBorder="1" applyAlignment="1">
      <alignment wrapText="1"/>
    </xf>
    <xf numFmtId="0" fontId="24" fillId="2" borderId="2" xfId="0" applyFont="1" applyFill="1" applyBorder="1" applyAlignment="1">
      <alignment wrapText="1"/>
    </xf>
    <xf numFmtId="8" fontId="20" fillId="0" borderId="1" xfId="0" applyNumberFormat="1" applyFont="1" applyBorder="1"/>
    <xf numFmtId="0" fontId="20" fillId="0" borderId="1" xfId="0" applyFont="1" applyBorder="1"/>
    <xf numFmtId="0" fontId="17" fillId="6" borderId="1" xfId="0" applyFont="1" applyFill="1" applyBorder="1" applyAlignment="1">
      <alignment horizontal="center" wrapText="1"/>
    </xf>
    <xf numFmtId="0" fontId="0" fillId="0" borderId="3" xfId="0" applyFont="1" applyBorder="1" applyAlignment="1"/>
    <xf numFmtId="0" fontId="0" fillId="0" borderId="3" xfId="0" pivotButton="1" applyFont="1" applyBorder="1" applyAlignment="1"/>
    <xf numFmtId="0" fontId="0" fillId="0" borderId="4" xfId="0" applyFont="1" applyBorder="1" applyAlignment="1"/>
    <xf numFmtId="0" fontId="0" fillId="0" borderId="3" xfId="0" applyNumberFormat="1" applyFont="1" applyBorder="1" applyAlignment="1"/>
    <xf numFmtId="0" fontId="0" fillId="0" borderId="6" xfId="0" applyFont="1" applyBorder="1" applyAlignment="1"/>
    <xf numFmtId="0" fontId="0" fillId="0" borderId="6" xfId="0" applyNumberFormat="1" applyFont="1" applyBorder="1" applyAlignment="1"/>
    <xf numFmtId="0" fontId="0" fillId="0" borderId="2" xfId="0" applyFont="1" applyBorder="1" applyAlignment="1"/>
    <xf numFmtId="0" fontId="17" fillId="3" borderId="9" xfId="0" applyFont="1" applyFill="1" applyBorder="1" applyAlignment="1">
      <alignment horizontal="center" vertical="center" wrapText="1"/>
    </xf>
    <xf numFmtId="164" fontId="25" fillId="7" borderId="9" xfId="0" applyNumberFormat="1" applyFont="1" applyFill="1" applyBorder="1" applyAlignment="1"/>
    <xf numFmtId="164" fontId="0" fillId="7" borderId="9" xfId="0" applyNumberFormat="1" applyFont="1" applyFill="1" applyBorder="1" applyAlignment="1"/>
    <xf numFmtId="164" fontId="26" fillId="7" borderId="9" xfId="0" applyNumberFormat="1" applyFont="1" applyFill="1" applyBorder="1" applyAlignment="1"/>
    <xf numFmtId="164" fontId="25" fillId="9" borderId="9" xfId="0" applyNumberFormat="1" applyFont="1" applyFill="1" applyBorder="1" applyAlignment="1"/>
    <xf numFmtId="164" fontId="0" fillId="9" borderId="9" xfId="0" applyNumberFormat="1" applyFont="1" applyFill="1" applyBorder="1" applyAlignment="1"/>
    <xf numFmtId="164" fontId="26" fillId="9" borderId="9" xfId="0" applyNumberFormat="1" applyFont="1" applyFill="1" applyBorder="1" applyAlignment="1"/>
    <xf numFmtId="164" fontId="25" fillId="11" borderId="9" xfId="0" applyNumberFormat="1" applyFont="1" applyFill="1" applyBorder="1" applyAlignment="1"/>
    <xf numFmtId="164" fontId="0" fillId="11" borderId="9" xfId="0" applyNumberFormat="1" applyFont="1" applyFill="1" applyBorder="1" applyAlignment="1"/>
    <xf numFmtId="164" fontId="26" fillId="11" borderId="9" xfId="0" applyNumberFormat="1" applyFont="1" applyFill="1" applyBorder="1" applyAlignment="1"/>
    <xf numFmtId="0" fontId="28" fillId="3" borderId="9" xfId="0" applyFont="1" applyFill="1" applyBorder="1" applyAlignment="1">
      <alignment horizontal="center" vertical="center" wrapText="1"/>
    </xf>
    <xf numFmtId="0" fontId="28" fillId="8" borderId="9" xfId="0" applyFont="1" applyFill="1" applyBorder="1" applyAlignment="1">
      <alignment horizontal="center" vertical="center" wrapText="1"/>
    </xf>
    <xf numFmtId="0" fontId="28" fillId="10" borderId="9" xfId="0" applyFont="1" applyFill="1" applyBorder="1" applyAlignment="1">
      <alignment horizontal="center" vertical="center" wrapText="1"/>
    </xf>
    <xf numFmtId="164" fontId="29" fillId="7" borderId="9" xfId="0" applyNumberFormat="1" applyFont="1" applyFill="1" applyBorder="1" applyAlignment="1"/>
    <xf numFmtId="17" fontId="19" fillId="0" borderId="9" xfId="0" applyNumberFormat="1" applyFont="1" applyBorder="1" applyAlignment="1">
      <alignment horizontal="center" wrapText="1"/>
    </xf>
    <xf numFmtId="164" fontId="17" fillId="6" borderId="9" xfId="0" applyNumberFormat="1" applyFont="1" applyFill="1" applyBorder="1" applyAlignment="1">
      <alignment horizontal="center" wrapText="1"/>
    </xf>
    <xf numFmtId="0" fontId="30" fillId="0" borderId="1" xfId="0" applyFont="1" applyBorder="1" applyAlignment="1">
      <alignment wrapText="1"/>
    </xf>
    <xf numFmtId="164" fontId="18" fillId="0" borderId="1" xfId="0" applyNumberFormat="1" applyFont="1" applyBorder="1" applyAlignment="1">
      <alignment wrapText="1"/>
    </xf>
    <xf numFmtId="0" fontId="27" fillId="6" borderId="9" xfId="0" applyFont="1" applyFill="1" applyBorder="1" applyAlignment="1">
      <alignment horizontal="center" wrapText="1"/>
    </xf>
    <xf numFmtId="0" fontId="0" fillId="0" borderId="0" xfId="0" pivotButton="1" applyFont="1" applyAlignment="1"/>
    <xf numFmtId="0" fontId="0" fillId="0" borderId="0" xfId="0" applyFont="1" applyAlignment="1">
      <alignment horizontal="left"/>
    </xf>
    <xf numFmtId="0" fontId="0" fillId="0" borderId="11" xfId="0" applyFont="1" applyBorder="1" applyAlignment="1"/>
    <xf numFmtId="0" fontId="0" fillId="0" borderId="11" xfId="0" applyNumberFormat="1" applyFont="1" applyBorder="1" applyAlignment="1"/>
    <xf numFmtId="0" fontId="32" fillId="0" borderId="1" xfId="0" applyFont="1" applyBorder="1" applyAlignment="1">
      <alignment wrapText="1"/>
    </xf>
    <xf numFmtId="8" fontId="32" fillId="0" borderId="1" xfId="0" applyNumberFormat="1" applyFont="1" applyBorder="1" applyAlignment="1">
      <alignment horizontal="right" wrapText="1"/>
    </xf>
    <xf numFmtId="164" fontId="32" fillId="0" borderId="1" xfId="0" applyNumberFormat="1" applyFont="1" applyBorder="1" applyAlignment="1">
      <alignment wrapText="1"/>
    </xf>
    <xf numFmtId="164" fontId="0" fillId="0" borderId="0" xfId="0" applyNumberFormat="1" applyFont="1" applyAlignment="1"/>
    <xf numFmtId="0" fontId="18" fillId="0" borderId="1" xfId="0" applyFont="1" applyBorder="1" applyAlignment="1">
      <alignment horizontal="center" vertical="center" wrapText="1"/>
    </xf>
    <xf numFmtId="8" fontId="18" fillId="0" borderId="1" xfId="0" applyNumberFormat="1" applyFont="1" applyBorder="1" applyAlignment="1">
      <alignment wrapText="1"/>
    </xf>
    <xf numFmtId="164" fontId="33" fillId="0" borderId="9" xfId="0" applyNumberFormat="1" applyFont="1" applyBorder="1" applyAlignment="1"/>
    <xf numFmtId="0" fontId="0" fillId="0" borderId="9" xfId="0" applyFont="1" applyBorder="1" applyAlignment="1"/>
    <xf numFmtId="0" fontId="35" fillId="12" borderId="1" xfId="1" applyBorder="1" applyAlignment="1">
      <alignment wrapText="1"/>
    </xf>
    <xf numFmtId="8" fontId="35" fillId="12" borderId="1" xfId="1" applyNumberFormat="1" applyBorder="1" applyAlignment="1">
      <alignment horizontal="right" wrapText="1"/>
    </xf>
    <xf numFmtId="164" fontId="35" fillId="12" borderId="9" xfId="1" applyNumberFormat="1" applyBorder="1" applyAlignment="1"/>
    <xf numFmtId="14" fontId="35" fillId="12" borderId="1" xfId="1" applyNumberFormat="1" applyBorder="1" applyAlignment="1">
      <alignment horizontal="right" vertical="center" wrapText="1"/>
    </xf>
    <xf numFmtId="164" fontId="35" fillId="12" borderId="1" xfId="1" applyNumberFormat="1" applyBorder="1" applyAlignment="1">
      <alignment wrapText="1"/>
    </xf>
    <xf numFmtId="0" fontId="34" fillId="15" borderId="10" xfId="0" applyFont="1" applyFill="1" applyBorder="1" applyAlignment="1">
      <alignment horizontal="center"/>
    </xf>
    <xf numFmtId="0" fontId="0" fillId="0" borderId="15" xfId="0" applyFont="1" applyBorder="1" applyAlignment="1"/>
    <xf numFmtId="0" fontId="0" fillId="0" borderId="17" xfId="0" applyFont="1" applyBorder="1" applyAlignment="1"/>
    <xf numFmtId="0" fontId="0" fillId="0" borderId="18" xfId="0" applyFont="1" applyBorder="1" applyAlignment="1"/>
    <xf numFmtId="0" fontId="0" fillId="0" borderId="19" xfId="0" applyFont="1" applyBorder="1" applyAlignment="1"/>
    <xf numFmtId="0" fontId="0" fillId="0" borderId="20" xfId="0" applyFont="1" applyBorder="1" applyAlignment="1"/>
    <xf numFmtId="0" fontId="34" fillId="14" borderId="10" xfId="0" applyFont="1" applyFill="1" applyBorder="1" applyAlignment="1">
      <alignment horizontal="center"/>
    </xf>
    <xf numFmtId="0" fontId="34" fillId="15" borderId="21" xfId="0" applyFont="1" applyFill="1" applyBorder="1" applyAlignment="1">
      <alignment horizontal="center"/>
    </xf>
    <xf numFmtId="0" fontId="34" fillId="15" borderId="22" xfId="0" applyFont="1" applyFill="1" applyBorder="1" applyAlignment="1">
      <alignment horizontal="center"/>
    </xf>
    <xf numFmtId="0" fontId="34" fillId="14" borderId="21" xfId="0" applyFont="1" applyFill="1" applyBorder="1" applyAlignment="1">
      <alignment horizontal="center"/>
    </xf>
    <xf numFmtId="0" fontId="34" fillId="14" borderId="22" xfId="0" applyFont="1" applyFill="1" applyBorder="1" applyAlignment="1">
      <alignment horizontal="center"/>
    </xf>
    <xf numFmtId="0" fontId="0" fillId="0" borderId="2" xfId="0" applyFont="1" applyFill="1" applyBorder="1" applyAlignment="1"/>
    <xf numFmtId="0" fontId="33" fillId="0" borderId="2" xfId="0" applyFont="1" applyFill="1" applyBorder="1" applyAlignment="1">
      <alignment horizontal="center"/>
    </xf>
    <xf numFmtId="0" fontId="34" fillId="0" borderId="2" xfId="0" applyFont="1" applyFill="1" applyBorder="1" applyAlignment="1">
      <alignment horizontal="center"/>
    </xf>
    <xf numFmtId="14" fontId="0" fillId="0" borderId="13" xfId="0" applyNumberFormat="1" applyFont="1" applyBorder="1" applyAlignment="1"/>
    <xf numFmtId="14" fontId="0" fillId="0" borderId="16" xfId="0" applyNumberFormat="1" applyFont="1" applyBorder="1" applyAlignment="1"/>
    <xf numFmtId="0" fontId="0" fillId="0" borderId="9" xfId="0" applyFont="1" applyFill="1" applyBorder="1" applyAlignment="1"/>
    <xf numFmtId="14" fontId="0" fillId="0" borderId="13" xfId="0" applyNumberFormat="1" applyFont="1" applyFill="1" applyBorder="1" applyAlignment="1"/>
    <xf numFmtId="0" fontId="0" fillId="0" borderId="15" xfId="0" applyFont="1" applyFill="1" applyBorder="1" applyAlignment="1"/>
    <xf numFmtId="14" fontId="0" fillId="0" borderId="16" xfId="0" applyNumberFormat="1" applyFont="1" applyFill="1" applyBorder="1" applyAlignment="1"/>
    <xf numFmtId="0" fontId="0" fillId="0" borderId="17" xfId="0" applyFont="1" applyFill="1" applyBorder="1" applyAlignment="1"/>
    <xf numFmtId="14" fontId="0" fillId="0" borderId="18" xfId="0" applyNumberFormat="1" applyFont="1" applyFill="1" applyBorder="1" applyAlignment="1"/>
    <xf numFmtId="0" fontId="0" fillId="0" borderId="19" xfId="0" applyFont="1" applyFill="1" applyBorder="1" applyAlignment="1"/>
    <xf numFmtId="0" fontId="0" fillId="0" borderId="20" xfId="0" applyFont="1" applyFill="1" applyBorder="1" applyAlignment="1"/>
    <xf numFmtId="0" fontId="34" fillId="16" borderId="21" xfId="0" applyFont="1" applyFill="1" applyBorder="1" applyAlignment="1">
      <alignment horizontal="center"/>
    </xf>
    <xf numFmtId="0" fontId="34" fillId="16" borderId="10" xfId="0" applyFont="1" applyFill="1" applyBorder="1" applyAlignment="1">
      <alignment horizontal="center"/>
    </xf>
    <xf numFmtId="0" fontId="34" fillId="16" borderId="22" xfId="0" applyFont="1" applyFill="1" applyBorder="1" applyAlignment="1">
      <alignment horizontal="center"/>
    </xf>
    <xf numFmtId="0" fontId="34" fillId="0" borderId="0" xfId="0" applyFont="1" applyAlignment="1"/>
    <xf numFmtId="0" fontId="38" fillId="0" borderId="14" xfId="0" applyFont="1" applyFill="1" applyBorder="1" applyAlignment="1"/>
    <xf numFmtId="0" fontId="38" fillId="0" borderId="14" xfId="0" applyFont="1" applyBorder="1" applyAlignment="1"/>
    <xf numFmtId="0" fontId="39" fillId="13" borderId="9" xfId="2" applyFont="1" applyBorder="1" applyAlignment="1"/>
    <xf numFmtId="8" fontId="40" fillId="0" borderId="9" xfId="2" applyNumberFormat="1" applyFont="1" applyFill="1" applyBorder="1" applyAlignment="1"/>
    <xf numFmtId="0" fontId="17" fillId="3" borderId="1" xfId="0" applyFont="1" applyFill="1" applyBorder="1" applyAlignment="1">
      <alignment horizontal="center" vertical="center" wrapText="1"/>
    </xf>
    <xf numFmtId="164" fontId="41" fillId="0" borderId="1" xfId="0" applyNumberFormat="1" applyFont="1" applyBorder="1" applyAlignment="1">
      <alignment wrapText="1"/>
    </xf>
    <xf numFmtId="0" fontId="0" fillId="0" borderId="8" xfId="0" applyFont="1" applyBorder="1" applyAlignment="1"/>
    <xf numFmtId="164" fontId="0" fillId="0" borderId="9" xfId="0" applyNumberFormat="1" applyFont="1" applyBorder="1" applyAlignment="1"/>
    <xf numFmtId="0" fontId="0" fillId="15" borderId="9" xfId="0" applyFont="1" applyFill="1" applyBorder="1" applyAlignment="1"/>
    <xf numFmtId="0" fontId="0" fillId="17" borderId="9" xfId="0" applyFont="1" applyFill="1" applyBorder="1" applyAlignment="1">
      <alignment horizontal="left"/>
    </xf>
    <xf numFmtId="164" fontId="0" fillId="17" borderId="9" xfId="0" applyNumberFormat="1" applyFont="1" applyFill="1" applyBorder="1" applyAlignment="1"/>
    <xf numFmtId="164" fontId="42" fillId="6" borderId="9" xfId="0" applyNumberFormat="1" applyFont="1" applyFill="1" applyBorder="1" applyAlignment="1">
      <alignment horizontal="center" wrapText="1"/>
    </xf>
    <xf numFmtId="164" fontId="43" fillId="0" borderId="1" xfId="0" applyNumberFormat="1" applyFont="1" applyBorder="1" applyAlignment="1">
      <alignment wrapText="1"/>
    </xf>
    <xf numFmtId="14" fontId="18" fillId="0" borderId="1" xfId="0" applyNumberFormat="1" applyFont="1" applyBorder="1" applyAlignment="1">
      <alignment wrapText="1"/>
    </xf>
    <xf numFmtId="14" fontId="17" fillId="17" borderId="1" xfId="0" applyNumberFormat="1" applyFont="1" applyFill="1" applyBorder="1" applyAlignment="1">
      <alignment horizontal="right" vertical="center" wrapText="1"/>
    </xf>
    <xf numFmtId="0" fontId="18" fillId="17" borderId="1" xfId="0" applyFont="1" applyFill="1" applyBorder="1" applyAlignment="1">
      <alignment wrapText="1"/>
    </xf>
    <xf numFmtId="0" fontId="30" fillId="17" borderId="1" xfId="0" applyFont="1" applyFill="1" applyBorder="1" applyAlignment="1">
      <alignment wrapText="1"/>
    </xf>
    <xf numFmtId="8" fontId="18" fillId="17" borderId="1" xfId="0" applyNumberFormat="1" applyFont="1" applyFill="1" applyBorder="1" applyAlignment="1">
      <alignment horizontal="right" wrapText="1"/>
    </xf>
    <xf numFmtId="164" fontId="32" fillId="17" borderId="1" xfId="0" applyNumberFormat="1" applyFont="1" applyFill="1" applyBorder="1" applyAlignment="1">
      <alignment wrapText="1"/>
    </xf>
    <xf numFmtId="164" fontId="30" fillId="0" borderId="1" xfId="0" applyNumberFormat="1" applyFont="1" applyBorder="1" applyAlignment="1">
      <alignment wrapText="1"/>
    </xf>
    <xf numFmtId="0" fontId="0" fillId="0" borderId="0" xfId="0" applyNumberFormat="1" applyFont="1" applyAlignment="1"/>
    <xf numFmtId="0" fontId="16" fillId="0" borderId="0" xfId="0" applyFont="1" applyAlignment="1"/>
    <xf numFmtId="14" fontId="0" fillId="0" borderId="0" xfId="0" applyNumberFormat="1" applyFont="1" applyAlignment="1">
      <alignment horizontal="left"/>
    </xf>
    <xf numFmtId="17" fontId="0" fillId="0" borderId="0" xfId="0" applyNumberFormat="1" applyFont="1" applyAlignment="1">
      <alignment horizontal="left"/>
    </xf>
    <xf numFmtId="165" fontId="0" fillId="0" borderId="9" xfId="0" applyNumberFormat="1" applyFont="1" applyBorder="1" applyAlignment="1"/>
    <xf numFmtId="0" fontId="33" fillId="15" borderId="9" xfId="0" applyFont="1" applyFill="1" applyBorder="1" applyAlignment="1"/>
    <xf numFmtId="0" fontId="33" fillId="7" borderId="9" xfId="0" applyFont="1" applyFill="1" applyBorder="1" applyAlignment="1"/>
    <xf numFmtId="0" fontId="34" fillId="9" borderId="9" xfId="0" applyFont="1" applyFill="1" applyBorder="1" applyAlignment="1"/>
    <xf numFmtId="0" fontId="44" fillId="0" borderId="0" xfId="0" applyFont="1" applyAlignment="1"/>
    <xf numFmtId="44" fontId="0" fillId="0" borderId="0" xfId="0" applyNumberFormat="1" applyFont="1" applyAlignment="1"/>
    <xf numFmtId="165" fontId="45" fillId="9" borderId="9" xfId="0" applyNumberFormat="1" applyFont="1" applyFill="1" applyBorder="1" applyAlignment="1"/>
    <xf numFmtId="165" fontId="46" fillId="0" borderId="9" xfId="0" applyNumberFormat="1" applyFont="1" applyBorder="1" applyAlignment="1"/>
    <xf numFmtId="165" fontId="46" fillId="9" borderId="9" xfId="0" applyNumberFormat="1" applyFont="1" applyFill="1" applyBorder="1" applyAlignment="1"/>
    <xf numFmtId="0" fontId="33" fillId="9" borderId="9" xfId="0" applyFont="1" applyFill="1" applyBorder="1" applyAlignment="1"/>
    <xf numFmtId="0" fontId="15" fillId="0" borderId="9" xfId="0" applyFont="1" applyBorder="1" applyAlignment="1"/>
    <xf numFmtId="14" fontId="19" fillId="19" borderId="1" xfId="0" applyNumberFormat="1" applyFont="1" applyFill="1" applyBorder="1" applyAlignment="1">
      <alignment horizontal="center" wrapText="1"/>
    </xf>
    <xf numFmtId="0" fontId="18" fillId="20" borderId="1" xfId="0" applyFont="1" applyFill="1" applyBorder="1" applyAlignment="1">
      <alignment wrapText="1"/>
    </xf>
    <xf numFmtId="0" fontId="18" fillId="20" borderId="1" xfId="0" applyFont="1" applyFill="1" applyBorder="1" applyAlignment="1">
      <alignment horizontal="right" wrapText="1"/>
    </xf>
    <xf numFmtId="8" fontId="18" fillId="20" borderId="1" xfId="0" applyNumberFormat="1" applyFont="1" applyFill="1" applyBorder="1" applyAlignment="1">
      <alignment horizontal="right" wrapText="1"/>
    </xf>
    <xf numFmtId="0" fontId="18" fillId="11" borderId="1" xfId="0" applyFont="1" applyFill="1" applyBorder="1" applyAlignment="1">
      <alignment wrapText="1"/>
    </xf>
    <xf numFmtId="14" fontId="19" fillId="21" borderId="1" xfId="0" applyNumberFormat="1" applyFont="1" applyFill="1" applyBorder="1" applyAlignment="1">
      <alignment horizontal="center" wrapText="1"/>
    </xf>
    <xf numFmtId="0" fontId="30" fillId="22" borderId="1" xfId="0" applyFont="1" applyFill="1" applyBorder="1" applyAlignment="1">
      <alignment wrapText="1"/>
    </xf>
    <xf numFmtId="0" fontId="18" fillId="22" borderId="1" xfId="0" applyFont="1" applyFill="1" applyBorder="1" applyAlignment="1">
      <alignment wrapText="1"/>
    </xf>
    <xf numFmtId="0" fontId="18" fillId="22" borderId="1" xfId="0" applyFont="1" applyFill="1" applyBorder="1" applyAlignment="1">
      <alignment horizontal="right" wrapText="1"/>
    </xf>
    <xf numFmtId="8" fontId="18" fillId="22" borderId="1" xfId="0" applyNumberFormat="1" applyFont="1" applyFill="1" applyBorder="1" applyAlignment="1">
      <alignment horizontal="right" wrapText="1"/>
    </xf>
    <xf numFmtId="0" fontId="18" fillId="7" borderId="1" xfId="0" applyFont="1" applyFill="1" applyBorder="1" applyAlignment="1">
      <alignment wrapText="1"/>
    </xf>
    <xf numFmtId="14" fontId="19" fillId="23" borderId="1" xfId="0" applyNumberFormat="1" applyFont="1" applyFill="1" applyBorder="1" applyAlignment="1">
      <alignment horizontal="center" wrapText="1"/>
    </xf>
    <xf numFmtId="0" fontId="18" fillId="24" borderId="1" xfId="0" applyFont="1" applyFill="1" applyBorder="1" applyAlignment="1">
      <alignment wrapText="1"/>
    </xf>
    <xf numFmtId="0" fontId="18" fillId="24" borderId="1" xfId="0" applyFont="1" applyFill="1" applyBorder="1" applyAlignment="1">
      <alignment horizontal="right" wrapText="1"/>
    </xf>
    <xf numFmtId="8" fontId="18" fillId="24" borderId="1" xfId="0" applyNumberFormat="1" applyFont="1" applyFill="1" applyBorder="1" applyAlignment="1">
      <alignment horizontal="right" wrapText="1"/>
    </xf>
    <xf numFmtId="0" fontId="18" fillId="25" borderId="1" xfId="0" applyFont="1" applyFill="1" applyBorder="1" applyAlignment="1">
      <alignment wrapText="1"/>
    </xf>
    <xf numFmtId="14" fontId="19" fillId="26" borderId="1" xfId="0" applyNumberFormat="1" applyFont="1" applyFill="1" applyBorder="1" applyAlignment="1">
      <alignment horizontal="center" wrapText="1"/>
    </xf>
    <xf numFmtId="0" fontId="18" fillId="27" borderId="1" xfId="0" applyFont="1" applyFill="1" applyBorder="1" applyAlignment="1">
      <alignment wrapText="1"/>
    </xf>
    <xf numFmtId="0" fontId="18" fillId="27" borderId="1" xfId="0" applyFont="1" applyFill="1" applyBorder="1" applyAlignment="1">
      <alignment horizontal="right" wrapText="1"/>
    </xf>
    <xf numFmtId="8" fontId="18" fillId="27" borderId="1" xfId="0" applyNumberFormat="1" applyFont="1" applyFill="1" applyBorder="1" applyAlignment="1">
      <alignment horizontal="right" wrapText="1"/>
    </xf>
    <xf numFmtId="0" fontId="18" fillId="28" borderId="1" xfId="0" applyFont="1" applyFill="1" applyBorder="1" applyAlignment="1">
      <alignment wrapText="1"/>
    </xf>
    <xf numFmtId="14" fontId="19" fillId="29" borderId="1" xfId="0" applyNumberFormat="1" applyFont="1" applyFill="1" applyBorder="1" applyAlignment="1">
      <alignment horizontal="center" wrapText="1"/>
    </xf>
    <xf numFmtId="0" fontId="18" fillId="30" borderId="1" xfId="0" applyFont="1" applyFill="1" applyBorder="1" applyAlignment="1">
      <alignment wrapText="1"/>
    </xf>
    <xf numFmtId="0" fontId="18" fillId="30" borderId="1" xfId="0" applyFont="1" applyFill="1" applyBorder="1" applyAlignment="1">
      <alignment horizontal="right" wrapText="1"/>
    </xf>
    <xf numFmtId="8" fontId="18" fillId="30" borderId="1" xfId="0" applyNumberFormat="1" applyFont="1" applyFill="1" applyBorder="1" applyAlignment="1">
      <alignment horizontal="right" wrapText="1"/>
    </xf>
    <xf numFmtId="0" fontId="18" fillId="31" borderId="1" xfId="0" applyFont="1" applyFill="1" applyBorder="1" applyAlignment="1">
      <alignment wrapText="1"/>
    </xf>
    <xf numFmtId="0" fontId="30" fillId="30" borderId="1" xfId="0" applyFont="1" applyFill="1" applyBorder="1" applyAlignment="1">
      <alignment wrapText="1"/>
    </xf>
    <xf numFmtId="0" fontId="18" fillId="32" borderId="1" xfId="0" applyFont="1" applyFill="1" applyBorder="1" applyAlignment="1">
      <alignment wrapText="1"/>
    </xf>
    <xf numFmtId="0" fontId="18" fillId="32" borderId="1" xfId="0" applyFont="1" applyFill="1" applyBorder="1" applyAlignment="1">
      <alignment horizontal="right" wrapText="1"/>
    </xf>
    <xf numFmtId="8" fontId="18" fillId="32" borderId="1" xfId="0" applyNumberFormat="1" applyFont="1" applyFill="1" applyBorder="1" applyAlignment="1">
      <alignment horizontal="right" wrapText="1"/>
    </xf>
    <xf numFmtId="0" fontId="18" fillId="18" borderId="1" xfId="0" applyFont="1" applyFill="1" applyBorder="1" applyAlignment="1">
      <alignment wrapText="1"/>
    </xf>
    <xf numFmtId="14" fontId="19" fillId="33" borderId="1" xfId="0" applyNumberFormat="1" applyFont="1" applyFill="1" applyBorder="1" applyAlignment="1">
      <alignment horizontal="center" wrapText="1"/>
    </xf>
    <xf numFmtId="165" fontId="18" fillId="0" borderId="1" xfId="0" applyNumberFormat="1" applyFont="1" applyBorder="1" applyAlignment="1">
      <alignment wrapText="1"/>
    </xf>
    <xf numFmtId="44" fontId="0" fillId="0" borderId="9" xfId="3" applyFont="1" applyBorder="1" applyAlignment="1"/>
    <xf numFmtId="44" fontId="0" fillId="9" borderId="9" xfId="3" applyFont="1" applyFill="1" applyBorder="1" applyAlignment="1"/>
    <xf numFmtId="44" fontId="0" fillId="34" borderId="9" xfId="3" applyFont="1" applyFill="1" applyBorder="1" applyAlignment="1"/>
    <xf numFmtId="0" fontId="33" fillId="0" borderId="9" xfId="0" applyFont="1" applyBorder="1" applyAlignment="1"/>
    <xf numFmtId="17" fontId="33" fillId="0" borderId="9" xfId="0" applyNumberFormat="1" applyFont="1" applyBorder="1" applyAlignment="1">
      <alignment horizontal="center"/>
    </xf>
    <xf numFmtId="17" fontId="0" fillId="25" borderId="9" xfId="0" applyNumberFormat="1" applyFont="1" applyFill="1" applyBorder="1" applyAlignment="1">
      <alignment horizontal="center"/>
    </xf>
    <xf numFmtId="44" fontId="0" fillId="25" borderId="9" xfId="3" applyFont="1" applyFill="1" applyBorder="1" applyAlignment="1"/>
    <xf numFmtId="0" fontId="0" fillId="9" borderId="9" xfId="0" applyFont="1" applyFill="1" applyBorder="1" applyAlignment="1"/>
    <xf numFmtId="44" fontId="33" fillId="34" borderId="9" xfId="3" applyFont="1" applyFill="1" applyBorder="1" applyAlignment="1"/>
    <xf numFmtId="17" fontId="14" fillId="25" borderId="9" xfId="0" applyNumberFormat="1" applyFont="1" applyFill="1" applyBorder="1" applyAlignment="1">
      <alignment horizontal="center"/>
    </xf>
    <xf numFmtId="0" fontId="33" fillId="0" borderId="23" xfId="0" applyFont="1" applyBorder="1" applyAlignment="1"/>
    <xf numFmtId="0" fontId="13" fillId="9" borderId="24" xfId="0" applyFont="1" applyFill="1" applyBorder="1" applyAlignment="1"/>
    <xf numFmtId="0" fontId="0" fillId="0" borderId="9" xfId="0" pivotButton="1" applyFont="1" applyBorder="1" applyAlignment="1"/>
    <xf numFmtId="0" fontId="0" fillId="0" borderId="9" xfId="0" applyFont="1" applyBorder="1" applyAlignment="1">
      <alignment horizontal="left"/>
    </xf>
    <xf numFmtId="0" fontId="33" fillId="0" borderId="9" xfId="0" applyFont="1" applyBorder="1" applyAlignment="1">
      <alignment horizontal="left"/>
    </xf>
    <xf numFmtId="164" fontId="48" fillId="17" borderId="9" xfId="0" applyNumberFormat="1" applyFont="1" applyFill="1" applyBorder="1" applyAlignment="1"/>
    <xf numFmtId="0" fontId="12" fillId="0" borderId="0" xfId="0" applyFont="1" applyAlignment="1"/>
    <xf numFmtId="14" fontId="19" fillId="35" borderId="1" xfId="0" applyNumberFormat="1" applyFont="1" applyFill="1" applyBorder="1" applyAlignment="1">
      <alignment horizontal="center" wrapText="1"/>
    </xf>
    <xf numFmtId="0" fontId="18" fillId="36" borderId="1" xfId="0" applyFont="1" applyFill="1" applyBorder="1" applyAlignment="1">
      <alignment wrapText="1"/>
    </xf>
    <xf numFmtId="0" fontId="18" fillId="36" borderId="1" xfId="0" applyFont="1" applyFill="1" applyBorder="1" applyAlignment="1">
      <alignment horizontal="right" wrapText="1"/>
    </xf>
    <xf numFmtId="8" fontId="18" fillId="36" borderId="1" xfId="0" applyNumberFormat="1" applyFont="1" applyFill="1" applyBorder="1" applyAlignment="1">
      <alignment horizontal="right" wrapText="1"/>
    </xf>
    <xf numFmtId="0" fontId="18" fillId="14" borderId="1" xfId="0" applyFont="1" applyFill="1" applyBorder="1" applyAlignment="1">
      <alignment wrapText="1"/>
    </xf>
    <xf numFmtId="0" fontId="49" fillId="0" borderId="2" xfId="0" applyFont="1" applyFill="1" applyBorder="1" applyAlignment="1">
      <alignment wrapText="1"/>
    </xf>
    <xf numFmtId="0" fontId="0" fillId="0" borderId="0" xfId="0" applyFont="1" applyAlignment="1">
      <alignment horizontal="center"/>
    </xf>
    <xf numFmtId="0" fontId="12" fillId="0" borderId="0" xfId="0" applyFont="1" applyAlignment="1">
      <alignment wrapText="1"/>
    </xf>
    <xf numFmtId="0" fontId="12" fillId="0" borderId="9" xfId="0" applyFont="1" applyBorder="1" applyAlignment="1"/>
    <xf numFmtId="0" fontId="0" fillId="0" borderId="9" xfId="0" applyFont="1" applyBorder="1" applyAlignment="1">
      <alignment horizontal="center"/>
    </xf>
    <xf numFmtId="0" fontId="0" fillId="0" borderId="9" xfId="0" applyFont="1" applyBorder="1" applyAlignment="1">
      <alignment horizontal="center" vertical="center"/>
    </xf>
    <xf numFmtId="10" fontId="0" fillId="0" borderId="9" xfId="0" applyNumberFormat="1" applyFont="1" applyBorder="1" applyAlignment="1">
      <alignment horizontal="center" vertical="center"/>
    </xf>
    <xf numFmtId="49" fontId="12" fillId="0" borderId="9" xfId="0" applyNumberFormat="1" applyFont="1" applyBorder="1" applyAlignment="1">
      <alignment horizontal="center" vertical="center"/>
    </xf>
    <xf numFmtId="0" fontId="12" fillId="0" borderId="9" xfId="0" applyFont="1" applyBorder="1" applyAlignment="1">
      <alignment horizontal="center" vertical="center"/>
    </xf>
    <xf numFmtId="9" fontId="0" fillId="0" borderId="9" xfId="0" applyNumberFormat="1" applyFont="1" applyBorder="1" applyAlignment="1">
      <alignment horizontal="center" vertical="center"/>
    </xf>
    <xf numFmtId="0" fontId="30" fillId="0" borderId="32" xfId="0" applyFont="1" applyBorder="1" applyAlignment="1">
      <alignment wrapText="1"/>
    </xf>
    <xf numFmtId="0" fontId="18" fillId="0" borderId="33" xfId="0" applyFont="1" applyBorder="1" applyAlignment="1">
      <alignment wrapText="1"/>
    </xf>
    <xf numFmtId="0" fontId="18" fillId="0" borderId="34" xfId="0" applyFont="1" applyBorder="1" applyAlignment="1">
      <alignment wrapText="1"/>
    </xf>
    <xf numFmtId="0" fontId="18" fillId="0" borderId="9" xfId="0" applyFont="1" applyBorder="1" applyAlignment="1">
      <alignment wrapText="1"/>
    </xf>
    <xf numFmtId="0" fontId="18" fillId="0" borderId="35" xfId="0" applyFont="1" applyBorder="1" applyAlignment="1">
      <alignment wrapText="1"/>
    </xf>
    <xf numFmtId="0" fontId="48" fillId="0" borderId="9" xfId="0" applyFont="1" applyBorder="1" applyAlignment="1"/>
    <xf numFmtId="1" fontId="18" fillId="0" borderId="1" xfId="0" applyNumberFormat="1" applyFont="1" applyBorder="1" applyAlignment="1">
      <alignment horizontal="center" wrapText="1"/>
    </xf>
    <xf numFmtId="1" fontId="32" fillId="0" borderId="1" xfId="0" applyNumberFormat="1" applyFont="1" applyBorder="1" applyAlignment="1">
      <alignment horizontal="center" wrapText="1"/>
    </xf>
    <xf numFmtId="1" fontId="43" fillId="0" borderId="1" xfId="0" applyNumberFormat="1" applyFont="1" applyBorder="1" applyAlignment="1">
      <alignment horizontal="center" wrapText="1"/>
    </xf>
    <xf numFmtId="1" fontId="30" fillId="0" borderId="1" xfId="0" applyNumberFormat="1" applyFont="1" applyBorder="1" applyAlignment="1">
      <alignment horizontal="center" wrapText="1"/>
    </xf>
    <xf numFmtId="1" fontId="41" fillId="0" borderId="1" xfId="0" applyNumberFormat="1" applyFont="1" applyBorder="1" applyAlignment="1">
      <alignment horizontal="center" wrapText="1"/>
    </xf>
    <xf numFmtId="1" fontId="17" fillId="6" borderId="1" xfId="0" applyNumberFormat="1" applyFont="1" applyFill="1" applyBorder="1" applyAlignment="1">
      <alignment horizontal="center" wrapText="1"/>
    </xf>
    <xf numFmtId="1" fontId="18" fillId="0" borderId="0" xfId="0" applyNumberFormat="1" applyFont="1" applyAlignment="1">
      <alignment horizontal="center" wrapText="1"/>
    </xf>
    <xf numFmtId="1" fontId="0" fillId="0" borderId="0" xfId="0" applyNumberFormat="1" applyFont="1" applyAlignment="1">
      <alignment horizontal="center"/>
    </xf>
    <xf numFmtId="14" fontId="0" fillId="0" borderId="9" xfId="0" applyNumberFormat="1" applyFont="1" applyBorder="1" applyAlignment="1"/>
    <xf numFmtId="0" fontId="33" fillId="18" borderId="9" xfId="0" applyFont="1" applyFill="1" applyBorder="1" applyAlignment="1"/>
    <xf numFmtId="0" fontId="0" fillId="0" borderId="0" xfId="0" applyFont="1" applyFill="1" applyAlignment="1"/>
    <xf numFmtId="0" fontId="33" fillId="15" borderId="29" xfId="0" applyFont="1" applyFill="1" applyBorder="1" applyAlignment="1"/>
    <xf numFmtId="0" fontId="33" fillId="0" borderId="2" xfId="0" applyFont="1" applyFill="1" applyBorder="1" applyAlignment="1"/>
    <xf numFmtId="44" fontId="0" fillId="0" borderId="9" xfId="0" applyNumberFormat="1" applyFont="1" applyBorder="1" applyAlignment="1"/>
    <xf numFmtId="17" fontId="33" fillId="17" borderId="0" xfId="0" applyNumberFormat="1" applyFont="1" applyFill="1" applyAlignment="1">
      <alignment horizontal="left"/>
    </xf>
    <xf numFmtId="17" fontId="33" fillId="17" borderId="2" xfId="0" applyNumberFormat="1" applyFont="1" applyFill="1" applyBorder="1" applyAlignment="1">
      <alignment horizontal="left"/>
    </xf>
    <xf numFmtId="0" fontId="33" fillId="17" borderId="9" xfId="0" applyFont="1" applyFill="1" applyBorder="1" applyAlignment="1"/>
    <xf numFmtId="44" fontId="33" fillId="17" borderId="9" xfId="0" applyNumberFormat="1" applyFont="1" applyFill="1" applyBorder="1" applyAlignment="1"/>
    <xf numFmtId="0" fontId="40" fillId="15" borderId="9" xfId="0" applyFont="1" applyFill="1" applyBorder="1" applyAlignment="1"/>
    <xf numFmtId="0" fontId="40" fillId="15" borderId="9" xfId="0" applyFont="1" applyFill="1" applyBorder="1" applyAlignment="1">
      <alignment horizontal="center"/>
    </xf>
    <xf numFmtId="0" fontId="12" fillId="37" borderId="9" xfId="0" applyFont="1" applyFill="1" applyBorder="1" applyAlignment="1">
      <alignment horizontal="center"/>
    </xf>
    <xf numFmtId="44" fontId="33" fillId="18" borderId="9" xfId="0" applyNumberFormat="1" applyFont="1" applyFill="1" applyBorder="1" applyAlignment="1"/>
    <xf numFmtId="164" fontId="33" fillId="18" borderId="9" xfId="0" applyNumberFormat="1" applyFont="1" applyFill="1" applyBorder="1" applyAlignment="1"/>
    <xf numFmtId="2" fontId="0" fillId="0" borderId="5" xfId="0" applyNumberFormat="1" applyFont="1" applyBorder="1" applyAlignment="1"/>
    <xf numFmtId="2" fontId="0" fillId="0" borderId="12" xfId="0" applyNumberFormat="1" applyFont="1" applyBorder="1" applyAlignment="1"/>
    <xf numFmtId="2" fontId="0" fillId="0" borderId="7" xfId="0" applyNumberFormat="1" applyFont="1" applyBorder="1" applyAlignment="1"/>
    <xf numFmtId="0" fontId="34" fillId="17" borderId="0" xfId="0" applyFont="1" applyFill="1" applyAlignment="1"/>
    <xf numFmtId="0" fontId="18" fillId="0" borderId="1" xfId="0" applyFont="1" applyBorder="1" applyAlignment="1">
      <alignment horizontal="left" wrapText="1"/>
    </xf>
    <xf numFmtId="164" fontId="32" fillId="0" borderId="1" xfId="0" applyNumberFormat="1" applyFont="1" applyBorder="1" applyAlignment="1">
      <alignment horizontal="left" wrapText="1"/>
    </xf>
    <xf numFmtId="164" fontId="18" fillId="0" borderId="1" xfId="0" applyNumberFormat="1" applyFont="1" applyBorder="1" applyAlignment="1">
      <alignment horizontal="left" wrapText="1"/>
    </xf>
    <xf numFmtId="164" fontId="43" fillId="0" borderId="1" xfId="0" applyNumberFormat="1" applyFont="1" applyBorder="1" applyAlignment="1">
      <alignment horizontal="left" wrapText="1"/>
    </xf>
    <xf numFmtId="8" fontId="18" fillId="0" borderId="1" xfId="0" applyNumberFormat="1" applyFont="1" applyBorder="1" applyAlignment="1">
      <alignment horizontal="left" wrapText="1"/>
    </xf>
    <xf numFmtId="164" fontId="30" fillId="0" borderId="1" xfId="0" applyNumberFormat="1" applyFont="1" applyBorder="1" applyAlignment="1">
      <alignment horizontal="left" wrapText="1"/>
    </xf>
    <xf numFmtId="164" fontId="41" fillId="0" borderId="1" xfId="0" applyNumberFormat="1" applyFont="1" applyBorder="1" applyAlignment="1">
      <alignment horizontal="left" wrapText="1"/>
    </xf>
    <xf numFmtId="8" fontId="17" fillId="6" borderId="1" xfId="0" applyNumberFormat="1" applyFont="1" applyFill="1" applyBorder="1" applyAlignment="1">
      <alignment horizontal="left" wrapText="1"/>
    </xf>
    <xf numFmtId="0" fontId="18" fillId="0" borderId="0" xfId="0" applyFont="1" applyAlignment="1">
      <alignment horizontal="left" wrapText="1"/>
    </xf>
    <xf numFmtId="0" fontId="11" fillId="0" borderId="9" xfId="0" applyFont="1" applyBorder="1" applyAlignment="1"/>
    <xf numFmtId="0" fontId="11" fillId="0" borderId="9" xfId="0" applyFont="1" applyBorder="1" applyAlignment="1">
      <alignment wrapText="1"/>
    </xf>
    <xf numFmtId="0" fontId="11" fillId="37" borderId="9" xfId="0" applyFont="1" applyFill="1" applyBorder="1" applyAlignment="1">
      <alignment horizontal="center"/>
    </xf>
    <xf numFmtId="0" fontId="11" fillId="38" borderId="9" xfId="0" applyFont="1" applyFill="1" applyBorder="1" applyAlignment="1">
      <alignment horizontal="center"/>
    </xf>
    <xf numFmtId="164" fontId="0" fillId="0" borderId="9" xfId="0" applyNumberFormat="1" applyFont="1" applyBorder="1" applyAlignment="1">
      <alignment horizontal="center"/>
    </xf>
    <xf numFmtId="164" fontId="11" fillId="38" borderId="9" xfId="0" applyNumberFormat="1" applyFont="1" applyFill="1" applyBorder="1" applyAlignment="1">
      <alignment horizontal="center"/>
    </xf>
    <xf numFmtId="164" fontId="0" fillId="38" borderId="9" xfId="0" applyNumberFormat="1" applyFont="1" applyFill="1" applyBorder="1" applyAlignment="1">
      <alignment horizontal="center"/>
    </xf>
    <xf numFmtId="0" fontId="11" fillId="0" borderId="0" xfId="0" applyFont="1" applyAlignment="1"/>
    <xf numFmtId="0" fontId="10" fillId="0" borderId="0" xfId="0" applyFont="1" applyAlignment="1"/>
    <xf numFmtId="0" fontId="9" fillId="0" borderId="0" xfId="0" applyFont="1" applyAlignment="1"/>
    <xf numFmtId="0" fontId="8" fillId="0" borderId="0" xfId="0" applyFont="1" applyAlignment="1"/>
    <xf numFmtId="0" fontId="50" fillId="0" borderId="0" xfId="0" applyFont="1" applyAlignment="1"/>
    <xf numFmtId="14" fontId="17" fillId="0" borderId="32" xfId="0" applyNumberFormat="1" applyFont="1" applyBorder="1" applyAlignment="1">
      <alignment horizontal="right" vertical="center" wrapText="1"/>
    </xf>
    <xf numFmtId="14" fontId="17" fillId="0" borderId="36" xfId="0" applyNumberFormat="1" applyFont="1" applyBorder="1" applyAlignment="1">
      <alignment horizontal="right" vertical="center" wrapText="1"/>
    </xf>
    <xf numFmtId="0" fontId="18" fillId="0" borderId="31" xfId="0" applyFont="1" applyBorder="1" applyAlignment="1">
      <alignment wrapText="1"/>
    </xf>
    <xf numFmtId="0" fontId="30" fillId="0" borderId="31" xfId="0" applyFont="1" applyBorder="1" applyAlignment="1">
      <alignment wrapText="1"/>
    </xf>
    <xf numFmtId="0" fontId="17" fillId="3" borderId="37" xfId="0" applyFont="1" applyFill="1" applyBorder="1" applyAlignment="1">
      <alignment wrapText="1"/>
    </xf>
    <xf numFmtId="0" fontId="17" fillId="3" borderId="34" xfId="0" applyFont="1" applyFill="1" applyBorder="1" applyAlignment="1">
      <alignment wrapText="1"/>
    </xf>
    <xf numFmtId="0" fontId="17" fillId="3" borderId="34" xfId="0" applyFont="1" applyFill="1" applyBorder="1" applyAlignment="1">
      <alignment horizontal="left" wrapText="1"/>
    </xf>
    <xf numFmtId="1" fontId="17" fillId="3" borderId="34" xfId="0" applyNumberFormat="1" applyFont="1" applyFill="1" applyBorder="1" applyAlignment="1">
      <alignment horizontal="center" wrapText="1"/>
    </xf>
    <xf numFmtId="0" fontId="17" fillId="3" borderId="38" xfId="0" applyFont="1" applyFill="1" applyBorder="1" applyAlignment="1">
      <alignment wrapText="1"/>
    </xf>
    <xf numFmtId="14" fontId="17" fillId="0" borderId="39" xfId="0" applyNumberFormat="1" applyFont="1" applyBorder="1" applyAlignment="1">
      <alignment horizontal="right" vertical="center" wrapText="1"/>
    </xf>
    <xf numFmtId="0" fontId="30" fillId="0" borderId="33" xfId="0" applyFont="1" applyBorder="1" applyAlignment="1">
      <alignment wrapText="1"/>
    </xf>
    <xf numFmtId="8" fontId="18" fillId="0" borderId="33" xfId="0" applyNumberFormat="1" applyFont="1" applyBorder="1" applyAlignment="1">
      <alignment horizontal="right" wrapText="1"/>
    </xf>
    <xf numFmtId="164" fontId="41" fillId="0" borderId="33" xfId="0" applyNumberFormat="1" applyFont="1" applyBorder="1" applyAlignment="1">
      <alignment wrapText="1"/>
    </xf>
    <xf numFmtId="164" fontId="41" fillId="0" borderId="33" xfId="0" applyNumberFormat="1" applyFont="1" applyBorder="1" applyAlignment="1">
      <alignment horizontal="left" wrapText="1"/>
    </xf>
    <xf numFmtId="1" fontId="41" fillId="0" borderId="33" xfId="0" applyNumberFormat="1" applyFont="1" applyBorder="1" applyAlignment="1">
      <alignment horizontal="center" wrapText="1"/>
    </xf>
    <xf numFmtId="0" fontId="18" fillId="0" borderId="40" xfId="0" applyFont="1" applyBorder="1" applyAlignment="1">
      <alignment wrapText="1"/>
    </xf>
    <xf numFmtId="1" fontId="0" fillId="0" borderId="0" xfId="0" applyNumberFormat="1" applyFont="1" applyAlignment="1"/>
    <xf numFmtId="14" fontId="17" fillId="0" borderId="41" xfId="0" applyNumberFormat="1" applyFont="1" applyBorder="1" applyAlignment="1">
      <alignment horizontal="right" vertical="center" wrapText="1"/>
    </xf>
    <xf numFmtId="0" fontId="18" fillId="39" borderId="1" xfId="0" applyFont="1" applyFill="1" applyBorder="1" applyAlignment="1">
      <alignment wrapText="1"/>
    </xf>
    <xf numFmtId="0" fontId="18" fillId="0" borderId="32" xfId="0" applyFont="1" applyBorder="1" applyAlignment="1">
      <alignment wrapText="1"/>
    </xf>
    <xf numFmtId="0" fontId="52" fillId="0" borderId="1" xfId="0" applyFont="1" applyBorder="1" applyAlignment="1">
      <alignment wrapText="1"/>
    </xf>
    <xf numFmtId="0" fontId="52" fillId="39" borderId="1" xfId="0" applyFont="1" applyFill="1" applyBorder="1" applyAlignment="1">
      <alignment wrapText="1"/>
    </xf>
    <xf numFmtId="0" fontId="7" fillId="0" borderId="0" xfId="0" applyFont="1" applyAlignment="1"/>
    <xf numFmtId="0" fontId="18" fillId="0" borderId="1" xfId="5" applyFont="1" applyBorder="1" applyAlignment="1">
      <alignment wrapText="1"/>
    </xf>
    <xf numFmtId="8" fontId="18" fillId="0" borderId="1" xfId="5" applyNumberFormat="1" applyFont="1" applyBorder="1" applyAlignment="1">
      <alignment horizontal="right" wrapText="1"/>
    </xf>
    <xf numFmtId="164" fontId="41" fillId="0" borderId="1" xfId="5" applyNumberFormat="1" applyFont="1" applyBorder="1" applyAlignment="1">
      <alignment wrapText="1"/>
    </xf>
    <xf numFmtId="164" fontId="43" fillId="0" borderId="1" xfId="5" applyNumberFormat="1" applyFont="1" applyBorder="1" applyAlignment="1">
      <alignment wrapText="1"/>
    </xf>
    <xf numFmtId="1" fontId="43" fillId="0" borderId="1" xfId="5" applyNumberFormat="1" applyFont="1" applyBorder="1" applyAlignment="1">
      <alignment horizontal="center" wrapText="1"/>
    </xf>
    <xf numFmtId="1" fontId="41" fillId="0" borderId="1" xfId="5" applyNumberFormat="1" applyFont="1" applyBorder="1" applyAlignment="1">
      <alignment horizontal="center" wrapText="1"/>
    </xf>
    <xf numFmtId="164" fontId="43" fillId="0" borderId="1" xfId="5" applyNumberFormat="1" applyFont="1" applyBorder="1" applyAlignment="1">
      <alignment horizontal="left" wrapText="1"/>
    </xf>
    <xf numFmtId="164" fontId="41" fillId="0" borderId="1" xfId="5" applyNumberFormat="1" applyFont="1" applyBorder="1" applyAlignment="1">
      <alignment horizontal="left" wrapText="1"/>
    </xf>
    <xf numFmtId="14" fontId="17" fillId="0" borderId="32" xfId="5" applyNumberFormat="1" applyFont="1" applyBorder="1" applyAlignment="1">
      <alignment horizontal="right" vertical="center" wrapText="1"/>
    </xf>
    <xf numFmtId="0" fontId="18" fillId="0" borderId="31" xfId="5" applyFont="1" applyBorder="1" applyAlignment="1">
      <alignment wrapText="1"/>
    </xf>
    <xf numFmtId="0" fontId="52" fillId="0" borderId="1" xfId="5" applyFont="1" applyBorder="1" applyAlignment="1">
      <alignment wrapText="1"/>
    </xf>
    <xf numFmtId="8" fontId="52" fillId="0" borderId="1" xfId="5" applyNumberFormat="1" applyFont="1" applyBorder="1" applyAlignment="1">
      <alignment horizontal="right" wrapText="1"/>
    </xf>
    <xf numFmtId="164" fontId="54" fillId="0" borderId="1" xfId="5" applyNumberFormat="1" applyFont="1" applyBorder="1" applyAlignment="1">
      <alignment wrapText="1"/>
    </xf>
    <xf numFmtId="164" fontId="54" fillId="0" borderId="1" xfId="5" applyNumberFormat="1" applyFont="1" applyBorder="1" applyAlignment="1">
      <alignment horizontal="left" wrapText="1"/>
    </xf>
    <xf numFmtId="1" fontId="54" fillId="0" borderId="1" xfId="5" applyNumberFormat="1" applyFont="1" applyBorder="1" applyAlignment="1">
      <alignment horizontal="center" wrapText="1"/>
    </xf>
    <xf numFmtId="0" fontId="52" fillId="0" borderId="31" xfId="5" applyFont="1" applyBorder="1" applyAlignment="1">
      <alignment wrapText="1"/>
    </xf>
    <xf numFmtId="8" fontId="0" fillId="0" borderId="0" xfId="0" applyNumberFormat="1" applyFont="1" applyAlignment="1"/>
    <xf numFmtId="8" fontId="0" fillId="0" borderId="0" xfId="0" applyNumberFormat="1" applyFont="1" applyAlignment="1">
      <alignment horizontal="left"/>
    </xf>
    <xf numFmtId="164" fontId="23" fillId="0" borderId="1" xfId="0" applyNumberFormat="1" applyFont="1" applyBorder="1" applyAlignment="1">
      <alignment horizontal="left" wrapText="1"/>
    </xf>
    <xf numFmtId="14" fontId="17" fillId="0" borderId="32" xfId="6" applyNumberFormat="1" applyFont="1" applyBorder="1" applyAlignment="1">
      <alignment horizontal="right" vertical="center" wrapText="1"/>
    </xf>
    <xf numFmtId="0" fontId="18" fillId="0" borderId="1" xfId="6" applyFont="1" applyBorder="1" applyAlignment="1">
      <alignment wrapText="1"/>
    </xf>
    <xf numFmtId="8" fontId="17" fillId="5" borderId="1" xfId="6" applyNumberFormat="1" applyFont="1" applyFill="1" applyBorder="1" applyAlignment="1">
      <alignment horizontal="right" wrapText="1"/>
    </xf>
    <xf numFmtId="0" fontId="18" fillId="0" borderId="1" xfId="6" applyFont="1" applyBorder="1" applyAlignment="1">
      <alignment horizontal="left" wrapText="1"/>
    </xf>
    <xf numFmtId="8" fontId="18" fillId="0" borderId="1" xfId="6" applyNumberFormat="1" applyFont="1" applyBorder="1" applyAlignment="1">
      <alignment horizontal="right" wrapText="1"/>
    </xf>
    <xf numFmtId="164" fontId="23" fillId="0" borderId="1" xfId="6" applyNumberFormat="1" applyFont="1" applyBorder="1" applyAlignment="1">
      <alignment wrapText="1"/>
    </xf>
    <xf numFmtId="164" fontId="23" fillId="0" borderId="1" xfId="6" applyNumberFormat="1" applyFont="1" applyBorder="1" applyAlignment="1">
      <alignment horizontal="left" wrapText="1"/>
    </xf>
    <xf numFmtId="0" fontId="18" fillId="39" borderId="1" xfId="6" applyFont="1" applyFill="1" applyBorder="1" applyAlignment="1">
      <alignment wrapText="1"/>
    </xf>
    <xf numFmtId="164" fontId="18" fillId="0" borderId="1" xfId="6" applyNumberFormat="1" applyFont="1" applyBorder="1" applyAlignment="1">
      <alignment wrapText="1"/>
    </xf>
    <xf numFmtId="164" fontId="18" fillId="0" borderId="1" xfId="6" applyNumberFormat="1" applyFont="1" applyBorder="1" applyAlignment="1">
      <alignment horizontal="left" wrapText="1"/>
    </xf>
    <xf numFmtId="164" fontId="43" fillId="0" borderId="1" xfId="6" applyNumberFormat="1" applyFont="1" applyBorder="1" applyAlignment="1">
      <alignment wrapText="1"/>
    </xf>
    <xf numFmtId="164" fontId="43" fillId="0" borderId="1" xfId="6" applyNumberFormat="1" applyFont="1" applyBorder="1" applyAlignment="1">
      <alignment horizontal="left" wrapText="1"/>
    </xf>
    <xf numFmtId="8" fontId="18" fillId="0" borderId="1" xfId="6" applyNumberFormat="1" applyFont="1" applyBorder="1" applyAlignment="1">
      <alignment horizontal="left" wrapText="1"/>
    </xf>
    <xf numFmtId="0" fontId="18" fillId="0" borderId="32" xfId="6" applyFont="1" applyBorder="1" applyAlignment="1">
      <alignment wrapText="1"/>
    </xf>
    <xf numFmtId="0" fontId="5" fillId="0" borderId="0" xfId="0" applyFont="1" applyAlignment="1"/>
    <xf numFmtId="14" fontId="56" fillId="0" borderId="32" xfId="5" applyNumberFormat="1" applyFont="1" applyBorder="1" applyAlignment="1">
      <alignment horizontal="right" vertical="center" wrapText="1"/>
    </xf>
    <xf numFmtId="0" fontId="57" fillId="39" borderId="1" xfId="0" applyFont="1" applyFill="1" applyBorder="1" applyAlignment="1">
      <alignment wrapText="1"/>
    </xf>
    <xf numFmtId="0" fontId="57" fillId="0" borderId="1" xfId="0" applyFont="1" applyBorder="1" applyAlignment="1">
      <alignment wrapText="1"/>
    </xf>
    <xf numFmtId="8" fontId="57" fillId="0" borderId="1" xfId="0" applyNumberFormat="1" applyFont="1" applyBorder="1" applyAlignment="1">
      <alignment horizontal="right" wrapText="1"/>
    </xf>
    <xf numFmtId="164" fontId="58" fillId="0" borderId="1" xfId="0" applyNumberFormat="1" applyFont="1" applyBorder="1" applyAlignment="1">
      <alignment wrapText="1"/>
    </xf>
    <xf numFmtId="164" fontId="58" fillId="0" borderId="1" xfId="0" applyNumberFormat="1" applyFont="1" applyBorder="1" applyAlignment="1">
      <alignment horizontal="left" wrapText="1"/>
    </xf>
    <xf numFmtId="1" fontId="58" fillId="0" borderId="1" xfId="0" applyNumberFormat="1" applyFont="1" applyBorder="1" applyAlignment="1">
      <alignment horizontal="center" wrapText="1"/>
    </xf>
    <xf numFmtId="0" fontId="57" fillId="0" borderId="31" xfId="0" applyFont="1" applyBorder="1" applyAlignment="1">
      <alignment wrapText="1"/>
    </xf>
    <xf numFmtId="14" fontId="42" fillId="0" borderId="32" xfId="5" applyNumberFormat="1" applyFont="1" applyBorder="1" applyAlignment="1">
      <alignment horizontal="right" vertical="center" wrapText="1"/>
    </xf>
    <xf numFmtId="0" fontId="4" fillId="0" borderId="0" xfId="0" applyFont="1" applyAlignment="1"/>
    <xf numFmtId="0" fontId="0" fillId="0" borderId="2" xfId="0" applyBorder="1"/>
    <xf numFmtId="0" fontId="33" fillId="40" borderId="9" xfId="0" applyFont="1" applyFill="1" applyBorder="1"/>
    <xf numFmtId="0" fontId="0" fillId="40" borderId="9" xfId="0" applyFill="1" applyBorder="1"/>
    <xf numFmtId="0" fontId="0" fillId="0" borderId="0" xfId="0"/>
    <xf numFmtId="0" fontId="0" fillId="0" borderId="9" xfId="0" applyBorder="1"/>
    <xf numFmtId="164" fontId="0" fillId="0" borderId="9" xfId="0" applyNumberFormat="1" applyBorder="1"/>
    <xf numFmtId="0" fontId="0" fillId="0" borderId="9" xfId="0" applyFill="1" applyBorder="1"/>
    <xf numFmtId="0" fontId="33" fillId="0" borderId="9" xfId="0" applyFont="1" applyBorder="1"/>
    <xf numFmtId="8" fontId="33" fillId="0" borderId="9" xfId="0" applyNumberFormat="1" applyFont="1" applyBorder="1"/>
    <xf numFmtId="164" fontId="33" fillId="0" borderId="9" xfId="0" applyNumberFormat="1" applyFont="1" applyBorder="1"/>
    <xf numFmtId="0" fontId="33" fillId="0" borderId="2" xfId="0" applyFont="1" applyBorder="1"/>
    <xf numFmtId="8" fontId="33" fillId="0" borderId="2" xfId="0" applyNumberFormat="1" applyFont="1" applyBorder="1"/>
    <xf numFmtId="164" fontId="33" fillId="40" borderId="9" xfId="0" applyNumberFormat="1" applyFont="1" applyFill="1" applyBorder="1"/>
    <xf numFmtId="0" fontId="0" fillId="0" borderId="9" xfId="0" applyFont="1" applyFill="1" applyBorder="1"/>
    <xf numFmtId="8" fontId="0" fillId="0" borderId="9" xfId="0" applyNumberFormat="1" applyBorder="1"/>
    <xf numFmtId="0" fontId="33" fillId="0" borderId="9" xfId="0" applyFont="1" applyFill="1" applyBorder="1"/>
    <xf numFmtId="164" fontId="0" fillId="0" borderId="9" xfId="0" applyNumberFormat="1" applyFont="1" applyBorder="1"/>
    <xf numFmtId="44" fontId="33" fillId="0" borderId="9" xfId="0" applyNumberFormat="1" applyFont="1" applyBorder="1" applyAlignment="1"/>
    <xf numFmtId="44" fontId="0" fillId="0" borderId="9" xfId="0" applyNumberFormat="1" applyBorder="1" applyAlignment="1"/>
    <xf numFmtId="44" fontId="0" fillId="0" borderId="2" xfId="0" applyNumberFormat="1" applyBorder="1"/>
    <xf numFmtId="0" fontId="26" fillId="0" borderId="0" xfId="0" applyFont="1" applyAlignment="1">
      <alignment horizontal="center"/>
    </xf>
    <xf numFmtId="0" fontId="25" fillId="0" borderId="0" xfId="0" applyFont="1" applyAlignment="1">
      <alignment horizontal="center" vertical="center"/>
    </xf>
    <xf numFmtId="164" fontId="26" fillId="0" borderId="9" xfId="0" applyNumberFormat="1" applyFont="1" applyBorder="1" applyAlignment="1">
      <alignment horizontal="center"/>
    </xf>
    <xf numFmtId="8" fontId="25" fillId="0" borderId="9" xfId="0" applyNumberFormat="1" applyFont="1" applyBorder="1" applyAlignment="1">
      <alignment horizontal="center" vertical="center"/>
    </xf>
    <xf numFmtId="0" fontId="0" fillId="0" borderId="29" xfId="0" applyBorder="1"/>
    <xf numFmtId="164" fontId="0" fillId="0" borderId="29" xfId="0" applyNumberFormat="1" applyBorder="1"/>
    <xf numFmtId="164" fontId="25" fillId="0" borderId="9" xfId="0" applyNumberFormat="1" applyFont="1" applyBorder="1" applyAlignment="1">
      <alignment horizontal="center" vertical="center"/>
    </xf>
    <xf numFmtId="0" fontId="3" fillId="0" borderId="0" xfId="0" applyFont="1" applyAlignment="1"/>
    <xf numFmtId="0" fontId="33" fillId="41" borderId="9" xfId="0" applyFont="1" applyFill="1" applyBorder="1" applyAlignment="1"/>
    <xf numFmtId="164" fontId="33" fillId="41" borderId="9" xfId="0" applyNumberFormat="1" applyFont="1" applyFill="1" applyBorder="1" applyAlignment="1"/>
    <xf numFmtId="0" fontId="0" fillId="41" borderId="9" xfId="0" applyFont="1" applyFill="1" applyBorder="1" applyAlignment="1"/>
    <xf numFmtId="0" fontId="33" fillId="41" borderId="9" xfId="0" applyFont="1" applyFill="1" applyBorder="1" applyAlignment="1">
      <alignment horizontal="left"/>
    </xf>
    <xf numFmtId="0" fontId="60" fillId="39" borderId="1" xfId="0" applyFont="1" applyFill="1" applyBorder="1" applyAlignment="1">
      <alignment wrapText="1"/>
    </xf>
    <xf numFmtId="0" fontId="60" fillId="0" borderId="1" xfId="0" applyFont="1" applyBorder="1" applyAlignment="1">
      <alignment wrapText="1"/>
    </xf>
    <xf numFmtId="8" fontId="60" fillId="0" borderId="1" xfId="0" applyNumberFormat="1" applyFont="1" applyBorder="1" applyAlignment="1">
      <alignment horizontal="right" wrapText="1"/>
    </xf>
    <xf numFmtId="164" fontId="61" fillId="0" borderId="1" xfId="0" applyNumberFormat="1" applyFont="1" applyBorder="1" applyAlignment="1">
      <alignment wrapText="1"/>
    </xf>
    <xf numFmtId="164" fontId="61" fillId="0" borderId="1" xfId="0" applyNumberFormat="1" applyFont="1" applyBorder="1" applyAlignment="1">
      <alignment horizontal="left" wrapText="1"/>
    </xf>
    <xf numFmtId="1" fontId="61" fillId="0" borderId="1" xfId="0" applyNumberFormat="1" applyFont="1" applyBorder="1" applyAlignment="1">
      <alignment horizontal="center" wrapText="1"/>
    </xf>
    <xf numFmtId="0" fontId="60" fillId="0" borderId="31" xfId="0" applyFont="1" applyBorder="1" applyAlignment="1">
      <alignment wrapText="1"/>
    </xf>
    <xf numFmtId="0" fontId="59" fillId="15" borderId="3" xfId="0" applyFont="1" applyFill="1" applyBorder="1" applyAlignment="1"/>
    <xf numFmtId="0" fontId="59" fillId="15" borderId="5" xfId="0" applyFont="1" applyFill="1" applyBorder="1" applyAlignment="1"/>
    <xf numFmtId="0" fontId="59" fillId="0" borderId="8" xfId="0" pivotButton="1" applyFont="1" applyBorder="1" applyAlignment="1"/>
    <xf numFmtId="0" fontId="62" fillId="18" borderId="9" xfId="0" applyFont="1" applyFill="1" applyBorder="1" applyAlignment="1">
      <alignment horizontal="left"/>
    </xf>
    <xf numFmtId="0" fontId="33" fillId="11" borderId="9" xfId="0" applyFont="1" applyFill="1" applyBorder="1" applyAlignment="1"/>
    <xf numFmtId="164" fontId="33" fillId="11" borderId="9" xfId="0" applyNumberFormat="1" applyFont="1" applyFill="1" applyBorder="1" applyAlignment="1"/>
    <xf numFmtId="0" fontId="2" fillId="0" borderId="9" xfId="0" applyFont="1" applyBorder="1" applyAlignment="1"/>
    <xf numFmtId="0" fontId="63" fillId="0" borderId="0" xfId="0" applyFont="1" applyAlignment="1">
      <alignment vertical="center"/>
    </xf>
    <xf numFmtId="0" fontId="33" fillId="11" borderId="9" xfId="0" applyFont="1" applyFill="1" applyBorder="1" applyAlignment="1">
      <alignment horizontal="left"/>
    </xf>
    <xf numFmtId="0" fontId="64" fillId="11" borderId="9" xfId="0" applyFont="1" applyFill="1" applyBorder="1" applyAlignment="1">
      <alignment horizontal="left"/>
    </xf>
    <xf numFmtId="164" fontId="64" fillId="11" borderId="9" xfId="0" applyNumberFormat="1" applyFont="1" applyFill="1" applyBorder="1" applyAlignment="1"/>
    <xf numFmtId="0" fontId="12" fillId="0" borderId="2" xfId="0" applyFont="1" applyBorder="1" applyAlignment="1"/>
    <xf numFmtId="0" fontId="49" fillId="0" borderId="0" xfId="0" applyFont="1" applyFill="1" applyBorder="1" applyAlignment="1">
      <alignment wrapText="1"/>
    </xf>
    <xf numFmtId="8" fontId="0" fillId="0" borderId="9" xfId="0" applyNumberFormat="1" applyFont="1" applyBorder="1" applyAlignment="1"/>
    <xf numFmtId="8" fontId="33" fillId="0" borderId="9" xfId="0" applyNumberFormat="1" applyFont="1" applyBorder="1" applyAlignment="1"/>
    <xf numFmtId="0" fontId="0" fillId="7" borderId="9" xfId="0" applyFont="1" applyFill="1" applyBorder="1" applyAlignment="1"/>
    <xf numFmtId="0" fontId="1" fillId="42" borderId="9" xfId="0" applyFont="1" applyFill="1" applyBorder="1" applyAlignment="1"/>
    <xf numFmtId="0" fontId="17" fillId="0" borderId="1" xfId="6" applyFont="1" applyBorder="1" applyAlignment="1">
      <alignment wrapText="1"/>
    </xf>
    <xf numFmtId="0" fontId="0" fillId="0" borderId="2" xfId="0" applyFont="1" applyBorder="1" applyAlignment="1">
      <alignment horizontal="left"/>
    </xf>
    <xf numFmtId="164" fontId="0" fillId="0" borderId="2" xfId="0" applyNumberFormat="1" applyFont="1" applyBorder="1" applyAlignment="1"/>
    <xf numFmtId="14" fontId="65" fillId="0" borderId="32" xfId="5" applyNumberFormat="1" applyFont="1" applyBorder="1" applyAlignment="1">
      <alignment horizontal="right" vertical="center" wrapText="1"/>
    </xf>
    <xf numFmtId="0" fontId="60" fillId="0" borderId="1" xfId="6" applyFont="1" applyBorder="1" applyAlignment="1">
      <alignment wrapText="1"/>
    </xf>
    <xf numFmtId="0" fontId="60" fillId="39" borderId="1" xfId="6" applyFont="1" applyFill="1" applyBorder="1" applyAlignment="1">
      <alignment wrapText="1"/>
    </xf>
    <xf numFmtId="8" fontId="60" fillId="0" borderId="1" xfId="6" applyNumberFormat="1" applyFont="1" applyBorder="1" applyAlignment="1">
      <alignment horizontal="right" wrapText="1"/>
    </xf>
    <xf numFmtId="164" fontId="61" fillId="0" borderId="1" xfId="6" applyNumberFormat="1" applyFont="1" applyBorder="1" applyAlignment="1">
      <alignment wrapText="1"/>
    </xf>
    <xf numFmtId="164" fontId="61" fillId="0" borderId="1" xfId="6" applyNumberFormat="1" applyFont="1" applyBorder="1" applyAlignment="1">
      <alignment horizontal="left" wrapText="1"/>
    </xf>
    <xf numFmtId="44" fontId="20" fillId="0" borderId="1" xfId="0" applyNumberFormat="1" applyFont="1" applyBorder="1"/>
    <xf numFmtId="0" fontId="31" fillId="3" borderId="10" xfId="0" applyFont="1" applyFill="1" applyBorder="1" applyAlignment="1">
      <alignment horizontal="center" wrapText="1"/>
    </xf>
    <xf numFmtId="0" fontId="31" fillId="8" borderId="10" xfId="0" applyFont="1" applyFill="1" applyBorder="1" applyAlignment="1">
      <alignment horizontal="center" wrapText="1"/>
    </xf>
    <xf numFmtId="0" fontId="31" fillId="10" borderId="10" xfId="0" applyFont="1" applyFill="1" applyBorder="1" applyAlignment="1">
      <alignment horizontal="center" wrapText="1"/>
    </xf>
    <xf numFmtId="0" fontId="33" fillId="15" borderId="13" xfId="0" applyFont="1" applyFill="1" applyBorder="1" applyAlignment="1">
      <alignment horizontal="center"/>
    </xf>
    <xf numFmtId="0" fontId="33" fillId="15" borderId="14" xfId="0" applyFont="1" applyFill="1" applyBorder="1" applyAlignment="1">
      <alignment horizontal="center"/>
    </xf>
    <xf numFmtId="0" fontId="33" fillId="15" borderId="15" xfId="0" applyFont="1" applyFill="1" applyBorder="1" applyAlignment="1">
      <alignment horizontal="center"/>
    </xf>
    <xf numFmtId="0" fontId="33" fillId="14" borderId="13" xfId="0" applyFont="1" applyFill="1" applyBorder="1" applyAlignment="1">
      <alignment horizontal="center"/>
    </xf>
    <xf numFmtId="0" fontId="33" fillId="14" borderId="14" xfId="0" applyFont="1" applyFill="1" applyBorder="1" applyAlignment="1">
      <alignment horizontal="center"/>
    </xf>
    <xf numFmtId="0" fontId="33" fillId="14" borderId="15" xfId="0" applyFont="1" applyFill="1" applyBorder="1" applyAlignment="1">
      <alignment horizontal="center"/>
    </xf>
    <xf numFmtId="0" fontId="33" fillId="16" borderId="13" xfId="0" applyFont="1" applyFill="1" applyBorder="1" applyAlignment="1">
      <alignment horizontal="center"/>
    </xf>
    <xf numFmtId="0" fontId="33" fillId="16" borderId="14" xfId="0" applyFont="1" applyFill="1" applyBorder="1" applyAlignment="1">
      <alignment horizontal="center"/>
    </xf>
    <xf numFmtId="0" fontId="33" fillId="16" borderId="15" xfId="0" applyFont="1" applyFill="1" applyBorder="1" applyAlignment="1">
      <alignment horizontal="center"/>
    </xf>
    <xf numFmtId="0" fontId="37" fillId="0" borderId="0" xfId="0" applyFont="1" applyAlignment="1">
      <alignment horizontal="center"/>
    </xf>
    <xf numFmtId="0" fontId="33" fillId="34" borderId="23" xfId="0" applyFont="1" applyFill="1" applyBorder="1" applyAlignment="1">
      <alignment horizontal="center"/>
    </xf>
    <xf numFmtId="0" fontId="33" fillId="34" borderId="24" xfId="0" applyFont="1" applyFill="1" applyBorder="1" applyAlignment="1">
      <alignment horizontal="center"/>
    </xf>
    <xf numFmtId="0" fontId="12" fillId="0" borderId="25" xfId="0" applyFont="1" applyBorder="1" applyAlignment="1">
      <alignment horizontal="center" vertical="center" wrapText="1"/>
    </xf>
    <xf numFmtId="0" fontId="0" fillId="0" borderId="26" xfId="0" applyFont="1" applyBorder="1" applyAlignment="1">
      <alignment horizontal="center" vertical="center"/>
    </xf>
    <xf numFmtId="0" fontId="0" fillId="0" borderId="27" xfId="0" applyFont="1" applyBorder="1" applyAlignment="1">
      <alignment horizontal="center" vertical="center"/>
    </xf>
    <xf numFmtId="0" fontId="0" fillId="0" borderId="28" xfId="0" applyFont="1" applyBorder="1" applyAlignment="1">
      <alignment horizontal="center" vertical="center"/>
    </xf>
    <xf numFmtId="0" fontId="12" fillId="0" borderId="10" xfId="0" applyFont="1" applyBorder="1" applyAlignment="1">
      <alignment horizontal="center" vertical="center" wrapText="1"/>
    </xf>
    <xf numFmtId="0" fontId="12" fillId="0" borderId="29" xfId="0" applyFont="1" applyBorder="1" applyAlignment="1">
      <alignment horizontal="center" vertical="center" wrapText="1"/>
    </xf>
    <xf numFmtId="0" fontId="12" fillId="0" borderId="30" xfId="0" applyFont="1" applyBorder="1" applyAlignment="1">
      <alignment horizontal="left" vertical="top" wrapText="1"/>
    </xf>
    <xf numFmtId="0" fontId="12" fillId="0" borderId="0" xfId="0" applyFont="1" applyAlignment="1">
      <alignment horizontal="left" vertical="top" wrapText="1"/>
    </xf>
    <xf numFmtId="0" fontId="33" fillId="25" borderId="9" xfId="0" applyFont="1" applyFill="1" applyBorder="1" applyAlignment="1">
      <alignment horizontal="center"/>
    </xf>
  </cellXfs>
  <cellStyles count="7">
    <cellStyle name="Bad" xfId="2" builtinId="27"/>
    <cellStyle name="Currency" xfId="3" builtinId="4"/>
    <cellStyle name="Good" xfId="1" builtinId="26"/>
    <cellStyle name="Normal" xfId="0" builtinId="0"/>
    <cellStyle name="Normal 2" xfId="5"/>
    <cellStyle name="Normal 3" xfId="4"/>
    <cellStyle name="Normal 4" xfId="6"/>
  </cellStyles>
  <dxfs count="25180">
    <dxf>
      <numFmt numFmtId="34" formatCode="_ &quot;₹&quot;\ * #,##0.00_ ;_ &quot;₹&quot;\ * \-#,##0.00_ ;_ &quot;₹&quot;\ * &quot;-&quot;??_ ;_ @_ "/>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006100"/>
      </font>
      <fill>
        <patternFill>
          <bgColor rgb="FFC6EFCE"/>
        </patternFill>
      </fill>
    </dxf>
    <dxf>
      <font>
        <color rgb="FF9C0006"/>
      </font>
      <fill>
        <patternFill>
          <bgColor rgb="FFFFC7CE"/>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006100"/>
      </font>
      <fill>
        <patternFill>
          <bgColor rgb="FFC6EFCE"/>
        </patternFill>
      </fill>
    </dxf>
    <dxf>
      <font>
        <color rgb="FF9C0006"/>
      </font>
      <fill>
        <patternFill>
          <bgColor rgb="FFFFC7CE"/>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006100"/>
      </font>
      <fill>
        <patternFill>
          <bgColor rgb="FFC6EFCE"/>
        </patternFill>
      </fill>
    </dxf>
    <dxf>
      <font>
        <color rgb="FF9C0006"/>
      </font>
      <fill>
        <patternFill>
          <bgColor rgb="FFFFC7CE"/>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006100"/>
      </font>
      <fill>
        <patternFill>
          <bgColor rgb="FFC6EFCE"/>
        </patternFill>
      </fill>
    </dxf>
    <dxf>
      <font>
        <color rgb="FF9C0006"/>
      </font>
      <fill>
        <patternFill>
          <bgColor rgb="FFFFC7CE"/>
        </patternFill>
      </fill>
    </dxf>
    <dxf>
      <fill>
        <patternFill>
          <bgColor rgb="FF67F3F0"/>
        </patternFill>
      </fill>
    </dxf>
    <dxf>
      <fill>
        <patternFill>
          <bgColor rgb="FF67F3F0"/>
        </patternFill>
      </fill>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ont>
        <color theme="9"/>
      </font>
    </dxf>
    <dxf>
      <fill>
        <patternFill>
          <bgColor rgb="FF67F3F0"/>
        </patternFill>
      </fill>
    </dxf>
    <dxf>
      <font>
        <color rgb="FF006100"/>
      </font>
      <fill>
        <patternFill>
          <bgColor rgb="FFC6EFCE"/>
        </patternFill>
      </fill>
    </dxf>
    <dxf>
      <font>
        <color rgb="FF9C0006"/>
      </font>
      <fill>
        <patternFill>
          <bgColor rgb="FFFFC7CE"/>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ill>
        <patternFill>
          <bgColor rgb="FF67F3F0"/>
        </patternFill>
      </fill>
    </dxf>
    <dxf>
      <font>
        <color rgb="FF006100"/>
      </font>
      <fill>
        <patternFill>
          <bgColor rgb="FFC6EFCE"/>
        </patternFill>
      </fill>
    </dxf>
    <dxf>
      <font>
        <color rgb="FF9C0006"/>
      </font>
      <fill>
        <patternFill>
          <bgColor rgb="FFFFC7CE"/>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ill>
        <patternFill>
          <bgColor rgb="FF67F3F0"/>
        </patternFill>
      </fill>
    </dxf>
    <dxf>
      <font>
        <color rgb="FFFF00FF"/>
      </font>
    </dxf>
    <dxf>
      <font>
        <color rgb="FFFF00FF"/>
      </font>
    </dxf>
    <dxf>
      <font>
        <color theme="9" tint="-0.24994659260841701"/>
      </font>
    </dxf>
    <dxf>
      <font>
        <color rgb="FF009644"/>
      </font>
    </dxf>
    <dxf>
      <font>
        <color theme="9" tint="-0.24994659260841701"/>
      </font>
    </dxf>
    <dxf>
      <font>
        <color theme="9" tint="-0.24994659260841701"/>
      </font>
    </dxf>
    <dxf>
      <font>
        <color theme="7" tint="-0.24994659260841701"/>
      </font>
    </dxf>
    <dxf>
      <font>
        <color theme="4" tint="-0.24994659260841701"/>
      </font>
    </dxf>
    <dxf>
      <fill>
        <patternFill>
          <bgColor rgb="FF67F3F0"/>
        </patternFill>
      </fill>
    </dxf>
    <dxf>
      <font>
        <color rgb="FF006100"/>
      </font>
      <fill>
        <patternFill>
          <bgColor rgb="FFC6EFCE"/>
        </patternFill>
      </fill>
    </dxf>
    <dxf>
      <font>
        <color rgb="FF9C0006"/>
      </font>
      <fill>
        <patternFill>
          <bgColor rgb="FFFFC7CE"/>
        </patternFill>
      </fill>
    </dxf>
    <dxf>
      <font>
        <color rgb="FF33CC33"/>
      </font>
    </dxf>
    <dxf>
      <font>
        <color rgb="FF33CC33"/>
      </font>
    </dxf>
    <dxf>
      <font>
        <color rgb="FF33CC33"/>
      </font>
    </dxf>
    <dxf>
      <font>
        <color rgb="FF33CC33"/>
      </font>
    </dxf>
    <dxf>
      <font>
        <color rgb="FF33CC33"/>
      </font>
    </dxf>
    <dxf>
      <font>
        <color rgb="FF33CC33"/>
      </font>
    </dxf>
    <dxf>
      <font>
        <color rgb="FF33CC33"/>
      </font>
    </dxf>
    <dxf>
      <font>
        <color rgb="FF33CC33"/>
      </font>
    </dxf>
    <dxf>
      <font>
        <color rgb="FF33CC33"/>
      </font>
    </dxf>
    <dxf>
      <font>
        <color rgb="FF33CC33"/>
      </font>
    </dxf>
    <dxf>
      <font>
        <color rgb="FF33CC33"/>
      </font>
    </dxf>
    <dxf>
      <font>
        <color rgb="FF33CC33"/>
      </font>
    </dxf>
    <dxf>
      <font>
        <color rgb="FF33CC33"/>
      </font>
    </dxf>
    <dxf>
      <font>
        <color rgb="FF33CC33"/>
      </font>
    </dxf>
    <dxf>
      <font>
        <color rgb="FF33CC33"/>
      </font>
    </dxf>
    <dxf>
      <font>
        <color rgb="FF33CC33"/>
      </font>
    </dxf>
    <dxf>
      <font>
        <color rgb="FF33CC33"/>
      </font>
    </dxf>
    <dxf>
      <font>
        <color theme="9"/>
      </font>
    </dxf>
    <dxf>
      <font>
        <color rgb="FFFF00FF"/>
      </font>
    </dxf>
    <dxf>
      <font>
        <color rgb="FFFF00FF"/>
      </font>
    </dxf>
    <dxf>
      <font>
        <color theme="9"/>
      </font>
    </dxf>
    <dxf>
      <font>
        <color rgb="FFFF00FF"/>
      </font>
    </dxf>
    <dxf>
      <font>
        <color rgb="FFFF00FF"/>
      </font>
    </dxf>
    <dxf>
      <font>
        <color theme="9"/>
      </font>
    </dxf>
    <dxf>
      <font>
        <color rgb="FFFF00FF"/>
      </font>
    </dxf>
    <dxf>
      <font>
        <color rgb="FFFF00FF"/>
      </font>
    </dxf>
    <dxf>
      <font>
        <color theme="9"/>
      </font>
    </dxf>
    <dxf>
      <font>
        <color rgb="FFFF00FF"/>
      </font>
    </dxf>
    <dxf>
      <font>
        <color rgb="FFFF00FF"/>
      </font>
    </dxf>
    <dxf>
      <font>
        <color theme="9"/>
      </font>
    </dxf>
    <dxf>
      <font>
        <color rgb="FFFF00FF"/>
      </font>
    </dxf>
    <dxf>
      <font>
        <color rgb="FFFF00FF"/>
      </font>
    </dxf>
    <dxf>
      <font>
        <color theme="9"/>
      </font>
    </dxf>
    <dxf>
      <font>
        <color rgb="FFFF00FF"/>
      </font>
    </dxf>
    <dxf>
      <font>
        <color rgb="FFFF00FF"/>
      </font>
    </dxf>
    <dxf>
      <font>
        <color theme="9"/>
      </font>
    </dxf>
    <dxf>
      <font>
        <color rgb="FFFF00FF"/>
      </font>
    </dxf>
    <dxf>
      <font>
        <color rgb="FFFF00FF"/>
      </font>
    </dxf>
    <dxf>
      <font>
        <color theme="9"/>
      </font>
    </dxf>
    <dxf>
      <font>
        <color rgb="FFFF00FF"/>
      </font>
    </dxf>
    <dxf>
      <font>
        <color rgb="FFFF00FF"/>
      </font>
    </dxf>
    <dxf>
      <font>
        <color theme="9"/>
      </font>
    </dxf>
    <dxf>
      <font>
        <color rgb="FFFF00FF"/>
      </font>
    </dxf>
    <dxf>
      <font>
        <color rgb="FFFF00FF"/>
      </font>
    </dxf>
    <dxf>
      <font>
        <color theme="9"/>
      </font>
    </dxf>
    <dxf>
      <font>
        <color rgb="FFFF00FF"/>
      </font>
    </dxf>
    <dxf>
      <font>
        <color rgb="FFFF00FF"/>
      </font>
    </dxf>
    <dxf>
      <font>
        <color theme="9"/>
      </font>
    </dxf>
    <dxf>
      <font>
        <color rgb="FFFF00FF"/>
      </font>
    </dxf>
    <dxf>
      <font>
        <color rgb="FFFF00FF"/>
      </font>
    </dxf>
    <dxf>
      <font>
        <color theme="9"/>
      </font>
    </dxf>
    <dxf>
      <font>
        <color rgb="FFFF00FF"/>
      </font>
    </dxf>
    <dxf>
      <font>
        <color rgb="FFFF00FF"/>
      </font>
    </dxf>
    <dxf>
      <font>
        <color theme="9"/>
      </font>
    </dxf>
    <dxf>
      <font>
        <color rgb="FFFF00FF"/>
      </font>
    </dxf>
    <dxf>
      <font>
        <color rgb="FFFF00FF"/>
      </font>
    </dxf>
    <dxf>
      <font>
        <color theme="9"/>
      </font>
    </dxf>
    <dxf>
      <font>
        <color rgb="FFFF00FF"/>
      </font>
    </dxf>
    <dxf>
      <font>
        <color rgb="FFFF00FF"/>
      </font>
    </dxf>
    <dxf>
      <font>
        <color theme="9"/>
      </font>
    </dxf>
    <dxf>
      <font>
        <color rgb="FFFF00FF"/>
      </font>
    </dxf>
    <dxf>
      <font>
        <color rgb="FFFF00FF"/>
      </font>
    </dxf>
    <dxf>
      <font>
        <color theme="9"/>
      </font>
    </dxf>
    <dxf>
      <font>
        <color rgb="FFFF00FF"/>
      </font>
    </dxf>
    <dxf>
      <font>
        <color rgb="FFFF00FF"/>
      </font>
    </dxf>
    <dxf>
      <font>
        <color rgb="FF006100"/>
      </font>
      <fill>
        <patternFill>
          <bgColor rgb="FFC6EFCE"/>
        </patternFill>
      </fill>
    </dxf>
    <dxf>
      <font>
        <color rgb="FF9C0006"/>
      </font>
      <fill>
        <patternFill>
          <bgColor rgb="FFFFC7CE"/>
        </patternFill>
      </fill>
    </dxf>
    <dxf>
      <font>
        <color theme="9"/>
      </font>
    </dxf>
    <dxf>
      <font>
        <color rgb="FFFF00FF"/>
      </font>
    </dxf>
    <dxf>
      <font>
        <color rgb="FFFF00FF"/>
      </font>
    </dxf>
    <dxf>
      <font>
        <color rgb="FF33CC33"/>
      </font>
    </dxf>
    <dxf>
      <font>
        <color rgb="FF33CC33"/>
      </font>
    </dxf>
    <dxf>
      <font>
        <color rgb="FF006100"/>
      </font>
      <fill>
        <patternFill>
          <bgColor rgb="FFC6EFCE"/>
        </patternFill>
      </fill>
    </dxf>
    <dxf>
      <font>
        <color rgb="FF9C0006"/>
      </font>
      <fill>
        <patternFill>
          <bgColor rgb="FFFFC7CE"/>
        </patternFill>
      </fill>
    </dxf>
    <dxf>
      <font>
        <color theme="9"/>
      </font>
    </dxf>
    <dxf>
      <font>
        <color rgb="FFFF00FF"/>
      </font>
    </dxf>
    <dxf>
      <font>
        <color rgb="FFFF00FF"/>
      </font>
    </dxf>
    <dxf>
      <font>
        <color theme="9"/>
      </font>
    </dxf>
    <dxf>
      <font>
        <color rgb="FFFF00FF"/>
      </font>
    </dxf>
    <dxf>
      <font>
        <color rgb="FFFF00FF"/>
      </font>
    </dxf>
    <dxf>
      <numFmt numFmtId="1" formatCode="0"/>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numFmt numFmtId="164" formatCode="&quot;₹&quot;\ #,##0.00"/>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numFmt numFmtId="1" formatCode="0"/>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numFmt numFmtId="164" formatCode="&quot;₹&quot;\ #,##0.00"/>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numFmt numFmtId="164" formatCode="&quot;₹&quot;\ #,##0.00"/>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numFmt numFmtId="164" formatCode="&quot;₹&quot;\ #,##0.00"/>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numFmt numFmtId="164" formatCode="&quot;₹&quot;\ #,##0.00"/>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numFmt numFmtId="164" formatCode="&quot;₹&quot;\ #,##0.00"/>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2" formatCode="&quot;₹&quot;\ #,##0.00;[Red]&quot;₹&quot;\ \-#,##0.00"/>
      <alignment horizontal="righ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theme="1"/>
        <name val="Arial"/>
        <scheme val="none"/>
      </font>
      <numFmt numFmtId="19" formatCode="dd/mm/yyyy"/>
      <alignment horizontal="right"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theme="1"/>
        <name val="Arial"/>
        <scheme val="none"/>
      </font>
      <fill>
        <patternFill patternType="solid">
          <fgColor rgb="FFA4C2F4"/>
          <bgColor rgb="FFA4C2F4"/>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164" formatCode="&quot;₹&quot;\ #,##0.00"/>
    </dxf>
    <dxf>
      <numFmt numFmtId="164" formatCode="&quot;₹&quot;\ #,##0.00"/>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164" formatCode="&quot;₹&quot;\ #,##0.00"/>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numFmt numFmtId="164" formatCode="&quot;₹&quot;\ #,##0.00"/>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numFmt numFmtId="1" formatCode="0"/>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numFmt numFmtId="164" formatCode="&quot;₹&quot;\ #,##0.00"/>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numFmt numFmtId="164" formatCode="&quot;₹&quot;\ #,##0.00"/>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numFmt numFmtId="164" formatCode="&quot;₹&quot;\ #,##0.00"/>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numFmt numFmtId="164" formatCode="&quot;₹&quot;\ #,##0.00"/>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numFmt numFmtId="164" formatCode="&quot;₹&quot;\ #,##0.00"/>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2" formatCode="&quot;₹&quot;\ #,##0.00;[Red]&quot;₹&quot;\ \-#,##0.00"/>
      <alignment horizontal="righ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theme="1"/>
        <name val="Arial"/>
        <scheme val="none"/>
      </font>
      <numFmt numFmtId="19" formatCode="dd/mm/yyyy"/>
      <alignment horizontal="right"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theme="1"/>
        <name val="Arial"/>
        <scheme val="none"/>
      </font>
      <fill>
        <patternFill patternType="solid">
          <fgColor rgb="FFA4C2F4"/>
          <bgColor rgb="FFA4C2F4"/>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164" formatCode="&quot;₹&quot;\ #,##0.00"/>
    </dxf>
    <dxf>
      <numFmt numFmtId="164" formatCode="&quot;₹&quot;\ #,##0.00"/>
    </dxf>
    <dxf>
      <numFmt numFmtId="164" formatCode="&quot;₹&quot;\ #,##0.00"/>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numFmt numFmtId="164" formatCode="&quot;₹&quot;\ #,##0.00"/>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numFmt numFmtId="1" formatCode="0"/>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numFmt numFmtId="164" formatCode="&quot;₹&quot;\ #,##0.00"/>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numFmt numFmtId="164" formatCode="&quot;₹&quot;\ #,##0.00"/>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numFmt numFmtId="164" formatCode="&quot;₹&quot;\ #,##0.00"/>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numFmt numFmtId="164" formatCode="&quot;₹&quot;\ #,##0.00"/>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numFmt numFmtId="164" formatCode="&quot;₹&quot;\ #,##0.00"/>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2" formatCode="&quot;₹&quot;\ #,##0.00;[Red]&quot;₹&quot;\ \-#,##0.00"/>
      <alignment horizontal="righ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theme="1"/>
        <name val="Arial"/>
        <scheme val="none"/>
      </font>
      <numFmt numFmtId="19" formatCode="dd/mm/yyyy"/>
      <alignment horizontal="right"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theme="1"/>
        <name val="Arial"/>
        <scheme val="none"/>
      </font>
      <fill>
        <patternFill patternType="solid">
          <fgColor rgb="FFA4C2F4"/>
          <bgColor rgb="FFA4C2F4"/>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164" formatCode="&quot;₹&quot;\ #,##0.00"/>
    </dxf>
    <dxf>
      <numFmt numFmtId="164" formatCode="&quot;₹&quot;\ #,##0.00"/>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164" formatCode="&quot;₹&quot;\ #,##0.00"/>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numFmt numFmtId="164" formatCode="&quot;₹&quot;\ #,##0.00"/>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numFmt numFmtId="1" formatCode="0"/>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numFmt numFmtId="164" formatCode="&quot;₹&quot;\ #,##0.00"/>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numFmt numFmtId="164" formatCode="&quot;₹&quot;\ #,##0.00"/>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numFmt numFmtId="164" formatCode="&quot;₹&quot;\ #,##0.00"/>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numFmt numFmtId="164" formatCode="&quot;₹&quot;\ #,##0.00"/>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numFmt numFmtId="164" formatCode="&quot;₹&quot;\ #,##0.00"/>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2" formatCode="&quot;₹&quot;\ #,##0.00;[Red]&quot;₹&quot;\ \-#,##0.00"/>
      <alignment horizontal="righ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theme="1"/>
        <name val="Arial"/>
        <scheme val="none"/>
      </font>
      <numFmt numFmtId="19" formatCode="dd/mm/yyyy"/>
      <alignment horizontal="right"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theme="1"/>
        <name val="Arial"/>
        <scheme val="none"/>
      </font>
      <fill>
        <patternFill patternType="solid">
          <fgColor rgb="FFA4C2F4"/>
          <bgColor rgb="FFA4C2F4"/>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164" formatCode="&quot;₹&quot;\ #,##0.00"/>
    </dxf>
    <dxf>
      <numFmt numFmtId="164" formatCode="&quot;₹&quot;\ #,##0.00"/>
    </dxf>
    <dxf>
      <numFmt numFmtId="164" formatCode="&quot;₹&quot;\ #,##0.00"/>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numFmt numFmtId="164" formatCode="&quot;₹&quot;\ #,##0.00"/>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numFmt numFmtId="1" formatCode="0"/>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numFmt numFmtId="164" formatCode="&quot;₹&quot;\ #,##0.00"/>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numFmt numFmtId="164" formatCode="&quot;₹&quot;\ #,##0.00"/>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numFmt numFmtId="164" formatCode="&quot;₹&quot;\ #,##0.00"/>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numFmt numFmtId="164" formatCode="&quot;₹&quot;\ #,##0.00"/>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rial"/>
        <scheme val="none"/>
      </font>
      <numFmt numFmtId="164" formatCode="&quot;₹&quot;\ #,##0.00"/>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2" formatCode="&quot;₹&quot;\ #,##0.00;[Red]&quot;₹&quot;\ \-#,##0.00"/>
      <alignment horizontal="righ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theme="1"/>
        <name val="Arial"/>
        <scheme val="none"/>
      </font>
      <numFmt numFmtId="19" formatCode="dd/mm/yyyy"/>
      <alignment horizontal="right" vertical="center" textRotation="0" wrapText="1" indent="0" justifyLastLine="0" shrinkToFit="0" readingOrder="0"/>
      <border diagonalUp="0" diagonalDown="0">
        <left/>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theme="1"/>
        <name val="Arial"/>
        <scheme val="none"/>
      </font>
      <fill>
        <patternFill patternType="solid">
          <fgColor rgb="FFA4C2F4"/>
          <bgColor rgb="FFA4C2F4"/>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numFmt numFmtId="164" formatCode="&quot;₹&quot;\ #,##0.00"/>
    </dxf>
    <dxf>
      <numFmt numFmtId="164" formatCode="&quot;₹&quot;\ #,##0.00"/>
    </dxf>
    <dxf>
      <numFmt numFmtId="164" formatCode="&quot;₹&quot;\ #,##0.00"/>
    </dxf>
    <dxf>
      <numFmt numFmtId="164" formatCode="&quot;₹&quot;\ #,##0.00"/>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FF00FF"/>
        <name val="Arial"/>
        <scheme val="none"/>
      </font>
      <numFmt numFmtId="164" formatCode="&quot;₹&quot;\ #,##0.00"/>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FF00FF"/>
        <name val="Arial"/>
        <scheme val="none"/>
      </font>
      <numFmt numFmtId="164" formatCode="&quot;₹&quot;\ #,##0.00"/>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numFmt numFmtId="12" formatCode="&quot;₹&quot;\ #,##0.00;[Red]&quot;₹&quot;\ \-#,##0.00"/>
      <alignment horizontal="righ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theme="1"/>
        <name val="Arial"/>
        <scheme val="none"/>
      </font>
      <numFmt numFmtId="19" formatCode="dd/mm/yyyy"/>
      <alignment horizontal="right"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theme="1"/>
        <name val="Arial"/>
        <scheme val="none"/>
      </font>
      <fill>
        <patternFill patternType="solid">
          <fgColor rgb="FFA4C2F4"/>
          <bgColor rgb="FFA4C2F4"/>
        </patternFill>
      </fill>
      <alignment horizontal="general" vertical="bottom" textRotation="0" wrapText="1" indent="0" justifyLastLine="0" shrinkToFit="0" readingOrder="0"/>
      <border diagonalUp="0" diagonalDown="0" outline="0">
        <left style="thin">
          <color rgb="FF000000"/>
        </left>
        <right style="thin">
          <color rgb="FF000000"/>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font>
        <b/>
      </font>
    </dxf>
    <dxf>
      <fill>
        <patternFill patternType="solid">
          <bgColor theme="2" tint="-0.14999847407452621"/>
        </patternFill>
      </fill>
    </dxf>
    <dxf>
      <font>
        <i/>
      </font>
    </dxf>
    <dxf>
      <font>
        <i/>
      </font>
    </dxf>
    <dxf>
      <fill>
        <patternFill>
          <bgColor theme="4" tint="0.59999389629810485"/>
        </patternFill>
      </fill>
    </dxf>
    <dxf>
      <fill>
        <patternFill>
          <bgColor theme="4" tint="0.59999389629810485"/>
        </patternFill>
      </fill>
    </dxf>
    <dxf>
      <fill>
        <patternFill patternType="solid">
          <bgColor rgb="FFFFFF00"/>
        </patternFill>
      </fill>
    </dxf>
    <dxf>
      <fill>
        <patternFill patternType="solid">
          <bgColor rgb="FFFFFF00"/>
        </patternFill>
      </fill>
    </dxf>
    <dxf>
      <fill>
        <patternFill patternType="solid">
          <bgColor theme="4" tint="0.59999389629810485"/>
        </patternFill>
      </fill>
    </dxf>
    <dxf>
      <fill>
        <patternFill patternType="solid">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164" formatCode="&quot;₹&quot;\ #,##0.00"/>
    </dxf>
    <dxf>
      <numFmt numFmtId="164" formatCode="&quot;₹&quot;\ #,##0.00"/>
    </dxf>
    <dxf>
      <numFmt numFmtId="164" formatCode="&quot;₹&quot;\ #,##0.00"/>
    </dxf>
    <dxf>
      <numFmt numFmtId="2" formatCode="0.00"/>
    </dxf>
    <dxf>
      <numFmt numFmtId="2" formatCode="0.00"/>
    </dxf>
    <dxf>
      <font>
        <b/>
      </font>
    </dxf>
    <dxf>
      <font>
        <b/>
      </font>
    </dxf>
    <dxf>
      <font>
        <b/>
      </font>
    </dxf>
    <dxf>
      <fill>
        <patternFill patternType="solid">
          <bgColor theme="4" tint="0.59999389629810485"/>
        </patternFill>
      </fill>
    </dxf>
    <dxf>
      <fill>
        <patternFill patternType="solid">
          <bgColor theme="4" tint="0.59999389629810485"/>
        </patternFill>
      </fill>
    </dxf>
    <dxf>
      <numFmt numFmtId="22" formatCode="mmm/yy"/>
    </dxf>
    <dxf>
      <numFmt numFmtId="22" formatCode="mmm/yy"/>
    </dxf>
  </dxfs>
  <tableStyles count="0" defaultTableStyle="TableStyleMedium2" defaultPivotStyle="PivotStyleLight16"/>
  <colors>
    <mruColors>
      <color rgb="FF009999"/>
      <color rgb="FF33CC33"/>
      <color rgb="FFFFFFCC"/>
      <color rgb="FF009644"/>
      <color rgb="FFF3EBAF"/>
      <color rgb="FFFF00FF"/>
      <color rgb="FF67F3F0"/>
      <color rgb="FF57DDF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7.xml"/><Relationship Id="rId39" Type="http://schemas.openxmlformats.org/officeDocument/2006/relationships/pivotCacheDefinition" Target="pivotCache/pivotCacheDefinition20.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34" Type="http://schemas.openxmlformats.org/officeDocument/2006/relationships/pivotCacheDefinition" Target="pivotCache/pivotCacheDefinition15.xml"/><Relationship Id="rId42" Type="http://schemas.microsoft.com/office/2007/relationships/slicerCache" Target="slicerCaches/slicerCache1.xml"/><Relationship Id="rId47"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6.xml"/><Relationship Id="rId33" Type="http://schemas.openxmlformats.org/officeDocument/2006/relationships/pivotCacheDefinition" Target="pivotCache/pivotCacheDefinition14.xml"/><Relationship Id="rId38" Type="http://schemas.openxmlformats.org/officeDocument/2006/relationships/pivotCacheDefinition" Target="pivotCache/pivotCacheDefinition19.xml"/><Relationship Id="rId46"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pivotCacheDefinition" Target="pivotCache/pivotCacheDefinition10.xml"/><Relationship Id="rId41" Type="http://schemas.openxmlformats.org/officeDocument/2006/relationships/pivotCacheDefinition" Target="pivotCache/pivotCacheDefinition2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5.xml"/><Relationship Id="rId32" Type="http://schemas.openxmlformats.org/officeDocument/2006/relationships/pivotCacheDefinition" Target="pivotCache/pivotCacheDefinition13.xml"/><Relationship Id="rId37" Type="http://schemas.openxmlformats.org/officeDocument/2006/relationships/pivotCacheDefinition" Target="pivotCache/pivotCacheDefinition18.xml"/><Relationship Id="rId40" Type="http://schemas.openxmlformats.org/officeDocument/2006/relationships/pivotCacheDefinition" Target="pivotCache/pivotCacheDefinition21.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pivotCacheDefinition" Target="pivotCache/pivotCacheDefinition9.xml"/><Relationship Id="rId36" Type="http://schemas.openxmlformats.org/officeDocument/2006/relationships/pivotCacheDefinition" Target="pivotCache/pivotCacheDefinition1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12.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pivotCacheDefinition" Target="pivotCache/pivotCacheDefinition8.xml"/><Relationship Id="rId30" Type="http://schemas.openxmlformats.org/officeDocument/2006/relationships/pivotCacheDefinition" Target="pivotCache/pivotCacheDefinition11.xml"/><Relationship Id="rId35" Type="http://schemas.openxmlformats.org/officeDocument/2006/relationships/pivotCacheDefinition" Target="pivotCache/pivotCacheDefinition16.xml"/><Relationship Id="rId43" Type="http://schemas.microsoft.com/office/2007/relationships/slicerCache" Target="slicerCaches/slicerCach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[NFS_Sales&amp;Expences-2025.xlsx]Summary!PivotTable1</c:name>
    <c:fmtId val="0"/>
  </c:pivotSource>
  <c:chart>
    <c:title>
      <c:tx>
        <c:rich>
          <a:bodyPr/>
          <a:lstStyle/>
          <a:p>
            <a:pPr>
              <a:defRPr/>
            </a:pPr>
            <a:r>
              <a:rPr lang="en-IN"/>
              <a:t>Sales &amp; Expences</a:t>
            </a:r>
          </a:p>
        </c:rich>
      </c:tx>
      <c:overlay val="0"/>
    </c:title>
    <c:autoTitleDeleted val="0"/>
    <c:pivotFmts>
      <c:pivotFmt>
        <c:idx val="0"/>
        <c:spPr>
          <a:solidFill>
            <a:srgbClr val="009644"/>
          </a:solidFill>
        </c:spPr>
        <c:marker>
          <c:symbol val="none"/>
        </c:marker>
        <c:dLbl>
          <c:idx val="0"/>
          <c:spPr/>
          <c:txPr>
            <a:bodyPr/>
            <a:lstStyle/>
            <a:p>
              <a:pPr>
                <a:defRPr/>
              </a:pPr>
              <a:endParaRPr lang="en-US"/>
            </a:p>
          </c:txPr>
          <c:showLegendKey val="1"/>
          <c:showVal val="1"/>
          <c:showCatName val="0"/>
          <c:showSerName val="0"/>
          <c:showPercent val="0"/>
          <c:showBubbleSize val="0"/>
        </c:dLbl>
      </c:pivotFmt>
      <c:pivotFmt>
        <c:idx val="1"/>
        <c:marker>
          <c:symbol val="none"/>
        </c:marker>
        <c:dLbl>
          <c:idx val="0"/>
          <c:spPr/>
          <c:txPr>
            <a:bodyPr/>
            <a:lstStyle/>
            <a:p>
              <a:pPr>
                <a:defRPr/>
              </a:pPr>
              <a:endParaRPr lang="en-US"/>
            </a:p>
          </c:txPr>
          <c:showLegendKey val="1"/>
          <c:showVal val="1"/>
          <c:showCatName val="0"/>
          <c:showSerName val="0"/>
          <c:showPercent val="0"/>
          <c:showBubbleSize val="0"/>
        </c:dLbl>
      </c:pivotFmt>
      <c:pivotFmt>
        <c:idx val="2"/>
      </c:pivotFmt>
      <c:pivotFmt>
        <c:idx val="3"/>
      </c:pivotFmt>
    </c:pivotFmts>
    <c:plotArea>
      <c:layout/>
      <c:barChart>
        <c:barDir val="col"/>
        <c:grouping val="clustered"/>
        <c:varyColors val="0"/>
        <c:ser>
          <c:idx val="0"/>
          <c:order val="0"/>
          <c:tx>
            <c:strRef>
              <c:f>Summary!$B$24</c:f>
              <c:strCache>
                <c:ptCount val="1"/>
                <c:pt idx="0">
                  <c:v>Sum of Sales</c:v>
                </c:pt>
              </c:strCache>
            </c:strRef>
          </c:tx>
          <c:spPr>
            <a:solidFill>
              <a:srgbClr val="009644"/>
            </a:solidFill>
          </c:spPr>
          <c:invertIfNegative val="0"/>
          <c:dLbls>
            <c:spPr/>
            <c:txPr>
              <a:bodyPr/>
              <a:lstStyle/>
              <a:p>
                <a:pPr>
                  <a:defRPr/>
                </a:pPr>
                <a:endParaRPr lang="en-US"/>
              </a:p>
            </c:txPr>
            <c:showLegendKey val="1"/>
            <c:showVal val="1"/>
            <c:showCatName val="0"/>
            <c:showSerName val="0"/>
            <c:showPercent val="0"/>
            <c:showBubbleSize val="0"/>
            <c:showLeaderLines val="0"/>
          </c:dLbls>
          <c:cat>
            <c:strRef>
              <c:f>Summary!$A$25:$A$33</c:f>
              <c:strCache>
                <c:ptCount val="8"/>
                <c:pt idx="0">
                  <c:v>01-02-2025</c:v>
                </c:pt>
                <c:pt idx="1">
                  <c:v>01-03-2025</c:v>
                </c:pt>
                <c:pt idx="2">
                  <c:v>01-04-2025</c:v>
                </c:pt>
                <c:pt idx="3">
                  <c:v>01-05-2025</c:v>
                </c:pt>
                <c:pt idx="4">
                  <c:v>01-06-2025</c:v>
                </c:pt>
                <c:pt idx="5">
                  <c:v>01-07-2025</c:v>
                </c:pt>
                <c:pt idx="6">
                  <c:v>01-08-2025</c:v>
                </c:pt>
                <c:pt idx="7">
                  <c:v>01-09-2025</c:v>
                </c:pt>
              </c:strCache>
            </c:strRef>
          </c:cat>
          <c:val>
            <c:numRef>
              <c:f>Summary!$B$25:$B$33</c:f>
              <c:numCache>
                <c:formatCode>General</c:formatCode>
                <c:ptCount val="8"/>
                <c:pt idx="0">
                  <c:v>21450</c:v>
                </c:pt>
                <c:pt idx="1">
                  <c:v>188580</c:v>
                </c:pt>
                <c:pt idx="2">
                  <c:v>105060</c:v>
                </c:pt>
                <c:pt idx="3">
                  <c:v>133160</c:v>
                </c:pt>
                <c:pt idx="4">
                  <c:v>126385</c:v>
                </c:pt>
                <c:pt idx="5">
                  <c:v>164755</c:v>
                </c:pt>
                <c:pt idx="6">
                  <c:v>173370</c:v>
                </c:pt>
                <c:pt idx="7">
                  <c:v>229785</c:v>
                </c:pt>
              </c:numCache>
            </c:numRef>
          </c:val>
        </c:ser>
        <c:ser>
          <c:idx val="1"/>
          <c:order val="1"/>
          <c:tx>
            <c:strRef>
              <c:f>Summary!$C$24</c:f>
              <c:strCache>
                <c:ptCount val="1"/>
                <c:pt idx="0">
                  <c:v>Sum of Expences</c:v>
                </c:pt>
              </c:strCache>
            </c:strRef>
          </c:tx>
          <c:invertIfNegative val="0"/>
          <c:dLbls>
            <c:spPr/>
            <c:txPr>
              <a:bodyPr/>
              <a:lstStyle/>
              <a:p>
                <a:pPr>
                  <a:defRPr/>
                </a:pPr>
                <a:endParaRPr lang="en-US"/>
              </a:p>
            </c:txPr>
            <c:showLegendKey val="1"/>
            <c:showVal val="1"/>
            <c:showCatName val="0"/>
            <c:showSerName val="0"/>
            <c:showPercent val="0"/>
            <c:showBubbleSize val="0"/>
            <c:showLeaderLines val="0"/>
          </c:dLbls>
          <c:cat>
            <c:strRef>
              <c:f>Summary!$A$25:$A$33</c:f>
              <c:strCache>
                <c:ptCount val="8"/>
                <c:pt idx="0">
                  <c:v>01-02-2025</c:v>
                </c:pt>
                <c:pt idx="1">
                  <c:v>01-03-2025</c:v>
                </c:pt>
                <c:pt idx="2">
                  <c:v>01-04-2025</c:v>
                </c:pt>
                <c:pt idx="3">
                  <c:v>01-05-2025</c:v>
                </c:pt>
                <c:pt idx="4">
                  <c:v>01-06-2025</c:v>
                </c:pt>
                <c:pt idx="5">
                  <c:v>01-07-2025</c:v>
                </c:pt>
                <c:pt idx="6">
                  <c:v>01-08-2025</c:v>
                </c:pt>
                <c:pt idx="7">
                  <c:v>01-09-2025</c:v>
                </c:pt>
              </c:strCache>
            </c:strRef>
          </c:cat>
          <c:val>
            <c:numRef>
              <c:f>Summary!$C$25:$C$33</c:f>
              <c:numCache>
                <c:formatCode>General</c:formatCode>
                <c:ptCount val="8"/>
                <c:pt idx="0">
                  <c:v>26975</c:v>
                </c:pt>
                <c:pt idx="1">
                  <c:v>162135</c:v>
                </c:pt>
                <c:pt idx="2">
                  <c:v>114833</c:v>
                </c:pt>
                <c:pt idx="3">
                  <c:v>154562</c:v>
                </c:pt>
                <c:pt idx="4">
                  <c:v>173669</c:v>
                </c:pt>
                <c:pt idx="5">
                  <c:v>89496</c:v>
                </c:pt>
                <c:pt idx="6">
                  <c:v>170293</c:v>
                </c:pt>
                <c:pt idx="7">
                  <c:v>173935</c:v>
                </c:pt>
              </c:numCache>
            </c:numRef>
          </c:val>
        </c:ser>
        <c:dLbls>
          <c:showLegendKey val="0"/>
          <c:showVal val="1"/>
          <c:showCatName val="0"/>
          <c:showSerName val="0"/>
          <c:showPercent val="0"/>
          <c:showBubbleSize val="0"/>
        </c:dLbls>
        <c:gapWidth val="150"/>
        <c:axId val="227261440"/>
        <c:axId val="227271424"/>
      </c:barChart>
      <c:catAx>
        <c:axId val="227261440"/>
        <c:scaling>
          <c:orientation val="minMax"/>
        </c:scaling>
        <c:delete val="0"/>
        <c:axPos val="b"/>
        <c:numFmt formatCode="#,##0.00" sourceLinked="0"/>
        <c:majorTickMark val="none"/>
        <c:minorTickMark val="none"/>
        <c:tickLblPos val="nextTo"/>
        <c:crossAx val="227271424"/>
        <c:crosses val="autoZero"/>
        <c:auto val="1"/>
        <c:lblAlgn val="ctr"/>
        <c:lblOffset val="100"/>
        <c:noMultiLvlLbl val="0"/>
      </c:catAx>
      <c:valAx>
        <c:axId val="227271424"/>
        <c:scaling>
          <c:orientation val="minMax"/>
        </c:scaling>
        <c:delete val="0"/>
        <c:axPos val="l"/>
        <c:majorGridlines/>
        <c:numFmt formatCode="General" sourceLinked="1"/>
        <c:majorTickMark val="none"/>
        <c:minorTickMark val="none"/>
        <c:tickLblPos val="nextTo"/>
        <c:crossAx val="227261440"/>
        <c:crosses val="autoZero"/>
        <c:crossBetween val="between"/>
      </c:valAx>
      <c:dTable>
        <c:showHorzBorder val="1"/>
        <c:showVertBorder val="1"/>
        <c:showOutline val="1"/>
        <c:showKeys val="1"/>
      </c:dTable>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10"/>
    </mc:Choice>
    <mc:Fallback>
      <c:style val="10"/>
    </mc:Fallback>
  </mc:AlternateContent>
  <c:pivotSource>
    <c:name>[NFS_Sales&amp;Expences-2025.xlsx]Summary!PivotTable15</c:name>
    <c:fmtId val="1"/>
  </c:pivotSource>
  <c:chart>
    <c:title>
      <c:tx>
        <c:rich>
          <a:bodyPr/>
          <a:lstStyle/>
          <a:p>
            <a:pPr>
              <a:defRPr/>
            </a:pPr>
            <a:r>
              <a:rPr lang="en-IN"/>
              <a:t>Raw Material Purchase</a:t>
            </a:r>
          </a:p>
        </c:rich>
      </c:tx>
      <c:layout>
        <c:manualLayout>
          <c:xMode val="edge"/>
          <c:yMode val="edge"/>
          <c:x val="0.3588847557841332"/>
          <c:y val="1.2276177157512561E-2"/>
        </c:manualLayout>
      </c:layout>
      <c:overlay val="1"/>
    </c:title>
    <c:autoTitleDeleted val="0"/>
    <c:pivotFmts>
      <c:pivotFmt>
        <c:idx val="0"/>
        <c:marker>
          <c:symbol val="none"/>
        </c:marker>
        <c:dLbl>
          <c:idx val="0"/>
          <c:showLegendKey val="1"/>
          <c:showVal val="1"/>
          <c:showCatName val="0"/>
          <c:showSerName val="0"/>
          <c:showPercent val="0"/>
          <c:showBubbleSize val="0"/>
          <c:separator>, </c:separator>
        </c:dLbl>
      </c:pivotFmt>
      <c:pivotFmt>
        <c:idx val="1"/>
        <c:marker>
          <c:symbol val="none"/>
        </c:marker>
        <c:dLbl>
          <c:idx val="0"/>
          <c:showLegendKey val="1"/>
          <c:showVal val="1"/>
          <c:showCatName val="0"/>
          <c:showSerName val="0"/>
          <c:showPercent val="0"/>
          <c:showBubbleSize val="0"/>
        </c:dLbl>
      </c:pivotFmt>
    </c:pivotFmts>
    <c:plotArea>
      <c:layout/>
      <c:barChart>
        <c:barDir val="col"/>
        <c:grouping val="clustered"/>
        <c:varyColors val="0"/>
        <c:ser>
          <c:idx val="0"/>
          <c:order val="0"/>
          <c:tx>
            <c:strRef>
              <c:f>Summary!$B$2</c:f>
              <c:strCache>
                <c:ptCount val="1"/>
                <c:pt idx="0">
                  <c:v>Sum of Ginger Kgs</c:v>
                </c:pt>
              </c:strCache>
            </c:strRef>
          </c:tx>
          <c:invertIfNegative val="0"/>
          <c:dLbls>
            <c:spPr/>
            <c:txPr>
              <a:bodyPr/>
              <a:lstStyle/>
              <a:p>
                <a:pPr>
                  <a:defRPr/>
                </a:pPr>
                <a:endParaRPr lang="en-US"/>
              </a:p>
            </c:txPr>
            <c:showLegendKey val="1"/>
            <c:showVal val="1"/>
            <c:showCatName val="0"/>
            <c:showSerName val="0"/>
            <c:showPercent val="0"/>
            <c:showBubbleSize val="0"/>
            <c:separator>, </c:separator>
            <c:showLeaderLines val="0"/>
          </c:dLbls>
          <c:cat>
            <c:strRef>
              <c:f>Summary!$A$3:$A$11</c:f>
              <c:strCache>
                <c:ptCount val="8"/>
                <c:pt idx="0">
                  <c:v>01-02-2025</c:v>
                </c:pt>
                <c:pt idx="1">
                  <c:v>01-03-2025</c:v>
                </c:pt>
                <c:pt idx="2">
                  <c:v>01-04-2025</c:v>
                </c:pt>
                <c:pt idx="3">
                  <c:v>01-05-2025</c:v>
                </c:pt>
                <c:pt idx="4">
                  <c:v>01-06-2025</c:v>
                </c:pt>
                <c:pt idx="5">
                  <c:v>01-07-2025</c:v>
                </c:pt>
                <c:pt idx="6">
                  <c:v>01-08-2025</c:v>
                </c:pt>
                <c:pt idx="7">
                  <c:v>01-09-2025</c:v>
                </c:pt>
              </c:strCache>
            </c:strRef>
          </c:cat>
          <c:val>
            <c:numRef>
              <c:f>Summary!$B$3:$B$11</c:f>
              <c:numCache>
                <c:formatCode>General</c:formatCode>
                <c:ptCount val="8"/>
                <c:pt idx="0">
                  <c:v>130</c:v>
                </c:pt>
                <c:pt idx="1">
                  <c:v>921</c:v>
                </c:pt>
                <c:pt idx="2">
                  <c:v>295</c:v>
                </c:pt>
                <c:pt idx="3">
                  <c:v>593</c:v>
                </c:pt>
                <c:pt idx="4">
                  <c:v>350</c:v>
                </c:pt>
                <c:pt idx="5">
                  <c:v>514.9</c:v>
                </c:pt>
                <c:pt idx="6">
                  <c:v>575</c:v>
                </c:pt>
                <c:pt idx="7">
                  <c:v>640</c:v>
                </c:pt>
              </c:numCache>
            </c:numRef>
          </c:val>
        </c:ser>
        <c:ser>
          <c:idx val="1"/>
          <c:order val="1"/>
          <c:tx>
            <c:strRef>
              <c:f>Summary!$C$2</c:f>
              <c:strCache>
                <c:ptCount val="1"/>
                <c:pt idx="0">
                  <c:v>Sum of Garlic Kgs</c:v>
                </c:pt>
              </c:strCache>
            </c:strRef>
          </c:tx>
          <c:invertIfNegative val="0"/>
          <c:dLbls>
            <c:spPr/>
            <c:txPr>
              <a:bodyPr/>
              <a:lstStyle/>
              <a:p>
                <a:pPr>
                  <a:defRPr/>
                </a:pPr>
                <a:endParaRPr lang="en-US"/>
              </a:p>
            </c:txPr>
            <c:showLegendKey val="1"/>
            <c:showVal val="1"/>
            <c:showCatName val="0"/>
            <c:showSerName val="0"/>
            <c:showPercent val="0"/>
            <c:showBubbleSize val="0"/>
            <c:showLeaderLines val="0"/>
          </c:dLbls>
          <c:cat>
            <c:strRef>
              <c:f>Summary!$A$3:$A$11</c:f>
              <c:strCache>
                <c:ptCount val="8"/>
                <c:pt idx="0">
                  <c:v>01-02-2025</c:v>
                </c:pt>
                <c:pt idx="1">
                  <c:v>01-03-2025</c:v>
                </c:pt>
                <c:pt idx="2">
                  <c:v>01-04-2025</c:v>
                </c:pt>
                <c:pt idx="3">
                  <c:v>01-05-2025</c:v>
                </c:pt>
                <c:pt idx="4">
                  <c:v>01-06-2025</c:v>
                </c:pt>
                <c:pt idx="5">
                  <c:v>01-07-2025</c:v>
                </c:pt>
                <c:pt idx="6">
                  <c:v>01-08-2025</c:v>
                </c:pt>
                <c:pt idx="7">
                  <c:v>01-09-2025</c:v>
                </c:pt>
              </c:strCache>
            </c:strRef>
          </c:cat>
          <c:val>
            <c:numRef>
              <c:f>Summary!$C$3:$C$11</c:f>
              <c:numCache>
                <c:formatCode>General</c:formatCode>
                <c:ptCount val="8"/>
                <c:pt idx="0">
                  <c:v>364</c:v>
                </c:pt>
                <c:pt idx="1">
                  <c:v>1004</c:v>
                </c:pt>
                <c:pt idx="2">
                  <c:v>419</c:v>
                </c:pt>
                <c:pt idx="3">
                  <c:v>829</c:v>
                </c:pt>
                <c:pt idx="4">
                  <c:v>1381</c:v>
                </c:pt>
                <c:pt idx="5">
                  <c:v>329</c:v>
                </c:pt>
                <c:pt idx="6">
                  <c:v>889</c:v>
                </c:pt>
                <c:pt idx="7">
                  <c:v>1154</c:v>
                </c:pt>
              </c:numCache>
            </c:numRef>
          </c:val>
        </c:ser>
        <c:dLbls>
          <c:showLegendKey val="0"/>
          <c:showVal val="1"/>
          <c:showCatName val="0"/>
          <c:showSerName val="0"/>
          <c:showPercent val="0"/>
          <c:showBubbleSize val="0"/>
        </c:dLbls>
        <c:gapWidth val="150"/>
        <c:axId val="228044800"/>
        <c:axId val="228046336"/>
      </c:barChart>
      <c:catAx>
        <c:axId val="228044800"/>
        <c:scaling>
          <c:orientation val="minMax"/>
        </c:scaling>
        <c:delete val="0"/>
        <c:axPos val="b"/>
        <c:majorTickMark val="out"/>
        <c:minorTickMark val="none"/>
        <c:tickLblPos val="nextTo"/>
        <c:crossAx val="228046336"/>
        <c:crosses val="autoZero"/>
        <c:auto val="1"/>
        <c:lblAlgn val="ctr"/>
        <c:lblOffset val="100"/>
        <c:noMultiLvlLbl val="0"/>
      </c:catAx>
      <c:valAx>
        <c:axId val="228046336"/>
        <c:scaling>
          <c:orientation val="minMax"/>
        </c:scaling>
        <c:delete val="0"/>
        <c:axPos val="l"/>
        <c:majorGridlines/>
        <c:numFmt formatCode="General" sourceLinked="1"/>
        <c:majorTickMark val="out"/>
        <c:minorTickMark val="none"/>
        <c:tickLblPos val="nextTo"/>
        <c:crossAx val="228044800"/>
        <c:crosses val="autoZero"/>
        <c:crossBetween val="between"/>
      </c:valAx>
      <c:dTable>
        <c:showHorzBorder val="1"/>
        <c:showVertBorder val="1"/>
        <c:showOutline val="1"/>
        <c:showKeys val="1"/>
      </c:dTable>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26"/>
    </mc:Choice>
    <mc:Fallback>
      <c:style val="26"/>
    </mc:Fallback>
  </mc:AlternateContent>
  <c:pivotSource>
    <c:name>[NFS_Sales&amp;Expences-2025.xlsx]P&amp;L - 2025!PivotTable9</c:name>
    <c:fmtId val="0"/>
  </c:pivotSource>
  <c:chart>
    <c:title>
      <c:layout/>
      <c:overlay val="0"/>
    </c:title>
    <c:autoTitleDeleted val="0"/>
    <c:pivotFmts>
      <c:pivotFmt>
        <c:idx val="0"/>
        <c:marker>
          <c:symbol val="none"/>
        </c:marker>
      </c:pivotFmt>
      <c:pivotFmt>
        <c:idx val="1"/>
        <c:marker>
          <c:symbol val="none"/>
        </c:marker>
      </c:pivotFmt>
      <c:pivotFmt>
        <c:idx val="2"/>
      </c:pivotFmt>
      <c:pivotFmt>
        <c:idx val="3"/>
      </c:pivotFmt>
    </c:pivotFmts>
    <c:plotArea>
      <c:layout/>
      <c:barChart>
        <c:barDir val="col"/>
        <c:grouping val="clustered"/>
        <c:varyColors val="0"/>
        <c:ser>
          <c:idx val="0"/>
          <c:order val="0"/>
          <c:tx>
            <c:strRef>
              <c:f>'P&amp;L - 2025'!$M$19</c:f>
              <c:strCache>
                <c:ptCount val="1"/>
                <c:pt idx="0">
                  <c:v>Sum of Sales</c:v>
                </c:pt>
              </c:strCache>
            </c:strRef>
          </c:tx>
          <c:invertIfNegative val="0"/>
          <c:cat>
            <c:strRef>
              <c:f>'P&amp;L - 2025'!$L$20:$L$31</c:f>
              <c:strCache>
                <c:ptCount val="11"/>
                <c:pt idx="0">
                  <c:v>Feb-25</c:v>
                </c:pt>
                <c:pt idx="1">
                  <c:v>Mar-25</c:v>
                </c:pt>
                <c:pt idx="2">
                  <c:v>Apr-25</c:v>
                </c:pt>
                <c:pt idx="3">
                  <c:v>May-25</c:v>
                </c:pt>
                <c:pt idx="4">
                  <c:v>Jun-25</c:v>
                </c:pt>
                <c:pt idx="5">
                  <c:v>Jul-25</c:v>
                </c:pt>
                <c:pt idx="6">
                  <c:v>Aug-25</c:v>
                </c:pt>
                <c:pt idx="7">
                  <c:v>Sep-25</c:v>
                </c:pt>
                <c:pt idx="8">
                  <c:v>Oct-25</c:v>
                </c:pt>
                <c:pt idx="9">
                  <c:v>Nov-25</c:v>
                </c:pt>
                <c:pt idx="10">
                  <c:v>Dec-25</c:v>
                </c:pt>
              </c:strCache>
            </c:strRef>
          </c:cat>
          <c:val>
            <c:numRef>
              <c:f>'P&amp;L - 2025'!$M$20:$M$31</c:f>
              <c:numCache>
                <c:formatCode>_("₹"* #,##0.00_);_("₹"* \(#,##0.00\);_("₹"* "-"??_);_(@_)</c:formatCode>
                <c:ptCount val="11"/>
                <c:pt idx="0">
                  <c:v>21450</c:v>
                </c:pt>
                <c:pt idx="1">
                  <c:v>188580</c:v>
                </c:pt>
                <c:pt idx="2">
                  <c:v>105060</c:v>
                </c:pt>
                <c:pt idx="3">
                  <c:v>133160</c:v>
                </c:pt>
                <c:pt idx="4">
                  <c:v>126385</c:v>
                </c:pt>
                <c:pt idx="5">
                  <c:v>164755</c:v>
                </c:pt>
                <c:pt idx="6">
                  <c:v>173370</c:v>
                </c:pt>
                <c:pt idx="7">
                  <c:v>229785</c:v>
                </c:pt>
                <c:pt idx="8">
                  <c:v>171155</c:v>
                </c:pt>
                <c:pt idx="9">
                  <c:v>178135</c:v>
                </c:pt>
                <c:pt idx="10">
                  <c:v>139760</c:v>
                </c:pt>
              </c:numCache>
            </c:numRef>
          </c:val>
        </c:ser>
        <c:ser>
          <c:idx val="1"/>
          <c:order val="1"/>
          <c:tx>
            <c:strRef>
              <c:f>'P&amp;L - 2025'!$N$19</c:f>
              <c:strCache>
                <c:ptCount val="1"/>
                <c:pt idx="0">
                  <c:v>Sum of Expences</c:v>
                </c:pt>
              </c:strCache>
            </c:strRef>
          </c:tx>
          <c:invertIfNegative val="0"/>
          <c:cat>
            <c:strRef>
              <c:f>'P&amp;L - 2025'!$L$20:$L$31</c:f>
              <c:strCache>
                <c:ptCount val="11"/>
                <c:pt idx="0">
                  <c:v>Feb-25</c:v>
                </c:pt>
                <c:pt idx="1">
                  <c:v>Mar-25</c:v>
                </c:pt>
                <c:pt idx="2">
                  <c:v>Apr-25</c:v>
                </c:pt>
                <c:pt idx="3">
                  <c:v>May-25</c:v>
                </c:pt>
                <c:pt idx="4">
                  <c:v>Jun-25</c:v>
                </c:pt>
                <c:pt idx="5">
                  <c:v>Jul-25</c:v>
                </c:pt>
                <c:pt idx="6">
                  <c:v>Aug-25</c:v>
                </c:pt>
                <c:pt idx="7">
                  <c:v>Sep-25</c:v>
                </c:pt>
                <c:pt idx="8">
                  <c:v>Oct-25</c:v>
                </c:pt>
                <c:pt idx="9">
                  <c:v>Nov-25</c:v>
                </c:pt>
                <c:pt idx="10">
                  <c:v>Dec-25</c:v>
                </c:pt>
              </c:strCache>
            </c:strRef>
          </c:cat>
          <c:val>
            <c:numRef>
              <c:f>'P&amp;L - 2025'!$N$20:$N$31</c:f>
              <c:numCache>
                <c:formatCode>_("₹"* #,##0.00_);_("₹"* \(#,##0.00\);_("₹"* "-"??_);_(@_)</c:formatCode>
                <c:ptCount val="11"/>
                <c:pt idx="0">
                  <c:v>26975</c:v>
                </c:pt>
                <c:pt idx="1">
                  <c:v>162135</c:v>
                </c:pt>
                <c:pt idx="2">
                  <c:v>114833</c:v>
                </c:pt>
                <c:pt idx="3">
                  <c:v>154562</c:v>
                </c:pt>
                <c:pt idx="4">
                  <c:v>173669</c:v>
                </c:pt>
                <c:pt idx="5">
                  <c:v>89496</c:v>
                </c:pt>
                <c:pt idx="6">
                  <c:v>170293</c:v>
                </c:pt>
                <c:pt idx="7">
                  <c:v>173935</c:v>
                </c:pt>
                <c:pt idx="8">
                  <c:v>131986</c:v>
                </c:pt>
                <c:pt idx="9">
                  <c:v>117139.5</c:v>
                </c:pt>
                <c:pt idx="10">
                  <c:v>107266</c:v>
                </c:pt>
              </c:numCache>
            </c:numRef>
          </c:val>
        </c:ser>
        <c:dLbls>
          <c:showLegendKey val="0"/>
          <c:showVal val="0"/>
          <c:showCatName val="0"/>
          <c:showSerName val="0"/>
          <c:showPercent val="0"/>
          <c:showBubbleSize val="0"/>
        </c:dLbls>
        <c:gapWidth val="150"/>
        <c:axId val="254691584"/>
        <c:axId val="254709760"/>
      </c:barChart>
      <c:catAx>
        <c:axId val="254691584"/>
        <c:scaling>
          <c:orientation val="minMax"/>
        </c:scaling>
        <c:delete val="0"/>
        <c:axPos val="b"/>
        <c:majorTickMark val="none"/>
        <c:minorTickMark val="none"/>
        <c:tickLblPos val="nextTo"/>
        <c:crossAx val="254709760"/>
        <c:crosses val="autoZero"/>
        <c:auto val="1"/>
        <c:lblAlgn val="ctr"/>
        <c:lblOffset val="100"/>
        <c:noMultiLvlLbl val="0"/>
      </c:catAx>
      <c:valAx>
        <c:axId val="254709760"/>
        <c:scaling>
          <c:orientation val="minMax"/>
        </c:scaling>
        <c:delete val="0"/>
        <c:axPos val="l"/>
        <c:majorGridlines/>
        <c:title>
          <c:layout/>
          <c:overlay val="0"/>
        </c:title>
        <c:numFmt formatCode="_(&quot;₹&quot;* #,##0.00_);_(&quot;₹&quot;* \(#,##0.00\);_(&quot;₹&quot;* &quot;-&quot;??_);_(@_)" sourceLinked="1"/>
        <c:majorTickMark val="none"/>
        <c:minorTickMark val="none"/>
        <c:tickLblPos val="nextTo"/>
        <c:crossAx val="254691584"/>
        <c:crosses val="autoZero"/>
        <c:crossBetween val="between"/>
      </c:valAx>
      <c:dTable>
        <c:showHorzBorder val="1"/>
        <c:showVertBorder val="1"/>
        <c:showOutline val="1"/>
        <c:showKeys val="1"/>
      </c:dTable>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diagrams/_rels/data1.xml.rels><?xml version="1.0" encoding="UTF-8" standalone="yes"?>
<Relationships xmlns="http://schemas.openxmlformats.org/package/2006/relationships"><Relationship Id="rId8" Type="http://schemas.openxmlformats.org/officeDocument/2006/relationships/hyperlink" Target="#'Sep 2025 - Sales '!A1"/><Relationship Id="rId3" Type="http://schemas.openxmlformats.org/officeDocument/2006/relationships/hyperlink" Target="#'June 2025 - Sales'!A1"/><Relationship Id="rId7" Type="http://schemas.openxmlformats.org/officeDocument/2006/relationships/hyperlink" Target="#'May 2025 - Sales'!A1"/><Relationship Id="rId2" Type="http://schemas.openxmlformats.org/officeDocument/2006/relationships/hyperlink" Target="#'July 2025 - Sales'!A1"/><Relationship Id="rId1" Type="http://schemas.openxmlformats.org/officeDocument/2006/relationships/hyperlink" Target="#'Aug 2025 - Sales'!A1"/><Relationship Id="rId6" Type="http://schemas.openxmlformats.org/officeDocument/2006/relationships/hyperlink" Target="#'P&amp;L - 2025'!A1"/><Relationship Id="rId5" Type="http://schemas.openxmlformats.org/officeDocument/2006/relationships/hyperlink" Target="#Summary!A1"/><Relationship Id="rId4" Type="http://schemas.openxmlformats.org/officeDocument/2006/relationships/hyperlink" Target="#'Raw Materials'!A1"/></Relationships>
</file>

<file path=xl/diagrams/_rels/data2.xml.rels><?xml version="1.0" encoding="UTF-8" standalone="yes"?>
<Relationships xmlns="http://schemas.openxmlformats.org/package/2006/relationships"><Relationship Id="rId8" Type="http://schemas.openxmlformats.org/officeDocument/2006/relationships/hyperlink" Target="#'Sep 2025 - Sales '!A1"/><Relationship Id="rId3" Type="http://schemas.openxmlformats.org/officeDocument/2006/relationships/hyperlink" Target="#'June 2025 - Sales'!A1"/><Relationship Id="rId7" Type="http://schemas.openxmlformats.org/officeDocument/2006/relationships/hyperlink" Target="#'May 2025 - Sales'!A1"/><Relationship Id="rId2" Type="http://schemas.openxmlformats.org/officeDocument/2006/relationships/hyperlink" Target="#'July 2025 - Sales'!A1"/><Relationship Id="rId1" Type="http://schemas.openxmlformats.org/officeDocument/2006/relationships/hyperlink" Target="#'Aug 2025 - Sales'!A1"/><Relationship Id="rId6" Type="http://schemas.openxmlformats.org/officeDocument/2006/relationships/hyperlink" Target="#'P&amp;L - 2025'!A1"/><Relationship Id="rId5" Type="http://schemas.openxmlformats.org/officeDocument/2006/relationships/hyperlink" Target="#Summary!A1"/><Relationship Id="rId4" Type="http://schemas.openxmlformats.org/officeDocument/2006/relationships/hyperlink" Target="#'Raw Materials'!A1"/></Relationships>
</file>

<file path=xl/diagrams/_rels/data3.xml.rels><?xml version="1.0" encoding="UTF-8" standalone="yes"?>
<Relationships xmlns="http://schemas.openxmlformats.org/package/2006/relationships"><Relationship Id="rId8" Type="http://schemas.openxmlformats.org/officeDocument/2006/relationships/hyperlink" Target="#'Sep 2025 - Sales '!A1"/><Relationship Id="rId3" Type="http://schemas.openxmlformats.org/officeDocument/2006/relationships/hyperlink" Target="#'June 2025 - Sales'!A1"/><Relationship Id="rId7" Type="http://schemas.openxmlformats.org/officeDocument/2006/relationships/hyperlink" Target="#'May 2025 - Sales'!A1"/><Relationship Id="rId2" Type="http://schemas.openxmlformats.org/officeDocument/2006/relationships/hyperlink" Target="#'July 2025 - Sales'!A1"/><Relationship Id="rId1" Type="http://schemas.openxmlformats.org/officeDocument/2006/relationships/hyperlink" Target="#'Aug 2025 - Sales'!A1"/><Relationship Id="rId6" Type="http://schemas.openxmlformats.org/officeDocument/2006/relationships/hyperlink" Target="#'P&amp;L - 2025'!A1"/><Relationship Id="rId5" Type="http://schemas.openxmlformats.org/officeDocument/2006/relationships/hyperlink" Target="#Summary!A1"/><Relationship Id="rId4" Type="http://schemas.openxmlformats.org/officeDocument/2006/relationships/hyperlink" Target="#'Raw Materials'!A1"/></Relationships>
</file>

<file path=xl/diagrams/_rels/data4.xml.rels><?xml version="1.0" encoding="UTF-8" standalone="yes"?>
<Relationships xmlns="http://schemas.openxmlformats.org/package/2006/relationships"><Relationship Id="rId8" Type="http://schemas.openxmlformats.org/officeDocument/2006/relationships/hyperlink" Target="#'Sep 2025 - Sales '!A1"/><Relationship Id="rId3" Type="http://schemas.openxmlformats.org/officeDocument/2006/relationships/hyperlink" Target="#'June 2025 - Sales'!A1"/><Relationship Id="rId7" Type="http://schemas.openxmlformats.org/officeDocument/2006/relationships/hyperlink" Target="#'May 2025 - Sales'!A1"/><Relationship Id="rId2" Type="http://schemas.openxmlformats.org/officeDocument/2006/relationships/hyperlink" Target="#'July 2025 - Sales'!A1"/><Relationship Id="rId1" Type="http://schemas.openxmlformats.org/officeDocument/2006/relationships/hyperlink" Target="#'Aug 2025 - Sales'!A1"/><Relationship Id="rId6" Type="http://schemas.openxmlformats.org/officeDocument/2006/relationships/hyperlink" Target="#'P&amp;L - 2025'!A1"/><Relationship Id="rId5" Type="http://schemas.openxmlformats.org/officeDocument/2006/relationships/hyperlink" Target="#Summary!A1"/><Relationship Id="rId4" Type="http://schemas.openxmlformats.org/officeDocument/2006/relationships/hyperlink" Target="#'Raw Materials'!A1"/></Relationships>
</file>

<file path=xl/diagrams/_rels/data5.xml.rels><?xml version="1.0" encoding="UTF-8" standalone="yes"?>
<Relationships xmlns="http://schemas.openxmlformats.org/package/2006/relationships"><Relationship Id="rId8" Type="http://schemas.openxmlformats.org/officeDocument/2006/relationships/hyperlink" Target="#'Sep 2025 - Sales '!A1"/><Relationship Id="rId3" Type="http://schemas.openxmlformats.org/officeDocument/2006/relationships/hyperlink" Target="#'June 2025 - Sales'!A1"/><Relationship Id="rId7" Type="http://schemas.openxmlformats.org/officeDocument/2006/relationships/hyperlink" Target="#'May 2025 - Sales'!A1"/><Relationship Id="rId2" Type="http://schemas.openxmlformats.org/officeDocument/2006/relationships/hyperlink" Target="#'July 2025 - Sales'!A1"/><Relationship Id="rId1" Type="http://schemas.openxmlformats.org/officeDocument/2006/relationships/hyperlink" Target="#'Aug 2025 - Sales'!A1"/><Relationship Id="rId6" Type="http://schemas.openxmlformats.org/officeDocument/2006/relationships/hyperlink" Target="#'P&amp;L - 2025'!A1"/><Relationship Id="rId5" Type="http://schemas.openxmlformats.org/officeDocument/2006/relationships/hyperlink" Target="#Summary!A1"/><Relationship Id="rId4" Type="http://schemas.openxmlformats.org/officeDocument/2006/relationships/hyperlink" Target="#'Raw Materials'!A1"/></Relationships>
</file>

<file path=xl/diagrams/_rels/data6.xml.rels><?xml version="1.0" encoding="UTF-8" standalone="yes"?>
<Relationships xmlns="http://schemas.openxmlformats.org/package/2006/relationships"><Relationship Id="rId8" Type="http://schemas.openxmlformats.org/officeDocument/2006/relationships/hyperlink" Target="#'Sep 2025 - Sales '!A1"/><Relationship Id="rId3" Type="http://schemas.openxmlformats.org/officeDocument/2006/relationships/hyperlink" Target="#'June 2025 - Sales'!A1"/><Relationship Id="rId7" Type="http://schemas.openxmlformats.org/officeDocument/2006/relationships/hyperlink" Target="#'May 2025 - Sales'!A1"/><Relationship Id="rId2" Type="http://schemas.openxmlformats.org/officeDocument/2006/relationships/hyperlink" Target="#'July 2025 - Sales'!A1"/><Relationship Id="rId1" Type="http://schemas.openxmlformats.org/officeDocument/2006/relationships/hyperlink" Target="#'Aug 2025 - Sales'!A1"/><Relationship Id="rId6" Type="http://schemas.openxmlformats.org/officeDocument/2006/relationships/hyperlink" Target="#'P&amp;L - 2025'!A1"/><Relationship Id="rId5" Type="http://schemas.openxmlformats.org/officeDocument/2006/relationships/hyperlink" Target="#Summary!A1"/><Relationship Id="rId4" Type="http://schemas.openxmlformats.org/officeDocument/2006/relationships/hyperlink" Target="#'Raw Materials'!A1"/></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5.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6.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7.xml><?xml version="1.0" encoding="utf-8"?>
<dgm:colorsDef xmlns:dgm="http://schemas.openxmlformats.org/drawingml/2006/diagram" xmlns:a="http://schemas.openxmlformats.org/drawingml/2006/main" uniqueId="urn:microsoft.com/office/officeart/2005/8/colors/colorful4">
  <dgm:title val=""/>
  <dgm:desc val=""/>
  <dgm:catLst>
    <dgm:cat type="colorful" pri="10400"/>
  </dgm:catLst>
  <dgm:styleLbl name="node0">
    <dgm:fillClrLst meth="repeat">
      <a:schemeClr val="accent3"/>
    </dgm:fillClrLst>
    <dgm:linClrLst meth="repeat">
      <a:schemeClr val="lt1"/>
    </dgm:linClrLst>
    <dgm:effectClrLst/>
    <dgm:txLinClrLst/>
    <dgm:txFillClrLst/>
    <dgm:txEffectClrLst/>
  </dgm:styleLbl>
  <dgm:styleLbl name="node1">
    <dgm:fillClrLst>
      <a:schemeClr val="accent4"/>
      <a:schemeClr val="accent5"/>
    </dgm:fillClrLst>
    <dgm:linClrLst meth="repeat">
      <a:schemeClr val="lt1"/>
    </dgm:linClrLst>
    <dgm:effectClrLst/>
    <dgm:txLinClrLst/>
    <dgm:txFillClrLst/>
    <dgm:txEffectClrLst/>
  </dgm:styleLbl>
  <dgm:styleLbl name="alignNode1">
    <dgm:fillClrLst>
      <a:schemeClr val="accent4"/>
      <a:schemeClr val="accent5"/>
    </dgm:fillClrLst>
    <dgm:linClrLst>
      <a:schemeClr val="accent4"/>
      <a:schemeClr val="accent5"/>
    </dgm:linClrLst>
    <dgm:effectClrLst/>
    <dgm:txLinClrLst/>
    <dgm:txFillClrLst/>
    <dgm:txEffectClrLst/>
  </dgm:styleLbl>
  <dgm:styleLbl name="lnNode1">
    <dgm:fillClrLst>
      <a:schemeClr val="accent4"/>
      <a:schemeClr val="accent5"/>
    </dgm:fillClrLst>
    <dgm:linClrLst meth="repeat">
      <a:schemeClr val="lt1"/>
    </dgm:linClrLst>
    <dgm:effectClrLst/>
    <dgm:txLinClrLst/>
    <dgm:txFillClrLst/>
    <dgm:txEffectClrLst/>
  </dgm:styleLbl>
  <dgm:styleLbl name="vennNode1">
    <dgm:fillClrLst>
      <a:schemeClr val="accent4">
        <a:alpha val="50000"/>
      </a:schemeClr>
      <a:schemeClr val="accent5">
        <a:alpha val="50000"/>
      </a:schemeClr>
    </dgm:fillClrLst>
    <dgm:linClrLst meth="repeat">
      <a:schemeClr val="lt1"/>
    </dgm:linClrLst>
    <dgm:effectClrLst/>
    <dgm:txLinClrLst/>
    <dgm:txFillClrLst/>
    <dgm:txEffectClrLst/>
  </dgm:styleLbl>
  <dgm:styleLbl name="node2">
    <dgm:fillClrLst>
      <a:schemeClr val="accent5"/>
    </dgm:fillClrLst>
    <dgm:linClrLst meth="repeat">
      <a:schemeClr val="lt1"/>
    </dgm:linClrLst>
    <dgm:effectClrLst/>
    <dgm:txLinClrLst/>
    <dgm:txFillClrLst/>
    <dgm:txEffectClrLst/>
  </dgm:styleLbl>
  <dgm:styleLbl name="node3">
    <dgm:fillClrLst>
      <a:schemeClr val="accent6"/>
    </dgm:fillClrLst>
    <dgm:linClrLst meth="repeat">
      <a:schemeClr val="lt1"/>
    </dgm:linClrLst>
    <dgm:effectClrLst/>
    <dgm:txLinClrLst/>
    <dgm:txFillClrLst/>
    <dgm:txEffectClrLst/>
  </dgm:styleLbl>
  <dgm:styleLbl name="node4">
    <dgm:fillClrLst>
      <a:schemeClr val="accent1"/>
    </dgm:fillClrLst>
    <dgm:linClrLst meth="repeat">
      <a:schemeClr val="lt1"/>
    </dgm:linClrLst>
    <dgm:effectClrLst/>
    <dgm:txLinClrLst/>
    <dgm:txFillClrLst/>
    <dgm:txEffectClrLst/>
  </dgm:styleLbl>
  <dgm:styleLbl name="fgImgPlace1">
    <dgm:fillClrLst>
      <a:schemeClr val="accent4">
        <a:tint val="50000"/>
      </a:schemeClr>
      <a:schemeClr val="accent5">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4">
        <a:tint val="50000"/>
      </a:schemeClr>
      <a:schemeClr val="accent5">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4">
        <a:tint val="50000"/>
      </a:schemeClr>
      <a:schemeClr val="accent5">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4"/>
      <a:schemeClr val="accent5"/>
    </dgm:fillClrLst>
    <dgm:linClrLst meth="repeat">
      <a:schemeClr val="lt1"/>
    </dgm:linClrLst>
    <dgm:effectClrLst/>
    <dgm:txLinClrLst/>
    <dgm:txFillClrLst/>
    <dgm:txEffectClrLst/>
  </dgm:styleLbl>
  <dgm:styleLbl name="fgSibTrans2D1">
    <dgm:fillClrLst>
      <a:schemeClr val="accent4"/>
      <a:schemeClr val="accent5"/>
    </dgm:fillClrLst>
    <dgm:linClrLst meth="repeat">
      <a:schemeClr val="lt1"/>
    </dgm:linClrLst>
    <dgm:effectClrLst/>
    <dgm:txLinClrLst/>
    <dgm:txFillClrLst meth="repeat">
      <a:schemeClr val="lt1"/>
    </dgm:txFillClrLst>
    <dgm:txEffectClrLst/>
  </dgm:styleLbl>
  <dgm:styleLbl name="bgSibTrans2D1">
    <dgm:fillClrLst>
      <a:schemeClr val="accent4"/>
      <a:schemeClr val="accent5"/>
    </dgm:fillClrLst>
    <dgm:linClrLst meth="repeat">
      <a:schemeClr val="lt1"/>
    </dgm:linClrLst>
    <dgm:effectClrLst/>
    <dgm:txLinClrLst/>
    <dgm:txFillClrLst meth="repeat">
      <a:schemeClr val="lt1"/>
    </dgm:txFillClrLst>
    <dgm:txEffectClrLst/>
  </dgm:styleLbl>
  <dgm:styleLbl name="sibTrans1D1">
    <dgm:fillClrLst/>
    <dgm:linClrLst>
      <a:schemeClr val="accent4"/>
      <a:schemeClr val="accent5"/>
    </dgm:linClrLst>
    <dgm:effectClrLst/>
    <dgm:txLinClrLst/>
    <dgm:txFillClrLst meth="repeat">
      <a:schemeClr val="tx1"/>
    </dgm:txFillClrLst>
    <dgm:txEffectClrLst/>
  </dgm:styleLbl>
  <dgm:styleLbl name="callout">
    <dgm:fillClrLst meth="repeat">
      <a:schemeClr val="accent4"/>
    </dgm:fillClrLst>
    <dgm:linClrLst meth="repeat">
      <a:schemeClr val="accent4">
        <a:tint val="50000"/>
      </a:schemeClr>
    </dgm:linClrLst>
    <dgm:effectClrLst/>
    <dgm:txLinClrLst/>
    <dgm:txFillClrLst meth="repeat">
      <a:schemeClr val="tx1"/>
    </dgm:txFillClrLst>
    <dgm:txEffectClrLst/>
  </dgm:styleLbl>
  <dgm:styleLbl name="asst0">
    <dgm:fillClrLst meth="repeat">
      <a:schemeClr val="accent4"/>
    </dgm:fillClrLst>
    <dgm:linClrLst meth="repeat">
      <a:schemeClr val="lt1">
        <a:shade val="80000"/>
      </a:schemeClr>
    </dgm:linClrLst>
    <dgm:effectClrLst/>
    <dgm:txLinClrLst/>
    <dgm:txFillClrLst/>
    <dgm:txEffectClrLst/>
  </dgm:styleLbl>
  <dgm:styleLbl name="asst1">
    <dgm:fillClrLst meth="repeat">
      <a:schemeClr val="accent5"/>
    </dgm:fillClrLst>
    <dgm:linClrLst meth="repeat">
      <a:schemeClr val="lt1">
        <a:shade val="80000"/>
      </a:schemeClr>
    </dgm:linClrLst>
    <dgm:effectClrLst/>
    <dgm:txLinClrLst/>
    <dgm:txFillClrLst/>
    <dgm:txEffectClrLst/>
  </dgm:styleLbl>
  <dgm:styleLbl name="asst2">
    <dgm:fillClrLst>
      <a:schemeClr val="accent6"/>
    </dgm:fillClrLst>
    <dgm:linClrLst meth="repeat">
      <a:schemeClr val="lt1"/>
    </dgm:linClrLst>
    <dgm:effectClrLst/>
    <dgm:txLinClrLst/>
    <dgm:txFillClrLst/>
    <dgm:txEffectClrLst/>
  </dgm:styleLbl>
  <dgm:styleLbl name="asst3">
    <dgm:fillClrLst>
      <a:schemeClr val="accent1"/>
    </dgm:fillClrLst>
    <dgm:linClrLst meth="repeat">
      <a:schemeClr val="lt1"/>
    </dgm:linClrLst>
    <dgm:effectClrLst/>
    <dgm:txLinClrLst/>
    <dgm:txFillClrLst/>
    <dgm:txEffectClrLst/>
  </dgm:styleLbl>
  <dgm:styleLbl name="asst4">
    <dgm:fillClrLst>
      <a:schemeClr val="accent2"/>
    </dgm:fillClrLst>
    <dgm:linClrLst meth="repeat">
      <a:schemeClr val="lt1"/>
    </dgm:linClrLst>
    <dgm:effectClrLst/>
    <dgm:txLinClrLst/>
    <dgm:txFillClrLst/>
    <dgm:txEffectClrLst/>
  </dgm:styleLbl>
  <dgm:styleLbl name="parChTrans2D1">
    <dgm:fillClrLst meth="repeat">
      <a:schemeClr val="accent4"/>
    </dgm:fillClrLst>
    <dgm:linClrLst meth="repeat">
      <a:schemeClr val="lt1"/>
    </dgm:linClrLst>
    <dgm:effectClrLst/>
    <dgm:txLinClrLst/>
    <dgm:txFillClrLst meth="repeat">
      <a:schemeClr val="lt1"/>
    </dgm:txFillClrLst>
    <dgm:txEffectClrLst/>
  </dgm:styleLbl>
  <dgm:styleLbl name="parChTrans2D2">
    <dgm:fillClrLst meth="repeat">
      <a:schemeClr val="accent5"/>
    </dgm:fillClrLst>
    <dgm:linClrLst meth="repeat">
      <a:schemeClr val="lt1"/>
    </dgm:linClrLst>
    <dgm:effectClrLst/>
    <dgm:txLinClrLst/>
    <dgm:txFillClrLst/>
    <dgm:txEffectClrLst/>
  </dgm:styleLbl>
  <dgm:styleLbl name="parChTrans2D3">
    <dgm:fillClrLst meth="repeat">
      <a:schemeClr val="accent5"/>
    </dgm:fillClrLst>
    <dgm:linClrLst meth="repeat">
      <a:schemeClr val="lt1"/>
    </dgm:linClrLst>
    <dgm:effectClrLst/>
    <dgm:txLinClrLst/>
    <dgm:txFillClrLst/>
    <dgm:txEffectClrLst/>
  </dgm:styleLbl>
  <dgm:styleLbl name="parChTrans2D4">
    <dgm:fillClrLst meth="repeat">
      <a:schemeClr val="accent6"/>
    </dgm:fillClrLst>
    <dgm:linClrLst meth="repeat">
      <a:schemeClr val="lt1"/>
    </dgm:linClrLst>
    <dgm:effectClrLst/>
    <dgm:txLinClrLst/>
    <dgm:txFillClrLst meth="repeat">
      <a:schemeClr val="lt1"/>
    </dgm:txFillClrLst>
    <dgm:txEffectClrLst/>
  </dgm:styleLbl>
  <dgm:styleLbl name="parChTrans1D1">
    <dgm:fillClrLst meth="repeat">
      <a:schemeClr val="accent4"/>
    </dgm:fillClrLst>
    <dgm:linClrLst meth="repeat">
      <a:schemeClr val="accent4"/>
    </dgm:linClrLst>
    <dgm:effectClrLst/>
    <dgm:txLinClrLst/>
    <dgm:txFillClrLst meth="repeat">
      <a:schemeClr val="tx1"/>
    </dgm:txFillClrLst>
    <dgm:txEffectClrLst/>
  </dgm:styleLbl>
  <dgm:styleLbl name="parChTrans1D2">
    <dgm:fillClrLst meth="repeat">
      <a:schemeClr val="accent4">
        <a:tint val="90000"/>
      </a:schemeClr>
    </dgm:fillClrLst>
    <dgm:linClrLst meth="repeat">
      <a:schemeClr val="accent5"/>
    </dgm:linClrLst>
    <dgm:effectClrLst/>
    <dgm:txLinClrLst/>
    <dgm:txFillClrLst meth="repeat">
      <a:schemeClr val="tx1"/>
    </dgm:txFillClrLst>
    <dgm:txEffectClrLst/>
  </dgm:styleLbl>
  <dgm:styleLbl name="parChTrans1D3">
    <dgm:fillClrLst meth="repeat">
      <a:schemeClr val="accent4">
        <a:tint val="70000"/>
      </a:schemeClr>
    </dgm:fillClrLst>
    <dgm:linClrLst meth="repeat">
      <a:schemeClr val="accent6"/>
    </dgm:linClrLst>
    <dgm:effectClrLst/>
    <dgm:txLinClrLst/>
    <dgm:txFillClrLst meth="repeat">
      <a:schemeClr val="tx1"/>
    </dgm:txFillClrLst>
    <dgm:txEffectClrLst/>
  </dgm:styleLbl>
  <dgm:styleLbl name="parChTrans1D4">
    <dgm:fillClrLst meth="repeat">
      <a:schemeClr val="accent4">
        <a:tint val="50000"/>
      </a:schemeClr>
    </dgm:fillClrLst>
    <dgm:linClrLst meth="repeat">
      <a:schemeClr val="accent1"/>
    </dgm:linClrLst>
    <dgm:effectClrLst/>
    <dgm:txLinClrLst/>
    <dgm:txFillClrLst meth="repeat">
      <a:schemeClr val="tx1"/>
    </dgm:txFillClrLst>
    <dgm:txEffectClrLst/>
  </dgm:styleLbl>
  <dgm:styleLbl name="f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conF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align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4"/>
    </dgm:linClrLst>
    <dgm:effectClrLst/>
    <dgm:txLinClrLst/>
    <dgm:txFillClrLst meth="repeat">
      <a:schemeClr val="dk1"/>
    </dgm:txFillClrLst>
    <dgm:txEffectClrLst/>
  </dgm:styleLbl>
  <dgm:styleLbl name="bgAcc1">
    <dgm:fillClrLst meth="repeat">
      <a:schemeClr val="lt1">
        <a:alpha val="90000"/>
      </a:schemeClr>
    </dgm:fillClrLst>
    <dgm:linClrLst>
      <a:schemeClr val="accent4"/>
      <a:schemeClr val="accent5"/>
    </dgm:linClrLst>
    <dgm:effectClrLst/>
    <dgm:txLinClrLst/>
    <dgm:txFillClrLst meth="repeat">
      <a:schemeClr val="dk1"/>
    </dgm:txFillClrLst>
    <dgm:txEffectClrLst/>
  </dgm:styleLbl>
  <dgm:styleLbl name="solidFgAcc1">
    <dgm:fillClrLst meth="repeat">
      <a:schemeClr val="lt1"/>
    </dgm:fillClrLst>
    <dgm:linClrLst>
      <a:schemeClr val="accent4"/>
      <a:schemeClr val="accent5"/>
    </dgm:linClrLst>
    <dgm:effectClrLst/>
    <dgm:txLinClrLst/>
    <dgm:txFillClrLst meth="repeat">
      <a:schemeClr val="dk1"/>
    </dgm:txFillClrLst>
    <dgm:txEffectClrLst/>
  </dgm:styleLbl>
  <dgm:styleLbl name="solidAlignAcc1">
    <dgm:fillClrLst meth="repeat">
      <a:schemeClr val="lt1"/>
    </dgm:fillClrLst>
    <dgm:linClrLst>
      <a:schemeClr val="accent4"/>
      <a:schemeClr val="accent5"/>
    </dgm:linClrLst>
    <dgm:effectClrLst/>
    <dgm:txLinClrLst/>
    <dgm:txFillClrLst meth="repeat">
      <a:schemeClr val="dk1"/>
    </dgm:txFillClrLst>
    <dgm:txEffectClrLst/>
  </dgm:styleLbl>
  <dgm:styleLbl name="solidBgAcc1">
    <dgm:fillClrLst meth="repeat">
      <a:schemeClr val="lt1"/>
    </dgm:fillClrLst>
    <dgm:linClrLst>
      <a:schemeClr val="accent4"/>
      <a:schemeClr val="accent5"/>
    </dgm:linClrLst>
    <dgm:effectClrLst/>
    <dgm:txLinClrLst/>
    <dgm:txFillClrLst meth="repeat">
      <a:schemeClr val="dk1"/>
    </dgm:txFillClrLst>
    <dgm:txEffectClrLst/>
  </dgm:styleLbl>
  <dgm:styleLbl name="fg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align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bgAccFollowNode1">
    <dgm:fillClrLst>
      <a:schemeClr val="accent4">
        <a:tint val="40000"/>
        <a:alpha val="90000"/>
      </a:schemeClr>
      <a:schemeClr val="accent5">
        <a:tint val="40000"/>
        <a:alpha val="90000"/>
      </a:schemeClr>
    </dgm:fillClrLst>
    <dgm:linClrLst>
      <a:schemeClr val="accent4">
        <a:tint val="40000"/>
        <a:alpha val="90000"/>
      </a:schemeClr>
      <a:schemeClr val="accent5">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3"/>
    </dgm:linClrLst>
    <dgm:effectClrLst/>
    <dgm:txLinClrLst/>
    <dgm:txFillClrLst meth="repeat">
      <a:schemeClr val="dk1"/>
    </dgm:txFillClrLst>
    <dgm:txEffectClrLst/>
  </dgm:styleLbl>
  <dgm:styleLbl name="fgAcc2">
    <dgm:fillClrLst meth="repeat">
      <a:schemeClr val="lt1">
        <a:alpha val="90000"/>
      </a:schemeClr>
    </dgm:fillClrLst>
    <dgm:linClrLst>
      <a:schemeClr val="accent5"/>
    </dgm:linClrLst>
    <dgm:effectClrLst/>
    <dgm:txLinClrLst/>
    <dgm:txFillClrLst meth="repeat">
      <a:schemeClr val="dk1"/>
    </dgm:txFillClrLst>
    <dgm:txEffectClrLst/>
  </dgm:styleLbl>
  <dgm:styleLbl name="fgAcc3">
    <dgm:fillClrLst meth="repeat">
      <a:schemeClr val="lt1">
        <a:alpha val="90000"/>
      </a:schemeClr>
    </dgm:fillClrLst>
    <dgm:linClrLst>
      <a:schemeClr val="accent6"/>
    </dgm:linClrLst>
    <dgm:effectClrLst/>
    <dgm:txLinClrLst/>
    <dgm:txFillClrLst meth="repeat">
      <a:schemeClr val="dk1"/>
    </dgm:txFillClrLst>
    <dgm:txEffectClrLst/>
  </dgm:styleLbl>
  <dgm:styleLbl name="fgAcc4">
    <dgm:fillClrLst meth="repeat">
      <a:schemeClr val="lt1">
        <a:alpha val="90000"/>
      </a:schemeClr>
    </dgm:fillClrLst>
    <dgm:linClrLst>
      <a:schemeClr val="accent1"/>
    </dgm:linClrLst>
    <dgm:effectClrLst/>
    <dgm:txLinClrLst/>
    <dgm:txFillClrLst meth="repeat">
      <a:schemeClr val="dk1"/>
    </dgm:txFillClrLst>
    <dgm:txEffectClrLst/>
  </dgm:styleLbl>
  <dgm:styleLbl name="bgShp">
    <dgm:fillClrLst meth="repeat">
      <a:schemeClr val="accent4">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4">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4">
        <a:tint val="50000"/>
        <a:alpha val="40000"/>
      </a:schemeClr>
    </dgm:fillClrLst>
    <dgm:linClrLst meth="repeat">
      <a:schemeClr val="accent4"/>
    </dgm:linClrLst>
    <dgm:effectClrLst/>
    <dgm:txLinClrLst/>
    <dgm:txFillClrLst meth="repeat">
      <a:schemeClr val="lt1"/>
    </dgm:txFillClrLst>
    <dgm:txEffectClrLst/>
  </dgm:styleLbl>
  <dgm:styleLbl name="fgShp">
    <dgm:fillClrLst meth="repeat">
      <a:schemeClr val="accent4">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2711E4AD-827A-4D78-9B2D-4A1800975C10}" type="doc">
      <dgm:prSet loTypeId="urn:microsoft.com/office/officeart/2005/8/layout/default" loCatId="list" qsTypeId="urn:microsoft.com/office/officeart/2005/8/quickstyle/simple1" qsCatId="simple" csTypeId="urn:microsoft.com/office/officeart/2005/8/colors/accent1_2" csCatId="accent1" phldr="1"/>
      <dgm:spPr/>
      <dgm:t>
        <a:bodyPr/>
        <a:lstStyle/>
        <a:p>
          <a:endParaRPr lang="en-IN"/>
        </a:p>
      </dgm:t>
    </dgm:pt>
    <dgm:pt modelId="{A7CBC1EB-1B18-4679-A48A-860BD08B8131}">
      <dgm:prSet phldrT="[Text]"/>
      <dgm:spPr>
        <a:solidFill>
          <a:schemeClr val="accent1">
            <a:hueOff val="0"/>
            <a:satOff val="0"/>
            <a:lumOff val="0"/>
          </a:schemeClr>
        </a:solidFill>
        <a:scene3d>
          <a:camera prst="orthographicFront"/>
          <a:lightRig rig="soft" dir="t"/>
        </a:scene3d>
        <a:sp3d prstMaterial="powder"/>
      </dgm:spPr>
      <dgm:t>
        <a:bodyPr/>
        <a:lstStyle/>
        <a:p>
          <a:r>
            <a:rPr lang="en-IN"/>
            <a:t>August</a:t>
          </a:r>
        </a:p>
      </dgm:t>
      <dgm:extLst>
        <a:ext uri="{E40237B7-FDA0-4F09-8148-C483321AD2D9}">
          <dgm14:cNvPr xmlns:dgm14="http://schemas.microsoft.com/office/drawing/2010/diagram" id="0" name="">
            <a:hlinkClick xmlns:r="http://schemas.openxmlformats.org/officeDocument/2006/relationships" r:id="rId1"/>
          </dgm14:cNvPr>
        </a:ext>
      </dgm:extLst>
    </dgm:pt>
    <dgm:pt modelId="{EC5EE958-971F-4AE8-9055-E997D4060D5F}" type="parTrans" cxnId="{9409169F-42B8-4263-832B-5337BC6D80D5}">
      <dgm:prSet/>
      <dgm:spPr/>
      <dgm:t>
        <a:bodyPr/>
        <a:lstStyle/>
        <a:p>
          <a:endParaRPr lang="en-IN"/>
        </a:p>
      </dgm:t>
    </dgm:pt>
    <dgm:pt modelId="{98E8C7A8-5F59-4290-A823-D8EAB452374C}" type="sibTrans" cxnId="{9409169F-42B8-4263-832B-5337BC6D80D5}">
      <dgm:prSet/>
      <dgm:spPr/>
      <dgm:t>
        <a:bodyPr/>
        <a:lstStyle/>
        <a:p>
          <a:endParaRPr lang="en-IN"/>
        </a:p>
      </dgm:t>
    </dgm:pt>
    <dgm:pt modelId="{66BE7AEB-9C75-49EC-BADC-89922153EC73}">
      <dgm:prSet phldrT="[Text]"/>
      <dgm:spPr>
        <a:solidFill>
          <a:schemeClr val="accent1">
            <a:hueOff val="0"/>
            <a:satOff val="0"/>
            <a:lumOff val="0"/>
          </a:schemeClr>
        </a:solidFill>
        <a:scene3d>
          <a:camera prst="orthographicFront"/>
          <a:lightRig rig="soft" dir="t"/>
        </a:scene3d>
        <a:sp3d prstMaterial="powder"/>
      </dgm:spPr>
      <dgm:t>
        <a:bodyPr/>
        <a:lstStyle/>
        <a:p>
          <a:r>
            <a:rPr lang="en-IN"/>
            <a:t>July</a:t>
          </a:r>
        </a:p>
      </dgm:t>
      <dgm:extLst>
        <a:ext uri="{E40237B7-FDA0-4F09-8148-C483321AD2D9}">
          <dgm14:cNvPr xmlns:dgm14="http://schemas.microsoft.com/office/drawing/2010/diagram" id="0" name="">
            <a:hlinkClick xmlns:r="http://schemas.openxmlformats.org/officeDocument/2006/relationships" r:id="rId2"/>
          </dgm14:cNvPr>
        </a:ext>
      </dgm:extLst>
    </dgm:pt>
    <dgm:pt modelId="{38D72418-B9FF-48BB-ACCC-9149DD6DF291}" type="parTrans" cxnId="{2B4DC396-69DE-4BE7-BA43-6B2732E7C530}">
      <dgm:prSet/>
      <dgm:spPr/>
      <dgm:t>
        <a:bodyPr/>
        <a:lstStyle/>
        <a:p>
          <a:endParaRPr lang="en-IN"/>
        </a:p>
      </dgm:t>
    </dgm:pt>
    <dgm:pt modelId="{625B673E-3213-494D-AF6D-68A3713BDC7D}" type="sibTrans" cxnId="{2B4DC396-69DE-4BE7-BA43-6B2732E7C530}">
      <dgm:prSet/>
      <dgm:spPr/>
      <dgm:t>
        <a:bodyPr/>
        <a:lstStyle/>
        <a:p>
          <a:endParaRPr lang="en-IN"/>
        </a:p>
      </dgm:t>
    </dgm:pt>
    <dgm:pt modelId="{559B6C5F-7ED4-4762-B40E-3B93429F3991}">
      <dgm:prSet phldrT="[Text]"/>
      <dgm:spPr>
        <a:solidFill>
          <a:schemeClr val="accent1">
            <a:hueOff val="0"/>
            <a:satOff val="0"/>
            <a:lumOff val="0"/>
          </a:schemeClr>
        </a:solidFill>
        <a:scene3d>
          <a:camera prst="orthographicFront"/>
          <a:lightRig rig="soft" dir="t"/>
        </a:scene3d>
        <a:sp3d prstMaterial="powder"/>
      </dgm:spPr>
      <dgm:t>
        <a:bodyPr/>
        <a:lstStyle/>
        <a:p>
          <a:r>
            <a:rPr lang="en-IN"/>
            <a:t>June</a:t>
          </a:r>
        </a:p>
      </dgm:t>
      <dgm:extLst>
        <a:ext uri="{E40237B7-FDA0-4F09-8148-C483321AD2D9}">
          <dgm14:cNvPr xmlns:dgm14="http://schemas.microsoft.com/office/drawing/2010/diagram" id="0" name="">
            <a:hlinkClick xmlns:r="http://schemas.openxmlformats.org/officeDocument/2006/relationships" r:id="rId3"/>
          </dgm14:cNvPr>
        </a:ext>
      </dgm:extLst>
    </dgm:pt>
    <dgm:pt modelId="{5D4DB97C-F8EB-43A2-A165-E1C9B36E7C4E}" type="parTrans" cxnId="{10D5F214-9116-4DB8-8C70-236E8FC3B212}">
      <dgm:prSet/>
      <dgm:spPr/>
      <dgm:t>
        <a:bodyPr/>
        <a:lstStyle/>
        <a:p>
          <a:endParaRPr lang="en-IN"/>
        </a:p>
      </dgm:t>
    </dgm:pt>
    <dgm:pt modelId="{15F7DDAE-576B-4892-B879-D4A705C3B3E2}" type="sibTrans" cxnId="{10D5F214-9116-4DB8-8C70-236E8FC3B212}">
      <dgm:prSet/>
      <dgm:spPr/>
      <dgm:t>
        <a:bodyPr/>
        <a:lstStyle/>
        <a:p>
          <a:endParaRPr lang="en-IN"/>
        </a:p>
      </dgm:t>
    </dgm:pt>
    <dgm:pt modelId="{2879C7DD-3B65-4A82-BDF3-F7AC1F03867E}">
      <dgm:prSet phldrT="[Text]"/>
      <dgm:spPr>
        <a:solidFill>
          <a:schemeClr val="accent1">
            <a:hueOff val="0"/>
            <a:satOff val="0"/>
            <a:lumOff val="0"/>
          </a:schemeClr>
        </a:solidFill>
        <a:scene3d>
          <a:camera prst="orthographicFront"/>
          <a:lightRig rig="soft" dir="t"/>
        </a:scene3d>
        <a:sp3d prstMaterial="powder"/>
      </dgm:spPr>
      <dgm:t>
        <a:bodyPr/>
        <a:lstStyle/>
        <a:p>
          <a:r>
            <a:rPr lang="en-IN"/>
            <a:t>Raw Material</a:t>
          </a:r>
        </a:p>
      </dgm:t>
      <dgm:extLst>
        <a:ext uri="{E40237B7-FDA0-4F09-8148-C483321AD2D9}">
          <dgm14:cNvPr xmlns:dgm14="http://schemas.microsoft.com/office/drawing/2010/diagram" id="0" name="">
            <a:hlinkClick xmlns:r="http://schemas.openxmlformats.org/officeDocument/2006/relationships" r:id="rId4"/>
          </dgm14:cNvPr>
        </a:ext>
      </dgm:extLst>
    </dgm:pt>
    <dgm:pt modelId="{DACF350D-94A4-42C2-991E-49A6D5410C66}" type="sibTrans" cxnId="{FC13F961-3BD7-406C-84FA-429C2E6F9390}">
      <dgm:prSet/>
      <dgm:spPr/>
      <dgm:t>
        <a:bodyPr/>
        <a:lstStyle/>
        <a:p>
          <a:endParaRPr lang="en-IN"/>
        </a:p>
      </dgm:t>
    </dgm:pt>
    <dgm:pt modelId="{E7C8C2EA-0A59-4598-BA52-04FDD506195B}" type="parTrans" cxnId="{FC13F961-3BD7-406C-84FA-429C2E6F9390}">
      <dgm:prSet/>
      <dgm:spPr/>
      <dgm:t>
        <a:bodyPr/>
        <a:lstStyle/>
        <a:p>
          <a:endParaRPr lang="en-IN"/>
        </a:p>
      </dgm:t>
    </dgm:pt>
    <dgm:pt modelId="{AFFE5BB0-F1E4-4602-A94D-2CDADD5FFB8A}">
      <dgm:prSet phldrT="[Text]"/>
      <dgm:spPr>
        <a:solidFill>
          <a:schemeClr val="accent1">
            <a:hueOff val="0"/>
            <a:satOff val="0"/>
            <a:lumOff val="0"/>
          </a:schemeClr>
        </a:solidFill>
        <a:scene3d>
          <a:camera prst="orthographicFront"/>
          <a:lightRig rig="soft" dir="t"/>
        </a:scene3d>
        <a:sp3d prstMaterial="powder"/>
      </dgm:spPr>
      <dgm:t>
        <a:bodyPr/>
        <a:lstStyle/>
        <a:p>
          <a:r>
            <a:rPr lang="en-IN"/>
            <a:t>Summary</a:t>
          </a:r>
        </a:p>
      </dgm:t>
      <dgm:extLst>
        <a:ext uri="{E40237B7-FDA0-4F09-8148-C483321AD2D9}">
          <dgm14:cNvPr xmlns:dgm14="http://schemas.microsoft.com/office/drawing/2010/diagram" id="0" name="">
            <a:hlinkClick xmlns:r="http://schemas.openxmlformats.org/officeDocument/2006/relationships" r:id="rId5"/>
          </dgm14:cNvPr>
        </a:ext>
      </dgm:extLst>
    </dgm:pt>
    <dgm:pt modelId="{70737207-503F-4C40-9B33-FA4B07AE5868}" type="parTrans" cxnId="{412848AE-0BC4-4A57-83BB-84D81F145B60}">
      <dgm:prSet/>
      <dgm:spPr/>
      <dgm:t>
        <a:bodyPr/>
        <a:lstStyle/>
        <a:p>
          <a:endParaRPr lang="en-IN"/>
        </a:p>
      </dgm:t>
    </dgm:pt>
    <dgm:pt modelId="{C958434A-F7C8-4362-AD44-69069D716AC5}" type="sibTrans" cxnId="{412848AE-0BC4-4A57-83BB-84D81F145B60}">
      <dgm:prSet/>
      <dgm:spPr/>
      <dgm:t>
        <a:bodyPr/>
        <a:lstStyle/>
        <a:p>
          <a:endParaRPr lang="en-IN"/>
        </a:p>
      </dgm:t>
    </dgm:pt>
    <dgm:pt modelId="{C4DF8428-8F21-4FBC-82C3-7F625D22BF34}">
      <dgm:prSet phldrT="[Text]"/>
      <dgm:spPr>
        <a:solidFill>
          <a:schemeClr val="accent1">
            <a:hueOff val="0"/>
            <a:satOff val="0"/>
            <a:lumOff val="0"/>
          </a:schemeClr>
        </a:solidFill>
        <a:scene3d>
          <a:camera prst="orthographicFront"/>
          <a:lightRig rig="soft" dir="t"/>
        </a:scene3d>
        <a:sp3d prstMaterial="powder"/>
      </dgm:spPr>
      <dgm:t>
        <a:bodyPr/>
        <a:lstStyle/>
        <a:p>
          <a:r>
            <a:rPr lang="en-IN"/>
            <a:t>Profit &amp; Loss</a:t>
          </a:r>
        </a:p>
      </dgm:t>
      <dgm:extLst>
        <a:ext uri="{E40237B7-FDA0-4F09-8148-C483321AD2D9}">
          <dgm14:cNvPr xmlns:dgm14="http://schemas.microsoft.com/office/drawing/2010/diagram" id="0" name="">
            <a:hlinkClick xmlns:r="http://schemas.openxmlformats.org/officeDocument/2006/relationships" r:id="rId6"/>
          </dgm14:cNvPr>
        </a:ext>
      </dgm:extLst>
    </dgm:pt>
    <dgm:pt modelId="{00A375A9-DBBB-451E-8012-4571302C035E}" type="parTrans" cxnId="{759ADA89-A073-4E8D-A6B2-EB19791AC3C8}">
      <dgm:prSet/>
      <dgm:spPr/>
      <dgm:t>
        <a:bodyPr/>
        <a:lstStyle/>
        <a:p>
          <a:endParaRPr lang="en-IN"/>
        </a:p>
      </dgm:t>
    </dgm:pt>
    <dgm:pt modelId="{FB4C2D17-3E83-450C-A0D9-3507DA4A7ABD}" type="sibTrans" cxnId="{759ADA89-A073-4E8D-A6B2-EB19791AC3C8}">
      <dgm:prSet/>
      <dgm:spPr/>
      <dgm:t>
        <a:bodyPr/>
        <a:lstStyle/>
        <a:p>
          <a:endParaRPr lang="en-IN"/>
        </a:p>
      </dgm:t>
    </dgm:pt>
    <dgm:pt modelId="{D9772EA6-6FB8-404A-918F-E848F235DB9A}">
      <dgm:prSet phldrT="[Text]"/>
      <dgm:spPr>
        <a:solidFill>
          <a:schemeClr val="accent1">
            <a:hueOff val="0"/>
            <a:satOff val="0"/>
            <a:lumOff val="0"/>
          </a:schemeClr>
        </a:solidFill>
        <a:scene3d>
          <a:camera prst="orthographicFront"/>
          <a:lightRig rig="soft" dir="t"/>
        </a:scene3d>
        <a:sp3d prstMaterial="powder"/>
      </dgm:spPr>
      <dgm:t>
        <a:bodyPr/>
        <a:lstStyle/>
        <a:p>
          <a:r>
            <a:rPr lang="en-IN"/>
            <a:t>May</a:t>
          </a:r>
        </a:p>
      </dgm:t>
      <dgm:extLst>
        <a:ext uri="{E40237B7-FDA0-4F09-8148-C483321AD2D9}">
          <dgm14:cNvPr xmlns:dgm14="http://schemas.microsoft.com/office/drawing/2010/diagram" id="0" name="">
            <a:hlinkClick xmlns:r="http://schemas.openxmlformats.org/officeDocument/2006/relationships" r:id="rId7"/>
          </dgm14:cNvPr>
        </a:ext>
      </dgm:extLst>
    </dgm:pt>
    <dgm:pt modelId="{06CA5EE9-3720-4344-9D4B-23687AEA0E3A}" type="parTrans" cxnId="{5B7F4416-7C44-43C7-90FA-198CA079B7F3}">
      <dgm:prSet/>
      <dgm:spPr/>
      <dgm:t>
        <a:bodyPr/>
        <a:lstStyle/>
        <a:p>
          <a:endParaRPr lang="en-IN"/>
        </a:p>
      </dgm:t>
    </dgm:pt>
    <dgm:pt modelId="{70E43812-5942-46B8-BCE6-BB7DA5035D10}" type="sibTrans" cxnId="{5B7F4416-7C44-43C7-90FA-198CA079B7F3}">
      <dgm:prSet/>
      <dgm:spPr/>
      <dgm:t>
        <a:bodyPr/>
        <a:lstStyle/>
        <a:p>
          <a:endParaRPr lang="en-IN"/>
        </a:p>
      </dgm:t>
    </dgm:pt>
    <dgm:pt modelId="{A9FC6C54-6DF1-4365-86FD-26E8AA75CDD0}">
      <dgm:prSet phldrT="[Text]"/>
      <dgm:spPr>
        <a:solidFill>
          <a:schemeClr val="accent1">
            <a:hueOff val="0"/>
            <a:satOff val="0"/>
            <a:lumOff val="0"/>
          </a:schemeClr>
        </a:solidFill>
        <a:scene3d>
          <a:camera prst="orthographicFront"/>
          <a:lightRig rig="soft" dir="t"/>
        </a:scene3d>
        <a:sp3d prstMaterial="powder"/>
      </dgm:spPr>
      <dgm:t>
        <a:bodyPr/>
        <a:lstStyle/>
        <a:p>
          <a:r>
            <a:rPr lang="en-IN"/>
            <a:t>September</a:t>
          </a:r>
        </a:p>
      </dgm:t>
      <dgm:extLst>
        <a:ext uri="{E40237B7-FDA0-4F09-8148-C483321AD2D9}">
          <dgm14:cNvPr xmlns:dgm14="http://schemas.microsoft.com/office/drawing/2010/diagram" id="0" name="">
            <a:hlinkClick xmlns:r="http://schemas.openxmlformats.org/officeDocument/2006/relationships" r:id="rId8"/>
          </dgm14:cNvPr>
        </a:ext>
      </dgm:extLst>
    </dgm:pt>
    <dgm:pt modelId="{8F788526-94B5-482D-ABB8-645987F7D55C}" type="parTrans" cxnId="{5528F931-9FD1-4D59-9809-1898CFB616CB}">
      <dgm:prSet/>
      <dgm:spPr/>
      <dgm:t>
        <a:bodyPr/>
        <a:lstStyle/>
        <a:p>
          <a:endParaRPr lang="en-IN"/>
        </a:p>
      </dgm:t>
    </dgm:pt>
    <dgm:pt modelId="{6D66200F-ADF2-420B-BC8A-C915FF00F5F3}" type="sibTrans" cxnId="{5528F931-9FD1-4D59-9809-1898CFB616CB}">
      <dgm:prSet/>
      <dgm:spPr/>
      <dgm:t>
        <a:bodyPr/>
        <a:lstStyle/>
        <a:p>
          <a:endParaRPr lang="en-IN"/>
        </a:p>
      </dgm:t>
    </dgm:pt>
    <dgm:pt modelId="{2B2EE24A-7152-466A-8E78-8B060C753392}" type="pres">
      <dgm:prSet presAssocID="{2711E4AD-827A-4D78-9B2D-4A1800975C10}" presName="diagram" presStyleCnt="0">
        <dgm:presLayoutVars>
          <dgm:dir/>
          <dgm:resizeHandles val="exact"/>
        </dgm:presLayoutVars>
      </dgm:prSet>
      <dgm:spPr/>
      <dgm:t>
        <a:bodyPr/>
        <a:lstStyle/>
        <a:p>
          <a:endParaRPr lang="en-IN"/>
        </a:p>
      </dgm:t>
    </dgm:pt>
    <dgm:pt modelId="{6D1B3BF0-165D-40CC-A5FF-04F9C387258A}" type="pres">
      <dgm:prSet presAssocID="{2879C7DD-3B65-4A82-BDF3-F7AC1F03867E}" presName="node" presStyleLbl="node1" presStyleIdx="0" presStyleCnt="8">
        <dgm:presLayoutVars>
          <dgm:bulletEnabled val="1"/>
        </dgm:presLayoutVars>
      </dgm:prSet>
      <dgm:spPr/>
      <dgm:t>
        <a:bodyPr/>
        <a:lstStyle/>
        <a:p>
          <a:endParaRPr lang="en-IN"/>
        </a:p>
      </dgm:t>
    </dgm:pt>
    <dgm:pt modelId="{1F9176AC-C4FB-4EFA-8BD9-4CC360EA8DEF}" type="pres">
      <dgm:prSet presAssocID="{DACF350D-94A4-42C2-991E-49A6D5410C66}" presName="sibTrans" presStyleCnt="0"/>
      <dgm:spPr/>
    </dgm:pt>
    <dgm:pt modelId="{EA974591-FBA7-4089-B740-BE77DFBF3CF2}" type="pres">
      <dgm:prSet presAssocID="{AFFE5BB0-F1E4-4602-A94D-2CDADD5FFB8A}" presName="node" presStyleLbl="node1" presStyleIdx="1" presStyleCnt="8">
        <dgm:presLayoutVars>
          <dgm:bulletEnabled val="1"/>
        </dgm:presLayoutVars>
      </dgm:prSet>
      <dgm:spPr/>
      <dgm:t>
        <a:bodyPr/>
        <a:lstStyle/>
        <a:p>
          <a:endParaRPr lang="en-IN"/>
        </a:p>
      </dgm:t>
    </dgm:pt>
    <dgm:pt modelId="{38792DFB-7C93-4676-B2AD-DC8164670238}" type="pres">
      <dgm:prSet presAssocID="{C958434A-F7C8-4362-AD44-69069D716AC5}" presName="sibTrans" presStyleCnt="0"/>
      <dgm:spPr/>
    </dgm:pt>
    <dgm:pt modelId="{4D53D173-00D4-4695-86F0-58BFEA80932D}" type="pres">
      <dgm:prSet presAssocID="{C4DF8428-8F21-4FBC-82C3-7F625D22BF34}" presName="node" presStyleLbl="node1" presStyleIdx="2" presStyleCnt="8">
        <dgm:presLayoutVars>
          <dgm:bulletEnabled val="1"/>
        </dgm:presLayoutVars>
      </dgm:prSet>
      <dgm:spPr/>
      <dgm:t>
        <a:bodyPr/>
        <a:lstStyle/>
        <a:p>
          <a:endParaRPr lang="en-IN"/>
        </a:p>
      </dgm:t>
    </dgm:pt>
    <dgm:pt modelId="{1C0E27ED-28F3-44C5-B24E-60077ACD1DAC}" type="pres">
      <dgm:prSet presAssocID="{FB4C2D17-3E83-450C-A0D9-3507DA4A7ABD}" presName="sibTrans" presStyleCnt="0"/>
      <dgm:spPr/>
    </dgm:pt>
    <dgm:pt modelId="{3034C728-9FF4-4192-AE66-9A773AD998F1}" type="pres">
      <dgm:prSet presAssocID="{D9772EA6-6FB8-404A-918F-E848F235DB9A}" presName="node" presStyleLbl="node1" presStyleIdx="3" presStyleCnt="8">
        <dgm:presLayoutVars>
          <dgm:bulletEnabled val="1"/>
        </dgm:presLayoutVars>
      </dgm:prSet>
      <dgm:spPr/>
      <dgm:t>
        <a:bodyPr/>
        <a:lstStyle/>
        <a:p>
          <a:endParaRPr lang="en-IN"/>
        </a:p>
      </dgm:t>
    </dgm:pt>
    <dgm:pt modelId="{DAB38D43-4A4E-4B63-A755-2E1729DAFDC0}" type="pres">
      <dgm:prSet presAssocID="{70E43812-5942-46B8-BCE6-BB7DA5035D10}" presName="sibTrans" presStyleCnt="0"/>
      <dgm:spPr/>
    </dgm:pt>
    <dgm:pt modelId="{3247C7A4-193C-434A-9540-E7E5453E7BD8}" type="pres">
      <dgm:prSet presAssocID="{559B6C5F-7ED4-4762-B40E-3B93429F3991}" presName="node" presStyleLbl="node1" presStyleIdx="4" presStyleCnt="8">
        <dgm:presLayoutVars>
          <dgm:bulletEnabled val="1"/>
        </dgm:presLayoutVars>
      </dgm:prSet>
      <dgm:spPr/>
      <dgm:t>
        <a:bodyPr/>
        <a:lstStyle/>
        <a:p>
          <a:endParaRPr lang="en-IN"/>
        </a:p>
      </dgm:t>
    </dgm:pt>
    <dgm:pt modelId="{60EAB671-DE4F-4893-B492-EDB2914C5157}" type="pres">
      <dgm:prSet presAssocID="{15F7DDAE-576B-4892-B879-D4A705C3B3E2}" presName="sibTrans" presStyleCnt="0"/>
      <dgm:spPr/>
    </dgm:pt>
    <dgm:pt modelId="{CF2C0832-3061-4627-BBE8-53B7F15A35C2}" type="pres">
      <dgm:prSet presAssocID="{66BE7AEB-9C75-49EC-BADC-89922153EC73}" presName="node" presStyleLbl="node1" presStyleIdx="5" presStyleCnt="8">
        <dgm:presLayoutVars>
          <dgm:bulletEnabled val="1"/>
        </dgm:presLayoutVars>
      </dgm:prSet>
      <dgm:spPr/>
      <dgm:t>
        <a:bodyPr/>
        <a:lstStyle/>
        <a:p>
          <a:endParaRPr lang="en-IN"/>
        </a:p>
      </dgm:t>
    </dgm:pt>
    <dgm:pt modelId="{531604E2-F4CD-491E-9D9C-34F65F7BDC64}" type="pres">
      <dgm:prSet presAssocID="{625B673E-3213-494D-AF6D-68A3713BDC7D}" presName="sibTrans" presStyleCnt="0"/>
      <dgm:spPr/>
    </dgm:pt>
    <dgm:pt modelId="{DD471FD8-25B7-4544-8752-03031A9EF2FD}" type="pres">
      <dgm:prSet presAssocID="{A7CBC1EB-1B18-4679-A48A-860BD08B8131}" presName="node" presStyleLbl="node1" presStyleIdx="6" presStyleCnt="8">
        <dgm:presLayoutVars>
          <dgm:bulletEnabled val="1"/>
        </dgm:presLayoutVars>
      </dgm:prSet>
      <dgm:spPr/>
      <dgm:t>
        <a:bodyPr/>
        <a:lstStyle/>
        <a:p>
          <a:endParaRPr lang="en-IN"/>
        </a:p>
      </dgm:t>
    </dgm:pt>
    <dgm:pt modelId="{AF240B77-1141-4DD0-A3A0-1DEAF7C1FCC3}" type="pres">
      <dgm:prSet presAssocID="{98E8C7A8-5F59-4290-A823-D8EAB452374C}" presName="sibTrans" presStyleCnt="0"/>
      <dgm:spPr/>
    </dgm:pt>
    <dgm:pt modelId="{CD892D52-1F11-453A-A8AA-94D81A785032}" type="pres">
      <dgm:prSet presAssocID="{A9FC6C54-6DF1-4365-86FD-26E8AA75CDD0}" presName="node" presStyleLbl="node1" presStyleIdx="7" presStyleCnt="8">
        <dgm:presLayoutVars>
          <dgm:bulletEnabled val="1"/>
        </dgm:presLayoutVars>
      </dgm:prSet>
      <dgm:spPr/>
      <dgm:t>
        <a:bodyPr/>
        <a:lstStyle/>
        <a:p>
          <a:endParaRPr lang="en-IN"/>
        </a:p>
      </dgm:t>
    </dgm:pt>
  </dgm:ptLst>
  <dgm:cxnLst>
    <dgm:cxn modelId="{10D5F214-9116-4DB8-8C70-236E8FC3B212}" srcId="{2711E4AD-827A-4D78-9B2D-4A1800975C10}" destId="{559B6C5F-7ED4-4762-B40E-3B93429F3991}" srcOrd="4" destOrd="0" parTransId="{5D4DB97C-F8EB-43A2-A165-E1C9B36E7C4E}" sibTransId="{15F7DDAE-576B-4892-B879-D4A705C3B3E2}"/>
    <dgm:cxn modelId="{AE89809E-E6FA-45E8-958B-094F7CE61760}" type="presOf" srcId="{66BE7AEB-9C75-49EC-BADC-89922153EC73}" destId="{CF2C0832-3061-4627-BBE8-53B7F15A35C2}" srcOrd="0" destOrd="0" presId="urn:microsoft.com/office/officeart/2005/8/layout/default"/>
    <dgm:cxn modelId="{FA9064A8-52F4-4610-9A76-958379785047}" type="presOf" srcId="{AFFE5BB0-F1E4-4602-A94D-2CDADD5FFB8A}" destId="{EA974591-FBA7-4089-B740-BE77DFBF3CF2}" srcOrd="0" destOrd="0" presId="urn:microsoft.com/office/officeart/2005/8/layout/default"/>
    <dgm:cxn modelId="{B3483D9A-4EE2-4CAE-ACC3-714A0D4B42C5}" type="presOf" srcId="{A9FC6C54-6DF1-4365-86FD-26E8AA75CDD0}" destId="{CD892D52-1F11-453A-A8AA-94D81A785032}" srcOrd="0" destOrd="0" presId="urn:microsoft.com/office/officeart/2005/8/layout/default"/>
    <dgm:cxn modelId="{05DE5AF2-9750-46ED-9626-85E8B6EF4937}" type="presOf" srcId="{C4DF8428-8F21-4FBC-82C3-7F625D22BF34}" destId="{4D53D173-00D4-4695-86F0-58BFEA80932D}" srcOrd="0" destOrd="0" presId="urn:microsoft.com/office/officeart/2005/8/layout/default"/>
    <dgm:cxn modelId="{5B7F4416-7C44-43C7-90FA-198CA079B7F3}" srcId="{2711E4AD-827A-4D78-9B2D-4A1800975C10}" destId="{D9772EA6-6FB8-404A-918F-E848F235DB9A}" srcOrd="3" destOrd="0" parTransId="{06CA5EE9-3720-4344-9D4B-23687AEA0E3A}" sibTransId="{70E43812-5942-46B8-BCE6-BB7DA5035D10}"/>
    <dgm:cxn modelId="{7C6E873D-3D58-4DD7-A3EB-03652EF73432}" type="presOf" srcId="{A7CBC1EB-1B18-4679-A48A-860BD08B8131}" destId="{DD471FD8-25B7-4544-8752-03031A9EF2FD}" srcOrd="0" destOrd="0" presId="urn:microsoft.com/office/officeart/2005/8/layout/default"/>
    <dgm:cxn modelId="{412848AE-0BC4-4A57-83BB-84D81F145B60}" srcId="{2711E4AD-827A-4D78-9B2D-4A1800975C10}" destId="{AFFE5BB0-F1E4-4602-A94D-2CDADD5FFB8A}" srcOrd="1" destOrd="0" parTransId="{70737207-503F-4C40-9B33-FA4B07AE5868}" sibTransId="{C958434A-F7C8-4362-AD44-69069D716AC5}"/>
    <dgm:cxn modelId="{2C9B95B1-CFEE-4900-BD6F-747D47E8CFDF}" type="presOf" srcId="{559B6C5F-7ED4-4762-B40E-3B93429F3991}" destId="{3247C7A4-193C-434A-9540-E7E5453E7BD8}" srcOrd="0" destOrd="0" presId="urn:microsoft.com/office/officeart/2005/8/layout/default"/>
    <dgm:cxn modelId="{C01CFD0E-75F4-4927-9579-1BFDAA9F7403}" type="presOf" srcId="{2879C7DD-3B65-4A82-BDF3-F7AC1F03867E}" destId="{6D1B3BF0-165D-40CC-A5FF-04F9C387258A}" srcOrd="0" destOrd="0" presId="urn:microsoft.com/office/officeart/2005/8/layout/default"/>
    <dgm:cxn modelId="{5528F931-9FD1-4D59-9809-1898CFB616CB}" srcId="{2711E4AD-827A-4D78-9B2D-4A1800975C10}" destId="{A9FC6C54-6DF1-4365-86FD-26E8AA75CDD0}" srcOrd="7" destOrd="0" parTransId="{8F788526-94B5-482D-ABB8-645987F7D55C}" sibTransId="{6D66200F-ADF2-420B-BC8A-C915FF00F5F3}"/>
    <dgm:cxn modelId="{3E9C3557-B147-4D2F-A475-378D426AD6C1}" type="presOf" srcId="{2711E4AD-827A-4D78-9B2D-4A1800975C10}" destId="{2B2EE24A-7152-466A-8E78-8B060C753392}" srcOrd="0" destOrd="0" presId="urn:microsoft.com/office/officeart/2005/8/layout/default"/>
    <dgm:cxn modelId="{FC13F961-3BD7-406C-84FA-429C2E6F9390}" srcId="{2711E4AD-827A-4D78-9B2D-4A1800975C10}" destId="{2879C7DD-3B65-4A82-BDF3-F7AC1F03867E}" srcOrd="0" destOrd="0" parTransId="{E7C8C2EA-0A59-4598-BA52-04FDD506195B}" sibTransId="{DACF350D-94A4-42C2-991E-49A6D5410C66}"/>
    <dgm:cxn modelId="{2B4DC396-69DE-4BE7-BA43-6B2732E7C530}" srcId="{2711E4AD-827A-4D78-9B2D-4A1800975C10}" destId="{66BE7AEB-9C75-49EC-BADC-89922153EC73}" srcOrd="5" destOrd="0" parTransId="{38D72418-B9FF-48BB-ACCC-9149DD6DF291}" sibTransId="{625B673E-3213-494D-AF6D-68A3713BDC7D}"/>
    <dgm:cxn modelId="{759ADA89-A073-4E8D-A6B2-EB19791AC3C8}" srcId="{2711E4AD-827A-4D78-9B2D-4A1800975C10}" destId="{C4DF8428-8F21-4FBC-82C3-7F625D22BF34}" srcOrd="2" destOrd="0" parTransId="{00A375A9-DBBB-451E-8012-4571302C035E}" sibTransId="{FB4C2D17-3E83-450C-A0D9-3507DA4A7ABD}"/>
    <dgm:cxn modelId="{A710DE25-470D-499C-8554-F5AE1A70ED09}" type="presOf" srcId="{D9772EA6-6FB8-404A-918F-E848F235DB9A}" destId="{3034C728-9FF4-4192-AE66-9A773AD998F1}" srcOrd="0" destOrd="0" presId="urn:microsoft.com/office/officeart/2005/8/layout/default"/>
    <dgm:cxn modelId="{9409169F-42B8-4263-832B-5337BC6D80D5}" srcId="{2711E4AD-827A-4D78-9B2D-4A1800975C10}" destId="{A7CBC1EB-1B18-4679-A48A-860BD08B8131}" srcOrd="6" destOrd="0" parTransId="{EC5EE958-971F-4AE8-9055-E997D4060D5F}" sibTransId="{98E8C7A8-5F59-4290-A823-D8EAB452374C}"/>
    <dgm:cxn modelId="{74CAA8CD-EB95-49DD-B9E4-C57AD3980B3F}" type="presParOf" srcId="{2B2EE24A-7152-466A-8E78-8B060C753392}" destId="{6D1B3BF0-165D-40CC-A5FF-04F9C387258A}" srcOrd="0" destOrd="0" presId="urn:microsoft.com/office/officeart/2005/8/layout/default"/>
    <dgm:cxn modelId="{3CFFA4FD-5F19-41A5-AA1E-0DA034FB1973}" type="presParOf" srcId="{2B2EE24A-7152-466A-8E78-8B060C753392}" destId="{1F9176AC-C4FB-4EFA-8BD9-4CC360EA8DEF}" srcOrd="1" destOrd="0" presId="urn:microsoft.com/office/officeart/2005/8/layout/default"/>
    <dgm:cxn modelId="{C034C540-6CCC-4305-9118-6D6DB0628FA7}" type="presParOf" srcId="{2B2EE24A-7152-466A-8E78-8B060C753392}" destId="{EA974591-FBA7-4089-B740-BE77DFBF3CF2}" srcOrd="2" destOrd="0" presId="urn:microsoft.com/office/officeart/2005/8/layout/default"/>
    <dgm:cxn modelId="{C8738000-F519-4195-A23C-6A3AD3ABF61F}" type="presParOf" srcId="{2B2EE24A-7152-466A-8E78-8B060C753392}" destId="{38792DFB-7C93-4676-B2AD-DC8164670238}" srcOrd="3" destOrd="0" presId="urn:microsoft.com/office/officeart/2005/8/layout/default"/>
    <dgm:cxn modelId="{C7226123-7BA1-47B5-B360-4E9DDC207C9A}" type="presParOf" srcId="{2B2EE24A-7152-466A-8E78-8B060C753392}" destId="{4D53D173-00D4-4695-86F0-58BFEA80932D}" srcOrd="4" destOrd="0" presId="urn:microsoft.com/office/officeart/2005/8/layout/default"/>
    <dgm:cxn modelId="{DE3740A3-B41D-4130-B538-8AE433635F02}" type="presParOf" srcId="{2B2EE24A-7152-466A-8E78-8B060C753392}" destId="{1C0E27ED-28F3-44C5-B24E-60077ACD1DAC}" srcOrd="5" destOrd="0" presId="urn:microsoft.com/office/officeart/2005/8/layout/default"/>
    <dgm:cxn modelId="{7D8C56A8-6F94-4E6F-805B-9C9337E4F787}" type="presParOf" srcId="{2B2EE24A-7152-466A-8E78-8B060C753392}" destId="{3034C728-9FF4-4192-AE66-9A773AD998F1}" srcOrd="6" destOrd="0" presId="urn:microsoft.com/office/officeart/2005/8/layout/default"/>
    <dgm:cxn modelId="{DF726DD5-EBEB-4230-8C10-6ABAB89747F2}" type="presParOf" srcId="{2B2EE24A-7152-466A-8E78-8B060C753392}" destId="{DAB38D43-4A4E-4B63-A755-2E1729DAFDC0}" srcOrd="7" destOrd="0" presId="urn:microsoft.com/office/officeart/2005/8/layout/default"/>
    <dgm:cxn modelId="{9D02623D-76FB-4B84-8261-4C86A9F369B4}" type="presParOf" srcId="{2B2EE24A-7152-466A-8E78-8B060C753392}" destId="{3247C7A4-193C-434A-9540-E7E5453E7BD8}" srcOrd="8" destOrd="0" presId="urn:microsoft.com/office/officeart/2005/8/layout/default"/>
    <dgm:cxn modelId="{8392CB71-78F2-4404-969F-74E80E2DA817}" type="presParOf" srcId="{2B2EE24A-7152-466A-8E78-8B060C753392}" destId="{60EAB671-DE4F-4893-B492-EDB2914C5157}" srcOrd="9" destOrd="0" presId="urn:microsoft.com/office/officeart/2005/8/layout/default"/>
    <dgm:cxn modelId="{18F82A5A-F23C-4198-A37F-F90E8C9619D5}" type="presParOf" srcId="{2B2EE24A-7152-466A-8E78-8B060C753392}" destId="{CF2C0832-3061-4627-BBE8-53B7F15A35C2}" srcOrd="10" destOrd="0" presId="urn:microsoft.com/office/officeart/2005/8/layout/default"/>
    <dgm:cxn modelId="{34F6B443-BFEA-46BB-A6AB-64BEC41D077C}" type="presParOf" srcId="{2B2EE24A-7152-466A-8E78-8B060C753392}" destId="{531604E2-F4CD-491E-9D9C-34F65F7BDC64}" srcOrd="11" destOrd="0" presId="urn:microsoft.com/office/officeart/2005/8/layout/default"/>
    <dgm:cxn modelId="{737E443C-DBC6-48B6-B297-C708AB977FDE}" type="presParOf" srcId="{2B2EE24A-7152-466A-8E78-8B060C753392}" destId="{DD471FD8-25B7-4544-8752-03031A9EF2FD}" srcOrd="12" destOrd="0" presId="urn:microsoft.com/office/officeart/2005/8/layout/default"/>
    <dgm:cxn modelId="{4C014B36-3727-4125-84CB-5BF1EFE542C8}" type="presParOf" srcId="{2B2EE24A-7152-466A-8E78-8B060C753392}" destId="{AF240B77-1141-4DD0-A3A0-1DEAF7C1FCC3}" srcOrd="13" destOrd="0" presId="urn:microsoft.com/office/officeart/2005/8/layout/default"/>
    <dgm:cxn modelId="{B8D91F8E-188D-4455-809C-D90617AF39DC}" type="presParOf" srcId="{2B2EE24A-7152-466A-8E78-8B060C753392}" destId="{CD892D52-1F11-453A-A8AA-94D81A785032}" srcOrd="14" destOrd="0" presId="urn:microsoft.com/office/officeart/2005/8/layout/default"/>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2711E4AD-827A-4D78-9B2D-4A1800975C10}" type="doc">
      <dgm:prSet loTypeId="urn:microsoft.com/office/officeart/2005/8/layout/default" loCatId="list" qsTypeId="urn:microsoft.com/office/officeart/2005/8/quickstyle/simple1" qsCatId="simple" csTypeId="urn:microsoft.com/office/officeart/2005/8/colors/accent1_2" csCatId="accent1" phldr="1"/>
      <dgm:spPr/>
      <dgm:t>
        <a:bodyPr/>
        <a:lstStyle/>
        <a:p>
          <a:endParaRPr lang="en-IN"/>
        </a:p>
      </dgm:t>
    </dgm:pt>
    <dgm:pt modelId="{A7CBC1EB-1B18-4679-A48A-860BD08B8131}">
      <dgm:prSet phldrT="[Text]"/>
      <dgm:spPr>
        <a:solidFill>
          <a:schemeClr val="accent1">
            <a:hueOff val="0"/>
            <a:satOff val="0"/>
            <a:lumOff val="0"/>
          </a:schemeClr>
        </a:solidFill>
        <a:scene3d>
          <a:camera prst="orthographicFront"/>
          <a:lightRig rig="soft" dir="t"/>
        </a:scene3d>
        <a:sp3d prstMaterial="powder"/>
      </dgm:spPr>
      <dgm:t>
        <a:bodyPr/>
        <a:lstStyle/>
        <a:p>
          <a:r>
            <a:rPr lang="en-IN"/>
            <a:t>August</a:t>
          </a:r>
        </a:p>
      </dgm:t>
      <dgm:extLst>
        <a:ext uri="{E40237B7-FDA0-4F09-8148-C483321AD2D9}">
          <dgm14:cNvPr xmlns:dgm14="http://schemas.microsoft.com/office/drawing/2010/diagram" id="0" name="">
            <a:hlinkClick xmlns:r="http://schemas.openxmlformats.org/officeDocument/2006/relationships" r:id="rId1"/>
          </dgm14:cNvPr>
        </a:ext>
      </dgm:extLst>
    </dgm:pt>
    <dgm:pt modelId="{EC5EE958-971F-4AE8-9055-E997D4060D5F}" type="parTrans" cxnId="{9409169F-42B8-4263-832B-5337BC6D80D5}">
      <dgm:prSet/>
      <dgm:spPr/>
      <dgm:t>
        <a:bodyPr/>
        <a:lstStyle/>
        <a:p>
          <a:endParaRPr lang="en-IN"/>
        </a:p>
      </dgm:t>
    </dgm:pt>
    <dgm:pt modelId="{98E8C7A8-5F59-4290-A823-D8EAB452374C}" type="sibTrans" cxnId="{9409169F-42B8-4263-832B-5337BC6D80D5}">
      <dgm:prSet/>
      <dgm:spPr/>
      <dgm:t>
        <a:bodyPr/>
        <a:lstStyle/>
        <a:p>
          <a:endParaRPr lang="en-IN"/>
        </a:p>
      </dgm:t>
    </dgm:pt>
    <dgm:pt modelId="{66BE7AEB-9C75-49EC-BADC-89922153EC73}">
      <dgm:prSet phldrT="[Text]"/>
      <dgm:spPr>
        <a:solidFill>
          <a:schemeClr val="accent1">
            <a:hueOff val="0"/>
            <a:satOff val="0"/>
            <a:lumOff val="0"/>
          </a:schemeClr>
        </a:solidFill>
        <a:scene3d>
          <a:camera prst="orthographicFront"/>
          <a:lightRig rig="soft" dir="t"/>
        </a:scene3d>
        <a:sp3d prstMaterial="powder"/>
      </dgm:spPr>
      <dgm:t>
        <a:bodyPr/>
        <a:lstStyle/>
        <a:p>
          <a:r>
            <a:rPr lang="en-IN"/>
            <a:t>July</a:t>
          </a:r>
        </a:p>
      </dgm:t>
      <dgm:extLst>
        <a:ext uri="{E40237B7-FDA0-4F09-8148-C483321AD2D9}">
          <dgm14:cNvPr xmlns:dgm14="http://schemas.microsoft.com/office/drawing/2010/diagram" id="0" name="">
            <a:hlinkClick xmlns:r="http://schemas.openxmlformats.org/officeDocument/2006/relationships" r:id="rId2"/>
          </dgm14:cNvPr>
        </a:ext>
      </dgm:extLst>
    </dgm:pt>
    <dgm:pt modelId="{38D72418-B9FF-48BB-ACCC-9149DD6DF291}" type="parTrans" cxnId="{2B4DC396-69DE-4BE7-BA43-6B2732E7C530}">
      <dgm:prSet/>
      <dgm:spPr/>
      <dgm:t>
        <a:bodyPr/>
        <a:lstStyle/>
        <a:p>
          <a:endParaRPr lang="en-IN"/>
        </a:p>
      </dgm:t>
    </dgm:pt>
    <dgm:pt modelId="{625B673E-3213-494D-AF6D-68A3713BDC7D}" type="sibTrans" cxnId="{2B4DC396-69DE-4BE7-BA43-6B2732E7C530}">
      <dgm:prSet/>
      <dgm:spPr/>
      <dgm:t>
        <a:bodyPr/>
        <a:lstStyle/>
        <a:p>
          <a:endParaRPr lang="en-IN"/>
        </a:p>
      </dgm:t>
    </dgm:pt>
    <dgm:pt modelId="{559B6C5F-7ED4-4762-B40E-3B93429F3991}">
      <dgm:prSet phldrT="[Text]"/>
      <dgm:spPr>
        <a:solidFill>
          <a:schemeClr val="accent1">
            <a:hueOff val="0"/>
            <a:satOff val="0"/>
            <a:lumOff val="0"/>
          </a:schemeClr>
        </a:solidFill>
        <a:scene3d>
          <a:camera prst="orthographicFront"/>
          <a:lightRig rig="soft" dir="t"/>
        </a:scene3d>
        <a:sp3d prstMaterial="powder"/>
      </dgm:spPr>
      <dgm:t>
        <a:bodyPr/>
        <a:lstStyle/>
        <a:p>
          <a:r>
            <a:rPr lang="en-IN"/>
            <a:t>June</a:t>
          </a:r>
        </a:p>
      </dgm:t>
      <dgm:extLst>
        <a:ext uri="{E40237B7-FDA0-4F09-8148-C483321AD2D9}">
          <dgm14:cNvPr xmlns:dgm14="http://schemas.microsoft.com/office/drawing/2010/diagram" id="0" name="">
            <a:hlinkClick xmlns:r="http://schemas.openxmlformats.org/officeDocument/2006/relationships" r:id="rId3"/>
          </dgm14:cNvPr>
        </a:ext>
      </dgm:extLst>
    </dgm:pt>
    <dgm:pt modelId="{5D4DB97C-F8EB-43A2-A165-E1C9B36E7C4E}" type="parTrans" cxnId="{10D5F214-9116-4DB8-8C70-236E8FC3B212}">
      <dgm:prSet/>
      <dgm:spPr/>
      <dgm:t>
        <a:bodyPr/>
        <a:lstStyle/>
        <a:p>
          <a:endParaRPr lang="en-IN"/>
        </a:p>
      </dgm:t>
    </dgm:pt>
    <dgm:pt modelId="{15F7DDAE-576B-4892-B879-D4A705C3B3E2}" type="sibTrans" cxnId="{10D5F214-9116-4DB8-8C70-236E8FC3B212}">
      <dgm:prSet/>
      <dgm:spPr/>
      <dgm:t>
        <a:bodyPr/>
        <a:lstStyle/>
        <a:p>
          <a:endParaRPr lang="en-IN"/>
        </a:p>
      </dgm:t>
    </dgm:pt>
    <dgm:pt modelId="{2879C7DD-3B65-4A82-BDF3-F7AC1F03867E}">
      <dgm:prSet phldrT="[Text]"/>
      <dgm:spPr>
        <a:solidFill>
          <a:schemeClr val="accent1">
            <a:hueOff val="0"/>
            <a:satOff val="0"/>
            <a:lumOff val="0"/>
          </a:schemeClr>
        </a:solidFill>
        <a:scene3d>
          <a:camera prst="orthographicFront"/>
          <a:lightRig rig="soft" dir="t"/>
        </a:scene3d>
        <a:sp3d prstMaterial="powder"/>
      </dgm:spPr>
      <dgm:t>
        <a:bodyPr/>
        <a:lstStyle/>
        <a:p>
          <a:r>
            <a:rPr lang="en-IN"/>
            <a:t>Raw Material</a:t>
          </a:r>
        </a:p>
      </dgm:t>
      <dgm:extLst>
        <a:ext uri="{E40237B7-FDA0-4F09-8148-C483321AD2D9}">
          <dgm14:cNvPr xmlns:dgm14="http://schemas.microsoft.com/office/drawing/2010/diagram" id="0" name="">
            <a:hlinkClick xmlns:r="http://schemas.openxmlformats.org/officeDocument/2006/relationships" r:id="rId4"/>
          </dgm14:cNvPr>
        </a:ext>
      </dgm:extLst>
    </dgm:pt>
    <dgm:pt modelId="{DACF350D-94A4-42C2-991E-49A6D5410C66}" type="sibTrans" cxnId="{FC13F961-3BD7-406C-84FA-429C2E6F9390}">
      <dgm:prSet/>
      <dgm:spPr/>
      <dgm:t>
        <a:bodyPr/>
        <a:lstStyle/>
        <a:p>
          <a:endParaRPr lang="en-IN"/>
        </a:p>
      </dgm:t>
    </dgm:pt>
    <dgm:pt modelId="{E7C8C2EA-0A59-4598-BA52-04FDD506195B}" type="parTrans" cxnId="{FC13F961-3BD7-406C-84FA-429C2E6F9390}">
      <dgm:prSet/>
      <dgm:spPr/>
      <dgm:t>
        <a:bodyPr/>
        <a:lstStyle/>
        <a:p>
          <a:endParaRPr lang="en-IN"/>
        </a:p>
      </dgm:t>
    </dgm:pt>
    <dgm:pt modelId="{AFFE5BB0-F1E4-4602-A94D-2CDADD5FFB8A}">
      <dgm:prSet phldrT="[Text]"/>
      <dgm:spPr>
        <a:solidFill>
          <a:schemeClr val="accent1">
            <a:hueOff val="0"/>
            <a:satOff val="0"/>
            <a:lumOff val="0"/>
          </a:schemeClr>
        </a:solidFill>
        <a:scene3d>
          <a:camera prst="orthographicFront"/>
          <a:lightRig rig="soft" dir="t"/>
        </a:scene3d>
        <a:sp3d prstMaterial="powder"/>
      </dgm:spPr>
      <dgm:t>
        <a:bodyPr/>
        <a:lstStyle/>
        <a:p>
          <a:r>
            <a:rPr lang="en-IN"/>
            <a:t>Summary</a:t>
          </a:r>
        </a:p>
      </dgm:t>
      <dgm:extLst>
        <a:ext uri="{E40237B7-FDA0-4F09-8148-C483321AD2D9}">
          <dgm14:cNvPr xmlns:dgm14="http://schemas.microsoft.com/office/drawing/2010/diagram" id="0" name="">
            <a:hlinkClick xmlns:r="http://schemas.openxmlformats.org/officeDocument/2006/relationships" r:id="rId5"/>
          </dgm14:cNvPr>
        </a:ext>
      </dgm:extLst>
    </dgm:pt>
    <dgm:pt modelId="{70737207-503F-4C40-9B33-FA4B07AE5868}" type="parTrans" cxnId="{412848AE-0BC4-4A57-83BB-84D81F145B60}">
      <dgm:prSet/>
      <dgm:spPr/>
      <dgm:t>
        <a:bodyPr/>
        <a:lstStyle/>
        <a:p>
          <a:endParaRPr lang="en-IN"/>
        </a:p>
      </dgm:t>
    </dgm:pt>
    <dgm:pt modelId="{C958434A-F7C8-4362-AD44-69069D716AC5}" type="sibTrans" cxnId="{412848AE-0BC4-4A57-83BB-84D81F145B60}">
      <dgm:prSet/>
      <dgm:spPr/>
      <dgm:t>
        <a:bodyPr/>
        <a:lstStyle/>
        <a:p>
          <a:endParaRPr lang="en-IN"/>
        </a:p>
      </dgm:t>
    </dgm:pt>
    <dgm:pt modelId="{C4DF8428-8F21-4FBC-82C3-7F625D22BF34}">
      <dgm:prSet phldrT="[Text]"/>
      <dgm:spPr>
        <a:solidFill>
          <a:schemeClr val="accent1">
            <a:hueOff val="0"/>
            <a:satOff val="0"/>
            <a:lumOff val="0"/>
          </a:schemeClr>
        </a:solidFill>
        <a:scene3d>
          <a:camera prst="orthographicFront"/>
          <a:lightRig rig="soft" dir="t"/>
        </a:scene3d>
        <a:sp3d prstMaterial="powder"/>
      </dgm:spPr>
      <dgm:t>
        <a:bodyPr/>
        <a:lstStyle/>
        <a:p>
          <a:r>
            <a:rPr lang="en-IN"/>
            <a:t>Profit &amp; Loss</a:t>
          </a:r>
        </a:p>
      </dgm:t>
      <dgm:extLst>
        <a:ext uri="{E40237B7-FDA0-4F09-8148-C483321AD2D9}">
          <dgm14:cNvPr xmlns:dgm14="http://schemas.microsoft.com/office/drawing/2010/diagram" id="0" name="">
            <a:hlinkClick xmlns:r="http://schemas.openxmlformats.org/officeDocument/2006/relationships" r:id="rId6"/>
          </dgm14:cNvPr>
        </a:ext>
      </dgm:extLst>
    </dgm:pt>
    <dgm:pt modelId="{00A375A9-DBBB-451E-8012-4571302C035E}" type="parTrans" cxnId="{759ADA89-A073-4E8D-A6B2-EB19791AC3C8}">
      <dgm:prSet/>
      <dgm:spPr/>
      <dgm:t>
        <a:bodyPr/>
        <a:lstStyle/>
        <a:p>
          <a:endParaRPr lang="en-IN"/>
        </a:p>
      </dgm:t>
    </dgm:pt>
    <dgm:pt modelId="{FB4C2D17-3E83-450C-A0D9-3507DA4A7ABD}" type="sibTrans" cxnId="{759ADA89-A073-4E8D-A6B2-EB19791AC3C8}">
      <dgm:prSet/>
      <dgm:spPr/>
      <dgm:t>
        <a:bodyPr/>
        <a:lstStyle/>
        <a:p>
          <a:endParaRPr lang="en-IN"/>
        </a:p>
      </dgm:t>
    </dgm:pt>
    <dgm:pt modelId="{D9772EA6-6FB8-404A-918F-E848F235DB9A}">
      <dgm:prSet phldrT="[Text]"/>
      <dgm:spPr>
        <a:solidFill>
          <a:schemeClr val="accent1">
            <a:hueOff val="0"/>
            <a:satOff val="0"/>
            <a:lumOff val="0"/>
          </a:schemeClr>
        </a:solidFill>
        <a:scene3d>
          <a:camera prst="orthographicFront"/>
          <a:lightRig rig="soft" dir="t"/>
        </a:scene3d>
        <a:sp3d prstMaterial="powder"/>
      </dgm:spPr>
      <dgm:t>
        <a:bodyPr/>
        <a:lstStyle/>
        <a:p>
          <a:r>
            <a:rPr lang="en-IN"/>
            <a:t>May</a:t>
          </a:r>
        </a:p>
      </dgm:t>
      <dgm:extLst>
        <a:ext uri="{E40237B7-FDA0-4F09-8148-C483321AD2D9}">
          <dgm14:cNvPr xmlns:dgm14="http://schemas.microsoft.com/office/drawing/2010/diagram" id="0" name="">
            <a:hlinkClick xmlns:r="http://schemas.openxmlformats.org/officeDocument/2006/relationships" r:id="rId7"/>
          </dgm14:cNvPr>
        </a:ext>
      </dgm:extLst>
    </dgm:pt>
    <dgm:pt modelId="{06CA5EE9-3720-4344-9D4B-23687AEA0E3A}" type="parTrans" cxnId="{5B7F4416-7C44-43C7-90FA-198CA079B7F3}">
      <dgm:prSet/>
      <dgm:spPr/>
      <dgm:t>
        <a:bodyPr/>
        <a:lstStyle/>
        <a:p>
          <a:endParaRPr lang="en-IN"/>
        </a:p>
      </dgm:t>
    </dgm:pt>
    <dgm:pt modelId="{70E43812-5942-46B8-BCE6-BB7DA5035D10}" type="sibTrans" cxnId="{5B7F4416-7C44-43C7-90FA-198CA079B7F3}">
      <dgm:prSet/>
      <dgm:spPr/>
      <dgm:t>
        <a:bodyPr/>
        <a:lstStyle/>
        <a:p>
          <a:endParaRPr lang="en-IN"/>
        </a:p>
      </dgm:t>
    </dgm:pt>
    <dgm:pt modelId="{A9FC6C54-6DF1-4365-86FD-26E8AA75CDD0}">
      <dgm:prSet phldrT="[Text]"/>
      <dgm:spPr>
        <a:solidFill>
          <a:schemeClr val="accent1">
            <a:hueOff val="0"/>
            <a:satOff val="0"/>
            <a:lumOff val="0"/>
          </a:schemeClr>
        </a:solidFill>
        <a:scene3d>
          <a:camera prst="orthographicFront"/>
          <a:lightRig rig="soft" dir="t"/>
        </a:scene3d>
        <a:sp3d prstMaterial="powder"/>
      </dgm:spPr>
      <dgm:t>
        <a:bodyPr/>
        <a:lstStyle/>
        <a:p>
          <a:r>
            <a:rPr lang="en-IN"/>
            <a:t>September</a:t>
          </a:r>
        </a:p>
      </dgm:t>
      <dgm:extLst>
        <a:ext uri="{E40237B7-FDA0-4F09-8148-C483321AD2D9}">
          <dgm14:cNvPr xmlns:dgm14="http://schemas.microsoft.com/office/drawing/2010/diagram" id="0" name="">
            <a:hlinkClick xmlns:r="http://schemas.openxmlformats.org/officeDocument/2006/relationships" r:id="rId8"/>
          </dgm14:cNvPr>
        </a:ext>
      </dgm:extLst>
    </dgm:pt>
    <dgm:pt modelId="{8F788526-94B5-482D-ABB8-645987F7D55C}" type="parTrans" cxnId="{5528F931-9FD1-4D59-9809-1898CFB616CB}">
      <dgm:prSet/>
      <dgm:spPr/>
      <dgm:t>
        <a:bodyPr/>
        <a:lstStyle/>
        <a:p>
          <a:endParaRPr lang="en-IN"/>
        </a:p>
      </dgm:t>
    </dgm:pt>
    <dgm:pt modelId="{6D66200F-ADF2-420B-BC8A-C915FF00F5F3}" type="sibTrans" cxnId="{5528F931-9FD1-4D59-9809-1898CFB616CB}">
      <dgm:prSet/>
      <dgm:spPr/>
      <dgm:t>
        <a:bodyPr/>
        <a:lstStyle/>
        <a:p>
          <a:endParaRPr lang="en-IN"/>
        </a:p>
      </dgm:t>
    </dgm:pt>
    <dgm:pt modelId="{2B2EE24A-7152-466A-8E78-8B060C753392}" type="pres">
      <dgm:prSet presAssocID="{2711E4AD-827A-4D78-9B2D-4A1800975C10}" presName="diagram" presStyleCnt="0">
        <dgm:presLayoutVars>
          <dgm:dir/>
          <dgm:resizeHandles val="exact"/>
        </dgm:presLayoutVars>
      </dgm:prSet>
      <dgm:spPr/>
      <dgm:t>
        <a:bodyPr/>
        <a:lstStyle/>
        <a:p>
          <a:endParaRPr lang="en-IN"/>
        </a:p>
      </dgm:t>
    </dgm:pt>
    <dgm:pt modelId="{6D1B3BF0-165D-40CC-A5FF-04F9C387258A}" type="pres">
      <dgm:prSet presAssocID="{2879C7DD-3B65-4A82-BDF3-F7AC1F03867E}" presName="node" presStyleLbl="node1" presStyleIdx="0" presStyleCnt="8">
        <dgm:presLayoutVars>
          <dgm:bulletEnabled val="1"/>
        </dgm:presLayoutVars>
      </dgm:prSet>
      <dgm:spPr/>
      <dgm:t>
        <a:bodyPr/>
        <a:lstStyle/>
        <a:p>
          <a:endParaRPr lang="en-IN"/>
        </a:p>
      </dgm:t>
    </dgm:pt>
    <dgm:pt modelId="{1F9176AC-C4FB-4EFA-8BD9-4CC360EA8DEF}" type="pres">
      <dgm:prSet presAssocID="{DACF350D-94A4-42C2-991E-49A6D5410C66}" presName="sibTrans" presStyleCnt="0"/>
      <dgm:spPr/>
    </dgm:pt>
    <dgm:pt modelId="{EA974591-FBA7-4089-B740-BE77DFBF3CF2}" type="pres">
      <dgm:prSet presAssocID="{AFFE5BB0-F1E4-4602-A94D-2CDADD5FFB8A}" presName="node" presStyleLbl="node1" presStyleIdx="1" presStyleCnt="8">
        <dgm:presLayoutVars>
          <dgm:bulletEnabled val="1"/>
        </dgm:presLayoutVars>
      </dgm:prSet>
      <dgm:spPr/>
      <dgm:t>
        <a:bodyPr/>
        <a:lstStyle/>
        <a:p>
          <a:endParaRPr lang="en-IN"/>
        </a:p>
      </dgm:t>
    </dgm:pt>
    <dgm:pt modelId="{38792DFB-7C93-4676-B2AD-DC8164670238}" type="pres">
      <dgm:prSet presAssocID="{C958434A-F7C8-4362-AD44-69069D716AC5}" presName="sibTrans" presStyleCnt="0"/>
      <dgm:spPr/>
    </dgm:pt>
    <dgm:pt modelId="{4D53D173-00D4-4695-86F0-58BFEA80932D}" type="pres">
      <dgm:prSet presAssocID="{C4DF8428-8F21-4FBC-82C3-7F625D22BF34}" presName="node" presStyleLbl="node1" presStyleIdx="2" presStyleCnt="8">
        <dgm:presLayoutVars>
          <dgm:bulletEnabled val="1"/>
        </dgm:presLayoutVars>
      </dgm:prSet>
      <dgm:spPr/>
      <dgm:t>
        <a:bodyPr/>
        <a:lstStyle/>
        <a:p>
          <a:endParaRPr lang="en-IN"/>
        </a:p>
      </dgm:t>
    </dgm:pt>
    <dgm:pt modelId="{1C0E27ED-28F3-44C5-B24E-60077ACD1DAC}" type="pres">
      <dgm:prSet presAssocID="{FB4C2D17-3E83-450C-A0D9-3507DA4A7ABD}" presName="sibTrans" presStyleCnt="0"/>
      <dgm:spPr/>
    </dgm:pt>
    <dgm:pt modelId="{3034C728-9FF4-4192-AE66-9A773AD998F1}" type="pres">
      <dgm:prSet presAssocID="{D9772EA6-6FB8-404A-918F-E848F235DB9A}" presName="node" presStyleLbl="node1" presStyleIdx="3" presStyleCnt="8">
        <dgm:presLayoutVars>
          <dgm:bulletEnabled val="1"/>
        </dgm:presLayoutVars>
      </dgm:prSet>
      <dgm:spPr/>
      <dgm:t>
        <a:bodyPr/>
        <a:lstStyle/>
        <a:p>
          <a:endParaRPr lang="en-IN"/>
        </a:p>
      </dgm:t>
    </dgm:pt>
    <dgm:pt modelId="{DAB38D43-4A4E-4B63-A755-2E1729DAFDC0}" type="pres">
      <dgm:prSet presAssocID="{70E43812-5942-46B8-BCE6-BB7DA5035D10}" presName="sibTrans" presStyleCnt="0"/>
      <dgm:spPr/>
    </dgm:pt>
    <dgm:pt modelId="{3247C7A4-193C-434A-9540-E7E5453E7BD8}" type="pres">
      <dgm:prSet presAssocID="{559B6C5F-7ED4-4762-B40E-3B93429F3991}" presName="node" presStyleLbl="node1" presStyleIdx="4" presStyleCnt="8">
        <dgm:presLayoutVars>
          <dgm:bulletEnabled val="1"/>
        </dgm:presLayoutVars>
      </dgm:prSet>
      <dgm:spPr/>
      <dgm:t>
        <a:bodyPr/>
        <a:lstStyle/>
        <a:p>
          <a:endParaRPr lang="en-IN"/>
        </a:p>
      </dgm:t>
    </dgm:pt>
    <dgm:pt modelId="{60EAB671-DE4F-4893-B492-EDB2914C5157}" type="pres">
      <dgm:prSet presAssocID="{15F7DDAE-576B-4892-B879-D4A705C3B3E2}" presName="sibTrans" presStyleCnt="0"/>
      <dgm:spPr/>
    </dgm:pt>
    <dgm:pt modelId="{CF2C0832-3061-4627-BBE8-53B7F15A35C2}" type="pres">
      <dgm:prSet presAssocID="{66BE7AEB-9C75-49EC-BADC-89922153EC73}" presName="node" presStyleLbl="node1" presStyleIdx="5" presStyleCnt="8">
        <dgm:presLayoutVars>
          <dgm:bulletEnabled val="1"/>
        </dgm:presLayoutVars>
      </dgm:prSet>
      <dgm:spPr/>
      <dgm:t>
        <a:bodyPr/>
        <a:lstStyle/>
        <a:p>
          <a:endParaRPr lang="en-IN"/>
        </a:p>
      </dgm:t>
    </dgm:pt>
    <dgm:pt modelId="{531604E2-F4CD-491E-9D9C-34F65F7BDC64}" type="pres">
      <dgm:prSet presAssocID="{625B673E-3213-494D-AF6D-68A3713BDC7D}" presName="sibTrans" presStyleCnt="0"/>
      <dgm:spPr/>
    </dgm:pt>
    <dgm:pt modelId="{DD471FD8-25B7-4544-8752-03031A9EF2FD}" type="pres">
      <dgm:prSet presAssocID="{A7CBC1EB-1B18-4679-A48A-860BD08B8131}" presName="node" presStyleLbl="node1" presStyleIdx="6" presStyleCnt="8">
        <dgm:presLayoutVars>
          <dgm:bulletEnabled val="1"/>
        </dgm:presLayoutVars>
      </dgm:prSet>
      <dgm:spPr/>
      <dgm:t>
        <a:bodyPr/>
        <a:lstStyle/>
        <a:p>
          <a:endParaRPr lang="en-IN"/>
        </a:p>
      </dgm:t>
    </dgm:pt>
    <dgm:pt modelId="{AF240B77-1141-4DD0-A3A0-1DEAF7C1FCC3}" type="pres">
      <dgm:prSet presAssocID="{98E8C7A8-5F59-4290-A823-D8EAB452374C}" presName="sibTrans" presStyleCnt="0"/>
      <dgm:spPr/>
    </dgm:pt>
    <dgm:pt modelId="{CD892D52-1F11-453A-A8AA-94D81A785032}" type="pres">
      <dgm:prSet presAssocID="{A9FC6C54-6DF1-4365-86FD-26E8AA75CDD0}" presName="node" presStyleLbl="node1" presStyleIdx="7" presStyleCnt="8">
        <dgm:presLayoutVars>
          <dgm:bulletEnabled val="1"/>
        </dgm:presLayoutVars>
      </dgm:prSet>
      <dgm:spPr/>
      <dgm:t>
        <a:bodyPr/>
        <a:lstStyle/>
        <a:p>
          <a:endParaRPr lang="en-IN"/>
        </a:p>
      </dgm:t>
    </dgm:pt>
  </dgm:ptLst>
  <dgm:cxnLst>
    <dgm:cxn modelId="{10D5F214-9116-4DB8-8C70-236E8FC3B212}" srcId="{2711E4AD-827A-4D78-9B2D-4A1800975C10}" destId="{559B6C5F-7ED4-4762-B40E-3B93429F3991}" srcOrd="4" destOrd="0" parTransId="{5D4DB97C-F8EB-43A2-A165-E1C9B36E7C4E}" sibTransId="{15F7DDAE-576B-4892-B879-D4A705C3B3E2}"/>
    <dgm:cxn modelId="{2D2D112E-ECCB-410B-84A0-29011CEEA451}" type="presOf" srcId="{2879C7DD-3B65-4A82-BDF3-F7AC1F03867E}" destId="{6D1B3BF0-165D-40CC-A5FF-04F9C387258A}" srcOrd="0" destOrd="0" presId="urn:microsoft.com/office/officeart/2005/8/layout/default"/>
    <dgm:cxn modelId="{5B7F4416-7C44-43C7-90FA-198CA079B7F3}" srcId="{2711E4AD-827A-4D78-9B2D-4A1800975C10}" destId="{D9772EA6-6FB8-404A-918F-E848F235DB9A}" srcOrd="3" destOrd="0" parTransId="{06CA5EE9-3720-4344-9D4B-23687AEA0E3A}" sibTransId="{70E43812-5942-46B8-BCE6-BB7DA5035D10}"/>
    <dgm:cxn modelId="{B7A7447D-DC7A-4DEB-8441-A4A20143FB80}" type="presOf" srcId="{A7CBC1EB-1B18-4679-A48A-860BD08B8131}" destId="{DD471FD8-25B7-4544-8752-03031A9EF2FD}" srcOrd="0" destOrd="0" presId="urn:microsoft.com/office/officeart/2005/8/layout/default"/>
    <dgm:cxn modelId="{412848AE-0BC4-4A57-83BB-84D81F145B60}" srcId="{2711E4AD-827A-4D78-9B2D-4A1800975C10}" destId="{AFFE5BB0-F1E4-4602-A94D-2CDADD5FFB8A}" srcOrd="1" destOrd="0" parTransId="{70737207-503F-4C40-9B33-FA4B07AE5868}" sibTransId="{C958434A-F7C8-4362-AD44-69069D716AC5}"/>
    <dgm:cxn modelId="{8DAA5828-B073-4BCE-BF8F-82744D2E6E02}" type="presOf" srcId="{C4DF8428-8F21-4FBC-82C3-7F625D22BF34}" destId="{4D53D173-00D4-4695-86F0-58BFEA80932D}" srcOrd="0" destOrd="0" presId="urn:microsoft.com/office/officeart/2005/8/layout/default"/>
    <dgm:cxn modelId="{237A4147-1B32-4ACD-A493-43F6CF483B71}" type="presOf" srcId="{D9772EA6-6FB8-404A-918F-E848F235DB9A}" destId="{3034C728-9FF4-4192-AE66-9A773AD998F1}" srcOrd="0" destOrd="0" presId="urn:microsoft.com/office/officeart/2005/8/layout/default"/>
    <dgm:cxn modelId="{5528F931-9FD1-4D59-9809-1898CFB616CB}" srcId="{2711E4AD-827A-4D78-9B2D-4A1800975C10}" destId="{A9FC6C54-6DF1-4365-86FD-26E8AA75CDD0}" srcOrd="7" destOrd="0" parTransId="{8F788526-94B5-482D-ABB8-645987F7D55C}" sibTransId="{6D66200F-ADF2-420B-BC8A-C915FF00F5F3}"/>
    <dgm:cxn modelId="{FC13F961-3BD7-406C-84FA-429C2E6F9390}" srcId="{2711E4AD-827A-4D78-9B2D-4A1800975C10}" destId="{2879C7DD-3B65-4A82-BDF3-F7AC1F03867E}" srcOrd="0" destOrd="0" parTransId="{E7C8C2EA-0A59-4598-BA52-04FDD506195B}" sibTransId="{DACF350D-94A4-42C2-991E-49A6D5410C66}"/>
    <dgm:cxn modelId="{2B4DC396-69DE-4BE7-BA43-6B2732E7C530}" srcId="{2711E4AD-827A-4D78-9B2D-4A1800975C10}" destId="{66BE7AEB-9C75-49EC-BADC-89922153EC73}" srcOrd="5" destOrd="0" parTransId="{38D72418-B9FF-48BB-ACCC-9149DD6DF291}" sibTransId="{625B673E-3213-494D-AF6D-68A3713BDC7D}"/>
    <dgm:cxn modelId="{759ADA89-A073-4E8D-A6B2-EB19791AC3C8}" srcId="{2711E4AD-827A-4D78-9B2D-4A1800975C10}" destId="{C4DF8428-8F21-4FBC-82C3-7F625D22BF34}" srcOrd="2" destOrd="0" parTransId="{00A375A9-DBBB-451E-8012-4571302C035E}" sibTransId="{FB4C2D17-3E83-450C-A0D9-3507DA4A7ABD}"/>
    <dgm:cxn modelId="{4FCB642F-A9D5-430C-AE29-46DDF4403397}" type="presOf" srcId="{AFFE5BB0-F1E4-4602-A94D-2CDADD5FFB8A}" destId="{EA974591-FBA7-4089-B740-BE77DFBF3CF2}" srcOrd="0" destOrd="0" presId="urn:microsoft.com/office/officeart/2005/8/layout/default"/>
    <dgm:cxn modelId="{6F3BAD7E-EA01-4E53-AD5F-B2FEEB0DE923}" type="presOf" srcId="{A9FC6C54-6DF1-4365-86FD-26E8AA75CDD0}" destId="{CD892D52-1F11-453A-A8AA-94D81A785032}" srcOrd="0" destOrd="0" presId="urn:microsoft.com/office/officeart/2005/8/layout/default"/>
    <dgm:cxn modelId="{F237BB91-7678-4F02-967E-0CB566AEF6FE}" type="presOf" srcId="{2711E4AD-827A-4D78-9B2D-4A1800975C10}" destId="{2B2EE24A-7152-466A-8E78-8B060C753392}" srcOrd="0" destOrd="0" presId="urn:microsoft.com/office/officeart/2005/8/layout/default"/>
    <dgm:cxn modelId="{45DE47E3-5CFA-4086-B571-491AF1824641}" type="presOf" srcId="{559B6C5F-7ED4-4762-B40E-3B93429F3991}" destId="{3247C7A4-193C-434A-9540-E7E5453E7BD8}" srcOrd="0" destOrd="0" presId="urn:microsoft.com/office/officeart/2005/8/layout/default"/>
    <dgm:cxn modelId="{6A393FE2-2346-409D-938C-600995AEDC62}" type="presOf" srcId="{66BE7AEB-9C75-49EC-BADC-89922153EC73}" destId="{CF2C0832-3061-4627-BBE8-53B7F15A35C2}" srcOrd="0" destOrd="0" presId="urn:microsoft.com/office/officeart/2005/8/layout/default"/>
    <dgm:cxn modelId="{9409169F-42B8-4263-832B-5337BC6D80D5}" srcId="{2711E4AD-827A-4D78-9B2D-4A1800975C10}" destId="{A7CBC1EB-1B18-4679-A48A-860BD08B8131}" srcOrd="6" destOrd="0" parTransId="{EC5EE958-971F-4AE8-9055-E997D4060D5F}" sibTransId="{98E8C7A8-5F59-4290-A823-D8EAB452374C}"/>
    <dgm:cxn modelId="{18CCDD65-83CD-407F-A6D1-E2F66BFBA005}" type="presParOf" srcId="{2B2EE24A-7152-466A-8E78-8B060C753392}" destId="{6D1B3BF0-165D-40CC-A5FF-04F9C387258A}" srcOrd="0" destOrd="0" presId="urn:microsoft.com/office/officeart/2005/8/layout/default"/>
    <dgm:cxn modelId="{79E1F8CD-1F73-4BD8-8050-3CCA6C153191}" type="presParOf" srcId="{2B2EE24A-7152-466A-8E78-8B060C753392}" destId="{1F9176AC-C4FB-4EFA-8BD9-4CC360EA8DEF}" srcOrd="1" destOrd="0" presId="urn:microsoft.com/office/officeart/2005/8/layout/default"/>
    <dgm:cxn modelId="{8F918050-83AE-46B9-A317-77933C0140F9}" type="presParOf" srcId="{2B2EE24A-7152-466A-8E78-8B060C753392}" destId="{EA974591-FBA7-4089-B740-BE77DFBF3CF2}" srcOrd="2" destOrd="0" presId="urn:microsoft.com/office/officeart/2005/8/layout/default"/>
    <dgm:cxn modelId="{4557F8C7-8B31-4A5B-A92B-79C6BDD79A92}" type="presParOf" srcId="{2B2EE24A-7152-466A-8E78-8B060C753392}" destId="{38792DFB-7C93-4676-B2AD-DC8164670238}" srcOrd="3" destOrd="0" presId="urn:microsoft.com/office/officeart/2005/8/layout/default"/>
    <dgm:cxn modelId="{B81707C9-2270-4271-AC7E-F8B8407454B5}" type="presParOf" srcId="{2B2EE24A-7152-466A-8E78-8B060C753392}" destId="{4D53D173-00D4-4695-86F0-58BFEA80932D}" srcOrd="4" destOrd="0" presId="urn:microsoft.com/office/officeart/2005/8/layout/default"/>
    <dgm:cxn modelId="{041CC81D-DF5A-42A3-9EDE-F2DDBBE455B8}" type="presParOf" srcId="{2B2EE24A-7152-466A-8E78-8B060C753392}" destId="{1C0E27ED-28F3-44C5-B24E-60077ACD1DAC}" srcOrd="5" destOrd="0" presId="urn:microsoft.com/office/officeart/2005/8/layout/default"/>
    <dgm:cxn modelId="{B7F84360-5A14-461B-8008-AE27EFBC9223}" type="presParOf" srcId="{2B2EE24A-7152-466A-8E78-8B060C753392}" destId="{3034C728-9FF4-4192-AE66-9A773AD998F1}" srcOrd="6" destOrd="0" presId="urn:microsoft.com/office/officeart/2005/8/layout/default"/>
    <dgm:cxn modelId="{375594F4-A9B8-4DED-BBC6-78FFB58AFCDA}" type="presParOf" srcId="{2B2EE24A-7152-466A-8E78-8B060C753392}" destId="{DAB38D43-4A4E-4B63-A755-2E1729DAFDC0}" srcOrd="7" destOrd="0" presId="urn:microsoft.com/office/officeart/2005/8/layout/default"/>
    <dgm:cxn modelId="{5567B2D6-A540-490D-9981-03AED4BFCDB3}" type="presParOf" srcId="{2B2EE24A-7152-466A-8E78-8B060C753392}" destId="{3247C7A4-193C-434A-9540-E7E5453E7BD8}" srcOrd="8" destOrd="0" presId="urn:microsoft.com/office/officeart/2005/8/layout/default"/>
    <dgm:cxn modelId="{DC699113-A84C-4ECB-8334-2811FA0CDE89}" type="presParOf" srcId="{2B2EE24A-7152-466A-8E78-8B060C753392}" destId="{60EAB671-DE4F-4893-B492-EDB2914C5157}" srcOrd="9" destOrd="0" presId="urn:microsoft.com/office/officeart/2005/8/layout/default"/>
    <dgm:cxn modelId="{9F8359CD-F585-4E35-AB7A-6188FBCA9980}" type="presParOf" srcId="{2B2EE24A-7152-466A-8E78-8B060C753392}" destId="{CF2C0832-3061-4627-BBE8-53B7F15A35C2}" srcOrd="10" destOrd="0" presId="urn:microsoft.com/office/officeart/2005/8/layout/default"/>
    <dgm:cxn modelId="{95E1EEC6-7DCE-43F8-BBA6-D8E7D5D65C15}" type="presParOf" srcId="{2B2EE24A-7152-466A-8E78-8B060C753392}" destId="{531604E2-F4CD-491E-9D9C-34F65F7BDC64}" srcOrd="11" destOrd="0" presId="urn:microsoft.com/office/officeart/2005/8/layout/default"/>
    <dgm:cxn modelId="{88252DA0-F865-4334-96F8-B78D25D58103}" type="presParOf" srcId="{2B2EE24A-7152-466A-8E78-8B060C753392}" destId="{DD471FD8-25B7-4544-8752-03031A9EF2FD}" srcOrd="12" destOrd="0" presId="urn:microsoft.com/office/officeart/2005/8/layout/default"/>
    <dgm:cxn modelId="{FAE3F941-CC38-44D0-8F9B-C7EF5426E0D7}" type="presParOf" srcId="{2B2EE24A-7152-466A-8E78-8B060C753392}" destId="{AF240B77-1141-4DD0-A3A0-1DEAF7C1FCC3}" srcOrd="13" destOrd="0" presId="urn:microsoft.com/office/officeart/2005/8/layout/default"/>
    <dgm:cxn modelId="{AE9A18D7-B703-474A-9D0D-C303A18127D8}" type="presParOf" srcId="{2B2EE24A-7152-466A-8E78-8B060C753392}" destId="{CD892D52-1F11-453A-A8AA-94D81A785032}" srcOrd="14" destOrd="0" presId="urn:microsoft.com/office/officeart/2005/8/layout/default"/>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2711E4AD-827A-4D78-9B2D-4A1800975C10}" type="doc">
      <dgm:prSet loTypeId="urn:microsoft.com/office/officeart/2005/8/layout/default" loCatId="list" qsTypeId="urn:microsoft.com/office/officeart/2005/8/quickstyle/simple1" qsCatId="simple" csTypeId="urn:microsoft.com/office/officeart/2005/8/colors/accent1_2" csCatId="accent1" phldr="1"/>
      <dgm:spPr/>
      <dgm:t>
        <a:bodyPr/>
        <a:lstStyle/>
        <a:p>
          <a:endParaRPr lang="en-IN"/>
        </a:p>
      </dgm:t>
    </dgm:pt>
    <dgm:pt modelId="{A7CBC1EB-1B18-4679-A48A-860BD08B8131}">
      <dgm:prSet phldrT="[Text]"/>
      <dgm:spPr>
        <a:solidFill>
          <a:schemeClr val="accent1">
            <a:hueOff val="0"/>
            <a:satOff val="0"/>
            <a:lumOff val="0"/>
          </a:schemeClr>
        </a:solidFill>
        <a:scene3d>
          <a:camera prst="orthographicFront"/>
          <a:lightRig rig="soft" dir="t"/>
        </a:scene3d>
        <a:sp3d prstMaterial="powder"/>
      </dgm:spPr>
      <dgm:t>
        <a:bodyPr/>
        <a:lstStyle/>
        <a:p>
          <a:r>
            <a:rPr lang="en-IN"/>
            <a:t>August</a:t>
          </a:r>
        </a:p>
      </dgm:t>
      <dgm:extLst>
        <a:ext uri="{E40237B7-FDA0-4F09-8148-C483321AD2D9}">
          <dgm14:cNvPr xmlns:dgm14="http://schemas.microsoft.com/office/drawing/2010/diagram" id="0" name="">
            <a:hlinkClick xmlns:r="http://schemas.openxmlformats.org/officeDocument/2006/relationships" r:id="rId1"/>
          </dgm14:cNvPr>
        </a:ext>
      </dgm:extLst>
    </dgm:pt>
    <dgm:pt modelId="{EC5EE958-971F-4AE8-9055-E997D4060D5F}" type="parTrans" cxnId="{9409169F-42B8-4263-832B-5337BC6D80D5}">
      <dgm:prSet/>
      <dgm:spPr/>
      <dgm:t>
        <a:bodyPr/>
        <a:lstStyle/>
        <a:p>
          <a:endParaRPr lang="en-IN"/>
        </a:p>
      </dgm:t>
    </dgm:pt>
    <dgm:pt modelId="{98E8C7A8-5F59-4290-A823-D8EAB452374C}" type="sibTrans" cxnId="{9409169F-42B8-4263-832B-5337BC6D80D5}">
      <dgm:prSet/>
      <dgm:spPr/>
      <dgm:t>
        <a:bodyPr/>
        <a:lstStyle/>
        <a:p>
          <a:endParaRPr lang="en-IN"/>
        </a:p>
      </dgm:t>
    </dgm:pt>
    <dgm:pt modelId="{66BE7AEB-9C75-49EC-BADC-89922153EC73}">
      <dgm:prSet phldrT="[Text]"/>
      <dgm:spPr>
        <a:solidFill>
          <a:schemeClr val="accent1">
            <a:hueOff val="0"/>
            <a:satOff val="0"/>
            <a:lumOff val="0"/>
          </a:schemeClr>
        </a:solidFill>
        <a:scene3d>
          <a:camera prst="orthographicFront"/>
          <a:lightRig rig="soft" dir="t"/>
        </a:scene3d>
        <a:sp3d prstMaterial="powder"/>
      </dgm:spPr>
      <dgm:t>
        <a:bodyPr/>
        <a:lstStyle/>
        <a:p>
          <a:r>
            <a:rPr lang="en-IN"/>
            <a:t>July</a:t>
          </a:r>
        </a:p>
      </dgm:t>
      <dgm:extLst>
        <a:ext uri="{E40237B7-FDA0-4F09-8148-C483321AD2D9}">
          <dgm14:cNvPr xmlns:dgm14="http://schemas.microsoft.com/office/drawing/2010/diagram" id="0" name="">
            <a:hlinkClick xmlns:r="http://schemas.openxmlformats.org/officeDocument/2006/relationships" r:id="rId2"/>
          </dgm14:cNvPr>
        </a:ext>
      </dgm:extLst>
    </dgm:pt>
    <dgm:pt modelId="{38D72418-B9FF-48BB-ACCC-9149DD6DF291}" type="parTrans" cxnId="{2B4DC396-69DE-4BE7-BA43-6B2732E7C530}">
      <dgm:prSet/>
      <dgm:spPr/>
      <dgm:t>
        <a:bodyPr/>
        <a:lstStyle/>
        <a:p>
          <a:endParaRPr lang="en-IN"/>
        </a:p>
      </dgm:t>
    </dgm:pt>
    <dgm:pt modelId="{625B673E-3213-494D-AF6D-68A3713BDC7D}" type="sibTrans" cxnId="{2B4DC396-69DE-4BE7-BA43-6B2732E7C530}">
      <dgm:prSet/>
      <dgm:spPr/>
      <dgm:t>
        <a:bodyPr/>
        <a:lstStyle/>
        <a:p>
          <a:endParaRPr lang="en-IN"/>
        </a:p>
      </dgm:t>
    </dgm:pt>
    <dgm:pt modelId="{559B6C5F-7ED4-4762-B40E-3B93429F3991}">
      <dgm:prSet phldrT="[Text]"/>
      <dgm:spPr>
        <a:solidFill>
          <a:schemeClr val="accent1">
            <a:hueOff val="0"/>
            <a:satOff val="0"/>
            <a:lumOff val="0"/>
          </a:schemeClr>
        </a:solidFill>
        <a:scene3d>
          <a:camera prst="orthographicFront"/>
          <a:lightRig rig="soft" dir="t"/>
        </a:scene3d>
        <a:sp3d prstMaterial="powder"/>
      </dgm:spPr>
      <dgm:t>
        <a:bodyPr/>
        <a:lstStyle/>
        <a:p>
          <a:r>
            <a:rPr lang="en-IN"/>
            <a:t>June</a:t>
          </a:r>
        </a:p>
      </dgm:t>
      <dgm:extLst>
        <a:ext uri="{E40237B7-FDA0-4F09-8148-C483321AD2D9}">
          <dgm14:cNvPr xmlns:dgm14="http://schemas.microsoft.com/office/drawing/2010/diagram" id="0" name="">
            <a:hlinkClick xmlns:r="http://schemas.openxmlformats.org/officeDocument/2006/relationships" r:id="rId3"/>
          </dgm14:cNvPr>
        </a:ext>
      </dgm:extLst>
    </dgm:pt>
    <dgm:pt modelId="{5D4DB97C-F8EB-43A2-A165-E1C9B36E7C4E}" type="parTrans" cxnId="{10D5F214-9116-4DB8-8C70-236E8FC3B212}">
      <dgm:prSet/>
      <dgm:spPr/>
      <dgm:t>
        <a:bodyPr/>
        <a:lstStyle/>
        <a:p>
          <a:endParaRPr lang="en-IN"/>
        </a:p>
      </dgm:t>
    </dgm:pt>
    <dgm:pt modelId="{15F7DDAE-576B-4892-B879-D4A705C3B3E2}" type="sibTrans" cxnId="{10D5F214-9116-4DB8-8C70-236E8FC3B212}">
      <dgm:prSet/>
      <dgm:spPr/>
      <dgm:t>
        <a:bodyPr/>
        <a:lstStyle/>
        <a:p>
          <a:endParaRPr lang="en-IN"/>
        </a:p>
      </dgm:t>
    </dgm:pt>
    <dgm:pt modelId="{2879C7DD-3B65-4A82-BDF3-F7AC1F03867E}">
      <dgm:prSet phldrT="[Text]"/>
      <dgm:spPr>
        <a:solidFill>
          <a:schemeClr val="accent1">
            <a:hueOff val="0"/>
            <a:satOff val="0"/>
            <a:lumOff val="0"/>
          </a:schemeClr>
        </a:solidFill>
        <a:scene3d>
          <a:camera prst="orthographicFront"/>
          <a:lightRig rig="soft" dir="t"/>
        </a:scene3d>
        <a:sp3d prstMaterial="powder"/>
      </dgm:spPr>
      <dgm:t>
        <a:bodyPr/>
        <a:lstStyle/>
        <a:p>
          <a:r>
            <a:rPr lang="en-IN"/>
            <a:t>Raw Material</a:t>
          </a:r>
        </a:p>
      </dgm:t>
      <dgm:extLst>
        <a:ext uri="{E40237B7-FDA0-4F09-8148-C483321AD2D9}">
          <dgm14:cNvPr xmlns:dgm14="http://schemas.microsoft.com/office/drawing/2010/diagram" id="0" name="">
            <a:hlinkClick xmlns:r="http://schemas.openxmlformats.org/officeDocument/2006/relationships" r:id="rId4"/>
          </dgm14:cNvPr>
        </a:ext>
      </dgm:extLst>
    </dgm:pt>
    <dgm:pt modelId="{DACF350D-94A4-42C2-991E-49A6D5410C66}" type="sibTrans" cxnId="{FC13F961-3BD7-406C-84FA-429C2E6F9390}">
      <dgm:prSet/>
      <dgm:spPr/>
      <dgm:t>
        <a:bodyPr/>
        <a:lstStyle/>
        <a:p>
          <a:endParaRPr lang="en-IN"/>
        </a:p>
      </dgm:t>
    </dgm:pt>
    <dgm:pt modelId="{E7C8C2EA-0A59-4598-BA52-04FDD506195B}" type="parTrans" cxnId="{FC13F961-3BD7-406C-84FA-429C2E6F9390}">
      <dgm:prSet/>
      <dgm:spPr/>
      <dgm:t>
        <a:bodyPr/>
        <a:lstStyle/>
        <a:p>
          <a:endParaRPr lang="en-IN"/>
        </a:p>
      </dgm:t>
    </dgm:pt>
    <dgm:pt modelId="{AFFE5BB0-F1E4-4602-A94D-2CDADD5FFB8A}">
      <dgm:prSet phldrT="[Text]"/>
      <dgm:spPr>
        <a:solidFill>
          <a:schemeClr val="accent1">
            <a:hueOff val="0"/>
            <a:satOff val="0"/>
            <a:lumOff val="0"/>
          </a:schemeClr>
        </a:solidFill>
        <a:scene3d>
          <a:camera prst="orthographicFront"/>
          <a:lightRig rig="soft" dir="t"/>
        </a:scene3d>
        <a:sp3d prstMaterial="powder"/>
      </dgm:spPr>
      <dgm:t>
        <a:bodyPr/>
        <a:lstStyle/>
        <a:p>
          <a:r>
            <a:rPr lang="en-IN"/>
            <a:t>Summary</a:t>
          </a:r>
        </a:p>
      </dgm:t>
      <dgm:extLst>
        <a:ext uri="{E40237B7-FDA0-4F09-8148-C483321AD2D9}">
          <dgm14:cNvPr xmlns:dgm14="http://schemas.microsoft.com/office/drawing/2010/diagram" id="0" name="">
            <a:hlinkClick xmlns:r="http://schemas.openxmlformats.org/officeDocument/2006/relationships" r:id="rId5"/>
          </dgm14:cNvPr>
        </a:ext>
      </dgm:extLst>
    </dgm:pt>
    <dgm:pt modelId="{70737207-503F-4C40-9B33-FA4B07AE5868}" type="parTrans" cxnId="{412848AE-0BC4-4A57-83BB-84D81F145B60}">
      <dgm:prSet/>
      <dgm:spPr/>
      <dgm:t>
        <a:bodyPr/>
        <a:lstStyle/>
        <a:p>
          <a:endParaRPr lang="en-IN"/>
        </a:p>
      </dgm:t>
    </dgm:pt>
    <dgm:pt modelId="{C958434A-F7C8-4362-AD44-69069D716AC5}" type="sibTrans" cxnId="{412848AE-0BC4-4A57-83BB-84D81F145B60}">
      <dgm:prSet/>
      <dgm:spPr/>
      <dgm:t>
        <a:bodyPr/>
        <a:lstStyle/>
        <a:p>
          <a:endParaRPr lang="en-IN"/>
        </a:p>
      </dgm:t>
    </dgm:pt>
    <dgm:pt modelId="{C4DF8428-8F21-4FBC-82C3-7F625D22BF34}">
      <dgm:prSet phldrT="[Text]"/>
      <dgm:spPr>
        <a:solidFill>
          <a:schemeClr val="accent1">
            <a:hueOff val="0"/>
            <a:satOff val="0"/>
            <a:lumOff val="0"/>
          </a:schemeClr>
        </a:solidFill>
        <a:scene3d>
          <a:camera prst="orthographicFront"/>
          <a:lightRig rig="soft" dir="t"/>
        </a:scene3d>
        <a:sp3d prstMaterial="powder"/>
      </dgm:spPr>
      <dgm:t>
        <a:bodyPr/>
        <a:lstStyle/>
        <a:p>
          <a:r>
            <a:rPr lang="en-IN"/>
            <a:t>Profit &amp; Loss</a:t>
          </a:r>
        </a:p>
      </dgm:t>
      <dgm:extLst>
        <a:ext uri="{E40237B7-FDA0-4F09-8148-C483321AD2D9}">
          <dgm14:cNvPr xmlns:dgm14="http://schemas.microsoft.com/office/drawing/2010/diagram" id="0" name="">
            <a:hlinkClick xmlns:r="http://schemas.openxmlformats.org/officeDocument/2006/relationships" r:id="rId6"/>
          </dgm14:cNvPr>
        </a:ext>
      </dgm:extLst>
    </dgm:pt>
    <dgm:pt modelId="{00A375A9-DBBB-451E-8012-4571302C035E}" type="parTrans" cxnId="{759ADA89-A073-4E8D-A6B2-EB19791AC3C8}">
      <dgm:prSet/>
      <dgm:spPr/>
      <dgm:t>
        <a:bodyPr/>
        <a:lstStyle/>
        <a:p>
          <a:endParaRPr lang="en-IN"/>
        </a:p>
      </dgm:t>
    </dgm:pt>
    <dgm:pt modelId="{FB4C2D17-3E83-450C-A0D9-3507DA4A7ABD}" type="sibTrans" cxnId="{759ADA89-A073-4E8D-A6B2-EB19791AC3C8}">
      <dgm:prSet/>
      <dgm:spPr/>
      <dgm:t>
        <a:bodyPr/>
        <a:lstStyle/>
        <a:p>
          <a:endParaRPr lang="en-IN"/>
        </a:p>
      </dgm:t>
    </dgm:pt>
    <dgm:pt modelId="{D9772EA6-6FB8-404A-918F-E848F235DB9A}">
      <dgm:prSet phldrT="[Text]"/>
      <dgm:spPr>
        <a:solidFill>
          <a:schemeClr val="accent1">
            <a:hueOff val="0"/>
            <a:satOff val="0"/>
            <a:lumOff val="0"/>
          </a:schemeClr>
        </a:solidFill>
        <a:scene3d>
          <a:camera prst="orthographicFront"/>
          <a:lightRig rig="soft" dir="t"/>
        </a:scene3d>
        <a:sp3d prstMaterial="powder"/>
      </dgm:spPr>
      <dgm:t>
        <a:bodyPr/>
        <a:lstStyle/>
        <a:p>
          <a:r>
            <a:rPr lang="en-IN"/>
            <a:t>May</a:t>
          </a:r>
        </a:p>
      </dgm:t>
      <dgm:extLst>
        <a:ext uri="{E40237B7-FDA0-4F09-8148-C483321AD2D9}">
          <dgm14:cNvPr xmlns:dgm14="http://schemas.microsoft.com/office/drawing/2010/diagram" id="0" name="">
            <a:hlinkClick xmlns:r="http://schemas.openxmlformats.org/officeDocument/2006/relationships" r:id="rId7"/>
          </dgm14:cNvPr>
        </a:ext>
      </dgm:extLst>
    </dgm:pt>
    <dgm:pt modelId="{06CA5EE9-3720-4344-9D4B-23687AEA0E3A}" type="parTrans" cxnId="{5B7F4416-7C44-43C7-90FA-198CA079B7F3}">
      <dgm:prSet/>
      <dgm:spPr/>
      <dgm:t>
        <a:bodyPr/>
        <a:lstStyle/>
        <a:p>
          <a:endParaRPr lang="en-IN"/>
        </a:p>
      </dgm:t>
    </dgm:pt>
    <dgm:pt modelId="{70E43812-5942-46B8-BCE6-BB7DA5035D10}" type="sibTrans" cxnId="{5B7F4416-7C44-43C7-90FA-198CA079B7F3}">
      <dgm:prSet/>
      <dgm:spPr/>
      <dgm:t>
        <a:bodyPr/>
        <a:lstStyle/>
        <a:p>
          <a:endParaRPr lang="en-IN"/>
        </a:p>
      </dgm:t>
    </dgm:pt>
    <dgm:pt modelId="{A9FC6C54-6DF1-4365-86FD-26E8AA75CDD0}">
      <dgm:prSet phldrT="[Text]"/>
      <dgm:spPr>
        <a:solidFill>
          <a:schemeClr val="accent1">
            <a:hueOff val="0"/>
            <a:satOff val="0"/>
            <a:lumOff val="0"/>
          </a:schemeClr>
        </a:solidFill>
        <a:scene3d>
          <a:camera prst="orthographicFront"/>
          <a:lightRig rig="soft" dir="t"/>
        </a:scene3d>
        <a:sp3d prstMaterial="powder"/>
      </dgm:spPr>
      <dgm:t>
        <a:bodyPr/>
        <a:lstStyle/>
        <a:p>
          <a:r>
            <a:rPr lang="en-IN"/>
            <a:t>September</a:t>
          </a:r>
        </a:p>
      </dgm:t>
      <dgm:extLst>
        <a:ext uri="{E40237B7-FDA0-4F09-8148-C483321AD2D9}">
          <dgm14:cNvPr xmlns:dgm14="http://schemas.microsoft.com/office/drawing/2010/diagram" id="0" name="">
            <a:hlinkClick xmlns:r="http://schemas.openxmlformats.org/officeDocument/2006/relationships" r:id="rId8"/>
          </dgm14:cNvPr>
        </a:ext>
      </dgm:extLst>
    </dgm:pt>
    <dgm:pt modelId="{8F788526-94B5-482D-ABB8-645987F7D55C}" type="parTrans" cxnId="{5528F931-9FD1-4D59-9809-1898CFB616CB}">
      <dgm:prSet/>
      <dgm:spPr/>
      <dgm:t>
        <a:bodyPr/>
        <a:lstStyle/>
        <a:p>
          <a:endParaRPr lang="en-IN"/>
        </a:p>
      </dgm:t>
    </dgm:pt>
    <dgm:pt modelId="{6D66200F-ADF2-420B-BC8A-C915FF00F5F3}" type="sibTrans" cxnId="{5528F931-9FD1-4D59-9809-1898CFB616CB}">
      <dgm:prSet/>
      <dgm:spPr/>
      <dgm:t>
        <a:bodyPr/>
        <a:lstStyle/>
        <a:p>
          <a:endParaRPr lang="en-IN"/>
        </a:p>
      </dgm:t>
    </dgm:pt>
    <dgm:pt modelId="{2B2EE24A-7152-466A-8E78-8B060C753392}" type="pres">
      <dgm:prSet presAssocID="{2711E4AD-827A-4D78-9B2D-4A1800975C10}" presName="diagram" presStyleCnt="0">
        <dgm:presLayoutVars>
          <dgm:dir/>
          <dgm:resizeHandles val="exact"/>
        </dgm:presLayoutVars>
      </dgm:prSet>
      <dgm:spPr/>
      <dgm:t>
        <a:bodyPr/>
        <a:lstStyle/>
        <a:p>
          <a:endParaRPr lang="en-IN"/>
        </a:p>
      </dgm:t>
    </dgm:pt>
    <dgm:pt modelId="{6D1B3BF0-165D-40CC-A5FF-04F9C387258A}" type="pres">
      <dgm:prSet presAssocID="{2879C7DD-3B65-4A82-BDF3-F7AC1F03867E}" presName="node" presStyleLbl="node1" presStyleIdx="0" presStyleCnt="8">
        <dgm:presLayoutVars>
          <dgm:bulletEnabled val="1"/>
        </dgm:presLayoutVars>
      </dgm:prSet>
      <dgm:spPr/>
      <dgm:t>
        <a:bodyPr/>
        <a:lstStyle/>
        <a:p>
          <a:endParaRPr lang="en-IN"/>
        </a:p>
      </dgm:t>
    </dgm:pt>
    <dgm:pt modelId="{1F9176AC-C4FB-4EFA-8BD9-4CC360EA8DEF}" type="pres">
      <dgm:prSet presAssocID="{DACF350D-94A4-42C2-991E-49A6D5410C66}" presName="sibTrans" presStyleCnt="0"/>
      <dgm:spPr/>
    </dgm:pt>
    <dgm:pt modelId="{EA974591-FBA7-4089-B740-BE77DFBF3CF2}" type="pres">
      <dgm:prSet presAssocID="{AFFE5BB0-F1E4-4602-A94D-2CDADD5FFB8A}" presName="node" presStyleLbl="node1" presStyleIdx="1" presStyleCnt="8">
        <dgm:presLayoutVars>
          <dgm:bulletEnabled val="1"/>
        </dgm:presLayoutVars>
      </dgm:prSet>
      <dgm:spPr/>
      <dgm:t>
        <a:bodyPr/>
        <a:lstStyle/>
        <a:p>
          <a:endParaRPr lang="en-IN"/>
        </a:p>
      </dgm:t>
    </dgm:pt>
    <dgm:pt modelId="{38792DFB-7C93-4676-B2AD-DC8164670238}" type="pres">
      <dgm:prSet presAssocID="{C958434A-F7C8-4362-AD44-69069D716AC5}" presName="sibTrans" presStyleCnt="0"/>
      <dgm:spPr/>
    </dgm:pt>
    <dgm:pt modelId="{4D53D173-00D4-4695-86F0-58BFEA80932D}" type="pres">
      <dgm:prSet presAssocID="{C4DF8428-8F21-4FBC-82C3-7F625D22BF34}" presName="node" presStyleLbl="node1" presStyleIdx="2" presStyleCnt="8">
        <dgm:presLayoutVars>
          <dgm:bulletEnabled val="1"/>
        </dgm:presLayoutVars>
      </dgm:prSet>
      <dgm:spPr/>
      <dgm:t>
        <a:bodyPr/>
        <a:lstStyle/>
        <a:p>
          <a:endParaRPr lang="en-IN"/>
        </a:p>
      </dgm:t>
    </dgm:pt>
    <dgm:pt modelId="{1C0E27ED-28F3-44C5-B24E-60077ACD1DAC}" type="pres">
      <dgm:prSet presAssocID="{FB4C2D17-3E83-450C-A0D9-3507DA4A7ABD}" presName="sibTrans" presStyleCnt="0"/>
      <dgm:spPr/>
    </dgm:pt>
    <dgm:pt modelId="{3034C728-9FF4-4192-AE66-9A773AD998F1}" type="pres">
      <dgm:prSet presAssocID="{D9772EA6-6FB8-404A-918F-E848F235DB9A}" presName="node" presStyleLbl="node1" presStyleIdx="3" presStyleCnt="8">
        <dgm:presLayoutVars>
          <dgm:bulletEnabled val="1"/>
        </dgm:presLayoutVars>
      </dgm:prSet>
      <dgm:spPr/>
      <dgm:t>
        <a:bodyPr/>
        <a:lstStyle/>
        <a:p>
          <a:endParaRPr lang="en-IN"/>
        </a:p>
      </dgm:t>
    </dgm:pt>
    <dgm:pt modelId="{DAB38D43-4A4E-4B63-A755-2E1729DAFDC0}" type="pres">
      <dgm:prSet presAssocID="{70E43812-5942-46B8-BCE6-BB7DA5035D10}" presName="sibTrans" presStyleCnt="0"/>
      <dgm:spPr/>
    </dgm:pt>
    <dgm:pt modelId="{3247C7A4-193C-434A-9540-E7E5453E7BD8}" type="pres">
      <dgm:prSet presAssocID="{559B6C5F-7ED4-4762-B40E-3B93429F3991}" presName="node" presStyleLbl="node1" presStyleIdx="4" presStyleCnt="8">
        <dgm:presLayoutVars>
          <dgm:bulletEnabled val="1"/>
        </dgm:presLayoutVars>
      </dgm:prSet>
      <dgm:spPr/>
      <dgm:t>
        <a:bodyPr/>
        <a:lstStyle/>
        <a:p>
          <a:endParaRPr lang="en-IN"/>
        </a:p>
      </dgm:t>
    </dgm:pt>
    <dgm:pt modelId="{60EAB671-DE4F-4893-B492-EDB2914C5157}" type="pres">
      <dgm:prSet presAssocID="{15F7DDAE-576B-4892-B879-D4A705C3B3E2}" presName="sibTrans" presStyleCnt="0"/>
      <dgm:spPr/>
    </dgm:pt>
    <dgm:pt modelId="{CF2C0832-3061-4627-BBE8-53B7F15A35C2}" type="pres">
      <dgm:prSet presAssocID="{66BE7AEB-9C75-49EC-BADC-89922153EC73}" presName="node" presStyleLbl="node1" presStyleIdx="5" presStyleCnt="8">
        <dgm:presLayoutVars>
          <dgm:bulletEnabled val="1"/>
        </dgm:presLayoutVars>
      </dgm:prSet>
      <dgm:spPr/>
      <dgm:t>
        <a:bodyPr/>
        <a:lstStyle/>
        <a:p>
          <a:endParaRPr lang="en-IN"/>
        </a:p>
      </dgm:t>
    </dgm:pt>
    <dgm:pt modelId="{531604E2-F4CD-491E-9D9C-34F65F7BDC64}" type="pres">
      <dgm:prSet presAssocID="{625B673E-3213-494D-AF6D-68A3713BDC7D}" presName="sibTrans" presStyleCnt="0"/>
      <dgm:spPr/>
    </dgm:pt>
    <dgm:pt modelId="{DD471FD8-25B7-4544-8752-03031A9EF2FD}" type="pres">
      <dgm:prSet presAssocID="{A7CBC1EB-1B18-4679-A48A-860BD08B8131}" presName="node" presStyleLbl="node1" presStyleIdx="6" presStyleCnt="8">
        <dgm:presLayoutVars>
          <dgm:bulletEnabled val="1"/>
        </dgm:presLayoutVars>
      </dgm:prSet>
      <dgm:spPr/>
      <dgm:t>
        <a:bodyPr/>
        <a:lstStyle/>
        <a:p>
          <a:endParaRPr lang="en-IN"/>
        </a:p>
      </dgm:t>
    </dgm:pt>
    <dgm:pt modelId="{AF240B77-1141-4DD0-A3A0-1DEAF7C1FCC3}" type="pres">
      <dgm:prSet presAssocID="{98E8C7A8-5F59-4290-A823-D8EAB452374C}" presName="sibTrans" presStyleCnt="0"/>
      <dgm:spPr/>
    </dgm:pt>
    <dgm:pt modelId="{CD892D52-1F11-453A-A8AA-94D81A785032}" type="pres">
      <dgm:prSet presAssocID="{A9FC6C54-6DF1-4365-86FD-26E8AA75CDD0}" presName="node" presStyleLbl="node1" presStyleIdx="7" presStyleCnt="8">
        <dgm:presLayoutVars>
          <dgm:bulletEnabled val="1"/>
        </dgm:presLayoutVars>
      </dgm:prSet>
      <dgm:spPr/>
      <dgm:t>
        <a:bodyPr/>
        <a:lstStyle/>
        <a:p>
          <a:endParaRPr lang="en-IN"/>
        </a:p>
      </dgm:t>
    </dgm:pt>
  </dgm:ptLst>
  <dgm:cxnLst>
    <dgm:cxn modelId="{0055B3B9-A304-4867-BE27-CEB0907514F0}" type="presOf" srcId="{A7CBC1EB-1B18-4679-A48A-860BD08B8131}" destId="{DD471FD8-25B7-4544-8752-03031A9EF2FD}" srcOrd="0" destOrd="0" presId="urn:microsoft.com/office/officeart/2005/8/layout/default"/>
    <dgm:cxn modelId="{8985D96F-C903-4B98-90A0-E2854C67A8A9}" type="presOf" srcId="{2879C7DD-3B65-4A82-BDF3-F7AC1F03867E}" destId="{6D1B3BF0-165D-40CC-A5FF-04F9C387258A}" srcOrd="0" destOrd="0" presId="urn:microsoft.com/office/officeart/2005/8/layout/default"/>
    <dgm:cxn modelId="{412848AE-0BC4-4A57-83BB-84D81F145B60}" srcId="{2711E4AD-827A-4D78-9B2D-4A1800975C10}" destId="{AFFE5BB0-F1E4-4602-A94D-2CDADD5FFB8A}" srcOrd="1" destOrd="0" parTransId="{70737207-503F-4C40-9B33-FA4B07AE5868}" sibTransId="{C958434A-F7C8-4362-AD44-69069D716AC5}"/>
    <dgm:cxn modelId="{D854FDC7-2AE2-48B1-983C-A7BEC1ABC581}" type="presOf" srcId="{66BE7AEB-9C75-49EC-BADC-89922153EC73}" destId="{CF2C0832-3061-4627-BBE8-53B7F15A35C2}" srcOrd="0" destOrd="0" presId="urn:microsoft.com/office/officeart/2005/8/layout/default"/>
    <dgm:cxn modelId="{5B7F4416-7C44-43C7-90FA-198CA079B7F3}" srcId="{2711E4AD-827A-4D78-9B2D-4A1800975C10}" destId="{D9772EA6-6FB8-404A-918F-E848F235DB9A}" srcOrd="3" destOrd="0" parTransId="{06CA5EE9-3720-4344-9D4B-23687AEA0E3A}" sibTransId="{70E43812-5942-46B8-BCE6-BB7DA5035D10}"/>
    <dgm:cxn modelId="{3F3E4A8D-A869-47FF-9680-1E9BFC7236DB}" type="presOf" srcId="{AFFE5BB0-F1E4-4602-A94D-2CDADD5FFB8A}" destId="{EA974591-FBA7-4089-B740-BE77DFBF3CF2}" srcOrd="0" destOrd="0" presId="urn:microsoft.com/office/officeart/2005/8/layout/default"/>
    <dgm:cxn modelId="{9409169F-42B8-4263-832B-5337BC6D80D5}" srcId="{2711E4AD-827A-4D78-9B2D-4A1800975C10}" destId="{A7CBC1EB-1B18-4679-A48A-860BD08B8131}" srcOrd="6" destOrd="0" parTransId="{EC5EE958-971F-4AE8-9055-E997D4060D5F}" sibTransId="{98E8C7A8-5F59-4290-A823-D8EAB452374C}"/>
    <dgm:cxn modelId="{FC13F961-3BD7-406C-84FA-429C2E6F9390}" srcId="{2711E4AD-827A-4D78-9B2D-4A1800975C10}" destId="{2879C7DD-3B65-4A82-BDF3-F7AC1F03867E}" srcOrd="0" destOrd="0" parTransId="{E7C8C2EA-0A59-4598-BA52-04FDD506195B}" sibTransId="{DACF350D-94A4-42C2-991E-49A6D5410C66}"/>
    <dgm:cxn modelId="{F8A101C9-2B9F-485A-8F8C-ACE0F7B1CD14}" type="presOf" srcId="{2711E4AD-827A-4D78-9B2D-4A1800975C10}" destId="{2B2EE24A-7152-466A-8E78-8B060C753392}" srcOrd="0" destOrd="0" presId="urn:microsoft.com/office/officeart/2005/8/layout/default"/>
    <dgm:cxn modelId="{759ADA89-A073-4E8D-A6B2-EB19791AC3C8}" srcId="{2711E4AD-827A-4D78-9B2D-4A1800975C10}" destId="{C4DF8428-8F21-4FBC-82C3-7F625D22BF34}" srcOrd="2" destOrd="0" parTransId="{00A375A9-DBBB-451E-8012-4571302C035E}" sibTransId="{FB4C2D17-3E83-450C-A0D9-3507DA4A7ABD}"/>
    <dgm:cxn modelId="{5528F931-9FD1-4D59-9809-1898CFB616CB}" srcId="{2711E4AD-827A-4D78-9B2D-4A1800975C10}" destId="{A9FC6C54-6DF1-4365-86FD-26E8AA75CDD0}" srcOrd="7" destOrd="0" parTransId="{8F788526-94B5-482D-ABB8-645987F7D55C}" sibTransId="{6D66200F-ADF2-420B-BC8A-C915FF00F5F3}"/>
    <dgm:cxn modelId="{9E5F2EF4-7BCC-43B4-BF17-50B0B97536B4}" type="presOf" srcId="{A9FC6C54-6DF1-4365-86FD-26E8AA75CDD0}" destId="{CD892D52-1F11-453A-A8AA-94D81A785032}" srcOrd="0" destOrd="0" presId="urn:microsoft.com/office/officeart/2005/8/layout/default"/>
    <dgm:cxn modelId="{10D5F214-9116-4DB8-8C70-236E8FC3B212}" srcId="{2711E4AD-827A-4D78-9B2D-4A1800975C10}" destId="{559B6C5F-7ED4-4762-B40E-3B93429F3991}" srcOrd="4" destOrd="0" parTransId="{5D4DB97C-F8EB-43A2-A165-E1C9B36E7C4E}" sibTransId="{15F7DDAE-576B-4892-B879-D4A705C3B3E2}"/>
    <dgm:cxn modelId="{67CE3485-3F19-4BC2-8155-DD760FD2BD53}" type="presOf" srcId="{D9772EA6-6FB8-404A-918F-E848F235DB9A}" destId="{3034C728-9FF4-4192-AE66-9A773AD998F1}" srcOrd="0" destOrd="0" presId="urn:microsoft.com/office/officeart/2005/8/layout/default"/>
    <dgm:cxn modelId="{0882721E-733C-406A-BF67-96D74ED2D154}" type="presOf" srcId="{559B6C5F-7ED4-4762-B40E-3B93429F3991}" destId="{3247C7A4-193C-434A-9540-E7E5453E7BD8}" srcOrd="0" destOrd="0" presId="urn:microsoft.com/office/officeart/2005/8/layout/default"/>
    <dgm:cxn modelId="{7BD5003E-6507-4C65-9735-AC38435137FE}" type="presOf" srcId="{C4DF8428-8F21-4FBC-82C3-7F625D22BF34}" destId="{4D53D173-00D4-4695-86F0-58BFEA80932D}" srcOrd="0" destOrd="0" presId="urn:microsoft.com/office/officeart/2005/8/layout/default"/>
    <dgm:cxn modelId="{2B4DC396-69DE-4BE7-BA43-6B2732E7C530}" srcId="{2711E4AD-827A-4D78-9B2D-4A1800975C10}" destId="{66BE7AEB-9C75-49EC-BADC-89922153EC73}" srcOrd="5" destOrd="0" parTransId="{38D72418-B9FF-48BB-ACCC-9149DD6DF291}" sibTransId="{625B673E-3213-494D-AF6D-68A3713BDC7D}"/>
    <dgm:cxn modelId="{DCE94807-48C5-4D82-99B9-B1C47019AB83}" type="presParOf" srcId="{2B2EE24A-7152-466A-8E78-8B060C753392}" destId="{6D1B3BF0-165D-40CC-A5FF-04F9C387258A}" srcOrd="0" destOrd="0" presId="urn:microsoft.com/office/officeart/2005/8/layout/default"/>
    <dgm:cxn modelId="{F5ED24F0-8138-4A75-83AF-9746B928BBEB}" type="presParOf" srcId="{2B2EE24A-7152-466A-8E78-8B060C753392}" destId="{1F9176AC-C4FB-4EFA-8BD9-4CC360EA8DEF}" srcOrd="1" destOrd="0" presId="urn:microsoft.com/office/officeart/2005/8/layout/default"/>
    <dgm:cxn modelId="{84AEF8AE-1828-4B48-83CD-4678D2D3DFBE}" type="presParOf" srcId="{2B2EE24A-7152-466A-8E78-8B060C753392}" destId="{EA974591-FBA7-4089-B740-BE77DFBF3CF2}" srcOrd="2" destOrd="0" presId="urn:microsoft.com/office/officeart/2005/8/layout/default"/>
    <dgm:cxn modelId="{8BD76BC4-82CB-4700-BE14-8E6BFA475172}" type="presParOf" srcId="{2B2EE24A-7152-466A-8E78-8B060C753392}" destId="{38792DFB-7C93-4676-B2AD-DC8164670238}" srcOrd="3" destOrd="0" presId="urn:microsoft.com/office/officeart/2005/8/layout/default"/>
    <dgm:cxn modelId="{CE221818-1FA9-4A3B-8E89-84D01FA85E45}" type="presParOf" srcId="{2B2EE24A-7152-466A-8E78-8B060C753392}" destId="{4D53D173-00D4-4695-86F0-58BFEA80932D}" srcOrd="4" destOrd="0" presId="urn:microsoft.com/office/officeart/2005/8/layout/default"/>
    <dgm:cxn modelId="{C399D395-DD94-45E3-8DCD-3DBCC45CD777}" type="presParOf" srcId="{2B2EE24A-7152-466A-8E78-8B060C753392}" destId="{1C0E27ED-28F3-44C5-B24E-60077ACD1DAC}" srcOrd="5" destOrd="0" presId="urn:microsoft.com/office/officeart/2005/8/layout/default"/>
    <dgm:cxn modelId="{12E17C8C-7577-401C-87B0-BFB05C541300}" type="presParOf" srcId="{2B2EE24A-7152-466A-8E78-8B060C753392}" destId="{3034C728-9FF4-4192-AE66-9A773AD998F1}" srcOrd="6" destOrd="0" presId="urn:microsoft.com/office/officeart/2005/8/layout/default"/>
    <dgm:cxn modelId="{D47468B5-AC28-426B-BD99-B03D19F9E3FE}" type="presParOf" srcId="{2B2EE24A-7152-466A-8E78-8B060C753392}" destId="{DAB38D43-4A4E-4B63-A755-2E1729DAFDC0}" srcOrd="7" destOrd="0" presId="urn:microsoft.com/office/officeart/2005/8/layout/default"/>
    <dgm:cxn modelId="{66E63A2C-C44F-4195-ACE9-70F6ACE7F2F6}" type="presParOf" srcId="{2B2EE24A-7152-466A-8E78-8B060C753392}" destId="{3247C7A4-193C-434A-9540-E7E5453E7BD8}" srcOrd="8" destOrd="0" presId="urn:microsoft.com/office/officeart/2005/8/layout/default"/>
    <dgm:cxn modelId="{393F2A24-D136-4046-857C-24992E73F981}" type="presParOf" srcId="{2B2EE24A-7152-466A-8E78-8B060C753392}" destId="{60EAB671-DE4F-4893-B492-EDB2914C5157}" srcOrd="9" destOrd="0" presId="urn:microsoft.com/office/officeart/2005/8/layout/default"/>
    <dgm:cxn modelId="{2C78061F-0FC4-439E-B891-9CE2B9261BDB}" type="presParOf" srcId="{2B2EE24A-7152-466A-8E78-8B060C753392}" destId="{CF2C0832-3061-4627-BBE8-53B7F15A35C2}" srcOrd="10" destOrd="0" presId="urn:microsoft.com/office/officeart/2005/8/layout/default"/>
    <dgm:cxn modelId="{141E12FB-81CA-42FD-A20E-2664332650FE}" type="presParOf" srcId="{2B2EE24A-7152-466A-8E78-8B060C753392}" destId="{531604E2-F4CD-491E-9D9C-34F65F7BDC64}" srcOrd="11" destOrd="0" presId="urn:microsoft.com/office/officeart/2005/8/layout/default"/>
    <dgm:cxn modelId="{158C9F2A-2B9F-4EF8-B530-376BDB525ED4}" type="presParOf" srcId="{2B2EE24A-7152-466A-8E78-8B060C753392}" destId="{DD471FD8-25B7-4544-8752-03031A9EF2FD}" srcOrd="12" destOrd="0" presId="urn:microsoft.com/office/officeart/2005/8/layout/default"/>
    <dgm:cxn modelId="{EB750B2A-9F9E-4F6F-A429-A7DEB3CCD2D1}" type="presParOf" srcId="{2B2EE24A-7152-466A-8E78-8B060C753392}" destId="{AF240B77-1141-4DD0-A3A0-1DEAF7C1FCC3}" srcOrd="13" destOrd="0" presId="urn:microsoft.com/office/officeart/2005/8/layout/default"/>
    <dgm:cxn modelId="{9642881C-929A-426D-A6D9-FB5112854447}" type="presParOf" srcId="{2B2EE24A-7152-466A-8E78-8B060C753392}" destId="{CD892D52-1F11-453A-A8AA-94D81A785032}" srcOrd="14" destOrd="0" presId="urn:microsoft.com/office/officeart/2005/8/layout/default"/>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2711E4AD-827A-4D78-9B2D-4A1800975C10}" type="doc">
      <dgm:prSet loTypeId="urn:microsoft.com/office/officeart/2005/8/layout/default" loCatId="list" qsTypeId="urn:microsoft.com/office/officeart/2005/8/quickstyle/simple1" qsCatId="simple" csTypeId="urn:microsoft.com/office/officeart/2005/8/colors/accent1_2" csCatId="accent1" phldr="1"/>
      <dgm:spPr/>
      <dgm:t>
        <a:bodyPr/>
        <a:lstStyle/>
        <a:p>
          <a:endParaRPr lang="en-IN"/>
        </a:p>
      </dgm:t>
    </dgm:pt>
    <dgm:pt modelId="{A7CBC1EB-1B18-4679-A48A-860BD08B8131}">
      <dgm:prSet phldrT="[Text]"/>
      <dgm:spPr>
        <a:solidFill>
          <a:schemeClr val="accent1">
            <a:hueOff val="0"/>
            <a:satOff val="0"/>
            <a:lumOff val="0"/>
          </a:schemeClr>
        </a:solidFill>
        <a:scene3d>
          <a:camera prst="orthographicFront"/>
          <a:lightRig rig="soft" dir="t"/>
        </a:scene3d>
        <a:sp3d prstMaterial="powder"/>
      </dgm:spPr>
      <dgm:t>
        <a:bodyPr/>
        <a:lstStyle/>
        <a:p>
          <a:r>
            <a:rPr lang="en-IN"/>
            <a:t>August</a:t>
          </a:r>
        </a:p>
      </dgm:t>
      <dgm:extLst>
        <a:ext uri="{E40237B7-FDA0-4F09-8148-C483321AD2D9}">
          <dgm14:cNvPr xmlns:dgm14="http://schemas.microsoft.com/office/drawing/2010/diagram" id="0" name="">
            <a:hlinkClick xmlns:r="http://schemas.openxmlformats.org/officeDocument/2006/relationships" r:id="rId1"/>
          </dgm14:cNvPr>
        </a:ext>
      </dgm:extLst>
    </dgm:pt>
    <dgm:pt modelId="{EC5EE958-971F-4AE8-9055-E997D4060D5F}" type="parTrans" cxnId="{9409169F-42B8-4263-832B-5337BC6D80D5}">
      <dgm:prSet/>
      <dgm:spPr/>
      <dgm:t>
        <a:bodyPr/>
        <a:lstStyle/>
        <a:p>
          <a:endParaRPr lang="en-IN"/>
        </a:p>
      </dgm:t>
    </dgm:pt>
    <dgm:pt modelId="{98E8C7A8-5F59-4290-A823-D8EAB452374C}" type="sibTrans" cxnId="{9409169F-42B8-4263-832B-5337BC6D80D5}">
      <dgm:prSet/>
      <dgm:spPr/>
      <dgm:t>
        <a:bodyPr/>
        <a:lstStyle/>
        <a:p>
          <a:endParaRPr lang="en-IN"/>
        </a:p>
      </dgm:t>
    </dgm:pt>
    <dgm:pt modelId="{66BE7AEB-9C75-49EC-BADC-89922153EC73}">
      <dgm:prSet phldrT="[Text]"/>
      <dgm:spPr>
        <a:solidFill>
          <a:schemeClr val="accent1">
            <a:hueOff val="0"/>
            <a:satOff val="0"/>
            <a:lumOff val="0"/>
          </a:schemeClr>
        </a:solidFill>
        <a:scene3d>
          <a:camera prst="orthographicFront"/>
          <a:lightRig rig="soft" dir="t"/>
        </a:scene3d>
        <a:sp3d prstMaterial="powder"/>
      </dgm:spPr>
      <dgm:t>
        <a:bodyPr/>
        <a:lstStyle/>
        <a:p>
          <a:r>
            <a:rPr lang="en-IN"/>
            <a:t>July</a:t>
          </a:r>
        </a:p>
      </dgm:t>
      <dgm:extLst>
        <a:ext uri="{E40237B7-FDA0-4F09-8148-C483321AD2D9}">
          <dgm14:cNvPr xmlns:dgm14="http://schemas.microsoft.com/office/drawing/2010/diagram" id="0" name="">
            <a:hlinkClick xmlns:r="http://schemas.openxmlformats.org/officeDocument/2006/relationships" r:id="rId2"/>
          </dgm14:cNvPr>
        </a:ext>
      </dgm:extLst>
    </dgm:pt>
    <dgm:pt modelId="{38D72418-B9FF-48BB-ACCC-9149DD6DF291}" type="parTrans" cxnId="{2B4DC396-69DE-4BE7-BA43-6B2732E7C530}">
      <dgm:prSet/>
      <dgm:spPr/>
      <dgm:t>
        <a:bodyPr/>
        <a:lstStyle/>
        <a:p>
          <a:endParaRPr lang="en-IN"/>
        </a:p>
      </dgm:t>
    </dgm:pt>
    <dgm:pt modelId="{625B673E-3213-494D-AF6D-68A3713BDC7D}" type="sibTrans" cxnId="{2B4DC396-69DE-4BE7-BA43-6B2732E7C530}">
      <dgm:prSet/>
      <dgm:spPr/>
      <dgm:t>
        <a:bodyPr/>
        <a:lstStyle/>
        <a:p>
          <a:endParaRPr lang="en-IN"/>
        </a:p>
      </dgm:t>
    </dgm:pt>
    <dgm:pt modelId="{559B6C5F-7ED4-4762-B40E-3B93429F3991}">
      <dgm:prSet phldrT="[Text]"/>
      <dgm:spPr>
        <a:solidFill>
          <a:schemeClr val="accent1">
            <a:hueOff val="0"/>
            <a:satOff val="0"/>
            <a:lumOff val="0"/>
          </a:schemeClr>
        </a:solidFill>
        <a:scene3d>
          <a:camera prst="orthographicFront"/>
          <a:lightRig rig="soft" dir="t"/>
        </a:scene3d>
        <a:sp3d prstMaterial="powder"/>
      </dgm:spPr>
      <dgm:t>
        <a:bodyPr/>
        <a:lstStyle/>
        <a:p>
          <a:r>
            <a:rPr lang="en-IN"/>
            <a:t>June</a:t>
          </a:r>
        </a:p>
      </dgm:t>
      <dgm:extLst>
        <a:ext uri="{E40237B7-FDA0-4F09-8148-C483321AD2D9}">
          <dgm14:cNvPr xmlns:dgm14="http://schemas.microsoft.com/office/drawing/2010/diagram" id="0" name="">
            <a:hlinkClick xmlns:r="http://schemas.openxmlformats.org/officeDocument/2006/relationships" r:id="rId3"/>
          </dgm14:cNvPr>
        </a:ext>
      </dgm:extLst>
    </dgm:pt>
    <dgm:pt modelId="{5D4DB97C-F8EB-43A2-A165-E1C9B36E7C4E}" type="parTrans" cxnId="{10D5F214-9116-4DB8-8C70-236E8FC3B212}">
      <dgm:prSet/>
      <dgm:spPr/>
      <dgm:t>
        <a:bodyPr/>
        <a:lstStyle/>
        <a:p>
          <a:endParaRPr lang="en-IN"/>
        </a:p>
      </dgm:t>
    </dgm:pt>
    <dgm:pt modelId="{15F7DDAE-576B-4892-B879-D4A705C3B3E2}" type="sibTrans" cxnId="{10D5F214-9116-4DB8-8C70-236E8FC3B212}">
      <dgm:prSet/>
      <dgm:spPr/>
      <dgm:t>
        <a:bodyPr/>
        <a:lstStyle/>
        <a:p>
          <a:endParaRPr lang="en-IN"/>
        </a:p>
      </dgm:t>
    </dgm:pt>
    <dgm:pt modelId="{2879C7DD-3B65-4A82-BDF3-F7AC1F03867E}">
      <dgm:prSet phldrT="[Text]"/>
      <dgm:spPr>
        <a:solidFill>
          <a:schemeClr val="accent1">
            <a:hueOff val="0"/>
            <a:satOff val="0"/>
            <a:lumOff val="0"/>
          </a:schemeClr>
        </a:solidFill>
        <a:scene3d>
          <a:camera prst="orthographicFront"/>
          <a:lightRig rig="soft" dir="t"/>
        </a:scene3d>
        <a:sp3d prstMaterial="powder"/>
      </dgm:spPr>
      <dgm:t>
        <a:bodyPr/>
        <a:lstStyle/>
        <a:p>
          <a:r>
            <a:rPr lang="en-IN"/>
            <a:t>Raw Material</a:t>
          </a:r>
        </a:p>
      </dgm:t>
      <dgm:extLst>
        <a:ext uri="{E40237B7-FDA0-4F09-8148-C483321AD2D9}">
          <dgm14:cNvPr xmlns:dgm14="http://schemas.microsoft.com/office/drawing/2010/diagram" id="0" name="">
            <a:hlinkClick xmlns:r="http://schemas.openxmlformats.org/officeDocument/2006/relationships" r:id="rId4"/>
          </dgm14:cNvPr>
        </a:ext>
      </dgm:extLst>
    </dgm:pt>
    <dgm:pt modelId="{DACF350D-94A4-42C2-991E-49A6D5410C66}" type="sibTrans" cxnId="{FC13F961-3BD7-406C-84FA-429C2E6F9390}">
      <dgm:prSet/>
      <dgm:spPr/>
      <dgm:t>
        <a:bodyPr/>
        <a:lstStyle/>
        <a:p>
          <a:endParaRPr lang="en-IN"/>
        </a:p>
      </dgm:t>
    </dgm:pt>
    <dgm:pt modelId="{E7C8C2EA-0A59-4598-BA52-04FDD506195B}" type="parTrans" cxnId="{FC13F961-3BD7-406C-84FA-429C2E6F9390}">
      <dgm:prSet/>
      <dgm:spPr/>
      <dgm:t>
        <a:bodyPr/>
        <a:lstStyle/>
        <a:p>
          <a:endParaRPr lang="en-IN"/>
        </a:p>
      </dgm:t>
    </dgm:pt>
    <dgm:pt modelId="{AFFE5BB0-F1E4-4602-A94D-2CDADD5FFB8A}">
      <dgm:prSet phldrT="[Text]"/>
      <dgm:spPr>
        <a:solidFill>
          <a:schemeClr val="accent1">
            <a:hueOff val="0"/>
            <a:satOff val="0"/>
            <a:lumOff val="0"/>
          </a:schemeClr>
        </a:solidFill>
        <a:scene3d>
          <a:camera prst="orthographicFront"/>
          <a:lightRig rig="soft" dir="t"/>
        </a:scene3d>
        <a:sp3d prstMaterial="powder"/>
      </dgm:spPr>
      <dgm:t>
        <a:bodyPr/>
        <a:lstStyle/>
        <a:p>
          <a:r>
            <a:rPr lang="en-IN"/>
            <a:t>Summary</a:t>
          </a:r>
        </a:p>
      </dgm:t>
      <dgm:extLst>
        <a:ext uri="{E40237B7-FDA0-4F09-8148-C483321AD2D9}">
          <dgm14:cNvPr xmlns:dgm14="http://schemas.microsoft.com/office/drawing/2010/diagram" id="0" name="">
            <a:hlinkClick xmlns:r="http://schemas.openxmlformats.org/officeDocument/2006/relationships" r:id="rId5"/>
          </dgm14:cNvPr>
        </a:ext>
      </dgm:extLst>
    </dgm:pt>
    <dgm:pt modelId="{70737207-503F-4C40-9B33-FA4B07AE5868}" type="parTrans" cxnId="{412848AE-0BC4-4A57-83BB-84D81F145B60}">
      <dgm:prSet/>
      <dgm:spPr/>
      <dgm:t>
        <a:bodyPr/>
        <a:lstStyle/>
        <a:p>
          <a:endParaRPr lang="en-IN"/>
        </a:p>
      </dgm:t>
    </dgm:pt>
    <dgm:pt modelId="{C958434A-F7C8-4362-AD44-69069D716AC5}" type="sibTrans" cxnId="{412848AE-0BC4-4A57-83BB-84D81F145B60}">
      <dgm:prSet/>
      <dgm:spPr/>
      <dgm:t>
        <a:bodyPr/>
        <a:lstStyle/>
        <a:p>
          <a:endParaRPr lang="en-IN"/>
        </a:p>
      </dgm:t>
    </dgm:pt>
    <dgm:pt modelId="{C4DF8428-8F21-4FBC-82C3-7F625D22BF34}">
      <dgm:prSet phldrT="[Text]"/>
      <dgm:spPr>
        <a:solidFill>
          <a:schemeClr val="accent1">
            <a:hueOff val="0"/>
            <a:satOff val="0"/>
            <a:lumOff val="0"/>
          </a:schemeClr>
        </a:solidFill>
        <a:scene3d>
          <a:camera prst="orthographicFront"/>
          <a:lightRig rig="soft" dir="t"/>
        </a:scene3d>
        <a:sp3d prstMaterial="powder"/>
      </dgm:spPr>
      <dgm:t>
        <a:bodyPr/>
        <a:lstStyle/>
        <a:p>
          <a:r>
            <a:rPr lang="en-IN"/>
            <a:t>Profit &amp; Loss</a:t>
          </a:r>
        </a:p>
      </dgm:t>
      <dgm:extLst>
        <a:ext uri="{E40237B7-FDA0-4F09-8148-C483321AD2D9}">
          <dgm14:cNvPr xmlns:dgm14="http://schemas.microsoft.com/office/drawing/2010/diagram" id="0" name="">
            <a:hlinkClick xmlns:r="http://schemas.openxmlformats.org/officeDocument/2006/relationships" r:id="rId6"/>
          </dgm14:cNvPr>
        </a:ext>
      </dgm:extLst>
    </dgm:pt>
    <dgm:pt modelId="{00A375A9-DBBB-451E-8012-4571302C035E}" type="parTrans" cxnId="{759ADA89-A073-4E8D-A6B2-EB19791AC3C8}">
      <dgm:prSet/>
      <dgm:spPr/>
      <dgm:t>
        <a:bodyPr/>
        <a:lstStyle/>
        <a:p>
          <a:endParaRPr lang="en-IN"/>
        </a:p>
      </dgm:t>
    </dgm:pt>
    <dgm:pt modelId="{FB4C2D17-3E83-450C-A0D9-3507DA4A7ABD}" type="sibTrans" cxnId="{759ADA89-A073-4E8D-A6B2-EB19791AC3C8}">
      <dgm:prSet/>
      <dgm:spPr/>
      <dgm:t>
        <a:bodyPr/>
        <a:lstStyle/>
        <a:p>
          <a:endParaRPr lang="en-IN"/>
        </a:p>
      </dgm:t>
    </dgm:pt>
    <dgm:pt modelId="{D9772EA6-6FB8-404A-918F-E848F235DB9A}">
      <dgm:prSet phldrT="[Text]"/>
      <dgm:spPr>
        <a:solidFill>
          <a:schemeClr val="accent1">
            <a:hueOff val="0"/>
            <a:satOff val="0"/>
            <a:lumOff val="0"/>
          </a:schemeClr>
        </a:solidFill>
        <a:scene3d>
          <a:camera prst="orthographicFront"/>
          <a:lightRig rig="soft" dir="t"/>
        </a:scene3d>
        <a:sp3d prstMaterial="powder"/>
      </dgm:spPr>
      <dgm:t>
        <a:bodyPr/>
        <a:lstStyle/>
        <a:p>
          <a:r>
            <a:rPr lang="en-IN"/>
            <a:t>May</a:t>
          </a:r>
        </a:p>
      </dgm:t>
      <dgm:extLst>
        <a:ext uri="{E40237B7-FDA0-4F09-8148-C483321AD2D9}">
          <dgm14:cNvPr xmlns:dgm14="http://schemas.microsoft.com/office/drawing/2010/diagram" id="0" name="">
            <a:hlinkClick xmlns:r="http://schemas.openxmlformats.org/officeDocument/2006/relationships" r:id="rId7"/>
          </dgm14:cNvPr>
        </a:ext>
      </dgm:extLst>
    </dgm:pt>
    <dgm:pt modelId="{06CA5EE9-3720-4344-9D4B-23687AEA0E3A}" type="parTrans" cxnId="{5B7F4416-7C44-43C7-90FA-198CA079B7F3}">
      <dgm:prSet/>
      <dgm:spPr/>
      <dgm:t>
        <a:bodyPr/>
        <a:lstStyle/>
        <a:p>
          <a:endParaRPr lang="en-IN"/>
        </a:p>
      </dgm:t>
    </dgm:pt>
    <dgm:pt modelId="{70E43812-5942-46B8-BCE6-BB7DA5035D10}" type="sibTrans" cxnId="{5B7F4416-7C44-43C7-90FA-198CA079B7F3}">
      <dgm:prSet/>
      <dgm:spPr/>
      <dgm:t>
        <a:bodyPr/>
        <a:lstStyle/>
        <a:p>
          <a:endParaRPr lang="en-IN"/>
        </a:p>
      </dgm:t>
    </dgm:pt>
    <dgm:pt modelId="{A9FC6C54-6DF1-4365-86FD-26E8AA75CDD0}">
      <dgm:prSet phldrT="[Text]"/>
      <dgm:spPr>
        <a:solidFill>
          <a:schemeClr val="accent1">
            <a:hueOff val="0"/>
            <a:satOff val="0"/>
            <a:lumOff val="0"/>
          </a:schemeClr>
        </a:solidFill>
        <a:scene3d>
          <a:camera prst="orthographicFront"/>
          <a:lightRig rig="soft" dir="t"/>
        </a:scene3d>
        <a:sp3d prstMaterial="powder"/>
      </dgm:spPr>
      <dgm:t>
        <a:bodyPr/>
        <a:lstStyle/>
        <a:p>
          <a:r>
            <a:rPr lang="en-IN"/>
            <a:t>September</a:t>
          </a:r>
        </a:p>
      </dgm:t>
      <dgm:extLst>
        <a:ext uri="{E40237B7-FDA0-4F09-8148-C483321AD2D9}">
          <dgm14:cNvPr xmlns:dgm14="http://schemas.microsoft.com/office/drawing/2010/diagram" id="0" name="">
            <a:hlinkClick xmlns:r="http://schemas.openxmlformats.org/officeDocument/2006/relationships" r:id="rId8"/>
          </dgm14:cNvPr>
        </a:ext>
      </dgm:extLst>
    </dgm:pt>
    <dgm:pt modelId="{8F788526-94B5-482D-ABB8-645987F7D55C}" type="parTrans" cxnId="{5528F931-9FD1-4D59-9809-1898CFB616CB}">
      <dgm:prSet/>
      <dgm:spPr/>
      <dgm:t>
        <a:bodyPr/>
        <a:lstStyle/>
        <a:p>
          <a:endParaRPr lang="en-IN"/>
        </a:p>
      </dgm:t>
    </dgm:pt>
    <dgm:pt modelId="{6D66200F-ADF2-420B-BC8A-C915FF00F5F3}" type="sibTrans" cxnId="{5528F931-9FD1-4D59-9809-1898CFB616CB}">
      <dgm:prSet/>
      <dgm:spPr/>
      <dgm:t>
        <a:bodyPr/>
        <a:lstStyle/>
        <a:p>
          <a:endParaRPr lang="en-IN"/>
        </a:p>
      </dgm:t>
    </dgm:pt>
    <dgm:pt modelId="{2B2EE24A-7152-466A-8E78-8B060C753392}" type="pres">
      <dgm:prSet presAssocID="{2711E4AD-827A-4D78-9B2D-4A1800975C10}" presName="diagram" presStyleCnt="0">
        <dgm:presLayoutVars>
          <dgm:dir/>
          <dgm:resizeHandles val="exact"/>
        </dgm:presLayoutVars>
      </dgm:prSet>
      <dgm:spPr/>
      <dgm:t>
        <a:bodyPr/>
        <a:lstStyle/>
        <a:p>
          <a:endParaRPr lang="en-IN"/>
        </a:p>
      </dgm:t>
    </dgm:pt>
    <dgm:pt modelId="{6D1B3BF0-165D-40CC-A5FF-04F9C387258A}" type="pres">
      <dgm:prSet presAssocID="{2879C7DD-3B65-4A82-BDF3-F7AC1F03867E}" presName="node" presStyleLbl="node1" presStyleIdx="0" presStyleCnt="8">
        <dgm:presLayoutVars>
          <dgm:bulletEnabled val="1"/>
        </dgm:presLayoutVars>
      </dgm:prSet>
      <dgm:spPr/>
      <dgm:t>
        <a:bodyPr/>
        <a:lstStyle/>
        <a:p>
          <a:endParaRPr lang="en-IN"/>
        </a:p>
      </dgm:t>
    </dgm:pt>
    <dgm:pt modelId="{1F9176AC-C4FB-4EFA-8BD9-4CC360EA8DEF}" type="pres">
      <dgm:prSet presAssocID="{DACF350D-94A4-42C2-991E-49A6D5410C66}" presName="sibTrans" presStyleCnt="0"/>
      <dgm:spPr/>
    </dgm:pt>
    <dgm:pt modelId="{EA974591-FBA7-4089-B740-BE77DFBF3CF2}" type="pres">
      <dgm:prSet presAssocID="{AFFE5BB0-F1E4-4602-A94D-2CDADD5FFB8A}" presName="node" presStyleLbl="node1" presStyleIdx="1" presStyleCnt="8">
        <dgm:presLayoutVars>
          <dgm:bulletEnabled val="1"/>
        </dgm:presLayoutVars>
      </dgm:prSet>
      <dgm:spPr/>
      <dgm:t>
        <a:bodyPr/>
        <a:lstStyle/>
        <a:p>
          <a:endParaRPr lang="en-IN"/>
        </a:p>
      </dgm:t>
    </dgm:pt>
    <dgm:pt modelId="{38792DFB-7C93-4676-B2AD-DC8164670238}" type="pres">
      <dgm:prSet presAssocID="{C958434A-F7C8-4362-AD44-69069D716AC5}" presName="sibTrans" presStyleCnt="0"/>
      <dgm:spPr/>
    </dgm:pt>
    <dgm:pt modelId="{4D53D173-00D4-4695-86F0-58BFEA80932D}" type="pres">
      <dgm:prSet presAssocID="{C4DF8428-8F21-4FBC-82C3-7F625D22BF34}" presName="node" presStyleLbl="node1" presStyleIdx="2" presStyleCnt="8">
        <dgm:presLayoutVars>
          <dgm:bulletEnabled val="1"/>
        </dgm:presLayoutVars>
      </dgm:prSet>
      <dgm:spPr/>
      <dgm:t>
        <a:bodyPr/>
        <a:lstStyle/>
        <a:p>
          <a:endParaRPr lang="en-IN"/>
        </a:p>
      </dgm:t>
    </dgm:pt>
    <dgm:pt modelId="{1C0E27ED-28F3-44C5-B24E-60077ACD1DAC}" type="pres">
      <dgm:prSet presAssocID="{FB4C2D17-3E83-450C-A0D9-3507DA4A7ABD}" presName="sibTrans" presStyleCnt="0"/>
      <dgm:spPr/>
    </dgm:pt>
    <dgm:pt modelId="{3034C728-9FF4-4192-AE66-9A773AD998F1}" type="pres">
      <dgm:prSet presAssocID="{D9772EA6-6FB8-404A-918F-E848F235DB9A}" presName="node" presStyleLbl="node1" presStyleIdx="3" presStyleCnt="8">
        <dgm:presLayoutVars>
          <dgm:bulletEnabled val="1"/>
        </dgm:presLayoutVars>
      </dgm:prSet>
      <dgm:spPr/>
      <dgm:t>
        <a:bodyPr/>
        <a:lstStyle/>
        <a:p>
          <a:endParaRPr lang="en-IN"/>
        </a:p>
      </dgm:t>
    </dgm:pt>
    <dgm:pt modelId="{DAB38D43-4A4E-4B63-A755-2E1729DAFDC0}" type="pres">
      <dgm:prSet presAssocID="{70E43812-5942-46B8-BCE6-BB7DA5035D10}" presName="sibTrans" presStyleCnt="0"/>
      <dgm:spPr/>
    </dgm:pt>
    <dgm:pt modelId="{3247C7A4-193C-434A-9540-E7E5453E7BD8}" type="pres">
      <dgm:prSet presAssocID="{559B6C5F-7ED4-4762-B40E-3B93429F3991}" presName="node" presStyleLbl="node1" presStyleIdx="4" presStyleCnt="8">
        <dgm:presLayoutVars>
          <dgm:bulletEnabled val="1"/>
        </dgm:presLayoutVars>
      </dgm:prSet>
      <dgm:spPr/>
      <dgm:t>
        <a:bodyPr/>
        <a:lstStyle/>
        <a:p>
          <a:endParaRPr lang="en-IN"/>
        </a:p>
      </dgm:t>
    </dgm:pt>
    <dgm:pt modelId="{60EAB671-DE4F-4893-B492-EDB2914C5157}" type="pres">
      <dgm:prSet presAssocID="{15F7DDAE-576B-4892-B879-D4A705C3B3E2}" presName="sibTrans" presStyleCnt="0"/>
      <dgm:spPr/>
    </dgm:pt>
    <dgm:pt modelId="{CF2C0832-3061-4627-BBE8-53B7F15A35C2}" type="pres">
      <dgm:prSet presAssocID="{66BE7AEB-9C75-49EC-BADC-89922153EC73}" presName="node" presStyleLbl="node1" presStyleIdx="5" presStyleCnt="8">
        <dgm:presLayoutVars>
          <dgm:bulletEnabled val="1"/>
        </dgm:presLayoutVars>
      </dgm:prSet>
      <dgm:spPr/>
      <dgm:t>
        <a:bodyPr/>
        <a:lstStyle/>
        <a:p>
          <a:endParaRPr lang="en-IN"/>
        </a:p>
      </dgm:t>
    </dgm:pt>
    <dgm:pt modelId="{531604E2-F4CD-491E-9D9C-34F65F7BDC64}" type="pres">
      <dgm:prSet presAssocID="{625B673E-3213-494D-AF6D-68A3713BDC7D}" presName="sibTrans" presStyleCnt="0"/>
      <dgm:spPr/>
    </dgm:pt>
    <dgm:pt modelId="{DD471FD8-25B7-4544-8752-03031A9EF2FD}" type="pres">
      <dgm:prSet presAssocID="{A7CBC1EB-1B18-4679-A48A-860BD08B8131}" presName="node" presStyleLbl="node1" presStyleIdx="6" presStyleCnt="8">
        <dgm:presLayoutVars>
          <dgm:bulletEnabled val="1"/>
        </dgm:presLayoutVars>
      </dgm:prSet>
      <dgm:spPr/>
      <dgm:t>
        <a:bodyPr/>
        <a:lstStyle/>
        <a:p>
          <a:endParaRPr lang="en-IN"/>
        </a:p>
      </dgm:t>
    </dgm:pt>
    <dgm:pt modelId="{AF240B77-1141-4DD0-A3A0-1DEAF7C1FCC3}" type="pres">
      <dgm:prSet presAssocID="{98E8C7A8-5F59-4290-A823-D8EAB452374C}" presName="sibTrans" presStyleCnt="0"/>
      <dgm:spPr/>
    </dgm:pt>
    <dgm:pt modelId="{CD892D52-1F11-453A-A8AA-94D81A785032}" type="pres">
      <dgm:prSet presAssocID="{A9FC6C54-6DF1-4365-86FD-26E8AA75CDD0}" presName="node" presStyleLbl="node1" presStyleIdx="7" presStyleCnt="8">
        <dgm:presLayoutVars>
          <dgm:bulletEnabled val="1"/>
        </dgm:presLayoutVars>
      </dgm:prSet>
      <dgm:spPr/>
      <dgm:t>
        <a:bodyPr/>
        <a:lstStyle/>
        <a:p>
          <a:endParaRPr lang="en-IN"/>
        </a:p>
      </dgm:t>
    </dgm:pt>
  </dgm:ptLst>
  <dgm:cxnLst>
    <dgm:cxn modelId="{99EC8E31-8EDA-44FB-A322-2D89F7F4BAA8}" type="presOf" srcId="{A7CBC1EB-1B18-4679-A48A-860BD08B8131}" destId="{DD471FD8-25B7-4544-8752-03031A9EF2FD}" srcOrd="0" destOrd="0" presId="urn:microsoft.com/office/officeart/2005/8/layout/default"/>
    <dgm:cxn modelId="{412848AE-0BC4-4A57-83BB-84D81F145B60}" srcId="{2711E4AD-827A-4D78-9B2D-4A1800975C10}" destId="{AFFE5BB0-F1E4-4602-A94D-2CDADD5FFB8A}" srcOrd="1" destOrd="0" parTransId="{70737207-503F-4C40-9B33-FA4B07AE5868}" sibTransId="{C958434A-F7C8-4362-AD44-69069D716AC5}"/>
    <dgm:cxn modelId="{BF6F80B7-D541-467D-9F0A-230821239039}" type="presOf" srcId="{2711E4AD-827A-4D78-9B2D-4A1800975C10}" destId="{2B2EE24A-7152-466A-8E78-8B060C753392}" srcOrd="0" destOrd="0" presId="urn:microsoft.com/office/officeart/2005/8/layout/default"/>
    <dgm:cxn modelId="{5B7F4416-7C44-43C7-90FA-198CA079B7F3}" srcId="{2711E4AD-827A-4D78-9B2D-4A1800975C10}" destId="{D9772EA6-6FB8-404A-918F-E848F235DB9A}" srcOrd="3" destOrd="0" parTransId="{06CA5EE9-3720-4344-9D4B-23687AEA0E3A}" sibTransId="{70E43812-5942-46B8-BCE6-BB7DA5035D10}"/>
    <dgm:cxn modelId="{9409169F-42B8-4263-832B-5337BC6D80D5}" srcId="{2711E4AD-827A-4D78-9B2D-4A1800975C10}" destId="{A7CBC1EB-1B18-4679-A48A-860BD08B8131}" srcOrd="6" destOrd="0" parTransId="{EC5EE958-971F-4AE8-9055-E997D4060D5F}" sibTransId="{98E8C7A8-5F59-4290-A823-D8EAB452374C}"/>
    <dgm:cxn modelId="{FC13F961-3BD7-406C-84FA-429C2E6F9390}" srcId="{2711E4AD-827A-4D78-9B2D-4A1800975C10}" destId="{2879C7DD-3B65-4A82-BDF3-F7AC1F03867E}" srcOrd="0" destOrd="0" parTransId="{E7C8C2EA-0A59-4598-BA52-04FDD506195B}" sibTransId="{DACF350D-94A4-42C2-991E-49A6D5410C66}"/>
    <dgm:cxn modelId="{8CE334A2-097C-4BEF-854A-F66C0DE0A19C}" type="presOf" srcId="{66BE7AEB-9C75-49EC-BADC-89922153EC73}" destId="{CF2C0832-3061-4627-BBE8-53B7F15A35C2}" srcOrd="0" destOrd="0" presId="urn:microsoft.com/office/officeart/2005/8/layout/default"/>
    <dgm:cxn modelId="{44DCB0F0-8B84-40A8-B1D0-E5E464747FD0}" type="presOf" srcId="{C4DF8428-8F21-4FBC-82C3-7F625D22BF34}" destId="{4D53D173-00D4-4695-86F0-58BFEA80932D}" srcOrd="0" destOrd="0" presId="urn:microsoft.com/office/officeart/2005/8/layout/default"/>
    <dgm:cxn modelId="{C86D1B87-7092-459E-8900-D9B15557407C}" type="presOf" srcId="{2879C7DD-3B65-4A82-BDF3-F7AC1F03867E}" destId="{6D1B3BF0-165D-40CC-A5FF-04F9C387258A}" srcOrd="0" destOrd="0" presId="urn:microsoft.com/office/officeart/2005/8/layout/default"/>
    <dgm:cxn modelId="{5528F931-9FD1-4D59-9809-1898CFB616CB}" srcId="{2711E4AD-827A-4D78-9B2D-4A1800975C10}" destId="{A9FC6C54-6DF1-4365-86FD-26E8AA75CDD0}" srcOrd="7" destOrd="0" parTransId="{8F788526-94B5-482D-ABB8-645987F7D55C}" sibTransId="{6D66200F-ADF2-420B-BC8A-C915FF00F5F3}"/>
    <dgm:cxn modelId="{759ADA89-A073-4E8D-A6B2-EB19791AC3C8}" srcId="{2711E4AD-827A-4D78-9B2D-4A1800975C10}" destId="{C4DF8428-8F21-4FBC-82C3-7F625D22BF34}" srcOrd="2" destOrd="0" parTransId="{00A375A9-DBBB-451E-8012-4571302C035E}" sibTransId="{FB4C2D17-3E83-450C-A0D9-3507DA4A7ABD}"/>
    <dgm:cxn modelId="{72DCC6A6-9CAE-4ACF-9787-1300D61CD0A9}" type="presOf" srcId="{559B6C5F-7ED4-4762-B40E-3B93429F3991}" destId="{3247C7A4-193C-434A-9540-E7E5453E7BD8}" srcOrd="0" destOrd="0" presId="urn:microsoft.com/office/officeart/2005/8/layout/default"/>
    <dgm:cxn modelId="{10D5F214-9116-4DB8-8C70-236E8FC3B212}" srcId="{2711E4AD-827A-4D78-9B2D-4A1800975C10}" destId="{559B6C5F-7ED4-4762-B40E-3B93429F3991}" srcOrd="4" destOrd="0" parTransId="{5D4DB97C-F8EB-43A2-A165-E1C9B36E7C4E}" sibTransId="{15F7DDAE-576B-4892-B879-D4A705C3B3E2}"/>
    <dgm:cxn modelId="{4D21022B-001D-464B-8A91-C0E05107967C}" type="presOf" srcId="{A9FC6C54-6DF1-4365-86FD-26E8AA75CDD0}" destId="{CD892D52-1F11-453A-A8AA-94D81A785032}" srcOrd="0" destOrd="0" presId="urn:microsoft.com/office/officeart/2005/8/layout/default"/>
    <dgm:cxn modelId="{84C57933-E65A-4259-B6FC-A57A6FA58831}" type="presOf" srcId="{D9772EA6-6FB8-404A-918F-E848F235DB9A}" destId="{3034C728-9FF4-4192-AE66-9A773AD998F1}" srcOrd="0" destOrd="0" presId="urn:microsoft.com/office/officeart/2005/8/layout/default"/>
    <dgm:cxn modelId="{9775FE41-7CC5-4BE8-97B2-DBEF7D6F6D65}" type="presOf" srcId="{AFFE5BB0-F1E4-4602-A94D-2CDADD5FFB8A}" destId="{EA974591-FBA7-4089-B740-BE77DFBF3CF2}" srcOrd="0" destOrd="0" presId="urn:microsoft.com/office/officeart/2005/8/layout/default"/>
    <dgm:cxn modelId="{2B4DC396-69DE-4BE7-BA43-6B2732E7C530}" srcId="{2711E4AD-827A-4D78-9B2D-4A1800975C10}" destId="{66BE7AEB-9C75-49EC-BADC-89922153EC73}" srcOrd="5" destOrd="0" parTransId="{38D72418-B9FF-48BB-ACCC-9149DD6DF291}" sibTransId="{625B673E-3213-494D-AF6D-68A3713BDC7D}"/>
    <dgm:cxn modelId="{7A296986-E4DB-4D82-8C42-36BE2FE31237}" type="presParOf" srcId="{2B2EE24A-7152-466A-8E78-8B060C753392}" destId="{6D1B3BF0-165D-40CC-A5FF-04F9C387258A}" srcOrd="0" destOrd="0" presId="urn:microsoft.com/office/officeart/2005/8/layout/default"/>
    <dgm:cxn modelId="{8A91D9A0-4787-44C2-9963-0C8B36C9973F}" type="presParOf" srcId="{2B2EE24A-7152-466A-8E78-8B060C753392}" destId="{1F9176AC-C4FB-4EFA-8BD9-4CC360EA8DEF}" srcOrd="1" destOrd="0" presId="urn:microsoft.com/office/officeart/2005/8/layout/default"/>
    <dgm:cxn modelId="{8E9E604C-D3D2-4A17-A682-40C6B24535FD}" type="presParOf" srcId="{2B2EE24A-7152-466A-8E78-8B060C753392}" destId="{EA974591-FBA7-4089-B740-BE77DFBF3CF2}" srcOrd="2" destOrd="0" presId="urn:microsoft.com/office/officeart/2005/8/layout/default"/>
    <dgm:cxn modelId="{B54C2E9E-3B51-4D9E-BE23-6F29B07FFFBB}" type="presParOf" srcId="{2B2EE24A-7152-466A-8E78-8B060C753392}" destId="{38792DFB-7C93-4676-B2AD-DC8164670238}" srcOrd="3" destOrd="0" presId="urn:microsoft.com/office/officeart/2005/8/layout/default"/>
    <dgm:cxn modelId="{CC1AD909-8D9C-459A-A379-01040EAB2637}" type="presParOf" srcId="{2B2EE24A-7152-466A-8E78-8B060C753392}" destId="{4D53D173-00D4-4695-86F0-58BFEA80932D}" srcOrd="4" destOrd="0" presId="urn:microsoft.com/office/officeart/2005/8/layout/default"/>
    <dgm:cxn modelId="{4081609B-E48D-45F6-8B03-0EF39B189A9B}" type="presParOf" srcId="{2B2EE24A-7152-466A-8E78-8B060C753392}" destId="{1C0E27ED-28F3-44C5-B24E-60077ACD1DAC}" srcOrd="5" destOrd="0" presId="urn:microsoft.com/office/officeart/2005/8/layout/default"/>
    <dgm:cxn modelId="{D793504D-D32A-4D70-AFC2-E61D770E6014}" type="presParOf" srcId="{2B2EE24A-7152-466A-8E78-8B060C753392}" destId="{3034C728-9FF4-4192-AE66-9A773AD998F1}" srcOrd="6" destOrd="0" presId="urn:microsoft.com/office/officeart/2005/8/layout/default"/>
    <dgm:cxn modelId="{9ACE8FA0-AD35-4AEC-B449-06B902274525}" type="presParOf" srcId="{2B2EE24A-7152-466A-8E78-8B060C753392}" destId="{DAB38D43-4A4E-4B63-A755-2E1729DAFDC0}" srcOrd="7" destOrd="0" presId="urn:microsoft.com/office/officeart/2005/8/layout/default"/>
    <dgm:cxn modelId="{054F84F5-984E-4639-A7DB-F63BB648EF8F}" type="presParOf" srcId="{2B2EE24A-7152-466A-8E78-8B060C753392}" destId="{3247C7A4-193C-434A-9540-E7E5453E7BD8}" srcOrd="8" destOrd="0" presId="urn:microsoft.com/office/officeart/2005/8/layout/default"/>
    <dgm:cxn modelId="{05B28B0F-83FB-41E0-98E4-99C657AC81D7}" type="presParOf" srcId="{2B2EE24A-7152-466A-8E78-8B060C753392}" destId="{60EAB671-DE4F-4893-B492-EDB2914C5157}" srcOrd="9" destOrd="0" presId="urn:microsoft.com/office/officeart/2005/8/layout/default"/>
    <dgm:cxn modelId="{25EAC906-C20C-4009-A20C-AB3DC68CB52F}" type="presParOf" srcId="{2B2EE24A-7152-466A-8E78-8B060C753392}" destId="{CF2C0832-3061-4627-BBE8-53B7F15A35C2}" srcOrd="10" destOrd="0" presId="urn:microsoft.com/office/officeart/2005/8/layout/default"/>
    <dgm:cxn modelId="{83037D2C-3949-4ACF-9E6B-B0C97C7F2141}" type="presParOf" srcId="{2B2EE24A-7152-466A-8E78-8B060C753392}" destId="{531604E2-F4CD-491E-9D9C-34F65F7BDC64}" srcOrd="11" destOrd="0" presId="urn:microsoft.com/office/officeart/2005/8/layout/default"/>
    <dgm:cxn modelId="{8CB1D45D-4350-432D-876B-A285A5C357D0}" type="presParOf" srcId="{2B2EE24A-7152-466A-8E78-8B060C753392}" destId="{DD471FD8-25B7-4544-8752-03031A9EF2FD}" srcOrd="12" destOrd="0" presId="urn:microsoft.com/office/officeart/2005/8/layout/default"/>
    <dgm:cxn modelId="{3B2F5FDD-0F54-4DCA-826D-036D376EDF97}" type="presParOf" srcId="{2B2EE24A-7152-466A-8E78-8B060C753392}" destId="{AF240B77-1141-4DD0-A3A0-1DEAF7C1FCC3}" srcOrd="13" destOrd="0" presId="urn:microsoft.com/office/officeart/2005/8/layout/default"/>
    <dgm:cxn modelId="{50636E4D-5034-44EB-B4A6-2BF08AF5EFA0}" type="presParOf" srcId="{2B2EE24A-7152-466A-8E78-8B060C753392}" destId="{CD892D52-1F11-453A-A8AA-94D81A785032}" srcOrd="14" destOrd="0" presId="urn:microsoft.com/office/officeart/2005/8/layout/default"/>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5.xml><?xml version="1.0" encoding="utf-8"?>
<dgm:dataModel xmlns:dgm="http://schemas.openxmlformats.org/drawingml/2006/diagram" xmlns:a="http://schemas.openxmlformats.org/drawingml/2006/main">
  <dgm:ptLst>
    <dgm:pt modelId="{2711E4AD-827A-4D78-9B2D-4A1800975C10}" type="doc">
      <dgm:prSet loTypeId="urn:microsoft.com/office/officeart/2005/8/layout/default" loCatId="list" qsTypeId="urn:microsoft.com/office/officeart/2005/8/quickstyle/simple1" qsCatId="simple" csTypeId="urn:microsoft.com/office/officeart/2005/8/colors/accent1_2" csCatId="accent1" phldr="1"/>
      <dgm:spPr/>
      <dgm:t>
        <a:bodyPr/>
        <a:lstStyle/>
        <a:p>
          <a:endParaRPr lang="en-IN"/>
        </a:p>
      </dgm:t>
    </dgm:pt>
    <dgm:pt modelId="{A7CBC1EB-1B18-4679-A48A-860BD08B8131}">
      <dgm:prSet phldrT="[Text]"/>
      <dgm:spPr>
        <a:solidFill>
          <a:schemeClr val="accent1">
            <a:hueOff val="0"/>
            <a:satOff val="0"/>
            <a:lumOff val="0"/>
          </a:schemeClr>
        </a:solidFill>
        <a:scene3d>
          <a:camera prst="orthographicFront"/>
          <a:lightRig rig="soft" dir="t"/>
        </a:scene3d>
        <a:sp3d prstMaterial="powder"/>
      </dgm:spPr>
      <dgm:t>
        <a:bodyPr/>
        <a:lstStyle/>
        <a:p>
          <a:r>
            <a:rPr lang="en-IN"/>
            <a:t>August</a:t>
          </a:r>
        </a:p>
      </dgm:t>
      <dgm:extLst>
        <a:ext uri="{E40237B7-FDA0-4F09-8148-C483321AD2D9}">
          <dgm14:cNvPr xmlns:dgm14="http://schemas.microsoft.com/office/drawing/2010/diagram" id="0" name="">
            <a:hlinkClick xmlns:r="http://schemas.openxmlformats.org/officeDocument/2006/relationships" r:id="rId1"/>
          </dgm14:cNvPr>
        </a:ext>
      </dgm:extLst>
    </dgm:pt>
    <dgm:pt modelId="{EC5EE958-971F-4AE8-9055-E997D4060D5F}" type="parTrans" cxnId="{9409169F-42B8-4263-832B-5337BC6D80D5}">
      <dgm:prSet/>
      <dgm:spPr/>
      <dgm:t>
        <a:bodyPr/>
        <a:lstStyle/>
        <a:p>
          <a:endParaRPr lang="en-IN"/>
        </a:p>
      </dgm:t>
    </dgm:pt>
    <dgm:pt modelId="{98E8C7A8-5F59-4290-A823-D8EAB452374C}" type="sibTrans" cxnId="{9409169F-42B8-4263-832B-5337BC6D80D5}">
      <dgm:prSet/>
      <dgm:spPr/>
      <dgm:t>
        <a:bodyPr/>
        <a:lstStyle/>
        <a:p>
          <a:endParaRPr lang="en-IN"/>
        </a:p>
      </dgm:t>
    </dgm:pt>
    <dgm:pt modelId="{66BE7AEB-9C75-49EC-BADC-89922153EC73}">
      <dgm:prSet phldrT="[Text]"/>
      <dgm:spPr>
        <a:solidFill>
          <a:schemeClr val="accent1">
            <a:hueOff val="0"/>
            <a:satOff val="0"/>
            <a:lumOff val="0"/>
          </a:schemeClr>
        </a:solidFill>
        <a:scene3d>
          <a:camera prst="orthographicFront"/>
          <a:lightRig rig="soft" dir="t"/>
        </a:scene3d>
        <a:sp3d prstMaterial="powder"/>
      </dgm:spPr>
      <dgm:t>
        <a:bodyPr/>
        <a:lstStyle/>
        <a:p>
          <a:r>
            <a:rPr lang="en-IN"/>
            <a:t>July</a:t>
          </a:r>
        </a:p>
      </dgm:t>
      <dgm:extLst>
        <a:ext uri="{E40237B7-FDA0-4F09-8148-C483321AD2D9}">
          <dgm14:cNvPr xmlns:dgm14="http://schemas.microsoft.com/office/drawing/2010/diagram" id="0" name="">
            <a:hlinkClick xmlns:r="http://schemas.openxmlformats.org/officeDocument/2006/relationships" r:id="rId2"/>
          </dgm14:cNvPr>
        </a:ext>
      </dgm:extLst>
    </dgm:pt>
    <dgm:pt modelId="{38D72418-B9FF-48BB-ACCC-9149DD6DF291}" type="parTrans" cxnId="{2B4DC396-69DE-4BE7-BA43-6B2732E7C530}">
      <dgm:prSet/>
      <dgm:spPr/>
      <dgm:t>
        <a:bodyPr/>
        <a:lstStyle/>
        <a:p>
          <a:endParaRPr lang="en-IN"/>
        </a:p>
      </dgm:t>
    </dgm:pt>
    <dgm:pt modelId="{625B673E-3213-494D-AF6D-68A3713BDC7D}" type="sibTrans" cxnId="{2B4DC396-69DE-4BE7-BA43-6B2732E7C530}">
      <dgm:prSet/>
      <dgm:spPr/>
      <dgm:t>
        <a:bodyPr/>
        <a:lstStyle/>
        <a:p>
          <a:endParaRPr lang="en-IN"/>
        </a:p>
      </dgm:t>
    </dgm:pt>
    <dgm:pt modelId="{559B6C5F-7ED4-4762-B40E-3B93429F3991}">
      <dgm:prSet phldrT="[Text]"/>
      <dgm:spPr>
        <a:solidFill>
          <a:schemeClr val="accent1">
            <a:hueOff val="0"/>
            <a:satOff val="0"/>
            <a:lumOff val="0"/>
          </a:schemeClr>
        </a:solidFill>
        <a:scene3d>
          <a:camera prst="orthographicFront"/>
          <a:lightRig rig="soft" dir="t"/>
        </a:scene3d>
        <a:sp3d prstMaterial="powder"/>
      </dgm:spPr>
      <dgm:t>
        <a:bodyPr/>
        <a:lstStyle/>
        <a:p>
          <a:r>
            <a:rPr lang="en-IN"/>
            <a:t>June</a:t>
          </a:r>
        </a:p>
      </dgm:t>
      <dgm:extLst>
        <a:ext uri="{E40237B7-FDA0-4F09-8148-C483321AD2D9}">
          <dgm14:cNvPr xmlns:dgm14="http://schemas.microsoft.com/office/drawing/2010/diagram" id="0" name="">
            <a:hlinkClick xmlns:r="http://schemas.openxmlformats.org/officeDocument/2006/relationships" r:id="rId3"/>
          </dgm14:cNvPr>
        </a:ext>
      </dgm:extLst>
    </dgm:pt>
    <dgm:pt modelId="{5D4DB97C-F8EB-43A2-A165-E1C9B36E7C4E}" type="parTrans" cxnId="{10D5F214-9116-4DB8-8C70-236E8FC3B212}">
      <dgm:prSet/>
      <dgm:spPr/>
      <dgm:t>
        <a:bodyPr/>
        <a:lstStyle/>
        <a:p>
          <a:endParaRPr lang="en-IN"/>
        </a:p>
      </dgm:t>
    </dgm:pt>
    <dgm:pt modelId="{15F7DDAE-576B-4892-B879-D4A705C3B3E2}" type="sibTrans" cxnId="{10D5F214-9116-4DB8-8C70-236E8FC3B212}">
      <dgm:prSet/>
      <dgm:spPr/>
      <dgm:t>
        <a:bodyPr/>
        <a:lstStyle/>
        <a:p>
          <a:endParaRPr lang="en-IN"/>
        </a:p>
      </dgm:t>
    </dgm:pt>
    <dgm:pt modelId="{2879C7DD-3B65-4A82-BDF3-F7AC1F03867E}">
      <dgm:prSet phldrT="[Text]"/>
      <dgm:spPr>
        <a:solidFill>
          <a:schemeClr val="accent1">
            <a:hueOff val="0"/>
            <a:satOff val="0"/>
            <a:lumOff val="0"/>
          </a:schemeClr>
        </a:solidFill>
        <a:scene3d>
          <a:camera prst="orthographicFront"/>
          <a:lightRig rig="soft" dir="t"/>
        </a:scene3d>
        <a:sp3d prstMaterial="powder"/>
      </dgm:spPr>
      <dgm:t>
        <a:bodyPr/>
        <a:lstStyle/>
        <a:p>
          <a:r>
            <a:rPr lang="en-IN"/>
            <a:t>Raw Material</a:t>
          </a:r>
        </a:p>
      </dgm:t>
      <dgm:extLst>
        <a:ext uri="{E40237B7-FDA0-4F09-8148-C483321AD2D9}">
          <dgm14:cNvPr xmlns:dgm14="http://schemas.microsoft.com/office/drawing/2010/diagram" id="0" name="">
            <a:hlinkClick xmlns:r="http://schemas.openxmlformats.org/officeDocument/2006/relationships" r:id="rId4"/>
          </dgm14:cNvPr>
        </a:ext>
      </dgm:extLst>
    </dgm:pt>
    <dgm:pt modelId="{DACF350D-94A4-42C2-991E-49A6D5410C66}" type="sibTrans" cxnId="{FC13F961-3BD7-406C-84FA-429C2E6F9390}">
      <dgm:prSet/>
      <dgm:spPr/>
      <dgm:t>
        <a:bodyPr/>
        <a:lstStyle/>
        <a:p>
          <a:endParaRPr lang="en-IN"/>
        </a:p>
      </dgm:t>
    </dgm:pt>
    <dgm:pt modelId="{E7C8C2EA-0A59-4598-BA52-04FDD506195B}" type="parTrans" cxnId="{FC13F961-3BD7-406C-84FA-429C2E6F9390}">
      <dgm:prSet/>
      <dgm:spPr/>
      <dgm:t>
        <a:bodyPr/>
        <a:lstStyle/>
        <a:p>
          <a:endParaRPr lang="en-IN"/>
        </a:p>
      </dgm:t>
    </dgm:pt>
    <dgm:pt modelId="{AFFE5BB0-F1E4-4602-A94D-2CDADD5FFB8A}">
      <dgm:prSet phldrT="[Text]"/>
      <dgm:spPr>
        <a:solidFill>
          <a:schemeClr val="accent1">
            <a:hueOff val="0"/>
            <a:satOff val="0"/>
            <a:lumOff val="0"/>
          </a:schemeClr>
        </a:solidFill>
        <a:scene3d>
          <a:camera prst="orthographicFront"/>
          <a:lightRig rig="soft" dir="t"/>
        </a:scene3d>
        <a:sp3d prstMaterial="powder"/>
      </dgm:spPr>
      <dgm:t>
        <a:bodyPr/>
        <a:lstStyle/>
        <a:p>
          <a:r>
            <a:rPr lang="en-IN"/>
            <a:t>Summary</a:t>
          </a:r>
        </a:p>
      </dgm:t>
      <dgm:extLst>
        <a:ext uri="{E40237B7-FDA0-4F09-8148-C483321AD2D9}">
          <dgm14:cNvPr xmlns:dgm14="http://schemas.microsoft.com/office/drawing/2010/diagram" id="0" name="">
            <a:hlinkClick xmlns:r="http://schemas.openxmlformats.org/officeDocument/2006/relationships" r:id="rId5"/>
          </dgm14:cNvPr>
        </a:ext>
      </dgm:extLst>
    </dgm:pt>
    <dgm:pt modelId="{70737207-503F-4C40-9B33-FA4B07AE5868}" type="parTrans" cxnId="{412848AE-0BC4-4A57-83BB-84D81F145B60}">
      <dgm:prSet/>
      <dgm:spPr/>
      <dgm:t>
        <a:bodyPr/>
        <a:lstStyle/>
        <a:p>
          <a:endParaRPr lang="en-IN"/>
        </a:p>
      </dgm:t>
    </dgm:pt>
    <dgm:pt modelId="{C958434A-F7C8-4362-AD44-69069D716AC5}" type="sibTrans" cxnId="{412848AE-0BC4-4A57-83BB-84D81F145B60}">
      <dgm:prSet/>
      <dgm:spPr/>
      <dgm:t>
        <a:bodyPr/>
        <a:lstStyle/>
        <a:p>
          <a:endParaRPr lang="en-IN"/>
        </a:p>
      </dgm:t>
    </dgm:pt>
    <dgm:pt modelId="{C4DF8428-8F21-4FBC-82C3-7F625D22BF34}">
      <dgm:prSet phldrT="[Text]"/>
      <dgm:spPr>
        <a:solidFill>
          <a:schemeClr val="accent1">
            <a:hueOff val="0"/>
            <a:satOff val="0"/>
            <a:lumOff val="0"/>
          </a:schemeClr>
        </a:solidFill>
        <a:scene3d>
          <a:camera prst="orthographicFront"/>
          <a:lightRig rig="soft" dir="t"/>
        </a:scene3d>
        <a:sp3d prstMaterial="powder"/>
      </dgm:spPr>
      <dgm:t>
        <a:bodyPr/>
        <a:lstStyle/>
        <a:p>
          <a:r>
            <a:rPr lang="en-IN"/>
            <a:t>Profit &amp; Loss</a:t>
          </a:r>
        </a:p>
      </dgm:t>
      <dgm:extLst>
        <a:ext uri="{E40237B7-FDA0-4F09-8148-C483321AD2D9}">
          <dgm14:cNvPr xmlns:dgm14="http://schemas.microsoft.com/office/drawing/2010/diagram" id="0" name="">
            <a:hlinkClick xmlns:r="http://schemas.openxmlformats.org/officeDocument/2006/relationships" r:id="rId6"/>
          </dgm14:cNvPr>
        </a:ext>
      </dgm:extLst>
    </dgm:pt>
    <dgm:pt modelId="{00A375A9-DBBB-451E-8012-4571302C035E}" type="parTrans" cxnId="{759ADA89-A073-4E8D-A6B2-EB19791AC3C8}">
      <dgm:prSet/>
      <dgm:spPr/>
      <dgm:t>
        <a:bodyPr/>
        <a:lstStyle/>
        <a:p>
          <a:endParaRPr lang="en-IN"/>
        </a:p>
      </dgm:t>
    </dgm:pt>
    <dgm:pt modelId="{FB4C2D17-3E83-450C-A0D9-3507DA4A7ABD}" type="sibTrans" cxnId="{759ADA89-A073-4E8D-A6B2-EB19791AC3C8}">
      <dgm:prSet/>
      <dgm:spPr/>
      <dgm:t>
        <a:bodyPr/>
        <a:lstStyle/>
        <a:p>
          <a:endParaRPr lang="en-IN"/>
        </a:p>
      </dgm:t>
    </dgm:pt>
    <dgm:pt modelId="{D9772EA6-6FB8-404A-918F-E848F235DB9A}">
      <dgm:prSet phldrT="[Text]"/>
      <dgm:spPr>
        <a:solidFill>
          <a:schemeClr val="accent1">
            <a:hueOff val="0"/>
            <a:satOff val="0"/>
            <a:lumOff val="0"/>
          </a:schemeClr>
        </a:solidFill>
        <a:scene3d>
          <a:camera prst="orthographicFront"/>
          <a:lightRig rig="soft" dir="t"/>
        </a:scene3d>
        <a:sp3d prstMaterial="powder"/>
      </dgm:spPr>
      <dgm:t>
        <a:bodyPr/>
        <a:lstStyle/>
        <a:p>
          <a:r>
            <a:rPr lang="en-IN"/>
            <a:t>May</a:t>
          </a:r>
        </a:p>
      </dgm:t>
      <dgm:extLst>
        <a:ext uri="{E40237B7-FDA0-4F09-8148-C483321AD2D9}">
          <dgm14:cNvPr xmlns:dgm14="http://schemas.microsoft.com/office/drawing/2010/diagram" id="0" name="">
            <a:hlinkClick xmlns:r="http://schemas.openxmlformats.org/officeDocument/2006/relationships" r:id="rId7"/>
          </dgm14:cNvPr>
        </a:ext>
      </dgm:extLst>
    </dgm:pt>
    <dgm:pt modelId="{06CA5EE9-3720-4344-9D4B-23687AEA0E3A}" type="parTrans" cxnId="{5B7F4416-7C44-43C7-90FA-198CA079B7F3}">
      <dgm:prSet/>
      <dgm:spPr/>
      <dgm:t>
        <a:bodyPr/>
        <a:lstStyle/>
        <a:p>
          <a:endParaRPr lang="en-IN"/>
        </a:p>
      </dgm:t>
    </dgm:pt>
    <dgm:pt modelId="{70E43812-5942-46B8-BCE6-BB7DA5035D10}" type="sibTrans" cxnId="{5B7F4416-7C44-43C7-90FA-198CA079B7F3}">
      <dgm:prSet/>
      <dgm:spPr/>
      <dgm:t>
        <a:bodyPr/>
        <a:lstStyle/>
        <a:p>
          <a:endParaRPr lang="en-IN"/>
        </a:p>
      </dgm:t>
    </dgm:pt>
    <dgm:pt modelId="{A9FC6C54-6DF1-4365-86FD-26E8AA75CDD0}">
      <dgm:prSet phldrT="[Text]"/>
      <dgm:spPr>
        <a:solidFill>
          <a:schemeClr val="accent1">
            <a:hueOff val="0"/>
            <a:satOff val="0"/>
            <a:lumOff val="0"/>
          </a:schemeClr>
        </a:solidFill>
        <a:scene3d>
          <a:camera prst="orthographicFront"/>
          <a:lightRig rig="soft" dir="t"/>
        </a:scene3d>
        <a:sp3d prstMaterial="powder"/>
      </dgm:spPr>
      <dgm:t>
        <a:bodyPr/>
        <a:lstStyle/>
        <a:p>
          <a:r>
            <a:rPr lang="en-IN"/>
            <a:t>September</a:t>
          </a:r>
        </a:p>
      </dgm:t>
      <dgm:extLst>
        <a:ext uri="{E40237B7-FDA0-4F09-8148-C483321AD2D9}">
          <dgm14:cNvPr xmlns:dgm14="http://schemas.microsoft.com/office/drawing/2010/diagram" id="0" name="">
            <a:hlinkClick xmlns:r="http://schemas.openxmlformats.org/officeDocument/2006/relationships" r:id="rId8"/>
          </dgm14:cNvPr>
        </a:ext>
      </dgm:extLst>
    </dgm:pt>
    <dgm:pt modelId="{8F788526-94B5-482D-ABB8-645987F7D55C}" type="parTrans" cxnId="{5528F931-9FD1-4D59-9809-1898CFB616CB}">
      <dgm:prSet/>
      <dgm:spPr/>
      <dgm:t>
        <a:bodyPr/>
        <a:lstStyle/>
        <a:p>
          <a:endParaRPr lang="en-IN"/>
        </a:p>
      </dgm:t>
    </dgm:pt>
    <dgm:pt modelId="{6D66200F-ADF2-420B-BC8A-C915FF00F5F3}" type="sibTrans" cxnId="{5528F931-9FD1-4D59-9809-1898CFB616CB}">
      <dgm:prSet/>
      <dgm:spPr/>
      <dgm:t>
        <a:bodyPr/>
        <a:lstStyle/>
        <a:p>
          <a:endParaRPr lang="en-IN"/>
        </a:p>
      </dgm:t>
    </dgm:pt>
    <dgm:pt modelId="{2B2EE24A-7152-466A-8E78-8B060C753392}" type="pres">
      <dgm:prSet presAssocID="{2711E4AD-827A-4D78-9B2D-4A1800975C10}" presName="diagram" presStyleCnt="0">
        <dgm:presLayoutVars>
          <dgm:dir/>
          <dgm:resizeHandles val="exact"/>
        </dgm:presLayoutVars>
      </dgm:prSet>
      <dgm:spPr/>
      <dgm:t>
        <a:bodyPr/>
        <a:lstStyle/>
        <a:p>
          <a:endParaRPr lang="en-IN"/>
        </a:p>
      </dgm:t>
    </dgm:pt>
    <dgm:pt modelId="{6D1B3BF0-165D-40CC-A5FF-04F9C387258A}" type="pres">
      <dgm:prSet presAssocID="{2879C7DD-3B65-4A82-BDF3-F7AC1F03867E}" presName="node" presStyleLbl="node1" presStyleIdx="0" presStyleCnt="8">
        <dgm:presLayoutVars>
          <dgm:bulletEnabled val="1"/>
        </dgm:presLayoutVars>
      </dgm:prSet>
      <dgm:spPr/>
      <dgm:t>
        <a:bodyPr/>
        <a:lstStyle/>
        <a:p>
          <a:endParaRPr lang="en-IN"/>
        </a:p>
      </dgm:t>
    </dgm:pt>
    <dgm:pt modelId="{1F9176AC-C4FB-4EFA-8BD9-4CC360EA8DEF}" type="pres">
      <dgm:prSet presAssocID="{DACF350D-94A4-42C2-991E-49A6D5410C66}" presName="sibTrans" presStyleCnt="0"/>
      <dgm:spPr/>
    </dgm:pt>
    <dgm:pt modelId="{EA974591-FBA7-4089-B740-BE77DFBF3CF2}" type="pres">
      <dgm:prSet presAssocID="{AFFE5BB0-F1E4-4602-A94D-2CDADD5FFB8A}" presName="node" presStyleLbl="node1" presStyleIdx="1" presStyleCnt="8">
        <dgm:presLayoutVars>
          <dgm:bulletEnabled val="1"/>
        </dgm:presLayoutVars>
      </dgm:prSet>
      <dgm:spPr/>
      <dgm:t>
        <a:bodyPr/>
        <a:lstStyle/>
        <a:p>
          <a:endParaRPr lang="en-IN"/>
        </a:p>
      </dgm:t>
    </dgm:pt>
    <dgm:pt modelId="{38792DFB-7C93-4676-B2AD-DC8164670238}" type="pres">
      <dgm:prSet presAssocID="{C958434A-F7C8-4362-AD44-69069D716AC5}" presName="sibTrans" presStyleCnt="0"/>
      <dgm:spPr/>
    </dgm:pt>
    <dgm:pt modelId="{4D53D173-00D4-4695-86F0-58BFEA80932D}" type="pres">
      <dgm:prSet presAssocID="{C4DF8428-8F21-4FBC-82C3-7F625D22BF34}" presName="node" presStyleLbl="node1" presStyleIdx="2" presStyleCnt="8">
        <dgm:presLayoutVars>
          <dgm:bulletEnabled val="1"/>
        </dgm:presLayoutVars>
      </dgm:prSet>
      <dgm:spPr/>
      <dgm:t>
        <a:bodyPr/>
        <a:lstStyle/>
        <a:p>
          <a:endParaRPr lang="en-IN"/>
        </a:p>
      </dgm:t>
    </dgm:pt>
    <dgm:pt modelId="{1C0E27ED-28F3-44C5-B24E-60077ACD1DAC}" type="pres">
      <dgm:prSet presAssocID="{FB4C2D17-3E83-450C-A0D9-3507DA4A7ABD}" presName="sibTrans" presStyleCnt="0"/>
      <dgm:spPr/>
    </dgm:pt>
    <dgm:pt modelId="{3034C728-9FF4-4192-AE66-9A773AD998F1}" type="pres">
      <dgm:prSet presAssocID="{D9772EA6-6FB8-404A-918F-E848F235DB9A}" presName="node" presStyleLbl="node1" presStyleIdx="3" presStyleCnt="8">
        <dgm:presLayoutVars>
          <dgm:bulletEnabled val="1"/>
        </dgm:presLayoutVars>
      </dgm:prSet>
      <dgm:spPr/>
      <dgm:t>
        <a:bodyPr/>
        <a:lstStyle/>
        <a:p>
          <a:endParaRPr lang="en-IN"/>
        </a:p>
      </dgm:t>
    </dgm:pt>
    <dgm:pt modelId="{DAB38D43-4A4E-4B63-A755-2E1729DAFDC0}" type="pres">
      <dgm:prSet presAssocID="{70E43812-5942-46B8-BCE6-BB7DA5035D10}" presName="sibTrans" presStyleCnt="0"/>
      <dgm:spPr/>
    </dgm:pt>
    <dgm:pt modelId="{3247C7A4-193C-434A-9540-E7E5453E7BD8}" type="pres">
      <dgm:prSet presAssocID="{559B6C5F-7ED4-4762-B40E-3B93429F3991}" presName="node" presStyleLbl="node1" presStyleIdx="4" presStyleCnt="8">
        <dgm:presLayoutVars>
          <dgm:bulletEnabled val="1"/>
        </dgm:presLayoutVars>
      </dgm:prSet>
      <dgm:spPr/>
      <dgm:t>
        <a:bodyPr/>
        <a:lstStyle/>
        <a:p>
          <a:endParaRPr lang="en-IN"/>
        </a:p>
      </dgm:t>
    </dgm:pt>
    <dgm:pt modelId="{60EAB671-DE4F-4893-B492-EDB2914C5157}" type="pres">
      <dgm:prSet presAssocID="{15F7DDAE-576B-4892-B879-D4A705C3B3E2}" presName="sibTrans" presStyleCnt="0"/>
      <dgm:spPr/>
    </dgm:pt>
    <dgm:pt modelId="{CF2C0832-3061-4627-BBE8-53B7F15A35C2}" type="pres">
      <dgm:prSet presAssocID="{66BE7AEB-9C75-49EC-BADC-89922153EC73}" presName="node" presStyleLbl="node1" presStyleIdx="5" presStyleCnt="8">
        <dgm:presLayoutVars>
          <dgm:bulletEnabled val="1"/>
        </dgm:presLayoutVars>
      </dgm:prSet>
      <dgm:spPr/>
      <dgm:t>
        <a:bodyPr/>
        <a:lstStyle/>
        <a:p>
          <a:endParaRPr lang="en-IN"/>
        </a:p>
      </dgm:t>
    </dgm:pt>
    <dgm:pt modelId="{531604E2-F4CD-491E-9D9C-34F65F7BDC64}" type="pres">
      <dgm:prSet presAssocID="{625B673E-3213-494D-AF6D-68A3713BDC7D}" presName="sibTrans" presStyleCnt="0"/>
      <dgm:spPr/>
    </dgm:pt>
    <dgm:pt modelId="{DD471FD8-25B7-4544-8752-03031A9EF2FD}" type="pres">
      <dgm:prSet presAssocID="{A7CBC1EB-1B18-4679-A48A-860BD08B8131}" presName="node" presStyleLbl="node1" presStyleIdx="6" presStyleCnt="8">
        <dgm:presLayoutVars>
          <dgm:bulletEnabled val="1"/>
        </dgm:presLayoutVars>
      </dgm:prSet>
      <dgm:spPr/>
      <dgm:t>
        <a:bodyPr/>
        <a:lstStyle/>
        <a:p>
          <a:endParaRPr lang="en-IN"/>
        </a:p>
      </dgm:t>
    </dgm:pt>
    <dgm:pt modelId="{AF240B77-1141-4DD0-A3A0-1DEAF7C1FCC3}" type="pres">
      <dgm:prSet presAssocID="{98E8C7A8-5F59-4290-A823-D8EAB452374C}" presName="sibTrans" presStyleCnt="0"/>
      <dgm:spPr/>
    </dgm:pt>
    <dgm:pt modelId="{CD892D52-1F11-453A-A8AA-94D81A785032}" type="pres">
      <dgm:prSet presAssocID="{A9FC6C54-6DF1-4365-86FD-26E8AA75CDD0}" presName="node" presStyleLbl="node1" presStyleIdx="7" presStyleCnt="8">
        <dgm:presLayoutVars>
          <dgm:bulletEnabled val="1"/>
        </dgm:presLayoutVars>
      </dgm:prSet>
      <dgm:spPr/>
      <dgm:t>
        <a:bodyPr/>
        <a:lstStyle/>
        <a:p>
          <a:endParaRPr lang="en-IN"/>
        </a:p>
      </dgm:t>
    </dgm:pt>
  </dgm:ptLst>
  <dgm:cxnLst>
    <dgm:cxn modelId="{3F81C19F-344F-4476-9124-32460ED1A229}" type="presOf" srcId="{2711E4AD-827A-4D78-9B2D-4A1800975C10}" destId="{2B2EE24A-7152-466A-8E78-8B060C753392}" srcOrd="0" destOrd="0" presId="urn:microsoft.com/office/officeart/2005/8/layout/default"/>
    <dgm:cxn modelId="{10D5F214-9116-4DB8-8C70-236E8FC3B212}" srcId="{2711E4AD-827A-4D78-9B2D-4A1800975C10}" destId="{559B6C5F-7ED4-4762-B40E-3B93429F3991}" srcOrd="4" destOrd="0" parTransId="{5D4DB97C-F8EB-43A2-A165-E1C9B36E7C4E}" sibTransId="{15F7DDAE-576B-4892-B879-D4A705C3B3E2}"/>
    <dgm:cxn modelId="{5B7F4416-7C44-43C7-90FA-198CA079B7F3}" srcId="{2711E4AD-827A-4D78-9B2D-4A1800975C10}" destId="{D9772EA6-6FB8-404A-918F-E848F235DB9A}" srcOrd="3" destOrd="0" parTransId="{06CA5EE9-3720-4344-9D4B-23687AEA0E3A}" sibTransId="{70E43812-5942-46B8-BCE6-BB7DA5035D10}"/>
    <dgm:cxn modelId="{6EDFA2C1-C425-4AF6-BC85-1A2AC20697AD}" type="presOf" srcId="{AFFE5BB0-F1E4-4602-A94D-2CDADD5FFB8A}" destId="{EA974591-FBA7-4089-B740-BE77DFBF3CF2}" srcOrd="0" destOrd="0" presId="urn:microsoft.com/office/officeart/2005/8/layout/default"/>
    <dgm:cxn modelId="{8AADBBF1-3D25-4F45-8AE5-8E31524298FD}" type="presOf" srcId="{D9772EA6-6FB8-404A-918F-E848F235DB9A}" destId="{3034C728-9FF4-4192-AE66-9A773AD998F1}" srcOrd="0" destOrd="0" presId="urn:microsoft.com/office/officeart/2005/8/layout/default"/>
    <dgm:cxn modelId="{412848AE-0BC4-4A57-83BB-84D81F145B60}" srcId="{2711E4AD-827A-4D78-9B2D-4A1800975C10}" destId="{AFFE5BB0-F1E4-4602-A94D-2CDADD5FFB8A}" srcOrd="1" destOrd="0" parTransId="{70737207-503F-4C40-9B33-FA4B07AE5868}" sibTransId="{C958434A-F7C8-4362-AD44-69069D716AC5}"/>
    <dgm:cxn modelId="{F5ED8FC3-CB7C-4476-8283-24D4CE1ABD51}" type="presOf" srcId="{2879C7DD-3B65-4A82-BDF3-F7AC1F03867E}" destId="{6D1B3BF0-165D-40CC-A5FF-04F9C387258A}" srcOrd="0" destOrd="0" presId="urn:microsoft.com/office/officeart/2005/8/layout/default"/>
    <dgm:cxn modelId="{E83C684F-EDDB-409A-9B63-6F3786A8DF76}" type="presOf" srcId="{66BE7AEB-9C75-49EC-BADC-89922153EC73}" destId="{CF2C0832-3061-4627-BBE8-53B7F15A35C2}" srcOrd="0" destOrd="0" presId="urn:microsoft.com/office/officeart/2005/8/layout/default"/>
    <dgm:cxn modelId="{5528F931-9FD1-4D59-9809-1898CFB616CB}" srcId="{2711E4AD-827A-4D78-9B2D-4A1800975C10}" destId="{A9FC6C54-6DF1-4365-86FD-26E8AA75CDD0}" srcOrd="7" destOrd="0" parTransId="{8F788526-94B5-482D-ABB8-645987F7D55C}" sibTransId="{6D66200F-ADF2-420B-BC8A-C915FF00F5F3}"/>
    <dgm:cxn modelId="{FC13F961-3BD7-406C-84FA-429C2E6F9390}" srcId="{2711E4AD-827A-4D78-9B2D-4A1800975C10}" destId="{2879C7DD-3B65-4A82-BDF3-F7AC1F03867E}" srcOrd="0" destOrd="0" parTransId="{E7C8C2EA-0A59-4598-BA52-04FDD506195B}" sibTransId="{DACF350D-94A4-42C2-991E-49A6D5410C66}"/>
    <dgm:cxn modelId="{2B4DC396-69DE-4BE7-BA43-6B2732E7C530}" srcId="{2711E4AD-827A-4D78-9B2D-4A1800975C10}" destId="{66BE7AEB-9C75-49EC-BADC-89922153EC73}" srcOrd="5" destOrd="0" parTransId="{38D72418-B9FF-48BB-ACCC-9149DD6DF291}" sibTransId="{625B673E-3213-494D-AF6D-68A3713BDC7D}"/>
    <dgm:cxn modelId="{759ADA89-A073-4E8D-A6B2-EB19791AC3C8}" srcId="{2711E4AD-827A-4D78-9B2D-4A1800975C10}" destId="{C4DF8428-8F21-4FBC-82C3-7F625D22BF34}" srcOrd="2" destOrd="0" parTransId="{00A375A9-DBBB-451E-8012-4571302C035E}" sibTransId="{FB4C2D17-3E83-450C-A0D9-3507DA4A7ABD}"/>
    <dgm:cxn modelId="{6258E99A-A1E3-4ABD-954C-C4C942061400}" type="presOf" srcId="{A7CBC1EB-1B18-4679-A48A-860BD08B8131}" destId="{DD471FD8-25B7-4544-8752-03031A9EF2FD}" srcOrd="0" destOrd="0" presId="urn:microsoft.com/office/officeart/2005/8/layout/default"/>
    <dgm:cxn modelId="{41EA1787-2425-4A78-870D-7E6FDAA82D60}" type="presOf" srcId="{C4DF8428-8F21-4FBC-82C3-7F625D22BF34}" destId="{4D53D173-00D4-4695-86F0-58BFEA80932D}" srcOrd="0" destOrd="0" presId="urn:microsoft.com/office/officeart/2005/8/layout/default"/>
    <dgm:cxn modelId="{FD769F66-B0D5-4FA0-A80F-2ABE35F20C08}" type="presOf" srcId="{559B6C5F-7ED4-4762-B40E-3B93429F3991}" destId="{3247C7A4-193C-434A-9540-E7E5453E7BD8}" srcOrd="0" destOrd="0" presId="urn:microsoft.com/office/officeart/2005/8/layout/default"/>
    <dgm:cxn modelId="{3AB7DE82-3F3B-4A72-997C-782FF5FE3AF8}" type="presOf" srcId="{A9FC6C54-6DF1-4365-86FD-26E8AA75CDD0}" destId="{CD892D52-1F11-453A-A8AA-94D81A785032}" srcOrd="0" destOrd="0" presId="urn:microsoft.com/office/officeart/2005/8/layout/default"/>
    <dgm:cxn modelId="{9409169F-42B8-4263-832B-5337BC6D80D5}" srcId="{2711E4AD-827A-4D78-9B2D-4A1800975C10}" destId="{A7CBC1EB-1B18-4679-A48A-860BD08B8131}" srcOrd="6" destOrd="0" parTransId="{EC5EE958-971F-4AE8-9055-E997D4060D5F}" sibTransId="{98E8C7A8-5F59-4290-A823-D8EAB452374C}"/>
    <dgm:cxn modelId="{3483A38C-F59E-41AE-BE9C-2382F3202E22}" type="presParOf" srcId="{2B2EE24A-7152-466A-8E78-8B060C753392}" destId="{6D1B3BF0-165D-40CC-A5FF-04F9C387258A}" srcOrd="0" destOrd="0" presId="urn:microsoft.com/office/officeart/2005/8/layout/default"/>
    <dgm:cxn modelId="{5E0E472B-220F-4B3B-82A8-622CAB37D73D}" type="presParOf" srcId="{2B2EE24A-7152-466A-8E78-8B060C753392}" destId="{1F9176AC-C4FB-4EFA-8BD9-4CC360EA8DEF}" srcOrd="1" destOrd="0" presId="urn:microsoft.com/office/officeart/2005/8/layout/default"/>
    <dgm:cxn modelId="{213A0124-0FA7-4713-B1A8-A687759269FE}" type="presParOf" srcId="{2B2EE24A-7152-466A-8E78-8B060C753392}" destId="{EA974591-FBA7-4089-B740-BE77DFBF3CF2}" srcOrd="2" destOrd="0" presId="urn:microsoft.com/office/officeart/2005/8/layout/default"/>
    <dgm:cxn modelId="{86074352-2125-4C09-8B14-E3F5907EA0BB}" type="presParOf" srcId="{2B2EE24A-7152-466A-8E78-8B060C753392}" destId="{38792DFB-7C93-4676-B2AD-DC8164670238}" srcOrd="3" destOrd="0" presId="urn:microsoft.com/office/officeart/2005/8/layout/default"/>
    <dgm:cxn modelId="{9DC48D0B-CFF3-4954-8E67-55C3508E7CD5}" type="presParOf" srcId="{2B2EE24A-7152-466A-8E78-8B060C753392}" destId="{4D53D173-00D4-4695-86F0-58BFEA80932D}" srcOrd="4" destOrd="0" presId="urn:microsoft.com/office/officeart/2005/8/layout/default"/>
    <dgm:cxn modelId="{560AB6E6-BFCD-44AD-A0BE-BD6E28DDA471}" type="presParOf" srcId="{2B2EE24A-7152-466A-8E78-8B060C753392}" destId="{1C0E27ED-28F3-44C5-B24E-60077ACD1DAC}" srcOrd="5" destOrd="0" presId="urn:microsoft.com/office/officeart/2005/8/layout/default"/>
    <dgm:cxn modelId="{44675A3D-EAE0-4D83-97AA-5B8A52CAE518}" type="presParOf" srcId="{2B2EE24A-7152-466A-8E78-8B060C753392}" destId="{3034C728-9FF4-4192-AE66-9A773AD998F1}" srcOrd="6" destOrd="0" presId="urn:microsoft.com/office/officeart/2005/8/layout/default"/>
    <dgm:cxn modelId="{50A3DCA8-17E3-4F65-A2FE-5BE7C9C7A6CE}" type="presParOf" srcId="{2B2EE24A-7152-466A-8E78-8B060C753392}" destId="{DAB38D43-4A4E-4B63-A755-2E1729DAFDC0}" srcOrd="7" destOrd="0" presId="urn:microsoft.com/office/officeart/2005/8/layout/default"/>
    <dgm:cxn modelId="{273AE023-5BCB-48DC-B4EA-AFC437691225}" type="presParOf" srcId="{2B2EE24A-7152-466A-8E78-8B060C753392}" destId="{3247C7A4-193C-434A-9540-E7E5453E7BD8}" srcOrd="8" destOrd="0" presId="urn:microsoft.com/office/officeart/2005/8/layout/default"/>
    <dgm:cxn modelId="{C8589A51-0D3D-495C-BB40-B2F1841E3DE9}" type="presParOf" srcId="{2B2EE24A-7152-466A-8E78-8B060C753392}" destId="{60EAB671-DE4F-4893-B492-EDB2914C5157}" srcOrd="9" destOrd="0" presId="urn:microsoft.com/office/officeart/2005/8/layout/default"/>
    <dgm:cxn modelId="{691DC41A-A99A-4DE4-9D48-EAAF273D979E}" type="presParOf" srcId="{2B2EE24A-7152-466A-8E78-8B060C753392}" destId="{CF2C0832-3061-4627-BBE8-53B7F15A35C2}" srcOrd="10" destOrd="0" presId="urn:microsoft.com/office/officeart/2005/8/layout/default"/>
    <dgm:cxn modelId="{8D0F0313-376E-425B-8958-03D413734A13}" type="presParOf" srcId="{2B2EE24A-7152-466A-8E78-8B060C753392}" destId="{531604E2-F4CD-491E-9D9C-34F65F7BDC64}" srcOrd="11" destOrd="0" presId="urn:microsoft.com/office/officeart/2005/8/layout/default"/>
    <dgm:cxn modelId="{5F43777B-13DA-44D9-AB62-68038CED6685}" type="presParOf" srcId="{2B2EE24A-7152-466A-8E78-8B060C753392}" destId="{DD471FD8-25B7-4544-8752-03031A9EF2FD}" srcOrd="12" destOrd="0" presId="urn:microsoft.com/office/officeart/2005/8/layout/default"/>
    <dgm:cxn modelId="{D337E280-2A41-4B87-B851-BCCE26615646}" type="presParOf" srcId="{2B2EE24A-7152-466A-8E78-8B060C753392}" destId="{AF240B77-1141-4DD0-A3A0-1DEAF7C1FCC3}" srcOrd="13" destOrd="0" presId="urn:microsoft.com/office/officeart/2005/8/layout/default"/>
    <dgm:cxn modelId="{928D72C0-3A8E-4F61-A639-BF300C5BE756}" type="presParOf" srcId="{2B2EE24A-7152-466A-8E78-8B060C753392}" destId="{CD892D52-1F11-453A-A8AA-94D81A785032}" srcOrd="14" destOrd="0" presId="urn:microsoft.com/office/officeart/2005/8/layout/default"/>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6.xml><?xml version="1.0" encoding="utf-8"?>
<dgm:dataModel xmlns:dgm="http://schemas.openxmlformats.org/drawingml/2006/diagram" xmlns:a="http://schemas.openxmlformats.org/drawingml/2006/main">
  <dgm:ptLst>
    <dgm:pt modelId="{2711E4AD-827A-4D78-9B2D-4A1800975C10}" type="doc">
      <dgm:prSet loTypeId="urn:microsoft.com/office/officeart/2005/8/layout/default" loCatId="list" qsTypeId="urn:microsoft.com/office/officeart/2005/8/quickstyle/simple1" qsCatId="simple" csTypeId="urn:microsoft.com/office/officeart/2005/8/colors/accent1_2" csCatId="accent1" phldr="1"/>
      <dgm:spPr/>
      <dgm:t>
        <a:bodyPr/>
        <a:lstStyle/>
        <a:p>
          <a:endParaRPr lang="en-IN"/>
        </a:p>
      </dgm:t>
    </dgm:pt>
    <dgm:pt modelId="{A7CBC1EB-1B18-4679-A48A-860BD08B8131}">
      <dgm:prSet phldrT="[Text]"/>
      <dgm:spPr>
        <a:solidFill>
          <a:schemeClr val="accent1">
            <a:hueOff val="0"/>
            <a:satOff val="0"/>
            <a:lumOff val="0"/>
          </a:schemeClr>
        </a:solidFill>
        <a:scene3d>
          <a:camera prst="orthographicFront"/>
          <a:lightRig rig="soft" dir="t"/>
        </a:scene3d>
        <a:sp3d prstMaterial="powder"/>
      </dgm:spPr>
      <dgm:t>
        <a:bodyPr/>
        <a:lstStyle/>
        <a:p>
          <a:r>
            <a:rPr lang="en-IN"/>
            <a:t>August</a:t>
          </a:r>
        </a:p>
      </dgm:t>
      <dgm:extLst>
        <a:ext uri="{E40237B7-FDA0-4F09-8148-C483321AD2D9}">
          <dgm14:cNvPr xmlns:dgm14="http://schemas.microsoft.com/office/drawing/2010/diagram" id="0" name="">
            <a:hlinkClick xmlns:r="http://schemas.openxmlformats.org/officeDocument/2006/relationships" r:id="rId1"/>
          </dgm14:cNvPr>
        </a:ext>
      </dgm:extLst>
    </dgm:pt>
    <dgm:pt modelId="{EC5EE958-971F-4AE8-9055-E997D4060D5F}" type="parTrans" cxnId="{9409169F-42B8-4263-832B-5337BC6D80D5}">
      <dgm:prSet/>
      <dgm:spPr/>
      <dgm:t>
        <a:bodyPr/>
        <a:lstStyle/>
        <a:p>
          <a:endParaRPr lang="en-IN"/>
        </a:p>
      </dgm:t>
    </dgm:pt>
    <dgm:pt modelId="{98E8C7A8-5F59-4290-A823-D8EAB452374C}" type="sibTrans" cxnId="{9409169F-42B8-4263-832B-5337BC6D80D5}">
      <dgm:prSet/>
      <dgm:spPr/>
      <dgm:t>
        <a:bodyPr/>
        <a:lstStyle/>
        <a:p>
          <a:endParaRPr lang="en-IN"/>
        </a:p>
      </dgm:t>
    </dgm:pt>
    <dgm:pt modelId="{66BE7AEB-9C75-49EC-BADC-89922153EC73}">
      <dgm:prSet phldrT="[Text]"/>
      <dgm:spPr>
        <a:solidFill>
          <a:schemeClr val="accent1">
            <a:hueOff val="0"/>
            <a:satOff val="0"/>
            <a:lumOff val="0"/>
          </a:schemeClr>
        </a:solidFill>
        <a:scene3d>
          <a:camera prst="orthographicFront"/>
          <a:lightRig rig="soft" dir="t"/>
        </a:scene3d>
        <a:sp3d prstMaterial="powder"/>
      </dgm:spPr>
      <dgm:t>
        <a:bodyPr/>
        <a:lstStyle/>
        <a:p>
          <a:r>
            <a:rPr lang="en-IN"/>
            <a:t>July</a:t>
          </a:r>
        </a:p>
      </dgm:t>
      <dgm:extLst>
        <a:ext uri="{E40237B7-FDA0-4F09-8148-C483321AD2D9}">
          <dgm14:cNvPr xmlns:dgm14="http://schemas.microsoft.com/office/drawing/2010/diagram" id="0" name="">
            <a:hlinkClick xmlns:r="http://schemas.openxmlformats.org/officeDocument/2006/relationships" r:id="rId2"/>
          </dgm14:cNvPr>
        </a:ext>
      </dgm:extLst>
    </dgm:pt>
    <dgm:pt modelId="{38D72418-B9FF-48BB-ACCC-9149DD6DF291}" type="parTrans" cxnId="{2B4DC396-69DE-4BE7-BA43-6B2732E7C530}">
      <dgm:prSet/>
      <dgm:spPr/>
      <dgm:t>
        <a:bodyPr/>
        <a:lstStyle/>
        <a:p>
          <a:endParaRPr lang="en-IN"/>
        </a:p>
      </dgm:t>
    </dgm:pt>
    <dgm:pt modelId="{625B673E-3213-494D-AF6D-68A3713BDC7D}" type="sibTrans" cxnId="{2B4DC396-69DE-4BE7-BA43-6B2732E7C530}">
      <dgm:prSet/>
      <dgm:spPr/>
      <dgm:t>
        <a:bodyPr/>
        <a:lstStyle/>
        <a:p>
          <a:endParaRPr lang="en-IN"/>
        </a:p>
      </dgm:t>
    </dgm:pt>
    <dgm:pt modelId="{559B6C5F-7ED4-4762-B40E-3B93429F3991}">
      <dgm:prSet phldrT="[Text]"/>
      <dgm:spPr>
        <a:solidFill>
          <a:schemeClr val="accent1">
            <a:hueOff val="0"/>
            <a:satOff val="0"/>
            <a:lumOff val="0"/>
          </a:schemeClr>
        </a:solidFill>
        <a:scene3d>
          <a:camera prst="orthographicFront"/>
          <a:lightRig rig="soft" dir="t"/>
        </a:scene3d>
        <a:sp3d prstMaterial="powder"/>
      </dgm:spPr>
      <dgm:t>
        <a:bodyPr/>
        <a:lstStyle/>
        <a:p>
          <a:r>
            <a:rPr lang="en-IN"/>
            <a:t>June</a:t>
          </a:r>
        </a:p>
      </dgm:t>
      <dgm:extLst>
        <a:ext uri="{E40237B7-FDA0-4F09-8148-C483321AD2D9}">
          <dgm14:cNvPr xmlns:dgm14="http://schemas.microsoft.com/office/drawing/2010/diagram" id="0" name="">
            <a:hlinkClick xmlns:r="http://schemas.openxmlformats.org/officeDocument/2006/relationships" r:id="rId3"/>
          </dgm14:cNvPr>
        </a:ext>
      </dgm:extLst>
    </dgm:pt>
    <dgm:pt modelId="{5D4DB97C-F8EB-43A2-A165-E1C9B36E7C4E}" type="parTrans" cxnId="{10D5F214-9116-4DB8-8C70-236E8FC3B212}">
      <dgm:prSet/>
      <dgm:spPr/>
      <dgm:t>
        <a:bodyPr/>
        <a:lstStyle/>
        <a:p>
          <a:endParaRPr lang="en-IN"/>
        </a:p>
      </dgm:t>
    </dgm:pt>
    <dgm:pt modelId="{15F7DDAE-576B-4892-B879-D4A705C3B3E2}" type="sibTrans" cxnId="{10D5F214-9116-4DB8-8C70-236E8FC3B212}">
      <dgm:prSet/>
      <dgm:spPr/>
      <dgm:t>
        <a:bodyPr/>
        <a:lstStyle/>
        <a:p>
          <a:endParaRPr lang="en-IN"/>
        </a:p>
      </dgm:t>
    </dgm:pt>
    <dgm:pt modelId="{2879C7DD-3B65-4A82-BDF3-F7AC1F03867E}">
      <dgm:prSet phldrT="[Text]"/>
      <dgm:spPr>
        <a:solidFill>
          <a:schemeClr val="accent1">
            <a:hueOff val="0"/>
            <a:satOff val="0"/>
            <a:lumOff val="0"/>
          </a:schemeClr>
        </a:solidFill>
        <a:scene3d>
          <a:camera prst="orthographicFront"/>
          <a:lightRig rig="soft" dir="t"/>
        </a:scene3d>
        <a:sp3d prstMaterial="powder"/>
      </dgm:spPr>
      <dgm:t>
        <a:bodyPr/>
        <a:lstStyle/>
        <a:p>
          <a:r>
            <a:rPr lang="en-IN"/>
            <a:t>Raw Material</a:t>
          </a:r>
        </a:p>
      </dgm:t>
      <dgm:extLst>
        <a:ext uri="{E40237B7-FDA0-4F09-8148-C483321AD2D9}">
          <dgm14:cNvPr xmlns:dgm14="http://schemas.microsoft.com/office/drawing/2010/diagram" id="0" name="">
            <a:hlinkClick xmlns:r="http://schemas.openxmlformats.org/officeDocument/2006/relationships" r:id="rId4"/>
          </dgm14:cNvPr>
        </a:ext>
      </dgm:extLst>
    </dgm:pt>
    <dgm:pt modelId="{DACF350D-94A4-42C2-991E-49A6D5410C66}" type="sibTrans" cxnId="{FC13F961-3BD7-406C-84FA-429C2E6F9390}">
      <dgm:prSet/>
      <dgm:spPr/>
      <dgm:t>
        <a:bodyPr/>
        <a:lstStyle/>
        <a:p>
          <a:endParaRPr lang="en-IN"/>
        </a:p>
      </dgm:t>
    </dgm:pt>
    <dgm:pt modelId="{E7C8C2EA-0A59-4598-BA52-04FDD506195B}" type="parTrans" cxnId="{FC13F961-3BD7-406C-84FA-429C2E6F9390}">
      <dgm:prSet/>
      <dgm:spPr/>
      <dgm:t>
        <a:bodyPr/>
        <a:lstStyle/>
        <a:p>
          <a:endParaRPr lang="en-IN"/>
        </a:p>
      </dgm:t>
    </dgm:pt>
    <dgm:pt modelId="{AFFE5BB0-F1E4-4602-A94D-2CDADD5FFB8A}">
      <dgm:prSet phldrT="[Text]"/>
      <dgm:spPr>
        <a:solidFill>
          <a:schemeClr val="accent1">
            <a:hueOff val="0"/>
            <a:satOff val="0"/>
            <a:lumOff val="0"/>
          </a:schemeClr>
        </a:solidFill>
        <a:scene3d>
          <a:camera prst="orthographicFront"/>
          <a:lightRig rig="soft" dir="t"/>
        </a:scene3d>
        <a:sp3d prstMaterial="powder"/>
      </dgm:spPr>
      <dgm:t>
        <a:bodyPr/>
        <a:lstStyle/>
        <a:p>
          <a:r>
            <a:rPr lang="en-IN"/>
            <a:t>Summary</a:t>
          </a:r>
        </a:p>
      </dgm:t>
      <dgm:extLst>
        <a:ext uri="{E40237B7-FDA0-4F09-8148-C483321AD2D9}">
          <dgm14:cNvPr xmlns:dgm14="http://schemas.microsoft.com/office/drawing/2010/diagram" id="0" name="">
            <a:hlinkClick xmlns:r="http://schemas.openxmlformats.org/officeDocument/2006/relationships" r:id="rId5"/>
          </dgm14:cNvPr>
        </a:ext>
      </dgm:extLst>
    </dgm:pt>
    <dgm:pt modelId="{70737207-503F-4C40-9B33-FA4B07AE5868}" type="parTrans" cxnId="{412848AE-0BC4-4A57-83BB-84D81F145B60}">
      <dgm:prSet/>
      <dgm:spPr/>
      <dgm:t>
        <a:bodyPr/>
        <a:lstStyle/>
        <a:p>
          <a:endParaRPr lang="en-IN"/>
        </a:p>
      </dgm:t>
    </dgm:pt>
    <dgm:pt modelId="{C958434A-F7C8-4362-AD44-69069D716AC5}" type="sibTrans" cxnId="{412848AE-0BC4-4A57-83BB-84D81F145B60}">
      <dgm:prSet/>
      <dgm:spPr/>
      <dgm:t>
        <a:bodyPr/>
        <a:lstStyle/>
        <a:p>
          <a:endParaRPr lang="en-IN"/>
        </a:p>
      </dgm:t>
    </dgm:pt>
    <dgm:pt modelId="{C4DF8428-8F21-4FBC-82C3-7F625D22BF34}">
      <dgm:prSet phldrT="[Text]"/>
      <dgm:spPr>
        <a:solidFill>
          <a:schemeClr val="accent1">
            <a:hueOff val="0"/>
            <a:satOff val="0"/>
            <a:lumOff val="0"/>
          </a:schemeClr>
        </a:solidFill>
        <a:scene3d>
          <a:camera prst="orthographicFront"/>
          <a:lightRig rig="soft" dir="t"/>
        </a:scene3d>
        <a:sp3d prstMaterial="powder"/>
      </dgm:spPr>
      <dgm:t>
        <a:bodyPr/>
        <a:lstStyle/>
        <a:p>
          <a:r>
            <a:rPr lang="en-IN"/>
            <a:t>Profit &amp; Loss</a:t>
          </a:r>
        </a:p>
      </dgm:t>
      <dgm:extLst>
        <a:ext uri="{E40237B7-FDA0-4F09-8148-C483321AD2D9}">
          <dgm14:cNvPr xmlns:dgm14="http://schemas.microsoft.com/office/drawing/2010/diagram" id="0" name="">
            <a:hlinkClick xmlns:r="http://schemas.openxmlformats.org/officeDocument/2006/relationships" r:id="rId6"/>
          </dgm14:cNvPr>
        </a:ext>
      </dgm:extLst>
    </dgm:pt>
    <dgm:pt modelId="{00A375A9-DBBB-451E-8012-4571302C035E}" type="parTrans" cxnId="{759ADA89-A073-4E8D-A6B2-EB19791AC3C8}">
      <dgm:prSet/>
      <dgm:spPr/>
      <dgm:t>
        <a:bodyPr/>
        <a:lstStyle/>
        <a:p>
          <a:endParaRPr lang="en-IN"/>
        </a:p>
      </dgm:t>
    </dgm:pt>
    <dgm:pt modelId="{FB4C2D17-3E83-450C-A0D9-3507DA4A7ABD}" type="sibTrans" cxnId="{759ADA89-A073-4E8D-A6B2-EB19791AC3C8}">
      <dgm:prSet/>
      <dgm:spPr/>
      <dgm:t>
        <a:bodyPr/>
        <a:lstStyle/>
        <a:p>
          <a:endParaRPr lang="en-IN"/>
        </a:p>
      </dgm:t>
    </dgm:pt>
    <dgm:pt modelId="{D9772EA6-6FB8-404A-918F-E848F235DB9A}">
      <dgm:prSet phldrT="[Text]"/>
      <dgm:spPr>
        <a:solidFill>
          <a:schemeClr val="accent1">
            <a:hueOff val="0"/>
            <a:satOff val="0"/>
            <a:lumOff val="0"/>
          </a:schemeClr>
        </a:solidFill>
        <a:scene3d>
          <a:camera prst="orthographicFront"/>
          <a:lightRig rig="soft" dir="t"/>
        </a:scene3d>
        <a:sp3d prstMaterial="powder"/>
      </dgm:spPr>
      <dgm:t>
        <a:bodyPr/>
        <a:lstStyle/>
        <a:p>
          <a:r>
            <a:rPr lang="en-IN"/>
            <a:t>May</a:t>
          </a:r>
        </a:p>
      </dgm:t>
      <dgm:extLst>
        <a:ext uri="{E40237B7-FDA0-4F09-8148-C483321AD2D9}">
          <dgm14:cNvPr xmlns:dgm14="http://schemas.microsoft.com/office/drawing/2010/diagram" id="0" name="">
            <a:hlinkClick xmlns:r="http://schemas.openxmlformats.org/officeDocument/2006/relationships" r:id="rId7"/>
          </dgm14:cNvPr>
        </a:ext>
      </dgm:extLst>
    </dgm:pt>
    <dgm:pt modelId="{06CA5EE9-3720-4344-9D4B-23687AEA0E3A}" type="parTrans" cxnId="{5B7F4416-7C44-43C7-90FA-198CA079B7F3}">
      <dgm:prSet/>
      <dgm:spPr/>
      <dgm:t>
        <a:bodyPr/>
        <a:lstStyle/>
        <a:p>
          <a:endParaRPr lang="en-IN"/>
        </a:p>
      </dgm:t>
    </dgm:pt>
    <dgm:pt modelId="{70E43812-5942-46B8-BCE6-BB7DA5035D10}" type="sibTrans" cxnId="{5B7F4416-7C44-43C7-90FA-198CA079B7F3}">
      <dgm:prSet/>
      <dgm:spPr/>
      <dgm:t>
        <a:bodyPr/>
        <a:lstStyle/>
        <a:p>
          <a:endParaRPr lang="en-IN"/>
        </a:p>
      </dgm:t>
    </dgm:pt>
    <dgm:pt modelId="{A9FC6C54-6DF1-4365-86FD-26E8AA75CDD0}">
      <dgm:prSet phldrT="[Text]"/>
      <dgm:spPr>
        <a:solidFill>
          <a:schemeClr val="accent1">
            <a:hueOff val="0"/>
            <a:satOff val="0"/>
            <a:lumOff val="0"/>
          </a:schemeClr>
        </a:solidFill>
        <a:scene3d>
          <a:camera prst="orthographicFront"/>
          <a:lightRig rig="soft" dir="t"/>
        </a:scene3d>
        <a:sp3d prstMaterial="powder"/>
      </dgm:spPr>
      <dgm:t>
        <a:bodyPr/>
        <a:lstStyle/>
        <a:p>
          <a:r>
            <a:rPr lang="en-IN"/>
            <a:t>September</a:t>
          </a:r>
        </a:p>
      </dgm:t>
      <dgm:extLst>
        <a:ext uri="{E40237B7-FDA0-4F09-8148-C483321AD2D9}">
          <dgm14:cNvPr xmlns:dgm14="http://schemas.microsoft.com/office/drawing/2010/diagram" id="0" name="">
            <a:hlinkClick xmlns:r="http://schemas.openxmlformats.org/officeDocument/2006/relationships" r:id="rId8"/>
          </dgm14:cNvPr>
        </a:ext>
      </dgm:extLst>
    </dgm:pt>
    <dgm:pt modelId="{8F788526-94B5-482D-ABB8-645987F7D55C}" type="parTrans" cxnId="{5528F931-9FD1-4D59-9809-1898CFB616CB}">
      <dgm:prSet/>
      <dgm:spPr/>
      <dgm:t>
        <a:bodyPr/>
        <a:lstStyle/>
        <a:p>
          <a:endParaRPr lang="en-IN"/>
        </a:p>
      </dgm:t>
    </dgm:pt>
    <dgm:pt modelId="{6D66200F-ADF2-420B-BC8A-C915FF00F5F3}" type="sibTrans" cxnId="{5528F931-9FD1-4D59-9809-1898CFB616CB}">
      <dgm:prSet/>
      <dgm:spPr/>
      <dgm:t>
        <a:bodyPr/>
        <a:lstStyle/>
        <a:p>
          <a:endParaRPr lang="en-IN"/>
        </a:p>
      </dgm:t>
    </dgm:pt>
    <dgm:pt modelId="{2B2EE24A-7152-466A-8E78-8B060C753392}" type="pres">
      <dgm:prSet presAssocID="{2711E4AD-827A-4D78-9B2D-4A1800975C10}" presName="diagram" presStyleCnt="0">
        <dgm:presLayoutVars>
          <dgm:dir/>
          <dgm:resizeHandles val="exact"/>
        </dgm:presLayoutVars>
      </dgm:prSet>
      <dgm:spPr/>
      <dgm:t>
        <a:bodyPr/>
        <a:lstStyle/>
        <a:p>
          <a:endParaRPr lang="en-IN"/>
        </a:p>
      </dgm:t>
    </dgm:pt>
    <dgm:pt modelId="{6D1B3BF0-165D-40CC-A5FF-04F9C387258A}" type="pres">
      <dgm:prSet presAssocID="{2879C7DD-3B65-4A82-BDF3-F7AC1F03867E}" presName="node" presStyleLbl="node1" presStyleIdx="0" presStyleCnt="8">
        <dgm:presLayoutVars>
          <dgm:bulletEnabled val="1"/>
        </dgm:presLayoutVars>
      </dgm:prSet>
      <dgm:spPr/>
      <dgm:t>
        <a:bodyPr/>
        <a:lstStyle/>
        <a:p>
          <a:endParaRPr lang="en-IN"/>
        </a:p>
      </dgm:t>
    </dgm:pt>
    <dgm:pt modelId="{1F9176AC-C4FB-4EFA-8BD9-4CC360EA8DEF}" type="pres">
      <dgm:prSet presAssocID="{DACF350D-94A4-42C2-991E-49A6D5410C66}" presName="sibTrans" presStyleCnt="0"/>
      <dgm:spPr/>
    </dgm:pt>
    <dgm:pt modelId="{EA974591-FBA7-4089-B740-BE77DFBF3CF2}" type="pres">
      <dgm:prSet presAssocID="{AFFE5BB0-F1E4-4602-A94D-2CDADD5FFB8A}" presName="node" presStyleLbl="node1" presStyleIdx="1" presStyleCnt="8">
        <dgm:presLayoutVars>
          <dgm:bulletEnabled val="1"/>
        </dgm:presLayoutVars>
      </dgm:prSet>
      <dgm:spPr/>
      <dgm:t>
        <a:bodyPr/>
        <a:lstStyle/>
        <a:p>
          <a:endParaRPr lang="en-IN"/>
        </a:p>
      </dgm:t>
    </dgm:pt>
    <dgm:pt modelId="{38792DFB-7C93-4676-B2AD-DC8164670238}" type="pres">
      <dgm:prSet presAssocID="{C958434A-F7C8-4362-AD44-69069D716AC5}" presName="sibTrans" presStyleCnt="0"/>
      <dgm:spPr/>
    </dgm:pt>
    <dgm:pt modelId="{4D53D173-00D4-4695-86F0-58BFEA80932D}" type="pres">
      <dgm:prSet presAssocID="{C4DF8428-8F21-4FBC-82C3-7F625D22BF34}" presName="node" presStyleLbl="node1" presStyleIdx="2" presStyleCnt="8">
        <dgm:presLayoutVars>
          <dgm:bulletEnabled val="1"/>
        </dgm:presLayoutVars>
      </dgm:prSet>
      <dgm:spPr/>
      <dgm:t>
        <a:bodyPr/>
        <a:lstStyle/>
        <a:p>
          <a:endParaRPr lang="en-IN"/>
        </a:p>
      </dgm:t>
    </dgm:pt>
    <dgm:pt modelId="{1C0E27ED-28F3-44C5-B24E-60077ACD1DAC}" type="pres">
      <dgm:prSet presAssocID="{FB4C2D17-3E83-450C-A0D9-3507DA4A7ABD}" presName="sibTrans" presStyleCnt="0"/>
      <dgm:spPr/>
    </dgm:pt>
    <dgm:pt modelId="{3034C728-9FF4-4192-AE66-9A773AD998F1}" type="pres">
      <dgm:prSet presAssocID="{D9772EA6-6FB8-404A-918F-E848F235DB9A}" presName="node" presStyleLbl="node1" presStyleIdx="3" presStyleCnt="8">
        <dgm:presLayoutVars>
          <dgm:bulletEnabled val="1"/>
        </dgm:presLayoutVars>
      </dgm:prSet>
      <dgm:spPr/>
      <dgm:t>
        <a:bodyPr/>
        <a:lstStyle/>
        <a:p>
          <a:endParaRPr lang="en-IN"/>
        </a:p>
      </dgm:t>
    </dgm:pt>
    <dgm:pt modelId="{DAB38D43-4A4E-4B63-A755-2E1729DAFDC0}" type="pres">
      <dgm:prSet presAssocID="{70E43812-5942-46B8-BCE6-BB7DA5035D10}" presName="sibTrans" presStyleCnt="0"/>
      <dgm:spPr/>
    </dgm:pt>
    <dgm:pt modelId="{3247C7A4-193C-434A-9540-E7E5453E7BD8}" type="pres">
      <dgm:prSet presAssocID="{559B6C5F-7ED4-4762-B40E-3B93429F3991}" presName="node" presStyleLbl="node1" presStyleIdx="4" presStyleCnt="8">
        <dgm:presLayoutVars>
          <dgm:bulletEnabled val="1"/>
        </dgm:presLayoutVars>
      </dgm:prSet>
      <dgm:spPr/>
      <dgm:t>
        <a:bodyPr/>
        <a:lstStyle/>
        <a:p>
          <a:endParaRPr lang="en-IN"/>
        </a:p>
      </dgm:t>
    </dgm:pt>
    <dgm:pt modelId="{60EAB671-DE4F-4893-B492-EDB2914C5157}" type="pres">
      <dgm:prSet presAssocID="{15F7DDAE-576B-4892-B879-D4A705C3B3E2}" presName="sibTrans" presStyleCnt="0"/>
      <dgm:spPr/>
    </dgm:pt>
    <dgm:pt modelId="{CF2C0832-3061-4627-BBE8-53B7F15A35C2}" type="pres">
      <dgm:prSet presAssocID="{66BE7AEB-9C75-49EC-BADC-89922153EC73}" presName="node" presStyleLbl="node1" presStyleIdx="5" presStyleCnt="8">
        <dgm:presLayoutVars>
          <dgm:bulletEnabled val="1"/>
        </dgm:presLayoutVars>
      </dgm:prSet>
      <dgm:spPr/>
      <dgm:t>
        <a:bodyPr/>
        <a:lstStyle/>
        <a:p>
          <a:endParaRPr lang="en-IN"/>
        </a:p>
      </dgm:t>
    </dgm:pt>
    <dgm:pt modelId="{531604E2-F4CD-491E-9D9C-34F65F7BDC64}" type="pres">
      <dgm:prSet presAssocID="{625B673E-3213-494D-AF6D-68A3713BDC7D}" presName="sibTrans" presStyleCnt="0"/>
      <dgm:spPr/>
    </dgm:pt>
    <dgm:pt modelId="{DD471FD8-25B7-4544-8752-03031A9EF2FD}" type="pres">
      <dgm:prSet presAssocID="{A7CBC1EB-1B18-4679-A48A-860BD08B8131}" presName="node" presStyleLbl="node1" presStyleIdx="6" presStyleCnt="8">
        <dgm:presLayoutVars>
          <dgm:bulletEnabled val="1"/>
        </dgm:presLayoutVars>
      </dgm:prSet>
      <dgm:spPr/>
      <dgm:t>
        <a:bodyPr/>
        <a:lstStyle/>
        <a:p>
          <a:endParaRPr lang="en-IN"/>
        </a:p>
      </dgm:t>
    </dgm:pt>
    <dgm:pt modelId="{AF240B77-1141-4DD0-A3A0-1DEAF7C1FCC3}" type="pres">
      <dgm:prSet presAssocID="{98E8C7A8-5F59-4290-A823-D8EAB452374C}" presName="sibTrans" presStyleCnt="0"/>
      <dgm:spPr/>
    </dgm:pt>
    <dgm:pt modelId="{CD892D52-1F11-453A-A8AA-94D81A785032}" type="pres">
      <dgm:prSet presAssocID="{A9FC6C54-6DF1-4365-86FD-26E8AA75CDD0}" presName="node" presStyleLbl="node1" presStyleIdx="7" presStyleCnt="8">
        <dgm:presLayoutVars>
          <dgm:bulletEnabled val="1"/>
        </dgm:presLayoutVars>
      </dgm:prSet>
      <dgm:spPr/>
      <dgm:t>
        <a:bodyPr/>
        <a:lstStyle/>
        <a:p>
          <a:endParaRPr lang="en-IN"/>
        </a:p>
      </dgm:t>
    </dgm:pt>
  </dgm:ptLst>
  <dgm:cxnLst>
    <dgm:cxn modelId="{10D5F214-9116-4DB8-8C70-236E8FC3B212}" srcId="{2711E4AD-827A-4D78-9B2D-4A1800975C10}" destId="{559B6C5F-7ED4-4762-B40E-3B93429F3991}" srcOrd="4" destOrd="0" parTransId="{5D4DB97C-F8EB-43A2-A165-E1C9B36E7C4E}" sibTransId="{15F7DDAE-576B-4892-B879-D4A705C3B3E2}"/>
    <dgm:cxn modelId="{67E6E46B-902E-42C3-A916-8EB8CA784435}" type="presOf" srcId="{D9772EA6-6FB8-404A-918F-E848F235DB9A}" destId="{3034C728-9FF4-4192-AE66-9A773AD998F1}" srcOrd="0" destOrd="0" presId="urn:microsoft.com/office/officeart/2005/8/layout/default"/>
    <dgm:cxn modelId="{A4E83CFE-F327-4E44-AB64-1A915935A37D}" type="presOf" srcId="{2879C7DD-3B65-4A82-BDF3-F7AC1F03867E}" destId="{6D1B3BF0-165D-40CC-A5FF-04F9C387258A}" srcOrd="0" destOrd="0" presId="urn:microsoft.com/office/officeart/2005/8/layout/default"/>
    <dgm:cxn modelId="{5B7F4416-7C44-43C7-90FA-198CA079B7F3}" srcId="{2711E4AD-827A-4D78-9B2D-4A1800975C10}" destId="{D9772EA6-6FB8-404A-918F-E848F235DB9A}" srcOrd="3" destOrd="0" parTransId="{06CA5EE9-3720-4344-9D4B-23687AEA0E3A}" sibTransId="{70E43812-5942-46B8-BCE6-BB7DA5035D10}"/>
    <dgm:cxn modelId="{5A4F7CC1-3373-43EF-BF9A-CC68116221F8}" type="presOf" srcId="{2711E4AD-827A-4D78-9B2D-4A1800975C10}" destId="{2B2EE24A-7152-466A-8E78-8B060C753392}" srcOrd="0" destOrd="0" presId="urn:microsoft.com/office/officeart/2005/8/layout/default"/>
    <dgm:cxn modelId="{412848AE-0BC4-4A57-83BB-84D81F145B60}" srcId="{2711E4AD-827A-4D78-9B2D-4A1800975C10}" destId="{AFFE5BB0-F1E4-4602-A94D-2CDADD5FFB8A}" srcOrd="1" destOrd="0" parTransId="{70737207-503F-4C40-9B33-FA4B07AE5868}" sibTransId="{C958434A-F7C8-4362-AD44-69069D716AC5}"/>
    <dgm:cxn modelId="{2215DB7D-8D64-4A7A-A069-F3262ADC3AB4}" type="presOf" srcId="{C4DF8428-8F21-4FBC-82C3-7F625D22BF34}" destId="{4D53D173-00D4-4695-86F0-58BFEA80932D}" srcOrd="0" destOrd="0" presId="urn:microsoft.com/office/officeart/2005/8/layout/default"/>
    <dgm:cxn modelId="{5528F931-9FD1-4D59-9809-1898CFB616CB}" srcId="{2711E4AD-827A-4D78-9B2D-4A1800975C10}" destId="{A9FC6C54-6DF1-4365-86FD-26E8AA75CDD0}" srcOrd="7" destOrd="0" parTransId="{8F788526-94B5-482D-ABB8-645987F7D55C}" sibTransId="{6D66200F-ADF2-420B-BC8A-C915FF00F5F3}"/>
    <dgm:cxn modelId="{6599E299-2582-4205-91C9-BA9A123435CD}" type="presOf" srcId="{66BE7AEB-9C75-49EC-BADC-89922153EC73}" destId="{CF2C0832-3061-4627-BBE8-53B7F15A35C2}" srcOrd="0" destOrd="0" presId="urn:microsoft.com/office/officeart/2005/8/layout/default"/>
    <dgm:cxn modelId="{B895BEF6-E584-49BB-AC54-CE0BAA2CC118}" type="presOf" srcId="{559B6C5F-7ED4-4762-B40E-3B93429F3991}" destId="{3247C7A4-193C-434A-9540-E7E5453E7BD8}" srcOrd="0" destOrd="0" presId="urn:microsoft.com/office/officeart/2005/8/layout/default"/>
    <dgm:cxn modelId="{FC13F961-3BD7-406C-84FA-429C2E6F9390}" srcId="{2711E4AD-827A-4D78-9B2D-4A1800975C10}" destId="{2879C7DD-3B65-4A82-BDF3-F7AC1F03867E}" srcOrd="0" destOrd="0" parTransId="{E7C8C2EA-0A59-4598-BA52-04FDD506195B}" sibTransId="{DACF350D-94A4-42C2-991E-49A6D5410C66}"/>
    <dgm:cxn modelId="{2B4DC396-69DE-4BE7-BA43-6B2732E7C530}" srcId="{2711E4AD-827A-4D78-9B2D-4A1800975C10}" destId="{66BE7AEB-9C75-49EC-BADC-89922153EC73}" srcOrd="5" destOrd="0" parTransId="{38D72418-B9FF-48BB-ACCC-9149DD6DF291}" sibTransId="{625B673E-3213-494D-AF6D-68A3713BDC7D}"/>
    <dgm:cxn modelId="{F158FD81-5375-48A6-8553-C5F010F44571}" type="presOf" srcId="{A9FC6C54-6DF1-4365-86FD-26E8AA75CDD0}" destId="{CD892D52-1F11-453A-A8AA-94D81A785032}" srcOrd="0" destOrd="0" presId="urn:microsoft.com/office/officeart/2005/8/layout/default"/>
    <dgm:cxn modelId="{759ADA89-A073-4E8D-A6B2-EB19791AC3C8}" srcId="{2711E4AD-827A-4D78-9B2D-4A1800975C10}" destId="{C4DF8428-8F21-4FBC-82C3-7F625D22BF34}" srcOrd="2" destOrd="0" parTransId="{00A375A9-DBBB-451E-8012-4571302C035E}" sibTransId="{FB4C2D17-3E83-450C-A0D9-3507DA4A7ABD}"/>
    <dgm:cxn modelId="{B05CE66F-80C4-4937-9298-DB0746953CA3}" type="presOf" srcId="{A7CBC1EB-1B18-4679-A48A-860BD08B8131}" destId="{DD471FD8-25B7-4544-8752-03031A9EF2FD}" srcOrd="0" destOrd="0" presId="urn:microsoft.com/office/officeart/2005/8/layout/default"/>
    <dgm:cxn modelId="{812478B0-E851-4214-9732-31F6A269771F}" type="presOf" srcId="{AFFE5BB0-F1E4-4602-A94D-2CDADD5FFB8A}" destId="{EA974591-FBA7-4089-B740-BE77DFBF3CF2}" srcOrd="0" destOrd="0" presId="urn:microsoft.com/office/officeart/2005/8/layout/default"/>
    <dgm:cxn modelId="{9409169F-42B8-4263-832B-5337BC6D80D5}" srcId="{2711E4AD-827A-4D78-9B2D-4A1800975C10}" destId="{A7CBC1EB-1B18-4679-A48A-860BD08B8131}" srcOrd="6" destOrd="0" parTransId="{EC5EE958-971F-4AE8-9055-E997D4060D5F}" sibTransId="{98E8C7A8-5F59-4290-A823-D8EAB452374C}"/>
    <dgm:cxn modelId="{7FB24C7B-85CF-42E7-86D1-4F125957CC06}" type="presParOf" srcId="{2B2EE24A-7152-466A-8E78-8B060C753392}" destId="{6D1B3BF0-165D-40CC-A5FF-04F9C387258A}" srcOrd="0" destOrd="0" presId="urn:microsoft.com/office/officeart/2005/8/layout/default"/>
    <dgm:cxn modelId="{6751AF0A-FBC5-46F3-B4EE-B56ED53E165F}" type="presParOf" srcId="{2B2EE24A-7152-466A-8E78-8B060C753392}" destId="{1F9176AC-C4FB-4EFA-8BD9-4CC360EA8DEF}" srcOrd="1" destOrd="0" presId="urn:microsoft.com/office/officeart/2005/8/layout/default"/>
    <dgm:cxn modelId="{C21E0D56-85E2-4242-A74D-8A0A36316928}" type="presParOf" srcId="{2B2EE24A-7152-466A-8E78-8B060C753392}" destId="{EA974591-FBA7-4089-B740-BE77DFBF3CF2}" srcOrd="2" destOrd="0" presId="urn:microsoft.com/office/officeart/2005/8/layout/default"/>
    <dgm:cxn modelId="{42C3A269-D2BF-4005-AAB2-76C4D359D3CB}" type="presParOf" srcId="{2B2EE24A-7152-466A-8E78-8B060C753392}" destId="{38792DFB-7C93-4676-B2AD-DC8164670238}" srcOrd="3" destOrd="0" presId="urn:microsoft.com/office/officeart/2005/8/layout/default"/>
    <dgm:cxn modelId="{8D5FAFE9-27B2-47AC-9965-BF2F02AA6D1A}" type="presParOf" srcId="{2B2EE24A-7152-466A-8E78-8B060C753392}" destId="{4D53D173-00D4-4695-86F0-58BFEA80932D}" srcOrd="4" destOrd="0" presId="urn:microsoft.com/office/officeart/2005/8/layout/default"/>
    <dgm:cxn modelId="{2E239472-2C9F-4BB3-AA42-21AFCD0B416C}" type="presParOf" srcId="{2B2EE24A-7152-466A-8E78-8B060C753392}" destId="{1C0E27ED-28F3-44C5-B24E-60077ACD1DAC}" srcOrd="5" destOrd="0" presId="urn:microsoft.com/office/officeart/2005/8/layout/default"/>
    <dgm:cxn modelId="{1819B6B6-2235-4C19-B4D5-A4A143FCB731}" type="presParOf" srcId="{2B2EE24A-7152-466A-8E78-8B060C753392}" destId="{3034C728-9FF4-4192-AE66-9A773AD998F1}" srcOrd="6" destOrd="0" presId="urn:microsoft.com/office/officeart/2005/8/layout/default"/>
    <dgm:cxn modelId="{8DF96BB0-CB16-482D-8091-329C1ACC7094}" type="presParOf" srcId="{2B2EE24A-7152-466A-8E78-8B060C753392}" destId="{DAB38D43-4A4E-4B63-A755-2E1729DAFDC0}" srcOrd="7" destOrd="0" presId="urn:microsoft.com/office/officeart/2005/8/layout/default"/>
    <dgm:cxn modelId="{B786D4F5-2DDF-48FF-945E-31B103C3CB93}" type="presParOf" srcId="{2B2EE24A-7152-466A-8E78-8B060C753392}" destId="{3247C7A4-193C-434A-9540-E7E5453E7BD8}" srcOrd="8" destOrd="0" presId="urn:microsoft.com/office/officeart/2005/8/layout/default"/>
    <dgm:cxn modelId="{E6A8B95A-C759-413F-92B3-4E21E468E69E}" type="presParOf" srcId="{2B2EE24A-7152-466A-8E78-8B060C753392}" destId="{60EAB671-DE4F-4893-B492-EDB2914C5157}" srcOrd="9" destOrd="0" presId="urn:microsoft.com/office/officeart/2005/8/layout/default"/>
    <dgm:cxn modelId="{7CE50906-5B7C-483C-992F-2D4D689DB43A}" type="presParOf" srcId="{2B2EE24A-7152-466A-8E78-8B060C753392}" destId="{CF2C0832-3061-4627-BBE8-53B7F15A35C2}" srcOrd="10" destOrd="0" presId="urn:microsoft.com/office/officeart/2005/8/layout/default"/>
    <dgm:cxn modelId="{FDA40322-4D2D-48A4-B26E-C71E5BEB834C}" type="presParOf" srcId="{2B2EE24A-7152-466A-8E78-8B060C753392}" destId="{531604E2-F4CD-491E-9D9C-34F65F7BDC64}" srcOrd="11" destOrd="0" presId="urn:microsoft.com/office/officeart/2005/8/layout/default"/>
    <dgm:cxn modelId="{CEEDDAC7-2255-49AB-B6D8-DD33F34C1855}" type="presParOf" srcId="{2B2EE24A-7152-466A-8E78-8B060C753392}" destId="{DD471FD8-25B7-4544-8752-03031A9EF2FD}" srcOrd="12" destOrd="0" presId="urn:microsoft.com/office/officeart/2005/8/layout/default"/>
    <dgm:cxn modelId="{81958C19-D09A-412C-B140-12C819FA5138}" type="presParOf" srcId="{2B2EE24A-7152-466A-8E78-8B060C753392}" destId="{AF240B77-1141-4DD0-A3A0-1DEAF7C1FCC3}" srcOrd="13" destOrd="0" presId="urn:microsoft.com/office/officeart/2005/8/layout/default"/>
    <dgm:cxn modelId="{7FCAE447-0366-48F4-B13E-8CA8216F991F}" type="presParOf" srcId="{2B2EE24A-7152-466A-8E78-8B060C753392}" destId="{CD892D52-1F11-453A-A8AA-94D81A785032}" srcOrd="14" destOrd="0" presId="urn:microsoft.com/office/officeart/2005/8/layout/default"/>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7.xml><?xml version="1.0" encoding="utf-8"?>
<dgm:dataModel xmlns:dgm="http://schemas.openxmlformats.org/drawingml/2006/diagram" xmlns:a="http://schemas.openxmlformats.org/drawingml/2006/main">
  <dgm:ptLst>
    <dgm:pt modelId="{0DDDEE8D-B389-4BB5-ADA5-E27DEB74099A}" type="doc">
      <dgm:prSet loTypeId="urn:microsoft.com/office/officeart/2005/8/layout/default" loCatId="list" qsTypeId="urn:microsoft.com/office/officeart/2005/8/quickstyle/3d1" qsCatId="3D" csTypeId="urn:microsoft.com/office/officeart/2005/8/colors/colorful4" csCatId="colorful" phldr="1"/>
      <dgm:spPr/>
      <dgm:t>
        <a:bodyPr/>
        <a:lstStyle/>
        <a:p>
          <a:endParaRPr lang="en-IN"/>
        </a:p>
      </dgm:t>
    </dgm:pt>
    <dgm:pt modelId="{F87EA503-014D-409B-9585-B065AFDA6090}">
      <dgm:prSet phldrT="[Text]"/>
      <dgm:spPr/>
      <dgm:t>
        <a:bodyPr/>
        <a:lstStyle/>
        <a:p>
          <a:r>
            <a:rPr lang="en-IN"/>
            <a:t>May</a:t>
          </a:r>
        </a:p>
      </dgm:t>
    </dgm:pt>
    <dgm:pt modelId="{7F1C22BA-127E-4B87-A057-FE3434815767}" type="parTrans" cxnId="{9399F22A-1229-4EFA-A02B-4FB7F137B81F}">
      <dgm:prSet/>
      <dgm:spPr/>
      <dgm:t>
        <a:bodyPr/>
        <a:lstStyle/>
        <a:p>
          <a:endParaRPr lang="en-IN"/>
        </a:p>
      </dgm:t>
    </dgm:pt>
    <dgm:pt modelId="{0240CF58-A577-4FF5-8945-249D142C4EF0}" type="sibTrans" cxnId="{9399F22A-1229-4EFA-A02B-4FB7F137B81F}">
      <dgm:prSet/>
      <dgm:spPr/>
      <dgm:t>
        <a:bodyPr/>
        <a:lstStyle/>
        <a:p>
          <a:endParaRPr lang="en-IN"/>
        </a:p>
      </dgm:t>
    </dgm:pt>
    <dgm:pt modelId="{5DBCF915-C2CE-4438-850B-207C671FFCBD}">
      <dgm:prSet phldrT="[Text]"/>
      <dgm:spPr/>
      <dgm:t>
        <a:bodyPr/>
        <a:lstStyle/>
        <a:p>
          <a:r>
            <a:rPr lang="en-IN"/>
            <a:t>Oct</a:t>
          </a:r>
        </a:p>
      </dgm:t>
    </dgm:pt>
    <dgm:pt modelId="{C72BB00F-4343-4644-AE95-238EFC51B860}" type="parTrans" cxnId="{33DD9714-8DB0-4333-9CF0-E62EDEC7292F}">
      <dgm:prSet/>
      <dgm:spPr/>
      <dgm:t>
        <a:bodyPr/>
        <a:lstStyle/>
        <a:p>
          <a:endParaRPr lang="en-IN"/>
        </a:p>
      </dgm:t>
    </dgm:pt>
    <dgm:pt modelId="{929576F3-8D4C-4E3D-97CF-329A7D171983}" type="sibTrans" cxnId="{33DD9714-8DB0-4333-9CF0-E62EDEC7292F}">
      <dgm:prSet/>
      <dgm:spPr/>
      <dgm:t>
        <a:bodyPr/>
        <a:lstStyle/>
        <a:p>
          <a:endParaRPr lang="en-IN"/>
        </a:p>
      </dgm:t>
    </dgm:pt>
    <dgm:pt modelId="{A70881DE-DA06-49A2-9155-74B0E9F69CCD}">
      <dgm:prSet phldrT="[Text]"/>
      <dgm:spPr/>
      <dgm:t>
        <a:bodyPr/>
        <a:lstStyle/>
        <a:p>
          <a:r>
            <a:rPr lang="en-IN"/>
            <a:t>Nov</a:t>
          </a:r>
        </a:p>
      </dgm:t>
    </dgm:pt>
    <dgm:pt modelId="{7087756A-6F30-467A-ACDD-7BD2396AE079}" type="parTrans" cxnId="{3D0F116B-864B-47A9-B614-6E8BD168AC38}">
      <dgm:prSet/>
      <dgm:spPr/>
      <dgm:t>
        <a:bodyPr/>
        <a:lstStyle/>
        <a:p>
          <a:endParaRPr lang="en-IN"/>
        </a:p>
      </dgm:t>
    </dgm:pt>
    <dgm:pt modelId="{22B88B68-4ADC-40A3-B895-BEC44FD68FD8}" type="sibTrans" cxnId="{3D0F116B-864B-47A9-B614-6E8BD168AC38}">
      <dgm:prSet/>
      <dgm:spPr/>
      <dgm:t>
        <a:bodyPr/>
        <a:lstStyle/>
        <a:p>
          <a:endParaRPr lang="en-IN"/>
        </a:p>
      </dgm:t>
    </dgm:pt>
    <dgm:pt modelId="{2F5986FF-BA2E-4E10-AEDA-0F3B50EC74AE}">
      <dgm:prSet phldrT="[Text]"/>
      <dgm:spPr/>
      <dgm:t>
        <a:bodyPr/>
        <a:lstStyle/>
        <a:p>
          <a:r>
            <a:rPr lang="en-IN"/>
            <a:t>Dec</a:t>
          </a:r>
        </a:p>
      </dgm:t>
    </dgm:pt>
    <dgm:pt modelId="{AAFFE1E9-D45B-4301-B16C-412AC034D475}" type="parTrans" cxnId="{B90A2B0D-E3AA-4352-8357-589F10781F3E}">
      <dgm:prSet/>
      <dgm:spPr/>
      <dgm:t>
        <a:bodyPr/>
        <a:lstStyle/>
        <a:p>
          <a:endParaRPr lang="en-IN"/>
        </a:p>
      </dgm:t>
    </dgm:pt>
    <dgm:pt modelId="{2444E6A2-980F-4133-8D86-BFE956BC97F4}" type="sibTrans" cxnId="{B90A2B0D-E3AA-4352-8357-589F10781F3E}">
      <dgm:prSet/>
      <dgm:spPr/>
      <dgm:t>
        <a:bodyPr/>
        <a:lstStyle/>
        <a:p>
          <a:endParaRPr lang="en-IN"/>
        </a:p>
      </dgm:t>
    </dgm:pt>
    <dgm:pt modelId="{84DAD553-D255-4277-BCC3-1DEA25A00C80}">
      <dgm:prSet phldrT="[Text]"/>
      <dgm:spPr/>
      <dgm:t>
        <a:bodyPr/>
        <a:lstStyle/>
        <a:p>
          <a:r>
            <a:rPr lang="en-IN"/>
            <a:t>.</a:t>
          </a:r>
        </a:p>
      </dgm:t>
    </dgm:pt>
    <dgm:pt modelId="{EABEEF90-9025-49E2-AAA6-2A5B6553E300}" type="parTrans" cxnId="{F665A0CA-C474-4727-8F1C-8A230AF633BB}">
      <dgm:prSet/>
      <dgm:spPr/>
      <dgm:t>
        <a:bodyPr/>
        <a:lstStyle/>
        <a:p>
          <a:endParaRPr lang="en-IN"/>
        </a:p>
      </dgm:t>
    </dgm:pt>
    <dgm:pt modelId="{7FF952A4-DC10-400C-B267-4E78CDD85AB5}" type="sibTrans" cxnId="{F665A0CA-C474-4727-8F1C-8A230AF633BB}">
      <dgm:prSet/>
      <dgm:spPr/>
      <dgm:t>
        <a:bodyPr/>
        <a:lstStyle/>
        <a:p>
          <a:endParaRPr lang="en-IN"/>
        </a:p>
      </dgm:t>
    </dgm:pt>
    <dgm:pt modelId="{DAA6226D-25CA-41E6-A66B-C6D71A3E568D}">
      <dgm:prSet phldrT="[Text]"/>
      <dgm:spPr/>
      <dgm:t>
        <a:bodyPr/>
        <a:lstStyle/>
        <a:p>
          <a:r>
            <a:rPr lang="en-IN"/>
            <a:t>Jun</a:t>
          </a:r>
        </a:p>
      </dgm:t>
    </dgm:pt>
    <dgm:pt modelId="{9203213E-6029-43D8-82A4-3E1D19B3455C}" type="parTrans" cxnId="{E577AC6A-9175-4590-9E8D-29E897C8F54E}">
      <dgm:prSet/>
      <dgm:spPr/>
      <dgm:t>
        <a:bodyPr/>
        <a:lstStyle/>
        <a:p>
          <a:endParaRPr lang="en-IN"/>
        </a:p>
      </dgm:t>
    </dgm:pt>
    <dgm:pt modelId="{0CE22A94-4CD2-4DFF-BDAE-63407A062180}" type="sibTrans" cxnId="{E577AC6A-9175-4590-9E8D-29E897C8F54E}">
      <dgm:prSet/>
      <dgm:spPr/>
      <dgm:t>
        <a:bodyPr/>
        <a:lstStyle/>
        <a:p>
          <a:endParaRPr lang="en-IN"/>
        </a:p>
      </dgm:t>
    </dgm:pt>
    <dgm:pt modelId="{47E051BD-4ED9-49E4-970A-7612B325DF60}">
      <dgm:prSet phldrT="[Text]"/>
      <dgm:spPr/>
      <dgm:t>
        <a:bodyPr/>
        <a:lstStyle/>
        <a:p>
          <a:r>
            <a:rPr lang="en-IN"/>
            <a:t>Jul</a:t>
          </a:r>
        </a:p>
      </dgm:t>
    </dgm:pt>
    <dgm:pt modelId="{DB3C688F-35CE-4991-B7C3-E7D7B2087828}" type="parTrans" cxnId="{F2F5B913-C445-4AF2-8C49-DD3CC5A61F5F}">
      <dgm:prSet/>
      <dgm:spPr/>
      <dgm:t>
        <a:bodyPr/>
        <a:lstStyle/>
        <a:p>
          <a:endParaRPr lang="en-IN"/>
        </a:p>
      </dgm:t>
    </dgm:pt>
    <dgm:pt modelId="{6D3750C6-4858-4249-94D2-EBB565D5B009}" type="sibTrans" cxnId="{F2F5B913-C445-4AF2-8C49-DD3CC5A61F5F}">
      <dgm:prSet/>
      <dgm:spPr/>
      <dgm:t>
        <a:bodyPr/>
        <a:lstStyle/>
        <a:p>
          <a:endParaRPr lang="en-IN"/>
        </a:p>
      </dgm:t>
    </dgm:pt>
    <dgm:pt modelId="{BCD7C1AB-6354-49C5-BFB9-F72C110B01F1}">
      <dgm:prSet phldrT="[Text]"/>
      <dgm:spPr/>
      <dgm:t>
        <a:bodyPr/>
        <a:lstStyle/>
        <a:p>
          <a:r>
            <a:rPr lang="en-IN"/>
            <a:t>Aug</a:t>
          </a:r>
        </a:p>
      </dgm:t>
    </dgm:pt>
    <dgm:pt modelId="{E04AF9F1-26D4-4CF9-BB49-96C8CF8739AE}" type="parTrans" cxnId="{8002907B-711B-4648-9849-26C272877F77}">
      <dgm:prSet/>
      <dgm:spPr/>
      <dgm:t>
        <a:bodyPr/>
        <a:lstStyle/>
        <a:p>
          <a:endParaRPr lang="en-IN"/>
        </a:p>
      </dgm:t>
    </dgm:pt>
    <dgm:pt modelId="{A07851D1-8348-4E9A-B91C-54F5A3F68EBF}" type="sibTrans" cxnId="{8002907B-711B-4648-9849-26C272877F77}">
      <dgm:prSet/>
      <dgm:spPr/>
      <dgm:t>
        <a:bodyPr/>
        <a:lstStyle/>
        <a:p>
          <a:endParaRPr lang="en-IN"/>
        </a:p>
      </dgm:t>
    </dgm:pt>
    <dgm:pt modelId="{9B4D8491-A339-41F5-A7CF-0D09480015DD}">
      <dgm:prSet phldrT="[Text]"/>
      <dgm:spPr/>
      <dgm:t>
        <a:bodyPr/>
        <a:lstStyle/>
        <a:p>
          <a:r>
            <a:rPr lang="en-IN"/>
            <a:t>Sep</a:t>
          </a:r>
        </a:p>
      </dgm:t>
    </dgm:pt>
    <dgm:pt modelId="{C1315D67-07B6-4CAB-990B-219E444C9FEC}" type="parTrans" cxnId="{2A859C47-F02C-4C57-972A-81369E3AE84A}">
      <dgm:prSet/>
      <dgm:spPr/>
      <dgm:t>
        <a:bodyPr/>
        <a:lstStyle/>
        <a:p>
          <a:endParaRPr lang="en-IN"/>
        </a:p>
      </dgm:t>
    </dgm:pt>
    <dgm:pt modelId="{DF3DACE2-965F-4B53-9357-16DA989021F6}" type="sibTrans" cxnId="{2A859C47-F02C-4C57-972A-81369E3AE84A}">
      <dgm:prSet/>
      <dgm:spPr/>
      <dgm:t>
        <a:bodyPr/>
        <a:lstStyle/>
        <a:p>
          <a:endParaRPr lang="en-IN"/>
        </a:p>
      </dgm:t>
    </dgm:pt>
    <dgm:pt modelId="{A5B52EB1-F186-4446-9904-365ACBD09935}" type="pres">
      <dgm:prSet presAssocID="{0DDDEE8D-B389-4BB5-ADA5-E27DEB74099A}" presName="diagram" presStyleCnt="0">
        <dgm:presLayoutVars>
          <dgm:dir/>
          <dgm:resizeHandles val="exact"/>
        </dgm:presLayoutVars>
      </dgm:prSet>
      <dgm:spPr/>
      <dgm:t>
        <a:bodyPr/>
        <a:lstStyle/>
        <a:p>
          <a:endParaRPr lang="en-IN"/>
        </a:p>
      </dgm:t>
    </dgm:pt>
    <dgm:pt modelId="{485ED5C5-CDE0-4EFF-9496-E3745844244B}" type="pres">
      <dgm:prSet presAssocID="{F87EA503-014D-409B-9585-B065AFDA6090}" presName="node" presStyleLbl="node1" presStyleIdx="0" presStyleCnt="9">
        <dgm:presLayoutVars>
          <dgm:bulletEnabled val="1"/>
        </dgm:presLayoutVars>
      </dgm:prSet>
      <dgm:spPr/>
      <dgm:t>
        <a:bodyPr/>
        <a:lstStyle/>
        <a:p>
          <a:endParaRPr lang="en-IN"/>
        </a:p>
      </dgm:t>
    </dgm:pt>
    <dgm:pt modelId="{435C9463-E584-4F19-BBD3-7B927F67530E}" type="pres">
      <dgm:prSet presAssocID="{0240CF58-A577-4FF5-8945-249D142C4EF0}" presName="sibTrans" presStyleCnt="0"/>
      <dgm:spPr/>
    </dgm:pt>
    <dgm:pt modelId="{5AA39C38-3B6D-455E-93D1-77038101A6CD}" type="pres">
      <dgm:prSet presAssocID="{DAA6226D-25CA-41E6-A66B-C6D71A3E568D}" presName="node" presStyleLbl="node1" presStyleIdx="1" presStyleCnt="9">
        <dgm:presLayoutVars>
          <dgm:bulletEnabled val="1"/>
        </dgm:presLayoutVars>
      </dgm:prSet>
      <dgm:spPr/>
      <dgm:t>
        <a:bodyPr/>
        <a:lstStyle/>
        <a:p>
          <a:endParaRPr lang="en-IN"/>
        </a:p>
      </dgm:t>
    </dgm:pt>
    <dgm:pt modelId="{E145331C-3C42-4C38-96C5-700138A2EBD0}" type="pres">
      <dgm:prSet presAssocID="{0CE22A94-4CD2-4DFF-BDAE-63407A062180}" presName="sibTrans" presStyleCnt="0"/>
      <dgm:spPr/>
    </dgm:pt>
    <dgm:pt modelId="{9348D42D-3E2F-46F9-97ED-78968227E32C}" type="pres">
      <dgm:prSet presAssocID="{47E051BD-4ED9-49E4-970A-7612B325DF60}" presName="node" presStyleLbl="node1" presStyleIdx="2" presStyleCnt="9">
        <dgm:presLayoutVars>
          <dgm:bulletEnabled val="1"/>
        </dgm:presLayoutVars>
      </dgm:prSet>
      <dgm:spPr/>
      <dgm:t>
        <a:bodyPr/>
        <a:lstStyle/>
        <a:p>
          <a:endParaRPr lang="en-IN"/>
        </a:p>
      </dgm:t>
    </dgm:pt>
    <dgm:pt modelId="{411231A8-00BD-4493-B0B4-2A188FB93CF9}" type="pres">
      <dgm:prSet presAssocID="{6D3750C6-4858-4249-94D2-EBB565D5B009}" presName="sibTrans" presStyleCnt="0"/>
      <dgm:spPr/>
    </dgm:pt>
    <dgm:pt modelId="{BA9DB22A-2C57-4008-9330-4DAE25B7B265}" type="pres">
      <dgm:prSet presAssocID="{BCD7C1AB-6354-49C5-BFB9-F72C110B01F1}" presName="node" presStyleLbl="node1" presStyleIdx="3" presStyleCnt="9">
        <dgm:presLayoutVars>
          <dgm:bulletEnabled val="1"/>
        </dgm:presLayoutVars>
      </dgm:prSet>
      <dgm:spPr/>
      <dgm:t>
        <a:bodyPr/>
        <a:lstStyle/>
        <a:p>
          <a:endParaRPr lang="en-IN"/>
        </a:p>
      </dgm:t>
    </dgm:pt>
    <dgm:pt modelId="{37BDE63D-C10B-425F-A8F0-172905E9254D}" type="pres">
      <dgm:prSet presAssocID="{A07851D1-8348-4E9A-B91C-54F5A3F68EBF}" presName="sibTrans" presStyleCnt="0"/>
      <dgm:spPr/>
    </dgm:pt>
    <dgm:pt modelId="{2C72F397-A4B8-481A-BC2E-8475F616CE25}" type="pres">
      <dgm:prSet presAssocID="{9B4D8491-A339-41F5-A7CF-0D09480015DD}" presName="node" presStyleLbl="node1" presStyleIdx="4" presStyleCnt="9">
        <dgm:presLayoutVars>
          <dgm:bulletEnabled val="1"/>
        </dgm:presLayoutVars>
      </dgm:prSet>
      <dgm:spPr/>
      <dgm:t>
        <a:bodyPr/>
        <a:lstStyle/>
        <a:p>
          <a:endParaRPr lang="en-IN"/>
        </a:p>
      </dgm:t>
    </dgm:pt>
    <dgm:pt modelId="{7832257F-B9E4-4772-992A-96E00C6A24A4}" type="pres">
      <dgm:prSet presAssocID="{DF3DACE2-965F-4B53-9357-16DA989021F6}" presName="sibTrans" presStyleCnt="0"/>
      <dgm:spPr/>
    </dgm:pt>
    <dgm:pt modelId="{B9573730-9216-44BF-AE2A-63DA9F00A590}" type="pres">
      <dgm:prSet presAssocID="{5DBCF915-C2CE-4438-850B-207C671FFCBD}" presName="node" presStyleLbl="node1" presStyleIdx="5" presStyleCnt="9">
        <dgm:presLayoutVars>
          <dgm:bulletEnabled val="1"/>
        </dgm:presLayoutVars>
      </dgm:prSet>
      <dgm:spPr/>
      <dgm:t>
        <a:bodyPr/>
        <a:lstStyle/>
        <a:p>
          <a:endParaRPr lang="en-IN"/>
        </a:p>
      </dgm:t>
    </dgm:pt>
    <dgm:pt modelId="{09D8A2D4-B7EE-4846-B79C-38F1B7AAC7FD}" type="pres">
      <dgm:prSet presAssocID="{929576F3-8D4C-4E3D-97CF-329A7D171983}" presName="sibTrans" presStyleCnt="0"/>
      <dgm:spPr/>
    </dgm:pt>
    <dgm:pt modelId="{A13CCA64-B23E-4256-A177-CFBC4E5B1918}" type="pres">
      <dgm:prSet presAssocID="{A70881DE-DA06-49A2-9155-74B0E9F69CCD}" presName="node" presStyleLbl="node1" presStyleIdx="6" presStyleCnt="9">
        <dgm:presLayoutVars>
          <dgm:bulletEnabled val="1"/>
        </dgm:presLayoutVars>
      </dgm:prSet>
      <dgm:spPr/>
      <dgm:t>
        <a:bodyPr/>
        <a:lstStyle/>
        <a:p>
          <a:endParaRPr lang="en-IN"/>
        </a:p>
      </dgm:t>
    </dgm:pt>
    <dgm:pt modelId="{4571D6B2-2F49-41DC-B291-6353ADB11157}" type="pres">
      <dgm:prSet presAssocID="{22B88B68-4ADC-40A3-B895-BEC44FD68FD8}" presName="sibTrans" presStyleCnt="0"/>
      <dgm:spPr/>
    </dgm:pt>
    <dgm:pt modelId="{B3870935-4B15-4E8C-A453-3C4797FE92AF}" type="pres">
      <dgm:prSet presAssocID="{2F5986FF-BA2E-4E10-AEDA-0F3B50EC74AE}" presName="node" presStyleLbl="node1" presStyleIdx="7" presStyleCnt="9">
        <dgm:presLayoutVars>
          <dgm:bulletEnabled val="1"/>
        </dgm:presLayoutVars>
      </dgm:prSet>
      <dgm:spPr/>
      <dgm:t>
        <a:bodyPr/>
        <a:lstStyle/>
        <a:p>
          <a:endParaRPr lang="en-IN"/>
        </a:p>
      </dgm:t>
    </dgm:pt>
    <dgm:pt modelId="{5348DDB9-66E7-4E59-B79B-A715ED96EBDD}" type="pres">
      <dgm:prSet presAssocID="{2444E6A2-980F-4133-8D86-BFE956BC97F4}" presName="sibTrans" presStyleCnt="0"/>
      <dgm:spPr/>
    </dgm:pt>
    <dgm:pt modelId="{AF583401-E4B6-48DB-9A12-4BD46FAD0864}" type="pres">
      <dgm:prSet presAssocID="{84DAD553-D255-4277-BCC3-1DEA25A00C80}" presName="node" presStyleLbl="node1" presStyleIdx="8" presStyleCnt="9">
        <dgm:presLayoutVars>
          <dgm:bulletEnabled val="1"/>
        </dgm:presLayoutVars>
      </dgm:prSet>
      <dgm:spPr/>
      <dgm:t>
        <a:bodyPr/>
        <a:lstStyle/>
        <a:p>
          <a:endParaRPr lang="en-IN"/>
        </a:p>
      </dgm:t>
    </dgm:pt>
  </dgm:ptLst>
  <dgm:cxnLst>
    <dgm:cxn modelId="{1EF26EE4-1D68-462E-8A24-FFB15D08E2F3}" type="presOf" srcId="{F87EA503-014D-409B-9585-B065AFDA6090}" destId="{485ED5C5-CDE0-4EFF-9496-E3745844244B}" srcOrd="0" destOrd="0" presId="urn:microsoft.com/office/officeart/2005/8/layout/default"/>
    <dgm:cxn modelId="{CB82B865-878E-4344-BE2D-40B170C179FC}" type="presOf" srcId="{BCD7C1AB-6354-49C5-BFB9-F72C110B01F1}" destId="{BA9DB22A-2C57-4008-9330-4DAE25B7B265}" srcOrd="0" destOrd="0" presId="urn:microsoft.com/office/officeart/2005/8/layout/default"/>
    <dgm:cxn modelId="{090E1162-3495-445D-8F17-A6FCD732792F}" type="presOf" srcId="{DAA6226D-25CA-41E6-A66B-C6D71A3E568D}" destId="{5AA39C38-3B6D-455E-93D1-77038101A6CD}" srcOrd="0" destOrd="0" presId="urn:microsoft.com/office/officeart/2005/8/layout/default"/>
    <dgm:cxn modelId="{FBB14774-BCF5-453A-8CDC-5DD07AB88652}" type="presOf" srcId="{9B4D8491-A339-41F5-A7CF-0D09480015DD}" destId="{2C72F397-A4B8-481A-BC2E-8475F616CE25}" srcOrd="0" destOrd="0" presId="urn:microsoft.com/office/officeart/2005/8/layout/default"/>
    <dgm:cxn modelId="{510EE6D5-3F3B-4769-8457-0A60912F36A3}" type="presOf" srcId="{47E051BD-4ED9-49E4-970A-7612B325DF60}" destId="{9348D42D-3E2F-46F9-97ED-78968227E32C}" srcOrd="0" destOrd="0" presId="urn:microsoft.com/office/officeart/2005/8/layout/default"/>
    <dgm:cxn modelId="{A11B65C7-ABB0-439D-AFCD-3294D757B917}" type="presOf" srcId="{84DAD553-D255-4277-BCC3-1DEA25A00C80}" destId="{AF583401-E4B6-48DB-9A12-4BD46FAD0864}" srcOrd="0" destOrd="0" presId="urn:microsoft.com/office/officeart/2005/8/layout/default"/>
    <dgm:cxn modelId="{33DD9714-8DB0-4333-9CF0-E62EDEC7292F}" srcId="{0DDDEE8D-B389-4BB5-ADA5-E27DEB74099A}" destId="{5DBCF915-C2CE-4438-850B-207C671FFCBD}" srcOrd="5" destOrd="0" parTransId="{C72BB00F-4343-4644-AE95-238EFC51B860}" sibTransId="{929576F3-8D4C-4E3D-97CF-329A7D171983}"/>
    <dgm:cxn modelId="{8002907B-711B-4648-9849-26C272877F77}" srcId="{0DDDEE8D-B389-4BB5-ADA5-E27DEB74099A}" destId="{BCD7C1AB-6354-49C5-BFB9-F72C110B01F1}" srcOrd="3" destOrd="0" parTransId="{E04AF9F1-26D4-4CF9-BB49-96C8CF8739AE}" sibTransId="{A07851D1-8348-4E9A-B91C-54F5A3F68EBF}"/>
    <dgm:cxn modelId="{608BBAB2-4BD4-44A5-9CC0-78609DE34BE8}" type="presOf" srcId="{2F5986FF-BA2E-4E10-AEDA-0F3B50EC74AE}" destId="{B3870935-4B15-4E8C-A453-3C4797FE92AF}" srcOrd="0" destOrd="0" presId="urn:microsoft.com/office/officeart/2005/8/layout/default"/>
    <dgm:cxn modelId="{9399F22A-1229-4EFA-A02B-4FB7F137B81F}" srcId="{0DDDEE8D-B389-4BB5-ADA5-E27DEB74099A}" destId="{F87EA503-014D-409B-9585-B065AFDA6090}" srcOrd="0" destOrd="0" parTransId="{7F1C22BA-127E-4B87-A057-FE3434815767}" sibTransId="{0240CF58-A577-4FF5-8945-249D142C4EF0}"/>
    <dgm:cxn modelId="{F2F5B913-C445-4AF2-8C49-DD3CC5A61F5F}" srcId="{0DDDEE8D-B389-4BB5-ADA5-E27DEB74099A}" destId="{47E051BD-4ED9-49E4-970A-7612B325DF60}" srcOrd="2" destOrd="0" parTransId="{DB3C688F-35CE-4991-B7C3-E7D7B2087828}" sibTransId="{6D3750C6-4858-4249-94D2-EBB565D5B009}"/>
    <dgm:cxn modelId="{9D6E5B4E-8211-4CF1-B3F4-A6A730699645}" type="presOf" srcId="{A70881DE-DA06-49A2-9155-74B0E9F69CCD}" destId="{A13CCA64-B23E-4256-A177-CFBC4E5B1918}" srcOrd="0" destOrd="0" presId="urn:microsoft.com/office/officeart/2005/8/layout/default"/>
    <dgm:cxn modelId="{3D0F116B-864B-47A9-B614-6E8BD168AC38}" srcId="{0DDDEE8D-B389-4BB5-ADA5-E27DEB74099A}" destId="{A70881DE-DA06-49A2-9155-74B0E9F69CCD}" srcOrd="6" destOrd="0" parTransId="{7087756A-6F30-467A-ACDD-7BD2396AE079}" sibTransId="{22B88B68-4ADC-40A3-B895-BEC44FD68FD8}"/>
    <dgm:cxn modelId="{97AD8907-8210-4F47-9DB8-C42AB261F04F}" type="presOf" srcId="{0DDDEE8D-B389-4BB5-ADA5-E27DEB74099A}" destId="{A5B52EB1-F186-4446-9904-365ACBD09935}" srcOrd="0" destOrd="0" presId="urn:microsoft.com/office/officeart/2005/8/layout/default"/>
    <dgm:cxn modelId="{B90A2B0D-E3AA-4352-8357-589F10781F3E}" srcId="{0DDDEE8D-B389-4BB5-ADA5-E27DEB74099A}" destId="{2F5986FF-BA2E-4E10-AEDA-0F3B50EC74AE}" srcOrd="7" destOrd="0" parTransId="{AAFFE1E9-D45B-4301-B16C-412AC034D475}" sibTransId="{2444E6A2-980F-4133-8D86-BFE956BC97F4}"/>
    <dgm:cxn modelId="{F665A0CA-C474-4727-8F1C-8A230AF633BB}" srcId="{0DDDEE8D-B389-4BB5-ADA5-E27DEB74099A}" destId="{84DAD553-D255-4277-BCC3-1DEA25A00C80}" srcOrd="8" destOrd="0" parTransId="{EABEEF90-9025-49E2-AAA6-2A5B6553E300}" sibTransId="{7FF952A4-DC10-400C-B267-4E78CDD85AB5}"/>
    <dgm:cxn modelId="{8101D040-D13A-45FE-88B7-B3D0EF7E5699}" type="presOf" srcId="{5DBCF915-C2CE-4438-850B-207C671FFCBD}" destId="{B9573730-9216-44BF-AE2A-63DA9F00A590}" srcOrd="0" destOrd="0" presId="urn:microsoft.com/office/officeart/2005/8/layout/default"/>
    <dgm:cxn modelId="{E577AC6A-9175-4590-9E8D-29E897C8F54E}" srcId="{0DDDEE8D-B389-4BB5-ADA5-E27DEB74099A}" destId="{DAA6226D-25CA-41E6-A66B-C6D71A3E568D}" srcOrd="1" destOrd="0" parTransId="{9203213E-6029-43D8-82A4-3E1D19B3455C}" sibTransId="{0CE22A94-4CD2-4DFF-BDAE-63407A062180}"/>
    <dgm:cxn modelId="{2A859C47-F02C-4C57-972A-81369E3AE84A}" srcId="{0DDDEE8D-B389-4BB5-ADA5-E27DEB74099A}" destId="{9B4D8491-A339-41F5-A7CF-0D09480015DD}" srcOrd="4" destOrd="0" parTransId="{C1315D67-07B6-4CAB-990B-219E444C9FEC}" sibTransId="{DF3DACE2-965F-4B53-9357-16DA989021F6}"/>
    <dgm:cxn modelId="{FD003781-91F3-435B-8BBE-0E26317884F4}" type="presParOf" srcId="{A5B52EB1-F186-4446-9904-365ACBD09935}" destId="{485ED5C5-CDE0-4EFF-9496-E3745844244B}" srcOrd="0" destOrd="0" presId="urn:microsoft.com/office/officeart/2005/8/layout/default"/>
    <dgm:cxn modelId="{696E2998-01F9-4F07-92E3-D2567BC89FBE}" type="presParOf" srcId="{A5B52EB1-F186-4446-9904-365ACBD09935}" destId="{435C9463-E584-4F19-BBD3-7B927F67530E}" srcOrd="1" destOrd="0" presId="urn:microsoft.com/office/officeart/2005/8/layout/default"/>
    <dgm:cxn modelId="{27D6D6ED-D0A3-42C3-A4E5-3EE15567BE93}" type="presParOf" srcId="{A5B52EB1-F186-4446-9904-365ACBD09935}" destId="{5AA39C38-3B6D-455E-93D1-77038101A6CD}" srcOrd="2" destOrd="0" presId="urn:microsoft.com/office/officeart/2005/8/layout/default"/>
    <dgm:cxn modelId="{FBA42ABB-DD9F-44F0-8058-3EDEB7EA6BC9}" type="presParOf" srcId="{A5B52EB1-F186-4446-9904-365ACBD09935}" destId="{E145331C-3C42-4C38-96C5-700138A2EBD0}" srcOrd="3" destOrd="0" presId="urn:microsoft.com/office/officeart/2005/8/layout/default"/>
    <dgm:cxn modelId="{1DB12057-7BDD-4AC8-A631-70C971010E45}" type="presParOf" srcId="{A5B52EB1-F186-4446-9904-365ACBD09935}" destId="{9348D42D-3E2F-46F9-97ED-78968227E32C}" srcOrd="4" destOrd="0" presId="urn:microsoft.com/office/officeart/2005/8/layout/default"/>
    <dgm:cxn modelId="{D4B967E0-9840-4DF9-A14D-983B8F0E5801}" type="presParOf" srcId="{A5B52EB1-F186-4446-9904-365ACBD09935}" destId="{411231A8-00BD-4493-B0B4-2A188FB93CF9}" srcOrd="5" destOrd="0" presId="urn:microsoft.com/office/officeart/2005/8/layout/default"/>
    <dgm:cxn modelId="{A0702A2C-FFAF-4BA8-ABC6-D7089D1C0DD4}" type="presParOf" srcId="{A5B52EB1-F186-4446-9904-365ACBD09935}" destId="{BA9DB22A-2C57-4008-9330-4DAE25B7B265}" srcOrd="6" destOrd="0" presId="urn:microsoft.com/office/officeart/2005/8/layout/default"/>
    <dgm:cxn modelId="{C654FE2C-4D41-43A5-8A3C-B0DA0FBBCB49}" type="presParOf" srcId="{A5B52EB1-F186-4446-9904-365ACBD09935}" destId="{37BDE63D-C10B-425F-A8F0-172905E9254D}" srcOrd="7" destOrd="0" presId="urn:microsoft.com/office/officeart/2005/8/layout/default"/>
    <dgm:cxn modelId="{DCB36DC4-7BEC-415E-8F92-88163AB0679D}" type="presParOf" srcId="{A5B52EB1-F186-4446-9904-365ACBD09935}" destId="{2C72F397-A4B8-481A-BC2E-8475F616CE25}" srcOrd="8" destOrd="0" presId="urn:microsoft.com/office/officeart/2005/8/layout/default"/>
    <dgm:cxn modelId="{83B9A1F3-EF7E-4AA0-AB9A-3377BDD78DCA}" type="presParOf" srcId="{A5B52EB1-F186-4446-9904-365ACBD09935}" destId="{7832257F-B9E4-4772-992A-96E00C6A24A4}" srcOrd="9" destOrd="0" presId="urn:microsoft.com/office/officeart/2005/8/layout/default"/>
    <dgm:cxn modelId="{1ED50A57-1216-4882-8FCA-D99FF1BFF544}" type="presParOf" srcId="{A5B52EB1-F186-4446-9904-365ACBD09935}" destId="{B9573730-9216-44BF-AE2A-63DA9F00A590}" srcOrd="10" destOrd="0" presId="urn:microsoft.com/office/officeart/2005/8/layout/default"/>
    <dgm:cxn modelId="{726945D3-9ECF-432C-ADF5-5F98496F7F44}" type="presParOf" srcId="{A5B52EB1-F186-4446-9904-365ACBD09935}" destId="{09D8A2D4-B7EE-4846-B79C-38F1B7AAC7FD}" srcOrd="11" destOrd="0" presId="urn:microsoft.com/office/officeart/2005/8/layout/default"/>
    <dgm:cxn modelId="{C8924F09-3485-4E77-8FA2-08A50EC0AB68}" type="presParOf" srcId="{A5B52EB1-F186-4446-9904-365ACBD09935}" destId="{A13CCA64-B23E-4256-A177-CFBC4E5B1918}" srcOrd="12" destOrd="0" presId="urn:microsoft.com/office/officeart/2005/8/layout/default"/>
    <dgm:cxn modelId="{11CFB109-B10E-445D-B836-A878B8CA109B}" type="presParOf" srcId="{A5B52EB1-F186-4446-9904-365ACBD09935}" destId="{4571D6B2-2F49-41DC-B291-6353ADB11157}" srcOrd="13" destOrd="0" presId="urn:microsoft.com/office/officeart/2005/8/layout/default"/>
    <dgm:cxn modelId="{0AC5E3D7-7CFB-4383-A286-77723FBC55D0}" type="presParOf" srcId="{A5B52EB1-F186-4446-9904-365ACBD09935}" destId="{B3870935-4B15-4E8C-A453-3C4797FE92AF}" srcOrd="14" destOrd="0" presId="urn:microsoft.com/office/officeart/2005/8/layout/default"/>
    <dgm:cxn modelId="{86052153-079C-4A66-BFF6-FCC91FECA581}" type="presParOf" srcId="{A5B52EB1-F186-4446-9904-365ACBD09935}" destId="{5348DDB9-66E7-4E59-B79B-A715ED96EBDD}" srcOrd="15" destOrd="0" presId="urn:microsoft.com/office/officeart/2005/8/layout/default"/>
    <dgm:cxn modelId="{FCFA0CC1-F791-4186-A95F-55377DE19498}" type="presParOf" srcId="{A5B52EB1-F186-4446-9904-365ACBD09935}" destId="{AF583401-E4B6-48DB-9A12-4BD46FAD0864}" srcOrd="16" destOrd="0" presId="urn:microsoft.com/office/officeart/2005/8/layout/default"/>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drawing5.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D1B3BF0-165D-40CC-A5FF-04F9C387258A}">
      <dsp:nvSpPr>
        <dsp:cNvPr id="0" name=""/>
        <dsp:cNvSpPr/>
      </dsp:nvSpPr>
      <dsp:spPr>
        <a:xfrm>
          <a:off x="275968" y="872"/>
          <a:ext cx="1158035" cy="694821"/>
        </a:xfrm>
        <a:prstGeom prst="rect">
          <a:avLst/>
        </a:prstGeom>
        <a:solidFill>
          <a:schemeClr val="accent1">
            <a:hueOff val="0"/>
            <a:satOff val="0"/>
            <a:lumOff val="0"/>
          </a:schemeClr>
        </a:solidFill>
        <a:ln w="12700" cap="flat" cmpd="sng" algn="ctr">
          <a:solidFill>
            <a:schemeClr val="lt1">
              <a:hueOff val="0"/>
              <a:satOff val="0"/>
              <a:lumOff val="0"/>
              <a:alphaOff val="0"/>
            </a:schemeClr>
          </a:solidFill>
          <a:prstDash val="solid"/>
          <a:miter lim="800000"/>
        </a:ln>
        <a:effectLst/>
        <a:scene3d>
          <a:camera prst="orthographicFront"/>
          <a:lightRig rig="soft" dir="t"/>
        </a:scene3d>
        <a:sp3d prstMaterial="powder"/>
      </dsp:spPr>
      <dsp:style>
        <a:lnRef idx="2">
          <a:scrgbClr r="0" g="0" b="0"/>
        </a:lnRef>
        <a:fillRef idx="1">
          <a:scrgbClr r="0" g="0" b="0"/>
        </a:fillRef>
        <a:effectRef idx="0">
          <a:scrgbClr r="0" g="0" b="0"/>
        </a:effectRef>
        <a:fontRef idx="minor">
          <a:schemeClr val="lt1"/>
        </a:fontRef>
      </dsp:style>
      <dsp:txBody>
        <a:bodyPr spcFirstLastPara="0" vert="horz" wrap="square" lIns="64770" tIns="64770" rIns="64770" bIns="64770" numCol="1" spcCol="1270" anchor="ctr" anchorCtr="0">
          <a:noAutofit/>
        </a:bodyPr>
        <a:lstStyle/>
        <a:p>
          <a:pPr lvl="0" algn="ctr" defTabSz="755650">
            <a:lnSpc>
              <a:spcPct val="90000"/>
            </a:lnSpc>
            <a:spcBef>
              <a:spcPct val="0"/>
            </a:spcBef>
            <a:spcAft>
              <a:spcPct val="35000"/>
            </a:spcAft>
          </a:pPr>
          <a:r>
            <a:rPr lang="en-IN" sz="1700" kern="1200"/>
            <a:t>Raw Material</a:t>
          </a:r>
        </a:p>
      </dsp:txBody>
      <dsp:txXfrm>
        <a:off x="275968" y="872"/>
        <a:ext cx="1158035" cy="694821"/>
      </dsp:txXfrm>
    </dsp:sp>
    <dsp:sp modelId="{EA974591-FBA7-4089-B740-BE77DFBF3CF2}">
      <dsp:nvSpPr>
        <dsp:cNvPr id="0" name=""/>
        <dsp:cNvSpPr/>
      </dsp:nvSpPr>
      <dsp:spPr>
        <a:xfrm>
          <a:off x="1549807" y="872"/>
          <a:ext cx="1158035" cy="694821"/>
        </a:xfrm>
        <a:prstGeom prst="rect">
          <a:avLst/>
        </a:prstGeom>
        <a:solidFill>
          <a:schemeClr val="accent1">
            <a:hueOff val="0"/>
            <a:satOff val="0"/>
            <a:lumOff val="0"/>
          </a:schemeClr>
        </a:solidFill>
        <a:ln w="12700" cap="flat" cmpd="sng" algn="ctr">
          <a:solidFill>
            <a:schemeClr val="lt1">
              <a:hueOff val="0"/>
              <a:satOff val="0"/>
              <a:lumOff val="0"/>
              <a:alphaOff val="0"/>
            </a:schemeClr>
          </a:solidFill>
          <a:prstDash val="solid"/>
          <a:miter lim="800000"/>
        </a:ln>
        <a:effectLst/>
        <a:scene3d>
          <a:camera prst="orthographicFront"/>
          <a:lightRig rig="soft" dir="t"/>
        </a:scene3d>
        <a:sp3d prstMaterial="powder"/>
      </dsp:spPr>
      <dsp:style>
        <a:lnRef idx="2">
          <a:scrgbClr r="0" g="0" b="0"/>
        </a:lnRef>
        <a:fillRef idx="1">
          <a:scrgbClr r="0" g="0" b="0"/>
        </a:fillRef>
        <a:effectRef idx="0">
          <a:scrgbClr r="0" g="0" b="0"/>
        </a:effectRef>
        <a:fontRef idx="minor">
          <a:schemeClr val="lt1"/>
        </a:fontRef>
      </dsp:style>
      <dsp:txBody>
        <a:bodyPr spcFirstLastPara="0" vert="horz" wrap="square" lIns="64770" tIns="64770" rIns="64770" bIns="64770" numCol="1" spcCol="1270" anchor="ctr" anchorCtr="0">
          <a:noAutofit/>
        </a:bodyPr>
        <a:lstStyle/>
        <a:p>
          <a:pPr lvl="0" algn="ctr" defTabSz="755650">
            <a:lnSpc>
              <a:spcPct val="90000"/>
            </a:lnSpc>
            <a:spcBef>
              <a:spcPct val="0"/>
            </a:spcBef>
            <a:spcAft>
              <a:spcPct val="35000"/>
            </a:spcAft>
          </a:pPr>
          <a:r>
            <a:rPr lang="en-IN" sz="1700" kern="1200"/>
            <a:t>Summary</a:t>
          </a:r>
        </a:p>
      </dsp:txBody>
      <dsp:txXfrm>
        <a:off x="1549807" y="872"/>
        <a:ext cx="1158035" cy="694821"/>
      </dsp:txXfrm>
    </dsp:sp>
    <dsp:sp modelId="{4D53D173-00D4-4695-86F0-58BFEA80932D}">
      <dsp:nvSpPr>
        <dsp:cNvPr id="0" name=""/>
        <dsp:cNvSpPr/>
      </dsp:nvSpPr>
      <dsp:spPr>
        <a:xfrm>
          <a:off x="2823647" y="872"/>
          <a:ext cx="1158035" cy="694821"/>
        </a:xfrm>
        <a:prstGeom prst="rect">
          <a:avLst/>
        </a:prstGeom>
        <a:solidFill>
          <a:schemeClr val="accent1">
            <a:hueOff val="0"/>
            <a:satOff val="0"/>
            <a:lumOff val="0"/>
          </a:schemeClr>
        </a:solidFill>
        <a:ln w="12700" cap="flat" cmpd="sng" algn="ctr">
          <a:solidFill>
            <a:schemeClr val="lt1">
              <a:hueOff val="0"/>
              <a:satOff val="0"/>
              <a:lumOff val="0"/>
              <a:alphaOff val="0"/>
            </a:schemeClr>
          </a:solidFill>
          <a:prstDash val="solid"/>
          <a:miter lim="800000"/>
        </a:ln>
        <a:effectLst/>
        <a:scene3d>
          <a:camera prst="orthographicFront"/>
          <a:lightRig rig="soft" dir="t"/>
        </a:scene3d>
        <a:sp3d prstMaterial="powder"/>
      </dsp:spPr>
      <dsp:style>
        <a:lnRef idx="2">
          <a:scrgbClr r="0" g="0" b="0"/>
        </a:lnRef>
        <a:fillRef idx="1">
          <a:scrgbClr r="0" g="0" b="0"/>
        </a:fillRef>
        <a:effectRef idx="0">
          <a:scrgbClr r="0" g="0" b="0"/>
        </a:effectRef>
        <a:fontRef idx="minor">
          <a:schemeClr val="lt1"/>
        </a:fontRef>
      </dsp:style>
      <dsp:txBody>
        <a:bodyPr spcFirstLastPara="0" vert="horz" wrap="square" lIns="64770" tIns="64770" rIns="64770" bIns="64770" numCol="1" spcCol="1270" anchor="ctr" anchorCtr="0">
          <a:noAutofit/>
        </a:bodyPr>
        <a:lstStyle/>
        <a:p>
          <a:pPr lvl="0" algn="ctr" defTabSz="755650">
            <a:lnSpc>
              <a:spcPct val="90000"/>
            </a:lnSpc>
            <a:spcBef>
              <a:spcPct val="0"/>
            </a:spcBef>
            <a:spcAft>
              <a:spcPct val="35000"/>
            </a:spcAft>
          </a:pPr>
          <a:r>
            <a:rPr lang="en-IN" sz="1700" kern="1200"/>
            <a:t>Profit &amp; Loss</a:t>
          </a:r>
        </a:p>
      </dsp:txBody>
      <dsp:txXfrm>
        <a:off x="2823647" y="872"/>
        <a:ext cx="1158035" cy="694821"/>
      </dsp:txXfrm>
    </dsp:sp>
    <dsp:sp modelId="{3034C728-9FF4-4192-AE66-9A773AD998F1}">
      <dsp:nvSpPr>
        <dsp:cNvPr id="0" name=""/>
        <dsp:cNvSpPr/>
      </dsp:nvSpPr>
      <dsp:spPr>
        <a:xfrm>
          <a:off x="4097486" y="872"/>
          <a:ext cx="1158035" cy="694821"/>
        </a:xfrm>
        <a:prstGeom prst="rect">
          <a:avLst/>
        </a:prstGeom>
        <a:solidFill>
          <a:schemeClr val="accent1">
            <a:hueOff val="0"/>
            <a:satOff val="0"/>
            <a:lumOff val="0"/>
          </a:schemeClr>
        </a:solidFill>
        <a:ln w="12700" cap="flat" cmpd="sng" algn="ctr">
          <a:solidFill>
            <a:schemeClr val="lt1">
              <a:hueOff val="0"/>
              <a:satOff val="0"/>
              <a:lumOff val="0"/>
              <a:alphaOff val="0"/>
            </a:schemeClr>
          </a:solidFill>
          <a:prstDash val="solid"/>
          <a:miter lim="800000"/>
        </a:ln>
        <a:effectLst/>
        <a:scene3d>
          <a:camera prst="orthographicFront"/>
          <a:lightRig rig="soft" dir="t"/>
        </a:scene3d>
        <a:sp3d prstMaterial="powder"/>
      </dsp:spPr>
      <dsp:style>
        <a:lnRef idx="2">
          <a:scrgbClr r="0" g="0" b="0"/>
        </a:lnRef>
        <a:fillRef idx="1">
          <a:scrgbClr r="0" g="0" b="0"/>
        </a:fillRef>
        <a:effectRef idx="0">
          <a:scrgbClr r="0" g="0" b="0"/>
        </a:effectRef>
        <a:fontRef idx="minor">
          <a:schemeClr val="lt1"/>
        </a:fontRef>
      </dsp:style>
      <dsp:txBody>
        <a:bodyPr spcFirstLastPara="0" vert="horz" wrap="square" lIns="64770" tIns="64770" rIns="64770" bIns="64770" numCol="1" spcCol="1270" anchor="ctr" anchorCtr="0">
          <a:noAutofit/>
        </a:bodyPr>
        <a:lstStyle/>
        <a:p>
          <a:pPr lvl="0" algn="ctr" defTabSz="755650">
            <a:lnSpc>
              <a:spcPct val="90000"/>
            </a:lnSpc>
            <a:spcBef>
              <a:spcPct val="0"/>
            </a:spcBef>
            <a:spcAft>
              <a:spcPct val="35000"/>
            </a:spcAft>
          </a:pPr>
          <a:r>
            <a:rPr lang="en-IN" sz="1700" kern="1200"/>
            <a:t>May</a:t>
          </a:r>
        </a:p>
      </dsp:txBody>
      <dsp:txXfrm>
        <a:off x="4097486" y="872"/>
        <a:ext cx="1158035" cy="694821"/>
      </dsp:txXfrm>
    </dsp:sp>
    <dsp:sp modelId="{3247C7A4-193C-434A-9540-E7E5453E7BD8}">
      <dsp:nvSpPr>
        <dsp:cNvPr id="0" name=""/>
        <dsp:cNvSpPr/>
      </dsp:nvSpPr>
      <dsp:spPr>
        <a:xfrm>
          <a:off x="5371326" y="872"/>
          <a:ext cx="1158035" cy="694821"/>
        </a:xfrm>
        <a:prstGeom prst="rect">
          <a:avLst/>
        </a:prstGeom>
        <a:solidFill>
          <a:schemeClr val="accent1">
            <a:hueOff val="0"/>
            <a:satOff val="0"/>
            <a:lumOff val="0"/>
          </a:schemeClr>
        </a:solidFill>
        <a:ln w="12700" cap="flat" cmpd="sng" algn="ctr">
          <a:solidFill>
            <a:schemeClr val="lt1">
              <a:hueOff val="0"/>
              <a:satOff val="0"/>
              <a:lumOff val="0"/>
              <a:alphaOff val="0"/>
            </a:schemeClr>
          </a:solidFill>
          <a:prstDash val="solid"/>
          <a:miter lim="800000"/>
        </a:ln>
        <a:effectLst/>
        <a:scene3d>
          <a:camera prst="orthographicFront"/>
          <a:lightRig rig="soft" dir="t"/>
        </a:scene3d>
        <a:sp3d prstMaterial="powder"/>
      </dsp:spPr>
      <dsp:style>
        <a:lnRef idx="2">
          <a:scrgbClr r="0" g="0" b="0"/>
        </a:lnRef>
        <a:fillRef idx="1">
          <a:scrgbClr r="0" g="0" b="0"/>
        </a:fillRef>
        <a:effectRef idx="0">
          <a:scrgbClr r="0" g="0" b="0"/>
        </a:effectRef>
        <a:fontRef idx="minor">
          <a:schemeClr val="lt1"/>
        </a:fontRef>
      </dsp:style>
      <dsp:txBody>
        <a:bodyPr spcFirstLastPara="0" vert="horz" wrap="square" lIns="64770" tIns="64770" rIns="64770" bIns="64770" numCol="1" spcCol="1270" anchor="ctr" anchorCtr="0">
          <a:noAutofit/>
        </a:bodyPr>
        <a:lstStyle/>
        <a:p>
          <a:pPr lvl="0" algn="ctr" defTabSz="755650">
            <a:lnSpc>
              <a:spcPct val="90000"/>
            </a:lnSpc>
            <a:spcBef>
              <a:spcPct val="0"/>
            </a:spcBef>
            <a:spcAft>
              <a:spcPct val="35000"/>
            </a:spcAft>
          </a:pPr>
          <a:r>
            <a:rPr lang="en-IN" sz="1700" kern="1200"/>
            <a:t>June</a:t>
          </a:r>
        </a:p>
      </dsp:txBody>
      <dsp:txXfrm>
        <a:off x="5371326" y="872"/>
        <a:ext cx="1158035" cy="694821"/>
      </dsp:txXfrm>
    </dsp:sp>
    <dsp:sp modelId="{CF2C0832-3061-4627-BBE8-53B7F15A35C2}">
      <dsp:nvSpPr>
        <dsp:cNvPr id="0" name=""/>
        <dsp:cNvSpPr/>
      </dsp:nvSpPr>
      <dsp:spPr>
        <a:xfrm>
          <a:off x="1549807" y="811497"/>
          <a:ext cx="1158035" cy="694821"/>
        </a:xfrm>
        <a:prstGeom prst="rect">
          <a:avLst/>
        </a:prstGeom>
        <a:solidFill>
          <a:schemeClr val="accent1">
            <a:hueOff val="0"/>
            <a:satOff val="0"/>
            <a:lumOff val="0"/>
          </a:schemeClr>
        </a:solidFill>
        <a:ln w="12700" cap="flat" cmpd="sng" algn="ctr">
          <a:solidFill>
            <a:schemeClr val="lt1">
              <a:hueOff val="0"/>
              <a:satOff val="0"/>
              <a:lumOff val="0"/>
              <a:alphaOff val="0"/>
            </a:schemeClr>
          </a:solidFill>
          <a:prstDash val="solid"/>
          <a:miter lim="800000"/>
        </a:ln>
        <a:effectLst/>
        <a:scene3d>
          <a:camera prst="orthographicFront"/>
          <a:lightRig rig="soft" dir="t"/>
        </a:scene3d>
        <a:sp3d prstMaterial="powder"/>
      </dsp:spPr>
      <dsp:style>
        <a:lnRef idx="2">
          <a:scrgbClr r="0" g="0" b="0"/>
        </a:lnRef>
        <a:fillRef idx="1">
          <a:scrgbClr r="0" g="0" b="0"/>
        </a:fillRef>
        <a:effectRef idx="0">
          <a:scrgbClr r="0" g="0" b="0"/>
        </a:effectRef>
        <a:fontRef idx="minor">
          <a:schemeClr val="lt1"/>
        </a:fontRef>
      </dsp:style>
      <dsp:txBody>
        <a:bodyPr spcFirstLastPara="0" vert="horz" wrap="square" lIns="64770" tIns="64770" rIns="64770" bIns="64770" numCol="1" spcCol="1270" anchor="ctr" anchorCtr="0">
          <a:noAutofit/>
        </a:bodyPr>
        <a:lstStyle/>
        <a:p>
          <a:pPr lvl="0" algn="ctr" defTabSz="755650">
            <a:lnSpc>
              <a:spcPct val="90000"/>
            </a:lnSpc>
            <a:spcBef>
              <a:spcPct val="0"/>
            </a:spcBef>
            <a:spcAft>
              <a:spcPct val="35000"/>
            </a:spcAft>
          </a:pPr>
          <a:r>
            <a:rPr lang="en-IN" sz="1700" kern="1200"/>
            <a:t>July</a:t>
          </a:r>
        </a:p>
      </dsp:txBody>
      <dsp:txXfrm>
        <a:off x="1549807" y="811497"/>
        <a:ext cx="1158035" cy="694821"/>
      </dsp:txXfrm>
    </dsp:sp>
    <dsp:sp modelId="{DD471FD8-25B7-4544-8752-03031A9EF2FD}">
      <dsp:nvSpPr>
        <dsp:cNvPr id="0" name=""/>
        <dsp:cNvSpPr/>
      </dsp:nvSpPr>
      <dsp:spPr>
        <a:xfrm>
          <a:off x="2823647" y="811497"/>
          <a:ext cx="1158035" cy="694821"/>
        </a:xfrm>
        <a:prstGeom prst="rect">
          <a:avLst/>
        </a:prstGeom>
        <a:solidFill>
          <a:schemeClr val="accent1">
            <a:hueOff val="0"/>
            <a:satOff val="0"/>
            <a:lumOff val="0"/>
          </a:schemeClr>
        </a:solidFill>
        <a:ln w="12700" cap="flat" cmpd="sng" algn="ctr">
          <a:solidFill>
            <a:schemeClr val="lt1">
              <a:hueOff val="0"/>
              <a:satOff val="0"/>
              <a:lumOff val="0"/>
              <a:alphaOff val="0"/>
            </a:schemeClr>
          </a:solidFill>
          <a:prstDash val="solid"/>
          <a:miter lim="800000"/>
        </a:ln>
        <a:effectLst/>
        <a:scene3d>
          <a:camera prst="orthographicFront"/>
          <a:lightRig rig="soft" dir="t"/>
        </a:scene3d>
        <a:sp3d prstMaterial="powder"/>
      </dsp:spPr>
      <dsp:style>
        <a:lnRef idx="2">
          <a:scrgbClr r="0" g="0" b="0"/>
        </a:lnRef>
        <a:fillRef idx="1">
          <a:scrgbClr r="0" g="0" b="0"/>
        </a:fillRef>
        <a:effectRef idx="0">
          <a:scrgbClr r="0" g="0" b="0"/>
        </a:effectRef>
        <a:fontRef idx="minor">
          <a:schemeClr val="lt1"/>
        </a:fontRef>
      </dsp:style>
      <dsp:txBody>
        <a:bodyPr spcFirstLastPara="0" vert="horz" wrap="square" lIns="64770" tIns="64770" rIns="64770" bIns="64770" numCol="1" spcCol="1270" anchor="ctr" anchorCtr="0">
          <a:noAutofit/>
        </a:bodyPr>
        <a:lstStyle/>
        <a:p>
          <a:pPr lvl="0" algn="ctr" defTabSz="755650">
            <a:lnSpc>
              <a:spcPct val="90000"/>
            </a:lnSpc>
            <a:spcBef>
              <a:spcPct val="0"/>
            </a:spcBef>
            <a:spcAft>
              <a:spcPct val="35000"/>
            </a:spcAft>
          </a:pPr>
          <a:r>
            <a:rPr lang="en-IN" sz="1700" kern="1200"/>
            <a:t>August</a:t>
          </a:r>
        </a:p>
      </dsp:txBody>
      <dsp:txXfrm>
        <a:off x="2823647" y="811497"/>
        <a:ext cx="1158035" cy="694821"/>
      </dsp:txXfrm>
    </dsp:sp>
    <dsp:sp modelId="{CD892D52-1F11-453A-A8AA-94D81A785032}">
      <dsp:nvSpPr>
        <dsp:cNvPr id="0" name=""/>
        <dsp:cNvSpPr/>
      </dsp:nvSpPr>
      <dsp:spPr>
        <a:xfrm>
          <a:off x="4097486" y="811497"/>
          <a:ext cx="1158035" cy="694821"/>
        </a:xfrm>
        <a:prstGeom prst="rect">
          <a:avLst/>
        </a:prstGeom>
        <a:solidFill>
          <a:schemeClr val="accent1">
            <a:hueOff val="0"/>
            <a:satOff val="0"/>
            <a:lumOff val="0"/>
          </a:schemeClr>
        </a:solidFill>
        <a:ln w="12700" cap="flat" cmpd="sng" algn="ctr">
          <a:solidFill>
            <a:schemeClr val="lt1">
              <a:hueOff val="0"/>
              <a:satOff val="0"/>
              <a:lumOff val="0"/>
              <a:alphaOff val="0"/>
            </a:schemeClr>
          </a:solidFill>
          <a:prstDash val="solid"/>
          <a:miter lim="800000"/>
        </a:ln>
        <a:effectLst/>
        <a:scene3d>
          <a:camera prst="orthographicFront"/>
          <a:lightRig rig="soft" dir="t"/>
        </a:scene3d>
        <a:sp3d prstMaterial="powder"/>
      </dsp:spPr>
      <dsp:style>
        <a:lnRef idx="2">
          <a:scrgbClr r="0" g="0" b="0"/>
        </a:lnRef>
        <a:fillRef idx="1">
          <a:scrgbClr r="0" g="0" b="0"/>
        </a:fillRef>
        <a:effectRef idx="0">
          <a:scrgbClr r="0" g="0" b="0"/>
        </a:effectRef>
        <a:fontRef idx="minor">
          <a:schemeClr val="lt1"/>
        </a:fontRef>
      </dsp:style>
      <dsp:txBody>
        <a:bodyPr spcFirstLastPara="0" vert="horz" wrap="square" lIns="64770" tIns="64770" rIns="64770" bIns="64770" numCol="1" spcCol="1270" anchor="ctr" anchorCtr="0">
          <a:noAutofit/>
        </a:bodyPr>
        <a:lstStyle/>
        <a:p>
          <a:pPr lvl="0" algn="ctr" defTabSz="755650">
            <a:lnSpc>
              <a:spcPct val="90000"/>
            </a:lnSpc>
            <a:spcBef>
              <a:spcPct val="0"/>
            </a:spcBef>
            <a:spcAft>
              <a:spcPct val="35000"/>
            </a:spcAft>
          </a:pPr>
          <a:r>
            <a:rPr lang="en-IN" sz="1700" kern="1200"/>
            <a:t>September</a:t>
          </a:r>
        </a:p>
      </dsp:txBody>
      <dsp:txXfrm>
        <a:off x="4097486" y="811497"/>
        <a:ext cx="1158035" cy="694821"/>
      </dsp:txXfrm>
    </dsp:sp>
  </dsp:spTree>
</dsp:drawing>
</file>

<file path=xl/diagrams/drawing6.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D1B3BF0-165D-40CC-A5FF-04F9C387258A}">
      <dsp:nvSpPr>
        <dsp:cNvPr id="0" name=""/>
        <dsp:cNvSpPr/>
      </dsp:nvSpPr>
      <dsp:spPr>
        <a:xfrm>
          <a:off x="37152" y="146"/>
          <a:ext cx="1159151" cy="695491"/>
        </a:xfrm>
        <a:prstGeom prst="rect">
          <a:avLst/>
        </a:prstGeom>
        <a:solidFill>
          <a:schemeClr val="accent1">
            <a:hueOff val="0"/>
            <a:satOff val="0"/>
            <a:lumOff val="0"/>
          </a:schemeClr>
        </a:solidFill>
        <a:ln w="12700" cap="flat" cmpd="sng" algn="ctr">
          <a:solidFill>
            <a:schemeClr val="lt1">
              <a:hueOff val="0"/>
              <a:satOff val="0"/>
              <a:lumOff val="0"/>
              <a:alphaOff val="0"/>
            </a:schemeClr>
          </a:solidFill>
          <a:prstDash val="solid"/>
          <a:miter lim="800000"/>
        </a:ln>
        <a:effectLst/>
        <a:scene3d>
          <a:camera prst="orthographicFront"/>
          <a:lightRig rig="soft" dir="t"/>
        </a:scene3d>
        <a:sp3d prstMaterial="powder"/>
      </dsp:spPr>
      <dsp:style>
        <a:lnRef idx="2">
          <a:scrgbClr r="0" g="0" b="0"/>
        </a:lnRef>
        <a:fillRef idx="1">
          <a:scrgbClr r="0" g="0" b="0"/>
        </a:fillRef>
        <a:effectRef idx="0">
          <a:scrgbClr r="0" g="0" b="0"/>
        </a:effectRef>
        <a:fontRef idx="minor">
          <a:schemeClr val="lt1"/>
        </a:fontRef>
      </dsp:style>
      <dsp:txBody>
        <a:bodyPr spcFirstLastPara="0" vert="horz" wrap="square" lIns="64770" tIns="64770" rIns="64770" bIns="64770" numCol="1" spcCol="1270" anchor="ctr" anchorCtr="0">
          <a:noAutofit/>
        </a:bodyPr>
        <a:lstStyle/>
        <a:p>
          <a:pPr lvl="0" algn="ctr" defTabSz="755650">
            <a:lnSpc>
              <a:spcPct val="90000"/>
            </a:lnSpc>
            <a:spcBef>
              <a:spcPct val="0"/>
            </a:spcBef>
            <a:spcAft>
              <a:spcPct val="35000"/>
            </a:spcAft>
          </a:pPr>
          <a:r>
            <a:rPr lang="en-IN" sz="1700" kern="1200"/>
            <a:t>Raw Material</a:t>
          </a:r>
        </a:p>
      </dsp:txBody>
      <dsp:txXfrm>
        <a:off x="37152" y="146"/>
        <a:ext cx="1159151" cy="695491"/>
      </dsp:txXfrm>
    </dsp:sp>
    <dsp:sp modelId="{EA974591-FBA7-4089-B740-BE77DFBF3CF2}">
      <dsp:nvSpPr>
        <dsp:cNvPr id="0" name=""/>
        <dsp:cNvSpPr/>
      </dsp:nvSpPr>
      <dsp:spPr>
        <a:xfrm>
          <a:off x="1312219" y="146"/>
          <a:ext cx="1159151" cy="695491"/>
        </a:xfrm>
        <a:prstGeom prst="rect">
          <a:avLst/>
        </a:prstGeom>
        <a:solidFill>
          <a:schemeClr val="accent1">
            <a:hueOff val="0"/>
            <a:satOff val="0"/>
            <a:lumOff val="0"/>
          </a:schemeClr>
        </a:solidFill>
        <a:ln w="12700" cap="flat" cmpd="sng" algn="ctr">
          <a:solidFill>
            <a:schemeClr val="lt1">
              <a:hueOff val="0"/>
              <a:satOff val="0"/>
              <a:lumOff val="0"/>
              <a:alphaOff val="0"/>
            </a:schemeClr>
          </a:solidFill>
          <a:prstDash val="solid"/>
          <a:miter lim="800000"/>
        </a:ln>
        <a:effectLst/>
        <a:scene3d>
          <a:camera prst="orthographicFront"/>
          <a:lightRig rig="soft" dir="t"/>
        </a:scene3d>
        <a:sp3d prstMaterial="powder"/>
      </dsp:spPr>
      <dsp:style>
        <a:lnRef idx="2">
          <a:scrgbClr r="0" g="0" b="0"/>
        </a:lnRef>
        <a:fillRef idx="1">
          <a:scrgbClr r="0" g="0" b="0"/>
        </a:fillRef>
        <a:effectRef idx="0">
          <a:scrgbClr r="0" g="0" b="0"/>
        </a:effectRef>
        <a:fontRef idx="minor">
          <a:schemeClr val="lt1"/>
        </a:fontRef>
      </dsp:style>
      <dsp:txBody>
        <a:bodyPr spcFirstLastPara="0" vert="horz" wrap="square" lIns="64770" tIns="64770" rIns="64770" bIns="64770" numCol="1" spcCol="1270" anchor="ctr" anchorCtr="0">
          <a:noAutofit/>
        </a:bodyPr>
        <a:lstStyle/>
        <a:p>
          <a:pPr lvl="0" algn="ctr" defTabSz="755650">
            <a:lnSpc>
              <a:spcPct val="90000"/>
            </a:lnSpc>
            <a:spcBef>
              <a:spcPct val="0"/>
            </a:spcBef>
            <a:spcAft>
              <a:spcPct val="35000"/>
            </a:spcAft>
          </a:pPr>
          <a:r>
            <a:rPr lang="en-IN" sz="1700" kern="1200"/>
            <a:t>Summary</a:t>
          </a:r>
        </a:p>
      </dsp:txBody>
      <dsp:txXfrm>
        <a:off x="1312219" y="146"/>
        <a:ext cx="1159151" cy="695491"/>
      </dsp:txXfrm>
    </dsp:sp>
    <dsp:sp modelId="{4D53D173-00D4-4695-86F0-58BFEA80932D}">
      <dsp:nvSpPr>
        <dsp:cNvPr id="0" name=""/>
        <dsp:cNvSpPr/>
      </dsp:nvSpPr>
      <dsp:spPr>
        <a:xfrm>
          <a:off x="2587286" y="146"/>
          <a:ext cx="1159151" cy="695491"/>
        </a:xfrm>
        <a:prstGeom prst="rect">
          <a:avLst/>
        </a:prstGeom>
        <a:solidFill>
          <a:schemeClr val="accent1">
            <a:hueOff val="0"/>
            <a:satOff val="0"/>
            <a:lumOff val="0"/>
          </a:schemeClr>
        </a:solidFill>
        <a:ln w="12700" cap="flat" cmpd="sng" algn="ctr">
          <a:solidFill>
            <a:schemeClr val="lt1">
              <a:hueOff val="0"/>
              <a:satOff val="0"/>
              <a:lumOff val="0"/>
              <a:alphaOff val="0"/>
            </a:schemeClr>
          </a:solidFill>
          <a:prstDash val="solid"/>
          <a:miter lim="800000"/>
        </a:ln>
        <a:effectLst/>
        <a:scene3d>
          <a:camera prst="orthographicFront"/>
          <a:lightRig rig="soft" dir="t"/>
        </a:scene3d>
        <a:sp3d prstMaterial="powder"/>
      </dsp:spPr>
      <dsp:style>
        <a:lnRef idx="2">
          <a:scrgbClr r="0" g="0" b="0"/>
        </a:lnRef>
        <a:fillRef idx="1">
          <a:scrgbClr r="0" g="0" b="0"/>
        </a:fillRef>
        <a:effectRef idx="0">
          <a:scrgbClr r="0" g="0" b="0"/>
        </a:effectRef>
        <a:fontRef idx="minor">
          <a:schemeClr val="lt1"/>
        </a:fontRef>
      </dsp:style>
      <dsp:txBody>
        <a:bodyPr spcFirstLastPara="0" vert="horz" wrap="square" lIns="64770" tIns="64770" rIns="64770" bIns="64770" numCol="1" spcCol="1270" anchor="ctr" anchorCtr="0">
          <a:noAutofit/>
        </a:bodyPr>
        <a:lstStyle/>
        <a:p>
          <a:pPr lvl="0" algn="ctr" defTabSz="755650">
            <a:lnSpc>
              <a:spcPct val="90000"/>
            </a:lnSpc>
            <a:spcBef>
              <a:spcPct val="0"/>
            </a:spcBef>
            <a:spcAft>
              <a:spcPct val="35000"/>
            </a:spcAft>
          </a:pPr>
          <a:r>
            <a:rPr lang="en-IN" sz="1700" kern="1200"/>
            <a:t>Profit &amp; Loss</a:t>
          </a:r>
        </a:p>
      </dsp:txBody>
      <dsp:txXfrm>
        <a:off x="2587286" y="146"/>
        <a:ext cx="1159151" cy="695491"/>
      </dsp:txXfrm>
    </dsp:sp>
    <dsp:sp modelId="{3034C728-9FF4-4192-AE66-9A773AD998F1}">
      <dsp:nvSpPr>
        <dsp:cNvPr id="0" name=""/>
        <dsp:cNvSpPr/>
      </dsp:nvSpPr>
      <dsp:spPr>
        <a:xfrm>
          <a:off x="3862353" y="146"/>
          <a:ext cx="1159151" cy="695491"/>
        </a:xfrm>
        <a:prstGeom prst="rect">
          <a:avLst/>
        </a:prstGeom>
        <a:solidFill>
          <a:schemeClr val="accent1">
            <a:hueOff val="0"/>
            <a:satOff val="0"/>
            <a:lumOff val="0"/>
          </a:schemeClr>
        </a:solidFill>
        <a:ln w="12700" cap="flat" cmpd="sng" algn="ctr">
          <a:solidFill>
            <a:schemeClr val="lt1">
              <a:hueOff val="0"/>
              <a:satOff val="0"/>
              <a:lumOff val="0"/>
              <a:alphaOff val="0"/>
            </a:schemeClr>
          </a:solidFill>
          <a:prstDash val="solid"/>
          <a:miter lim="800000"/>
        </a:ln>
        <a:effectLst/>
        <a:scene3d>
          <a:camera prst="orthographicFront"/>
          <a:lightRig rig="soft" dir="t"/>
        </a:scene3d>
        <a:sp3d prstMaterial="powder"/>
      </dsp:spPr>
      <dsp:style>
        <a:lnRef idx="2">
          <a:scrgbClr r="0" g="0" b="0"/>
        </a:lnRef>
        <a:fillRef idx="1">
          <a:scrgbClr r="0" g="0" b="0"/>
        </a:fillRef>
        <a:effectRef idx="0">
          <a:scrgbClr r="0" g="0" b="0"/>
        </a:effectRef>
        <a:fontRef idx="minor">
          <a:schemeClr val="lt1"/>
        </a:fontRef>
      </dsp:style>
      <dsp:txBody>
        <a:bodyPr spcFirstLastPara="0" vert="horz" wrap="square" lIns="64770" tIns="64770" rIns="64770" bIns="64770" numCol="1" spcCol="1270" anchor="ctr" anchorCtr="0">
          <a:noAutofit/>
        </a:bodyPr>
        <a:lstStyle/>
        <a:p>
          <a:pPr lvl="0" algn="ctr" defTabSz="755650">
            <a:lnSpc>
              <a:spcPct val="90000"/>
            </a:lnSpc>
            <a:spcBef>
              <a:spcPct val="0"/>
            </a:spcBef>
            <a:spcAft>
              <a:spcPct val="35000"/>
            </a:spcAft>
          </a:pPr>
          <a:r>
            <a:rPr lang="en-IN" sz="1700" kern="1200"/>
            <a:t>May</a:t>
          </a:r>
        </a:p>
      </dsp:txBody>
      <dsp:txXfrm>
        <a:off x="3862353" y="146"/>
        <a:ext cx="1159151" cy="695491"/>
      </dsp:txXfrm>
    </dsp:sp>
    <dsp:sp modelId="{3247C7A4-193C-434A-9540-E7E5453E7BD8}">
      <dsp:nvSpPr>
        <dsp:cNvPr id="0" name=""/>
        <dsp:cNvSpPr/>
      </dsp:nvSpPr>
      <dsp:spPr>
        <a:xfrm>
          <a:off x="5137420" y="146"/>
          <a:ext cx="1159151" cy="695491"/>
        </a:xfrm>
        <a:prstGeom prst="rect">
          <a:avLst/>
        </a:prstGeom>
        <a:solidFill>
          <a:schemeClr val="accent1">
            <a:hueOff val="0"/>
            <a:satOff val="0"/>
            <a:lumOff val="0"/>
          </a:schemeClr>
        </a:solidFill>
        <a:ln w="12700" cap="flat" cmpd="sng" algn="ctr">
          <a:solidFill>
            <a:schemeClr val="lt1">
              <a:hueOff val="0"/>
              <a:satOff val="0"/>
              <a:lumOff val="0"/>
              <a:alphaOff val="0"/>
            </a:schemeClr>
          </a:solidFill>
          <a:prstDash val="solid"/>
          <a:miter lim="800000"/>
        </a:ln>
        <a:effectLst/>
        <a:scene3d>
          <a:camera prst="orthographicFront"/>
          <a:lightRig rig="soft" dir="t"/>
        </a:scene3d>
        <a:sp3d prstMaterial="powder"/>
      </dsp:spPr>
      <dsp:style>
        <a:lnRef idx="2">
          <a:scrgbClr r="0" g="0" b="0"/>
        </a:lnRef>
        <a:fillRef idx="1">
          <a:scrgbClr r="0" g="0" b="0"/>
        </a:fillRef>
        <a:effectRef idx="0">
          <a:scrgbClr r="0" g="0" b="0"/>
        </a:effectRef>
        <a:fontRef idx="minor">
          <a:schemeClr val="lt1"/>
        </a:fontRef>
      </dsp:style>
      <dsp:txBody>
        <a:bodyPr spcFirstLastPara="0" vert="horz" wrap="square" lIns="64770" tIns="64770" rIns="64770" bIns="64770" numCol="1" spcCol="1270" anchor="ctr" anchorCtr="0">
          <a:noAutofit/>
        </a:bodyPr>
        <a:lstStyle/>
        <a:p>
          <a:pPr lvl="0" algn="ctr" defTabSz="755650">
            <a:lnSpc>
              <a:spcPct val="90000"/>
            </a:lnSpc>
            <a:spcBef>
              <a:spcPct val="0"/>
            </a:spcBef>
            <a:spcAft>
              <a:spcPct val="35000"/>
            </a:spcAft>
          </a:pPr>
          <a:r>
            <a:rPr lang="en-IN" sz="1700" kern="1200"/>
            <a:t>June</a:t>
          </a:r>
        </a:p>
      </dsp:txBody>
      <dsp:txXfrm>
        <a:off x="5137420" y="146"/>
        <a:ext cx="1159151" cy="695491"/>
      </dsp:txXfrm>
    </dsp:sp>
    <dsp:sp modelId="{CF2C0832-3061-4627-BBE8-53B7F15A35C2}">
      <dsp:nvSpPr>
        <dsp:cNvPr id="0" name=""/>
        <dsp:cNvSpPr/>
      </dsp:nvSpPr>
      <dsp:spPr>
        <a:xfrm>
          <a:off x="6412487" y="146"/>
          <a:ext cx="1159151" cy="695491"/>
        </a:xfrm>
        <a:prstGeom prst="rect">
          <a:avLst/>
        </a:prstGeom>
        <a:solidFill>
          <a:schemeClr val="accent1">
            <a:hueOff val="0"/>
            <a:satOff val="0"/>
            <a:lumOff val="0"/>
          </a:schemeClr>
        </a:solidFill>
        <a:ln w="12700" cap="flat" cmpd="sng" algn="ctr">
          <a:solidFill>
            <a:schemeClr val="lt1">
              <a:hueOff val="0"/>
              <a:satOff val="0"/>
              <a:lumOff val="0"/>
              <a:alphaOff val="0"/>
            </a:schemeClr>
          </a:solidFill>
          <a:prstDash val="solid"/>
          <a:miter lim="800000"/>
        </a:ln>
        <a:effectLst/>
        <a:scene3d>
          <a:camera prst="orthographicFront"/>
          <a:lightRig rig="soft" dir="t"/>
        </a:scene3d>
        <a:sp3d prstMaterial="powder"/>
      </dsp:spPr>
      <dsp:style>
        <a:lnRef idx="2">
          <a:scrgbClr r="0" g="0" b="0"/>
        </a:lnRef>
        <a:fillRef idx="1">
          <a:scrgbClr r="0" g="0" b="0"/>
        </a:fillRef>
        <a:effectRef idx="0">
          <a:scrgbClr r="0" g="0" b="0"/>
        </a:effectRef>
        <a:fontRef idx="minor">
          <a:schemeClr val="lt1"/>
        </a:fontRef>
      </dsp:style>
      <dsp:txBody>
        <a:bodyPr spcFirstLastPara="0" vert="horz" wrap="square" lIns="64770" tIns="64770" rIns="64770" bIns="64770" numCol="1" spcCol="1270" anchor="ctr" anchorCtr="0">
          <a:noAutofit/>
        </a:bodyPr>
        <a:lstStyle/>
        <a:p>
          <a:pPr lvl="0" algn="ctr" defTabSz="755650">
            <a:lnSpc>
              <a:spcPct val="90000"/>
            </a:lnSpc>
            <a:spcBef>
              <a:spcPct val="0"/>
            </a:spcBef>
            <a:spcAft>
              <a:spcPct val="35000"/>
            </a:spcAft>
          </a:pPr>
          <a:r>
            <a:rPr lang="en-IN" sz="1700" kern="1200"/>
            <a:t>July</a:t>
          </a:r>
        </a:p>
      </dsp:txBody>
      <dsp:txXfrm>
        <a:off x="6412487" y="146"/>
        <a:ext cx="1159151" cy="695491"/>
      </dsp:txXfrm>
    </dsp:sp>
    <dsp:sp modelId="{DD471FD8-25B7-4544-8752-03031A9EF2FD}">
      <dsp:nvSpPr>
        <dsp:cNvPr id="0" name=""/>
        <dsp:cNvSpPr/>
      </dsp:nvSpPr>
      <dsp:spPr>
        <a:xfrm>
          <a:off x="2587286" y="811553"/>
          <a:ext cx="1159151" cy="695491"/>
        </a:xfrm>
        <a:prstGeom prst="rect">
          <a:avLst/>
        </a:prstGeom>
        <a:solidFill>
          <a:schemeClr val="accent1">
            <a:hueOff val="0"/>
            <a:satOff val="0"/>
            <a:lumOff val="0"/>
          </a:schemeClr>
        </a:solidFill>
        <a:ln w="12700" cap="flat" cmpd="sng" algn="ctr">
          <a:solidFill>
            <a:schemeClr val="lt1">
              <a:hueOff val="0"/>
              <a:satOff val="0"/>
              <a:lumOff val="0"/>
              <a:alphaOff val="0"/>
            </a:schemeClr>
          </a:solidFill>
          <a:prstDash val="solid"/>
          <a:miter lim="800000"/>
        </a:ln>
        <a:effectLst/>
        <a:scene3d>
          <a:camera prst="orthographicFront"/>
          <a:lightRig rig="soft" dir="t"/>
        </a:scene3d>
        <a:sp3d prstMaterial="powder"/>
      </dsp:spPr>
      <dsp:style>
        <a:lnRef idx="2">
          <a:scrgbClr r="0" g="0" b="0"/>
        </a:lnRef>
        <a:fillRef idx="1">
          <a:scrgbClr r="0" g="0" b="0"/>
        </a:fillRef>
        <a:effectRef idx="0">
          <a:scrgbClr r="0" g="0" b="0"/>
        </a:effectRef>
        <a:fontRef idx="minor">
          <a:schemeClr val="lt1"/>
        </a:fontRef>
      </dsp:style>
      <dsp:txBody>
        <a:bodyPr spcFirstLastPara="0" vert="horz" wrap="square" lIns="64770" tIns="64770" rIns="64770" bIns="64770" numCol="1" spcCol="1270" anchor="ctr" anchorCtr="0">
          <a:noAutofit/>
        </a:bodyPr>
        <a:lstStyle/>
        <a:p>
          <a:pPr lvl="0" algn="ctr" defTabSz="755650">
            <a:lnSpc>
              <a:spcPct val="90000"/>
            </a:lnSpc>
            <a:spcBef>
              <a:spcPct val="0"/>
            </a:spcBef>
            <a:spcAft>
              <a:spcPct val="35000"/>
            </a:spcAft>
          </a:pPr>
          <a:r>
            <a:rPr lang="en-IN" sz="1700" kern="1200"/>
            <a:t>August</a:t>
          </a:r>
        </a:p>
      </dsp:txBody>
      <dsp:txXfrm>
        <a:off x="2587286" y="811553"/>
        <a:ext cx="1159151" cy="695491"/>
      </dsp:txXfrm>
    </dsp:sp>
    <dsp:sp modelId="{CD892D52-1F11-453A-A8AA-94D81A785032}">
      <dsp:nvSpPr>
        <dsp:cNvPr id="0" name=""/>
        <dsp:cNvSpPr/>
      </dsp:nvSpPr>
      <dsp:spPr>
        <a:xfrm>
          <a:off x="3862353" y="811553"/>
          <a:ext cx="1159151" cy="695491"/>
        </a:xfrm>
        <a:prstGeom prst="rect">
          <a:avLst/>
        </a:prstGeom>
        <a:solidFill>
          <a:schemeClr val="accent1">
            <a:hueOff val="0"/>
            <a:satOff val="0"/>
            <a:lumOff val="0"/>
          </a:schemeClr>
        </a:solidFill>
        <a:ln w="12700" cap="flat" cmpd="sng" algn="ctr">
          <a:solidFill>
            <a:schemeClr val="lt1">
              <a:hueOff val="0"/>
              <a:satOff val="0"/>
              <a:lumOff val="0"/>
              <a:alphaOff val="0"/>
            </a:schemeClr>
          </a:solidFill>
          <a:prstDash val="solid"/>
          <a:miter lim="800000"/>
        </a:ln>
        <a:effectLst/>
        <a:scene3d>
          <a:camera prst="orthographicFront"/>
          <a:lightRig rig="soft" dir="t"/>
        </a:scene3d>
        <a:sp3d prstMaterial="powder"/>
      </dsp:spPr>
      <dsp:style>
        <a:lnRef idx="2">
          <a:scrgbClr r="0" g="0" b="0"/>
        </a:lnRef>
        <a:fillRef idx="1">
          <a:scrgbClr r="0" g="0" b="0"/>
        </a:fillRef>
        <a:effectRef idx="0">
          <a:scrgbClr r="0" g="0" b="0"/>
        </a:effectRef>
        <a:fontRef idx="minor">
          <a:schemeClr val="lt1"/>
        </a:fontRef>
      </dsp:style>
      <dsp:txBody>
        <a:bodyPr spcFirstLastPara="0" vert="horz" wrap="square" lIns="64770" tIns="64770" rIns="64770" bIns="64770" numCol="1" spcCol="1270" anchor="ctr" anchorCtr="0">
          <a:noAutofit/>
        </a:bodyPr>
        <a:lstStyle/>
        <a:p>
          <a:pPr lvl="0" algn="ctr" defTabSz="755650">
            <a:lnSpc>
              <a:spcPct val="90000"/>
            </a:lnSpc>
            <a:spcBef>
              <a:spcPct val="0"/>
            </a:spcBef>
            <a:spcAft>
              <a:spcPct val="35000"/>
            </a:spcAft>
          </a:pPr>
          <a:r>
            <a:rPr lang="en-IN" sz="1700" kern="1200"/>
            <a:t>September</a:t>
          </a:r>
        </a:p>
      </dsp:txBody>
      <dsp:txXfrm>
        <a:off x="3862353" y="811553"/>
        <a:ext cx="1159151" cy="695491"/>
      </dsp:txXfrm>
    </dsp:sp>
  </dsp:spTree>
</dsp:drawing>
</file>

<file path=xl/diagrams/drawing7.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85ED5C5-CDE0-4EFF-9496-E3745844244B}">
      <dsp:nvSpPr>
        <dsp:cNvPr id="0" name=""/>
        <dsp:cNvSpPr/>
      </dsp:nvSpPr>
      <dsp:spPr>
        <a:xfrm>
          <a:off x="1367" y="18850"/>
          <a:ext cx="740326" cy="444196"/>
        </a:xfrm>
        <a:prstGeom prst="rect">
          <a:avLst/>
        </a:prstGeom>
        <a:gradFill rotWithShape="0">
          <a:gsLst>
            <a:gs pos="0">
              <a:schemeClr val="accent4">
                <a:hueOff val="0"/>
                <a:satOff val="0"/>
                <a:lumOff val="0"/>
                <a:alphaOff val="0"/>
                <a:satMod val="103000"/>
                <a:lumMod val="102000"/>
                <a:tint val="94000"/>
              </a:schemeClr>
            </a:gs>
            <a:gs pos="50000">
              <a:schemeClr val="accent4">
                <a:hueOff val="0"/>
                <a:satOff val="0"/>
                <a:lumOff val="0"/>
                <a:alphaOff val="0"/>
                <a:satMod val="110000"/>
                <a:lumMod val="100000"/>
                <a:shade val="100000"/>
              </a:schemeClr>
            </a:gs>
            <a:gs pos="100000">
              <a:schemeClr val="accent4">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2">
          <a:scrgbClr r="0" g="0" b="0"/>
        </a:effectRef>
        <a:fontRef idx="minor">
          <a:schemeClr val="lt1"/>
        </a:fontRef>
      </dsp:style>
      <dsp:txBody>
        <a:bodyPr spcFirstLastPara="0" vert="horz" wrap="square" lIns="76200" tIns="76200" rIns="76200" bIns="76200" numCol="1" spcCol="1270" anchor="ctr" anchorCtr="0">
          <a:noAutofit/>
        </a:bodyPr>
        <a:lstStyle/>
        <a:p>
          <a:pPr lvl="0" algn="ctr" defTabSz="889000">
            <a:lnSpc>
              <a:spcPct val="90000"/>
            </a:lnSpc>
            <a:spcBef>
              <a:spcPct val="0"/>
            </a:spcBef>
            <a:spcAft>
              <a:spcPct val="35000"/>
            </a:spcAft>
          </a:pPr>
          <a:r>
            <a:rPr lang="en-IN" sz="2000" kern="1200"/>
            <a:t>May</a:t>
          </a:r>
        </a:p>
      </dsp:txBody>
      <dsp:txXfrm>
        <a:off x="1367" y="18850"/>
        <a:ext cx="740326" cy="444196"/>
      </dsp:txXfrm>
    </dsp:sp>
    <dsp:sp modelId="{5AA39C38-3B6D-455E-93D1-77038101A6CD}">
      <dsp:nvSpPr>
        <dsp:cNvPr id="0" name=""/>
        <dsp:cNvSpPr/>
      </dsp:nvSpPr>
      <dsp:spPr>
        <a:xfrm>
          <a:off x="815726" y="18850"/>
          <a:ext cx="740326" cy="444196"/>
        </a:xfrm>
        <a:prstGeom prst="rect">
          <a:avLst/>
        </a:prstGeom>
        <a:gradFill rotWithShape="0">
          <a:gsLst>
            <a:gs pos="0">
              <a:schemeClr val="accent4">
                <a:hueOff val="-558096"/>
                <a:satOff val="3362"/>
                <a:lumOff val="270"/>
                <a:alphaOff val="0"/>
                <a:satMod val="103000"/>
                <a:lumMod val="102000"/>
                <a:tint val="94000"/>
              </a:schemeClr>
            </a:gs>
            <a:gs pos="50000">
              <a:schemeClr val="accent4">
                <a:hueOff val="-558096"/>
                <a:satOff val="3362"/>
                <a:lumOff val="270"/>
                <a:alphaOff val="0"/>
                <a:satMod val="110000"/>
                <a:lumMod val="100000"/>
                <a:shade val="100000"/>
              </a:schemeClr>
            </a:gs>
            <a:gs pos="100000">
              <a:schemeClr val="accent4">
                <a:hueOff val="-558096"/>
                <a:satOff val="3362"/>
                <a:lumOff val="27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2">
          <a:scrgbClr r="0" g="0" b="0"/>
        </a:effectRef>
        <a:fontRef idx="minor">
          <a:schemeClr val="lt1"/>
        </a:fontRef>
      </dsp:style>
      <dsp:txBody>
        <a:bodyPr spcFirstLastPara="0" vert="horz" wrap="square" lIns="76200" tIns="76200" rIns="76200" bIns="76200" numCol="1" spcCol="1270" anchor="ctr" anchorCtr="0">
          <a:noAutofit/>
        </a:bodyPr>
        <a:lstStyle/>
        <a:p>
          <a:pPr lvl="0" algn="ctr" defTabSz="889000">
            <a:lnSpc>
              <a:spcPct val="90000"/>
            </a:lnSpc>
            <a:spcBef>
              <a:spcPct val="0"/>
            </a:spcBef>
            <a:spcAft>
              <a:spcPct val="35000"/>
            </a:spcAft>
          </a:pPr>
          <a:r>
            <a:rPr lang="en-IN" sz="2000" kern="1200"/>
            <a:t>Jun</a:t>
          </a:r>
        </a:p>
      </dsp:txBody>
      <dsp:txXfrm>
        <a:off x="815726" y="18850"/>
        <a:ext cx="740326" cy="444196"/>
      </dsp:txXfrm>
    </dsp:sp>
    <dsp:sp modelId="{9348D42D-3E2F-46F9-97ED-78968227E32C}">
      <dsp:nvSpPr>
        <dsp:cNvPr id="0" name=""/>
        <dsp:cNvSpPr/>
      </dsp:nvSpPr>
      <dsp:spPr>
        <a:xfrm>
          <a:off x="1630086" y="18850"/>
          <a:ext cx="740326" cy="444196"/>
        </a:xfrm>
        <a:prstGeom prst="rect">
          <a:avLst/>
        </a:prstGeom>
        <a:gradFill rotWithShape="0">
          <a:gsLst>
            <a:gs pos="0">
              <a:schemeClr val="accent4">
                <a:hueOff val="-1116192"/>
                <a:satOff val="6725"/>
                <a:lumOff val="539"/>
                <a:alphaOff val="0"/>
                <a:satMod val="103000"/>
                <a:lumMod val="102000"/>
                <a:tint val="94000"/>
              </a:schemeClr>
            </a:gs>
            <a:gs pos="50000">
              <a:schemeClr val="accent4">
                <a:hueOff val="-1116192"/>
                <a:satOff val="6725"/>
                <a:lumOff val="539"/>
                <a:alphaOff val="0"/>
                <a:satMod val="110000"/>
                <a:lumMod val="100000"/>
                <a:shade val="100000"/>
              </a:schemeClr>
            </a:gs>
            <a:gs pos="100000">
              <a:schemeClr val="accent4">
                <a:hueOff val="-1116192"/>
                <a:satOff val="6725"/>
                <a:lumOff val="539"/>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2">
          <a:scrgbClr r="0" g="0" b="0"/>
        </a:effectRef>
        <a:fontRef idx="minor">
          <a:schemeClr val="lt1"/>
        </a:fontRef>
      </dsp:style>
      <dsp:txBody>
        <a:bodyPr spcFirstLastPara="0" vert="horz" wrap="square" lIns="76200" tIns="76200" rIns="76200" bIns="76200" numCol="1" spcCol="1270" anchor="ctr" anchorCtr="0">
          <a:noAutofit/>
        </a:bodyPr>
        <a:lstStyle/>
        <a:p>
          <a:pPr lvl="0" algn="ctr" defTabSz="889000">
            <a:lnSpc>
              <a:spcPct val="90000"/>
            </a:lnSpc>
            <a:spcBef>
              <a:spcPct val="0"/>
            </a:spcBef>
            <a:spcAft>
              <a:spcPct val="35000"/>
            </a:spcAft>
          </a:pPr>
          <a:r>
            <a:rPr lang="en-IN" sz="2000" kern="1200"/>
            <a:t>Jul</a:t>
          </a:r>
        </a:p>
      </dsp:txBody>
      <dsp:txXfrm>
        <a:off x="1630086" y="18850"/>
        <a:ext cx="740326" cy="444196"/>
      </dsp:txXfrm>
    </dsp:sp>
    <dsp:sp modelId="{BA9DB22A-2C57-4008-9330-4DAE25B7B265}">
      <dsp:nvSpPr>
        <dsp:cNvPr id="0" name=""/>
        <dsp:cNvSpPr/>
      </dsp:nvSpPr>
      <dsp:spPr>
        <a:xfrm>
          <a:off x="2444446" y="18850"/>
          <a:ext cx="740326" cy="444196"/>
        </a:xfrm>
        <a:prstGeom prst="rect">
          <a:avLst/>
        </a:prstGeom>
        <a:gradFill rotWithShape="0">
          <a:gsLst>
            <a:gs pos="0">
              <a:schemeClr val="accent4">
                <a:hueOff val="-1674289"/>
                <a:satOff val="10087"/>
                <a:lumOff val="809"/>
                <a:alphaOff val="0"/>
                <a:satMod val="103000"/>
                <a:lumMod val="102000"/>
                <a:tint val="94000"/>
              </a:schemeClr>
            </a:gs>
            <a:gs pos="50000">
              <a:schemeClr val="accent4">
                <a:hueOff val="-1674289"/>
                <a:satOff val="10087"/>
                <a:lumOff val="809"/>
                <a:alphaOff val="0"/>
                <a:satMod val="110000"/>
                <a:lumMod val="100000"/>
                <a:shade val="100000"/>
              </a:schemeClr>
            </a:gs>
            <a:gs pos="100000">
              <a:schemeClr val="accent4">
                <a:hueOff val="-1674289"/>
                <a:satOff val="10087"/>
                <a:lumOff val="809"/>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2">
          <a:scrgbClr r="0" g="0" b="0"/>
        </a:effectRef>
        <a:fontRef idx="minor">
          <a:schemeClr val="lt1"/>
        </a:fontRef>
      </dsp:style>
      <dsp:txBody>
        <a:bodyPr spcFirstLastPara="0" vert="horz" wrap="square" lIns="76200" tIns="76200" rIns="76200" bIns="76200" numCol="1" spcCol="1270" anchor="ctr" anchorCtr="0">
          <a:noAutofit/>
        </a:bodyPr>
        <a:lstStyle/>
        <a:p>
          <a:pPr lvl="0" algn="ctr" defTabSz="889000">
            <a:lnSpc>
              <a:spcPct val="90000"/>
            </a:lnSpc>
            <a:spcBef>
              <a:spcPct val="0"/>
            </a:spcBef>
            <a:spcAft>
              <a:spcPct val="35000"/>
            </a:spcAft>
          </a:pPr>
          <a:r>
            <a:rPr lang="en-IN" sz="2000" kern="1200"/>
            <a:t>Aug</a:t>
          </a:r>
        </a:p>
      </dsp:txBody>
      <dsp:txXfrm>
        <a:off x="2444446" y="18850"/>
        <a:ext cx="740326" cy="444196"/>
      </dsp:txXfrm>
    </dsp:sp>
    <dsp:sp modelId="{2C72F397-A4B8-481A-BC2E-8475F616CE25}">
      <dsp:nvSpPr>
        <dsp:cNvPr id="0" name=""/>
        <dsp:cNvSpPr/>
      </dsp:nvSpPr>
      <dsp:spPr>
        <a:xfrm>
          <a:off x="3258805" y="18850"/>
          <a:ext cx="740326" cy="444196"/>
        </a:xfrm>
        <a:prstGeom prst="rect">
          <a:avLst/>
        </a:prstGeom>
        <a:gradFill rotWithShape="0">
          <a:gsLst>
            <a:gs pos="0">
              <a:schemeClr val="accent4">
                <a:hueOff val="-2232385"/>
                <a:satOff val="13449"/>
                <a:lumOff val="1078"/>
                <a:alphaOff val="0"/>
                <a:satMod val="103000"/>
                <a:lumMod val="102000"/>
                <a:tint val="94000"/>
              </a:schemeClr>
            </a:gs>
            <a:gs pos="50000">
              <a:schemeClr val="accent4">
                <a:hueOff val="-2232385"/>
                <a:satOff val="13449"/>
                <a:lumOff val="1078"/>
                <a:alphaOff val="0"/>
                <a:satMod val="110000"/>
                <a:lumMod val="100000"/>
                <a:shade val="100000"/>
              </a:schemeClr>
            </a:gs>
            <a:gs pos="100000">
              <a:schemeClr val="accent4">
                <a:hueOff val="-2232385"/>
                <a:satOff val="13449"/>
                <a:lumOff val="1078"/>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2">
          <a:scrgbClr r="0" g="0" b="0"/>
        </a:effectRef>
        <a:fontRef idx="minor">
          <a:schemeClr val="lt1"/>
        </a:fontRef>
      </dsp:style>
      <dsp:txBody>
        <a:bodyPr spcFirstLastPara="0" vert="horz" wrap="square" lIns="76200" tIns="76200" rIns="76200" bIns="76200" numCol="1" spcCol="1270" anchor="ctr" anchorCtr="0">
          <a:noAutofit/>
        </a:bodyPr>
        <a:lstStyle/>
        <a:p>
          <a:pPr lvl="0" algn="ctr" defTabSz="889000">
            <a:lnSpc>
              <a:spcPct val="90000"/>
            </a:lnSpc>
            <a:spcBef>
              <a:spcPct val="0"/>
            </a:spcBef>
            <a:spcAft>
              <a:spcPct val="35000"/>
            </a:spcAft>
          </a:pPr>
          <a:r>
            <a:rPr lang="en-IN" sz="2000" kern="1200"/>
            <a:t>Sep</a:t>
          </a:r>
        </a:p>
      </dsp:txBody>
      <dsp:txXfrm>
        <a:off x="3258805" y="18850"/>
        <a:ext cx="740326" cy="444196"/>
      </dsp:txXfrm>
    </dsp:sp>
    <dsp:sp modelId="{B9573730-9216-44BF-AE2A-63DA9F00A590}">
      <dsp:nvSpPr>
        <dsp:cNvPr id="0" name=""/>
        <dsp:cNvSpPr/>
      </dsp:nvSpPr>
      <dsp:spPr>
        <a:xfrm>
          <a:off x="408547" y="537078"/>
          <a:ext cx="740326" cy="444196"/>
        </a:xfrm>
        <a:prstGeom prst="rect">
          <a:avLst/>
        </a:prstGeom>
        <a:gradFill rotWithShape="0">
          <a:gsLst>
            <a:gs pos="0">
              <a:schemeClr val="accent4">
                <a:hueOff val="-2790481"/>
                <a:satOff val="16812"/>
                <a:lumOff val="1348"/>
                <a:alphaOff val="0"/>
                <a:satMod val="103000"/>
                <a:lumMod val="102000"/>
                <a:tint val="94000"/>
              </a:schemeClr>
            </a:gs>
            <a:gs pos="50000">
              <a:schemeClr val="accent4">
                <a:hueOff val="-2790481"/>
                <a:satOff val="16812"/>
                <a:lumOff val="1348"/>
                <a:alphaOff val="0"/>
                <a:satMod val="110000"/>
                <a:lumMod val="100000"/>
                <a:shade val="100000"/>
              </a:schemeClr>
            </a:gs>
            <a:gs pos="100000">
              <a:schemeClr val="accent4">
                <a:hueOff val="-2790481"/>
                <a:satOff val="16812"/>
                <a:lumOff val="1348"/>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2">
          <a:scrgbClr r="0" g="0" b="0"/>
        </a:effectRef>
        <a:fontRef idx="minor">
          <a:schemeClr val="lt1"/>
        </a:fontRef>
      </dsp:style>
      <dsp:txBody>
        <a:bodyPr spcFirstLastPara="0" vert="horz" wrap="square" lIns="76200" tIns="76200" rIns="76200" bIns="76200" numCol="1" spcCol="1270" anchor="ctr" anchorCtr="0">
          <a:noAutofit/>
        </a:bodyPr>
        <a:lstStyle/>
        <a:p>
          <a:pPr lvl="0" algn="ctr" defTabSz="889000">
            <a:lnSpc>
              <a:spcPct val="90000"/>
            </a:lnSpc>
            <a:spcBef>
              <a:spcPct val="0"/>
            </a:spcBef>
            <a:spcAft>
              <a:spcPct val="35000"/>
            </a:spcAft>
          </a:pPr>
          <a:r>
            <a:rPr lang="en-IN" sz="2000" kern="1200"/>
            <a:t>Oct</a:t>
          </a:r>
        </a:p>
      </dsp:txBody>
      <dsp:txXfrm>
        <a:off x="408547" y="537078"/>
        <a:ext cx="740326" cy="444196"/>
      </dsp:txXfrm>
    </dsp:sp>
    <dsp:sp modelId="{A13CCA64-B23E-4256-A177-CFBC4E5B1918}">
      <dsp:nvSpPr>
        <dsp:cNvPr id="0" name=""/>
        <dsp:cNvSpPr/>
      </dsp:nvSpPr>
      <dsp:spPr>
        <a:xfrm>
          <a:off x="1222906" y="537078"/>
          <a:ext cx="740326" cy="444196"/>
        </a:xfrm>
        <a:prstGeom prst="rect">
          <a:avLst/>
        </a:prstGeom>
        <a:gradFill rotWithShape="0">
          <a:gsLst>
            <a:gs pos="0">
              <a:schemeClr val="accent4">
                <a:hueOff val="-3348577"/>
                <a:satOff val="20174"/>
                <a:lumOff val="1617"/>
                <a:alphaOff val="0"/>
                <a:satMod val="103000"/>
                <a:lumMod val="102000"/>
                <a:tint val="94000"/>
              </a:schemeClr>
            </a:gs>
            <a:gs pos="50000">
              <a:schemeClr val="accent4">
                <a:hueOff val="-3348577"/>
                <a:satOff val="20174"/>
                <a:lumOff val="1617"/>
                <a:alphaOff val="0"/>
                <a:satMod val="110000"/>
                <a:lumMod val="100000"/>
                <a:shade val="100000"/>
              </a:schemeClr>
            </a:gs>
            <a:gs pos="100000">
              <a:schemeClr val="accent4">
                <a:hueOff val="-3348577"/>
                <a:satOff val="20174"/>
                <a:lumOff val="1617"/>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2">
          <a:scrgbClr r="0" g="0" b="0"/>
        </a:effectRef>
        <a:fontRef idx="minor">
          <a:schemeClr val="lt1"/>
        </a:fontRef>
      </dsp:style>
      <dsp:txBody>
        <a:bodyPr spcFirstLastPara="0" vert="horz" wrap="square" lIns="76200" tIns="76200" rIns="76200" bIns="76200" numCol="1" spcCol="1270" anchor="ctr" anchorCtr="0">
          <a:noAutofit/>
        </a:bodyPr>
        <a:lstStyle/>
        <a:p>
          <a:pPr lvl="0" algn="ctr" defTabSz="889000">
            <a:lnSpc>
              <a:spcPct val="90000"/>
            </a:lnSpc>
            <a:spcBef>
              <a:spcPct val="0"/>
            </a:spcBef>
            <a:spcAft>
              <a:spcPct val="35000"/>
            </a:spcAft>
          </a:pPr>
          <a:r>
            <a:rPr lang="en-IN" sz="2000" kern="1200"/>
            <a:t>Nov</a:t>
          </a:r>
        </a:p>
      </dsp:txBody>
      <dsp:txXfrm>
        <a:off x="1222906" y="537078"/>
        <a:ext cx="740326" cy="444196"/>
      </dsp:txXfrm>
    </dsp:sp>
    <dsp:sp modelId="{B3870935-4B15-4E8C-A453-3C4797FE92AF}">
      <dsp:nvSpPr>
        <dsp:cNvPr id="0" name=""/>
        <dsp:cNvSpPr/>
      </dsp:nvSpPr>
      <dsp:spPr>
        <a:xfrm>
          <a:off x="2037266" y="537078"/>
          <a:ext cx="740326" cy="444196"/>
        </a:xfrm>
        <a:prstGeom prst="rect">
          <a:avLst/>
        </a:prstGeom>
        <a:gradFill rotWithShape="0">
          <a:gsLst>
            <a:gs pos="0">
              <a:schemeClr val="accent4">
                <a:hueOff val="-3906673"/>
                <a:satOff val="23537"/>
                <a:lumOff val="1887"/>
                <a:alphaOff val="0"/>
                <a:satMod val="103000"/>
                <a:lumMod val="102000"/>
                <a:tint val="94000"/>
              </a:schemeClr>
            </a:gs>
            <a:gs pos="50000">
              <a:schemeClr val="accent4">
                <a:hueOff val="-3906673"/>
                <a:satOff val="23537"/>
                <a:lumOff val="1887"/>
                <a:alphaOff val="0"/>
                <a:satMod val="110000"/>
                <a:lumMod val="100000"/>
                <a:shade val="100000"/>
              </a:schemeClr>
            </a:gs>
            <a:gs pos="100000">
              <a:schemeClr val="accent4">
                <a:hueOff val="-3906673"/>
                <a:satOff val="23537"/>
                <a:lumOff val="1887"/>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2">
          <a:scrgbClr r="0" g="0" b="0"/>
        </a:effectRef>
        <a:fontRef idx="minor">
          <a:schemeClr val="lt1"/>
        </a:fontRef>
      </dsp:style>
      <dsp:txBody>
        <a:bodyPr spcFirstLastPara="0" vert="horz" wrap="square" lIns="76200" tIns="76200" rIns="76200" bIns="76200" numCol="1" spcCol="1270" anchor="ctr" anchorCtr="0">
          <a:noAutofit/>
        </a:bodyPr>
        <a:lstStyle/>
        <a:p>
          <a:pPr lvl="0" algn="ctr" defTabSz="889000">
            <a:lnSpc>
              <a:spcPct val="90000"/>
            </a:lnSpc>
            <a:spcBef>
              <a:spcPct val="0"/>
            </a:spcBef>
            <a:spcAft>
              <a:spcPct val="35000"/>
            </a:spcAft>
          </a:pPr>
          <a:r>
            <a:rPr lang="en-IN" sz="2000" kern="1200"/>
            <a:t>Dec</a:t>
          </a:r>
        </a:p>
      </dsp:txBody>
      <dsp:txXfrm>
        <a:off x="2037266" y="537078"/>
        <a:ext cx="740326" cy="444196"/>
      </dsp:txXfrm>
    </dsp:sp>
    <dsp:sp modelId="{AF583401-E4B6-48DB-9A12-4BD46FAD0864}">
      <dsp:nvSpPr>
        <dsp:cNvPr id="0" name=""/>
        <dsp:cNvSpPr/>
      </dsp:nvSpPr>
      <dsp:spPr>
        <a:xfrm>
          <a:off x="2851625" y="537078"/>
          <a:ext cx="740326" cy="444196"/>
        </a:xfrm>
        <a:prstGeom prst="rect">
          <a:avLst/>
        </a:prstGeom>
        <a:gradFill rotWithShape="0">
          <a:gsLst>
            <a:gs pos="0">
              <a:schemeClr val="accent4">
                <a:hueOff val="-4464770"/>
                <a:satOff val="26899"/>
                <a:lumOff val="2156"/>
                <a:alphaOff val="0"/>
                <a:satMod val="103000"/>
                <a:lumMod val="102000"/>
                <a:tint val="94000"/>
              </a:schemeClr>
            </a:gs>
            <a:gs pos="50000">
              <a:schemeClr val="accent4">
                <a:hueOff val="-4464770"/>
                <a:satOff val="26899"/>
                <a:lumOff val="2156"/>
                <a:alphaOff val="0"/>
                <a:satMod val="110000"/>
                <a:lumMod val="100000"/>
                <a:shade val="100000"/>
              </a:schemeClr>
            </a:gs>
            <a:gs pos="100000">
              <a:schemeClr val="accent4">
                <a:hueOff val="-4464770"/>
                <a:satOff val="26899"/>
                <a:lumOff val="2156"/>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2">
          <a:scrgbClr r="0" g="0" b="0"/>
        </a:effectRef>
        <a:fontRef idx="minor">
          <a:schemeClr val="lt1"/>
        </a:fontRef>
      </dsp:style>
      <dsp:txBody>
        <a:bodyPr spcFirstLastPara="0" vert="horz" wrap="square" lIns="76200" tIns="76200" rIns="76200" bIns="76200" numCol="1" spcCol="1270" anchor="ctr" anchorCtr="0">
          <a:noAutofit/>
        </a:bodyPr>
        <a:lstStyle/>
        <a:p>
          <a:pPr lvl="0" algn="ctr" defTabSz="889000">
            <a:lnSpc>
              <a:spcPct val="90000"/>
            </a:lnSpc>
            <a:spcBef>
              <a:spcPct val="0"/>
            </a:spcBef>
            <a:spcAft>
              <a:spcPct val="35000"/>
            </a:spcAft>
          </a:pPr>
          <a:r>
            <a:rPr lang="en-IN" sz="2000" kern="1200"/>
            <a:t>.</a:t>
          </a:r>
        </a:p>
      </dsp:txBody>
      <dsp:txXfrm>
        <a:off x="2851625" y="537078"/>
        <a:ext cx="740326" cy="444196"/>
      </dsp:txXfrm>
    </dsp:sp>
  </dsp:spTree>
</dsp:drawing>
</file>

<file path=xl/diagrams/layout1.xml><?xml version="1.0" encoding="utf-8"?>
<dgm:layoutDef xmlns:dgm="http://schemas.openxmlformats.org/drawingml/2006/diagram" xmlns:a="http://schemas.openxmlformats.org/drawingml/2006/main" uniqueId="urn:microsoft.com/office/officeart/2005/8/layout/default">
  <dgm:title val=""/>
  <dgm:desc val=""/>
  <dgm:catLst>
    <dgm:cat type="list" pri="4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6" srcId="0" destId="1" srcOrd="0" destOrd="0"/>
        <dgm:cxn modelId="7" srcId="0" destId="2" srcOrd="1" destOrd="0"/>
        <dgm:cxn modelId="8" srcId="0" destId="3" srcOrd="2" destOrd="0"/>
        <dgm:cxn modelId="9" srcId="0" destId="4" srcOrd="3" destOrd="0"/>
        <dgm:cxn modelId="10" srcId="0" destId="5" srcOrd="4"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 modelId="5"/>
        <dgm:pt modelId="6"/>
      </dgm:ptLst>
      <dgm:cxnLst>
        <dgm:cxn modelId="7" srcId="0" destId="1" srcOrd="0" destOrd="0"/>
        <dgm:cxn modelId="8" srcId="0" destId="2" srcOrd="1" destOrd="0"/>
        <dgm:cxn modelId="9" srcId="0" destId="3" srcOrd="2" destOrd="0"/>
        <dgm:cxn modelId="10" srcId="0" destId="4" srcOrd="3" destOrd="0"/>
        <dgm:cxn modelId="11" srcId="0" destId="5" srcOrd="4" destOrd="0"/>
        <dgm:cxn modelId="12" srcId="0" destId="6" srcOrd="5" destOrd="0"/>
      </dgm:cxnLst>
      <dgm:bg/>
      <dgm:whole/>
    </dgm:dataModel>
  </dgm:clrData>
  <dgm:layoutNode name="diagram">
    <dgm:varLst>
      <dgm:dir/>
      <dgm:resizeHandles val="exact"/>
    </dgm:varLst>
    <dgm:choose name="Name0">
      <dgm:if name="Name1" func="var" arg="dir" op="equ" val="norm">
        <dgm:alg type="snake">
          <dgm:param type="grDir" val="tL"/>
          <dgm:param type="flowDir" val="row"/>
          <dgm:param type="contDir" val="sameDir"/>
          <dgm:param type="off" val="ctr"/>
        </dgm:alg>
      </dgm:if>
      <dgm:else name="Name2">
        <dgm:alg type="snake">
          <dgm:param type="grDir" val="tR"/>
          <dgm:param type="flowDir" val="row"/>
          <dgm:param type="contDir" val="sameDir"/>
          <dgm:param type="off" val="ctr"/>
        </dgm:alg>
      </dgm:else>
    </dgm:choose>
    <dgm:shape xmlns:r="http://schemas.openxmlformats.org/officeDocument/2006/relationships" r:blip="">
      <dgm:adjLst/>
    </dgm:shape>
    <dgm:presOf/>
    <dgm:constrLst>
      <dgm:constr type="w" for="ch" forName="node" refType="w"/>
      <dgm:constr type="h" for="ch" forName="node" refType="w" refFor="ch" refForName="node" fact="0.6"/>
      <dgm:constr type="w" for="ch" forName="sibTrans" refType="w" refFor="ch" refForName="node" fact="0.1"/>
      <dgm:constr type="sp" refType="w" refFor="ch" refForName="sibTrans"/>
      <dgm:constr type="primFontSz" for="ch" forName="node" op="equ" val="65"/>
    </dgm:constrLst>
    <dgm:ruleLst/>
    <dgm:forEach name="Name3" axis="ch" ptType="node">
      <dgm:layoutNode name="node">
        <dgm:varLst>
          <dgm:bulletEnabled val="1"/>
        </dgm:varLst>
        <dgm:alg type="tx"/>
        <dgm:shape xmlns:r="http://schemas.openxmlformats.org/officeDocument/2006/relationships" type="rect" r:blip="">
          <dgm:adjLst/>
        </dgm:shape>
        <dgm:presOf axis="desOr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forEach name="Name4" axis="followSib" ptType="sibTrans" cnt="1">
        <dgm:layoutNode name="sibTrans">
          <dgm:alg type="sp"/>
          <dgm:shape xmlns:r="http://schemas.openxmlformats.org/officeDocument/2006/relationships" r:blip="">
            <dgm:adjLst/>
          </dgm:shape>
          <dgm:presOf/>
          <dgm:constrLst/>
          <dgm:ruleLst/>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default">
  <dgm:title val=""/>
  <dgm:desc val=""/>
  <dgm:catLst>
    <dgm:cat type="list" pri="4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6" srcId="0" destId="1" srcOrd="0" destOrd="0"/>
        <dgm:cxn modelId="7" srcId="0" destId="2" srcOrd="1" destOrd="0"/>
        <dgm:cxn modelId="8" srcId="0" destId="3" srcOrd="2" destOrd="0"/>
        <dgm:cxn modelId="9" srcId="0" destId="4" srcOrd="3" destOrd="0"/>
        <dgm:cxn modelId="10" srcId="0" destId="5" srcOrd="4"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 modelId="5"/>
        <dgm:pt modelId="6"/>
      </dgm:ptLst>
      <dgm:cxnLst>
        <dgm:cxn modelId="7" srcId="0" destId="1" srcOrd="0" destOrd="0"/>
        <dgm:cxn modelId="8" srcId="0" destId="2" srcOrd="1" destOrd="0"/>
        <dgm:cxn modelId="9" srcId="0" destId="3" srcOrd="2" destOrd="0"/>
        <dgm:cxn modelId="10" srcId="0" destId="4" srcOrd="3" destOrd="0"/>
        <dgm:cxn modelId="11" srcId="0" destId="5" srcOrd="4" destOrd="0"/>
        <dgm:cxn modelId="12" srcId="0" destId="6" srcOrd="5" destOrd="0"/>
      </dgm:cxnLst>
      <dgm:bg/>
      <dgm:whole/>
    </dgm:dataModel>
  </dgm:clrData>
  <dgm:layoutNode name="diagram">
    <dgm:varLst>
      <dgm:dir/>
      <dgm:resizeHandles val="exact"/>
    </dgm:varLst>
    <dgm:choose name="Name0">
      <dgm:if name="Name1" func="var" arg="dir" op="equ" val="norm">
        <dgm:alg type="snake">
          <dgm:param type="grDir" val="tL"/>
          <dgm:param type="flowDir" val="row"/>
          <dgm:param type="contDir" val="sameDir"/>
          <dgm:param type="off" val="ctr"/>
        </dgm:alg>
      </dgm:if>
      <dgm:else name="Name2">
        <dgm:alg type="snake">
          <dgm:param type="grDir" val="tR"/>
          <dgm:param type="flowDir" val="row"/>
          <dgm:param type="contDir" val="sameDir"/>
          <dgm:param type="off" val="ctr"/>
        </dgm:alg>
      </dgm:else>
    </dgm:choose>
    <dgm:shape xmlns:r="http://schemas.openxmlformats.org/officeDocument/2006/relationships" r:blip="">
      <dgm:adjLst/>
    </dgm:shape>
    <dgm:presOf/>
    <dgm:constrLst>
      <dgm:constr type="w" for="ch" forName="node" refType="w"/>
      <dgm:constr type="h" for="ch" forName="node" refType="w" refFor="ch" refForName="node" fact="0.6"/>
      <dgm:constr type="w" for="ch" forName="sibTrans" refType="w" refFor="ch" refForName="node" fact="0.1"/>
      <dgm:constr type="sp" refType="w" refFor="ch" refForName="sibTrans"/>
      <dgm:constr type="primFontSz" for="ch" forName="node" op="equ" val="65"/>
    </dgm:constrLst>
    <dgm:ruleLst/>
    <dgm:forEach name="Name3" axis="ch" ptType="node">
      <dgm:layoutNode name="node">
        <dgm:varLst>
          <dgm:bulletEnabled val="1"/>
        </dgm:varLst>
        <dgm:alg type="tx"/>
        <dgm:shape xmlns:r="http://schemas.openxmlformats.org/officeDocument/2006/relationships" type="rect" r:blip="">
          <dgm:adjLst/>
        </dgm:shape>
        <dgm:presOf axis="desOr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forEach name="Name4" axis="followSib" ptType="sibTrans" cnt="1">
        <dgm:layoutNode name="sibTrans">
          <dgm:alg type="sp"/>
          <dgm:shape xmlns:r="http://schemas.openxmlformats.org/officeDocument/2006/relationships" r:blip="">
            <dgm:adjLst/>
          </dgm:shape>
          <dgm:presOf/>
          <dgm:constrLst/>
          <dgm:ruleLst/>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default">
  <dgm:title val=""/>
  <dgm:desc val=""/>
  <dgm:catLst>
    <dgm:cat type="list" pri="4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6" srcId="0" destId="1" srcOrd="0" destOrd="0"/>
        <dgm:cxn modelId="7" srcId="0" destId="2" srcOrd="1" destOrd="0"/>
        <dgm:cxn modelId="8" srcId="0" destId="3" srcOrd="2" destOrd="0"/>
        <dgm:cxn modelId="9" srcId="0" destId="4" srcOrd="3" destOrd="0"/>
        <dgm:cxn modelId="10" srcId="0" destId="5" srcOrd="4"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 modelId="5"/>
        <dgm:pt modelId="6"/>
      </dgm:ptLst>
      <dgm:cxnLst>
        <dgm:cxn modelId="7" srcId="0" destId="1" srcOrd="0" destOrd="0"/>
        <dgm:cxn modelId="8" srcId="0" destId="2" srcOrd="1" destOrd="0"/>
        <dgm:cxn modelId="9" srcId="0" destId="3" srcOrd="2" destOrd="0"/>
        <dgm:cxn modelId="10" srcId="0" destId="4" srcOrd="3" destOrd="0"/>
        <dgm:cxn modelId="11" srcId="0" destId="5" srcOrd="4" destOrd="0"/>
        <dgm:cxn modelId="12" srcId="0" destId="6" srcOrd="5" destOrd="0"/>
      </dgm:cxnLst>
      <dgm:bg/>
      <dgm:whole/>
    </dgm:dataModel>
  </dgm:clrData>
  <dgm:layoutNode name="diagram">
    <dgm:varLst>
      <dgm:dir/>
      <dgm:resizeHandles val="exact"/>
    </dgm:varLst>
    <dgm:choose name="Name0">
      <dgm:if name="Name1" func="var" arg="dir" op="equ" val="norm">
        <dgm:alg type="snake">
          <dgm:param type="grDir" val="tL"/>
          <dgm:param type="flowDir" val="row"/>
          <dgm:param type="contDir" val="sameDir"/>
          <dgm:param type="off" val="ctr"/>
        </dgm:alg>
      </dgm:if>
      <dgm:else name="Name2">
        <dgm:alg type="snake">
          <dgm:param type="grDir" val="tR"/>
          <dgm:param type="flowDir" val="row"/>
          <dgm:param type="contDir" val="sameDir"/>
          <dgm:param type="off" val="ctr"/>
        </dgm:alg>
      </dgm:else>
    </dgm:choose>
    <dgm:shape xmlns:r="http://schemas.openxmlformats.org/officeDocument/2006/relationships" r:blip="">
      <dgm:adjLst/>
    </dgm:shape>
    <dgm:presOf/>
    <dgm:constrLst>
      <dgm:constr type="w" for="ch" forName="node" refType="w"/>
      <dgm:constr type="h" for="ch" forName="node" refType="w" refFor="ch" refForName="node" fact="0.6"/>
      <dgm:constr type="w" for="ch" forName="sibTrans" refType="w" refFor="ch" refForName="node" fact="0.1"/>
      <dgm:constr type="sp" refType="w" refFor="ch" refForName="sibTrans"/>
      <dgm:constr type="primFontSz" for="ch" forName="node" op="equ" val="65"/>
    </dgm:constrLst>
    <dgm:ruleLst/>
    <dgm:forEach name="Name3" axis="ch" ptType="node">
      <dgm:layoutNode name="node">
        <dgm:varLst>
          <dgm:bulletEnabled val="1"/>
        </dgm:varLst>
        <dgm:alg type="tx"/>
        <dgm:shape xmlns:r="http://schemas.openxmlformats.org/officeDocument/2006/relationships" type="rect" r:blip="">
          <dgm:adjLst/>
        </dgm:shape>
        <dgm:presOf axis="desOr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forEach name="Name4" axis="followSib" ptType="sibTrans" cnt="1">
        <dgm:layoutNode name="sibTrans">
          <dgm:alg type="sp"/>
          <dgm:shape xmlns:r="http://schemas.openxmlformats.org/officeDocument/2006/relationships" r:blip="">
            <dgm:adjLst/>
          </dgm:shape>
          <dgm:presOf/>
          <dgm:constrLst/>
          <dgm:ruleLst/>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default">
  <dgm:title val=""/>
  <dgm:desc val=""/>
  <dgm:catLst>
    <dgm:cat type="list" pri="4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6" srcId="0" destId="1" srcOrd="0" destOrd="0"/>
        <dgm:cxn modelId="7" srcId="0" destId="2" srcOrd="1" destOrd="0"/>
        <dgm:cxn modelId="8" srcId="0" destId="3" srcOrd="2" destOrd="0"/>
        <dgm:cxn modelId="9" srcId="0" destId="4" srcOrd="3" destOrd="0"/>
        <dgm:cxn modelId="10" srcId="0" destId="5" srcOrd="4"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 modelId="5"/>
        <dgm:pt modelId="6"/>
      </dgm:ptLst>
      <dgm:cxnLst>
        <dgm:cxn modelId="7" srcId="0" destId="1" srcOrd="0" destOrd="0"/>
        <dgm:cxn modelId="8" srcId="0" destId="2" srcOrd="1" destOrd="0"/>
        <dgm:cxn modelId="9" srcId="0" destId="3" srcOrd="2" destOrd="0"/>
        <dgm:cxn modelId="10" srcId="0" destId="4" srcOrd="3" destOrd="0"/>
        <dgm:cxn modelId="11" srcId="0" destId="5" srcOrd="4" destOrd="0"/>
        <dgm:cxn modelId="12" srcId="0" destId="6" srcOrd="5" destOrd="0"/>
      </dgm:cxnLst>
      <dgm:bg/>
      <dgm:whole/>
    </dgm:dataModel>
  </dgm:clrData>
  <dgm:layoutNode name="diagram">
    <dgm:varLst>
      <dgm:dir/>
      <dgm:resizeHandles val="exact"/>
    </dgm:varLst>
    <dgm:choose name="Name0">
      <dgm:if name="Name1" func="var" arg="dir" op="equ" val="norm">
        <dgm:alg type="snake">
          <dgm:param type="grDir" val="tL"/>
          <dgm:param type="flowDir" val="row"/>
          <dgm:param type="contDir" val="sameDir"/>
          <dgm:param type="off" val="ctr"/>
        </dgm:alg>
      </dgm:if>
      <dgm:else name="Name2">
        <dgm:alg type="snake">
          <dgm:param type="grDir" val="tR"/>
          <dgm:param type="flowDir" val="row"/>
          <dgm:param type="contDir" val="sameDir"/>
          <dgm:param type="off" val="ctr"/>
        </dgm:alg>
      </dgm:else>
    </dgm:choose>
    <dgm:shape xmlns:r="http://schemas.openxmlformats.org/officeDocument/2006/relationships" r:blip="">
      <dgm:adjLst/>
    </dgm:shape>
    <dgm:presOf/>
    <dgm:constrLst>
      <dgm:constr type="w" for="ch" forName="node" refType="w"/>
      <dgm:constr type="h" for="ch" forName="node" refType="w" refFor="ch" refForName="node" fact="0.6"/>
      <dgm:constr type="w" for="ch" forName="sibTrans" refType="w" refFor="ch" refForName="node" fact="0.1"/>
      <dgm:constr type="sp" refType="w" refFor="ch" refForName="sibTrans"/>
      <dgm:constr type="primFontSz" for="ch" forName="node" op="equ" val="65"/>
    </dgm:constrLst>
    <dgm:ruleLst/>
    <dgm:forEach name="Name3" axis="ch" ptType="node">
      <dgm:layoutNode name="node">
        <dgm:varLst>
          <dgm:bulletEnabled val="1"/>
        </dgm:varLst>
        <dgm:alg type="tx"/>
        <dgm:shape xmlns:r="http://schemas.openxmlformats.org/officeDocument/2006/relationships" type="rect" r:blip="">
          <dgm:adjLst/>
        </dgm:shape>
        <dgm:presOf axis="desOr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forEach name="Name4" axis="followSib" ptType="sibTrans" cnt="1">
        <dgm:layoutNode name="sibTrans">
          <dgm:alg type="sp"/>
          <dgm:shape xmlns:r="http://schemas.openxmlformats.org/officeDocument/2006/relationships" r:blip="">
            <dgm:adjLst/>
          </dgm:shape>
          <dgm:presOf/>
          <dgm:constrLst/>
          <dgm:ruleLst/>
        </dgm:layoutNode>
      </dgm:forEach>
    </dgm:forEach>
  </dgm:layoutNode>
</dgm:layoutDef>
</file>

<file path=xl/diagrams/layout5.xml><?xml version="1.0" encoding="utf-8"?>
<dgm:layoutDef xmlns:dgm="http://schemas.openxmlformats.org/drawingml/2006/diagram" xmlns:a="http://schemas.openxmlformats.org/drawingml/2006/main" uniqueId="urn:microsoft.com/office/officeart/2005/8/layout/default">
  <dgm:title val=""/>
  <dgm:desc val=""/>
  <dgm:catLst>
    <dgm:cat type="list" pri="4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6" srcId="0" destId="1" srcOrd="0" destOrd="0"/>
        <dgm:cxn modelId="7" srcId="0" destId="2" srcOrd="1" destOrd="0"/>
        <dgm:cxn modelId="8" srcId="0" destId="3" srcOrd="2" destOrd="0"/>
        <dgm:cxn modelId="9" srcId="0" destId="4" srcOrd="3" destOrd="0"/>
        <dgm:cxn modelId="10" srcId="0" destId="5" srcOrd="4"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 modelId="5"/>
        <dgm:pt modelId="6"/>
      </dgm:ptLst>
      <dgm:cxnLst>
        <dgm:cxn modelId="7" srcId="0" destId="1" srcOrd="0" destOrd="0"/>
        <dgm:cxn modelId="8" srcId="0" destId="2" srcOrd="1" destOrd="0"/>
        <dgm:cxn modelId="9" srcId="0" destId="3" srcOrd="2" destOrd="0"/>
        <dgm:cxn modelId="10" srcId="0" destId="4" srcOrd="3" destOrd="0"/>
        <dgm:cxn modelId="11" srcId="0" destId="5" srcOrd="4" destOrd="0"/>
        <dgm:cxn modelId="12" srcId="0" destId="6" srcOrd="5" destOrd="0"/>
      </dgm:cxnLst>
      <dgm:bg/>
      <dgm:whole/>
    </dgm:dataModel>
  </dgm:clrData>
  <dgm:layoutNode name="diagram">
    <dgm:varLst>
      <dgm:dir/>
      <dgm:resizeHandles val="exact"/>
    </dgm:varLst>
    <dgm:choose name="Name0">
      <dgm:if name="Name1" func="var" arg="dir" op="equ" val="norm">
        <dgm:alg type="snake">
          <dgm:param type="grDir" val="tL"/>
          <dgm:param type="flowDir" val="row"/>
          <dgm:param type="contDir" val="sameDir"/>
          <dgm:param type="off" val="ctr"/>
        </dgm:alg>
      </dgm:if>
      <dgm:else name="Name2">
        <dgm:alg type="snake">
          <dgm:param type="grDir" val="tR"/>
          <dgm:param type="flowDir" val="row"/>
          <dgm:param type="contDir" val="sameDir"/>
          <dgm:param type="off" val="ctr"/>
        </dgm:alg>
      </dgm:else>
    </dgm:choose>
    <dgm:shape xmlns:r="http://schemas.openxmlformats.org/officeDocument/2006/relationships" r:blip="">
      <dgm:adjLst/>
    </dgm:shape>
    <dgm:presOf/>
    <dgm:constrLst>
      <dgm:constr type="w" for="ch" forName="node" refType="w"/>
      <dgm:constr type="h" for="ch" forName="node" refType="w" refFor="ch" refForName="node" fact="0.6"/>
      <dgm:constr type="w" for="ch" forName="sibTrans" refType="w" refFor="ch" refForName="node" fact="0.1"/>
      <dgm:constr type="sp" refType="w" refFor="ch" refForName="sibTrans"/>
      <dgm:constr type="primFontSz" for="ch" forName="node" op="equ" val="65"/>
    </dgm:constrLst>
    <dgm:ruleLst/>
    <dgm:forEach name="Name3" axis="ch" ptType="node">
      <dgm:layoutNode name="node">
        <dgm:varLst>
          <dgm:bulletEnabled val="1"/>
        </dgm:varLst>
        <dgm:alg type="tx"/>
        <dgm:shape xmlns:r="http://schemas.openxmlformats.org/officeDocument/2006/relationships" type="rect" r:blip="">
          <dgm:adjLst/>
        </dgm:shape>
        <dgm:presOf axis="desOr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forEach name="Name4" axis="followSib" ptType="sibTrans" cnt="1">
        <dgm:layoutNode name="sibTrans">
          <dgm:alg type="sp"/>
          <dgm:shape xmlns:r="http://schemas.openxmlformats.org/officeDocument/2006/relationships" r:blip="">
            <dgm:adjLst/>
          </dgm:shape>
          <dgm:presOf/>
          <dgm:constrLst/>
          <dgm:ruleLst/>
        </dgm:layoutNode>
      </dgm:forEach>
    </dgm:forEach>
  </dgm:layoutNode>
</dgm:layoutDef>
</file>

<file path=xl/diagrams/layout6.xml><?xml version="1.0" encoding="utf-8"?>
<dgm:layoutDef xmlns:dgm="http://schemas.openxmlformats.org/drawingml/2006/diagram" xmlns:a="http://schemas.openxmlformats.org/drawingml/2006/main" uniqueId="urn:microsoft.com/office/officeart/2005/8/layout/default">
  <dgm:title val=""/>
  <dgm:desc val=""/>
  <dgm:catLst>
    <dgm:cat type="list" pri="4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6" srcId="0" destId="1" srcOrd="0" destOrd="0"/>
        <dgm:cxn modelId="7" srcId="0" destId="2" srcOrd="1" destOrd="0"/>
        <dgm:cxn modelId="8" srcId="0" destId="3" srcOrd="2" destOrd="0"/>
        <dgm:cxn modelId="9" srcId="0" destId="4" srcOrd="3" destOrd="0"/>
        <dgm:cxn modelId="10" srcId="0" destId="5" srcOrd="4"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 modelId="5"/>
        <dgm:pt modelId="6"/>
      </dgm:ptLst>
      <dgm:cxnLst>
        <dgm:cxn modelId="7" srcId="0" destId="1" srcOrd="0" destOrd="0"/>
        <dgm:cxn modelId="8" srcId="0" destId="2" srcOrd="1" destOrd="0"/>
        <dgm:cxn modelId="9" srcId="0" destId="3" srcOrd="2" destOrd="0"/>
        <dgm:cxn modelId="10" srcId="0" destId="4" srcOrd="3" destOrd="0"/>
        <dgm:cxn modelId="11" srcId="0" destId="5" srcOrd="4" destOrd="0"/>
        <dgm:cxn modelId="12" srcId="0" destId="6" srcOrd="5" destOrd="0"/>
      </dgm:cxnLst>
      <dgm:bg/>
      <dgm:whole/>
    </dgm:dataModel>
  </dgm:clrData>
  <dgm:layoutNode name="diagram">
    <dgm:varLst>
      <dgm:dir/>
      <dgm:resizeHandles val="exact"/>
    </dgm:varLst>
    <dgm:choose name="Name0">
      <dgm:if name="Name1" func="var" arg="dir" op="equ" val="norm">
        <dgm:alg type="snake">
          <dgm:param type="grDir" val="tL"/>
          <dgm:param type="flowDir" val="row"/>
          <dgm:param type="contDir" val="sameDir"/>
          <dgm:param type="off" val="ctr"/>
        </dgm:alg>
      </dgm:if>
      <dgm:else name="Name2">
        <dgm:alg type="snake">
          <dgm:param type="grDir" val="tR"/>
          <dgm:param type="flowDir" val="row"/>
          <dgm:param type="contDir" val="sameDir"/>
          <dgm:param type="off" val="ctr"/>
        </dgm:alg>
      </dgm:else>
    </dgm:choose>
    <dgm:shape xmlns:r="http://schemas.openxmlformats.org/officeDocument/2006/relationships" r:blip="">
      <dgm:adjLst/>
    </dgm:shape>
    <dgm:presOf/>
    <dgm:constrLst>
      <dgm:constr type="w" for="ch" forName="node" refType="w"/>
      <dgm:constr type="h" for="ch" forName="node" refType="w" refFor="ch" refForName="node" fact="0.6"/>
      <dgm:constr type="w" for="ch" forName="sibTrans" refType="w" refFor="ch" refForName="node" fact="0.1"/>
      <dgm:constr type="sp" refType="w" refFor="ch" refForName="sibTrans"/>
      <dgm:constr type="primFontSz" for="ch" forName="node" op="equ" val="65"/>
    </dgm:constrLst>
    <dgm:ruleLst/>
    <dgm:forEach name="Name3" axis="ch" ptType="node">
      <dgm:layoutNode name="node">
        <dgm:varLst>
          <dgm:bulletEnabled val="1"/>
        </dgm:varLst>
        <dgm:alg type="tx"/>
        <dgm:shape xmlns:r="http://schemas.openxmlformats.org/officeDocument/2006/relationships" type="rect" r:blip="">
          <dgm:adjLst/>
        </dgm:shape>
        <dgm:presOf axis="desOr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forEach name="Name4" axis="followSib" ptType="sibTrans" cnt="1">
        <dgm:layoutNode name="sibTrans">
          <dgm:alg type="sp"/>
          <dgm:shape xmlns:r="http://schemas.openxmlformats.org/officeDocument/2006/relationships" r:blip="">
            <dgm:adjLst/>
          </dgm:shape>
          <dgm:presOf/>
          <dgm:constrLst/>
          <dgm:ruleLst/>
        </dgm:layoutNode>
      </dgm:forEach>
    </dgm:forEach>
  </dgm:layoutNode>
</dgm:layoutDef>
</file>

<file path=xl/diagrams/layout7.xml><?xml version="1.0" encoding="utf-8"?>
<dgm:layoutDef xmlns:dgm="http://schemas.openxmlformats.org/drawingml/2006/diagram" xmlns:a="http://schemas.openxmlformats.org/drawingml/2006/main" uniqueId="urn:microsoft.com/office/officeart/2005/8/layout/default">
  <dgm:title val=""/>
  <dgm:desc val=""/>
  <dgm:catLst>
    <dgm:cat type="list" pri="4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6" srcId="0" destId="1" srcOrd="0" destOrd="0"/>
        <dgm:cxn modelId="7" srcId="0" destId="2" srcOrd="1" destOrd="0"/>
        <dgm:cxn modelId="8" srcId="0" destId="3" srcOrd="2" destOrd="0"/>
        <dgm:cxn modelId="9" srcId="0" destId="4" srcOrd="3" destOrd="0"/>
        <dgm:cxn modelId="10" srcId="0" destId="5" srcOrd="4"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 modelId="5"/>
        <dgm:pt modelId="6"/>
      </dgm:ptLst>
      <dgm:cxnLst>
        <dgm:cxn modelId="7" srcId="0" destId="1" srcOrd="0" destOrd="0"/>
        <dgm:cxn modelId="8" srcId="0" destId="2" srcOrd="1" destOrd="0"/>
        <dgm:cxn modelId="9" srcId="0" destId="3" srcOrd="2" destOrd="0"/>
        <dgm:cxn modelId="10" srcId="0" destId="4" srcOrd="3" destOrd="0"/>
        <dgm:cxn modelId="11" srcId="0" destId="5" srcOrd="4" destOrd="0"/>
        <dgm:cxn modelId="12" srcId="0" destId="6" srcOrd="5" destOrd="0"/>
      </dgm:cxnLst>
      <dgm:bg/>
      <dgm:whole/>
    </dgm:dataModel>
  </dgm:clrData>
  <dgm:layoutNode name="diagram">
    <dgm:varLst>
      <dgm:dir/>
      <dgm:resizeHandles val="exact"/>
    </dgm:varLst>
    <dgm:choose name="Name0">
      <dgm:if name="Name1" func="var" arg="dir" op="equ" val="norm">
        <dgm:alg type="snake">
          <dgm:param type="grDir" val="tL"/>
          <dgm:param type="flowDir" val="row"/>
          <dgm:param type="contDir" val="sameDir"/>
          <dgm:param type="off" val="ctr"/>
        </dgm:alg>
      </dgm:if>
      <dgm:else name="Name2">
        <dgm:alg type="snake">
          <dgm:param type="grDir" val="tR"/>
          <dgm:param type="flowDir" val="row"/>
          <dgm:param type="contDir" val="sameDir"/>
          <dgm:param type="off" val="ctr"/>
        </dgm:alg>
      </dgm:else>
    </dgm:choose>
    <dgm:shape xmlns:r="http://schemas.openxmlformats.org/officeDocument/2006/relationships" r:blip="">
      <dgm:adjLst/>
    </dgm:shape>
    <dgm:presOf/>
    <dgm:constrLst>
      <dgm:constr type="w" for="ch" forName="node" refType="w"/>
      <dgm:constr type="h" for="ch" forName="node" refType="w" refFor="ch" refForName="node" fact="0.6"/>
      <dgm:constr type="w" for="ch" forName="sibTrans" refType="w" refFor="ch" refForName="node" fact="0.1"/>
      <dgm:constr type="sp" refType="w" refFor="ch" refForName="sibTrans"/>
      <dgm:constr type="primFontSz" for="ch" forName="node" op="equ" val="65"/>
    </dgm:constrLst>
    <dgm:ruleLst/>
    <dgm:forEach name="Name3" axis="ch" ptType="node">
      <dgm:layoutNode name="node">
        <dgm:varLst>
          <dgm:bulletEnabled val="1"/>
        </dgm:varLst>
        <dgm:alg type="tx"/>
        <dgm:shape xmlns:r="http://schemas.openxmlformats.org/officeDocument/2006/relationships" type="rect" r:blip="">
          <dgm:adjLst/>
        </dgm:shape>
        <dgm:presOf axis="desOr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forEach name="Name4" axis="followSib" ptType="sibTrans" cnt="1">
        <dgm:layoutNode name="sibTrans">
          <dgm:alg type="sp"/>
          <dgm:shape xmlns:r="http://schemas.openxmlformats.org/officeDocument/2006/relationships" r:blip="">
            <dgm:adjLst/>
          </dgm:shape>
          <dgm:presO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5.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6.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7.xml><?xml version="1.0" encoding="utf-8"?>
<dgm:styleDef xmlns:dgm="http://schemas.openxmlformats.org/drawingml/2006/diagram" xmlns:a="http://schemas.openxmlformats.org/drawingml/2006/main" uniqueId="urn:microsoft.com/office/officeart/2005/8/quickstyle/3d1">
  <dgm:title val=""/>
  <dgm:desc val=""/>
  <dgm:catLst>
    <dgm:cat type="3D" pri="11100"/>
  </dgm:catLst>
  <dgm:scene3d>
    <a:camera prst="orthographicFront"/>
    <a:lightRig rig="threePt" dir="t"/>
  </dgm:scene3d>
  <dgm:styleLbl name="node0">
    <dgm:scene3d>
      <a:camera prst="orthographicFront"/>
      <a:lightRig rig="flat" dir="t"/>
    </dgm:scene3d>
    <dgm:sp3d prstMaterial="plastic">
      <a:bevelT w="120900" h="88900"/>
      <a:bevelB w="88900" h="31750" prst="angle"/>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vennNode1">
    <dgm:scene3d>
      <a:camera prst="orthographicFront"/>
      <a:lightRig rig="flat" dir="t"/>
    </dgm:scene3d>
    <dgm:sp3d prstMaterial="plastic">
      <a:bevelT w="120900" h="88900"/>
      <a:bevelB w="88900" h="31750" prst="angle"/>
    </dgm:sp3d>
    <dgm:txPr/>
    <dgm:style>
      <a:lnRef idx="0">
        <a:scrgbClr r="0" g="0" b="0"/>
      </a:lnRef>
      <a:fillRef idx="1">
        <a:scrgbClr r="0" g="0" b="0"/>
      </a:fillRef>
      <a:effectRef idx="1">
        <a:scrgbClr r="0" g="0" b="0"/>
      </a:effectRef>
      <a:fontRef idx="minor">
        <a:schemeClr val="tx1"/>
      </a:fontRef>
    </dgm:style>
  </dgm:styleLbl>
  <dgm:styleLbl name="alignNode1">
    <dgm:scene3d>
      <a:camera prst="orthographicFront"/>
      <a:lightRig rig="flat" dir="t"/>
    </dgm:scene3d>
    <dgm:sp3d prstMaterial="plastic">
      <a:bevelT w="120900" h="88900"/>
      <a:bevelB w="88900" h="31750" prst="angle"/>
    </dgm:sp3d>
    <dgm:txPr/>
    <dgm:style>
      <a:lnRef idx="1">
        <a:scrgbClr r="0" g="0" b="0"/>
      </a:lnRef>
      <a:fillRef idx="3">
        <a:scrgbClr r="0" g="0" b="0"/>
      </a:fillRef>
      <a:effectRef idx="2">
        <a:scrgbClr r="0" g="0" b="0"/>
      </a:effectRef>
      <a:fontRef idx="minor">
        <a:schemeClr val="lt1"/>
      </a:fontRef>
    </dgm:style>
  </dgm:styleLbl>
  <dgm:styleLbl name="node1">
    <dgm:scene3d>
      <a:camera prst="orthographicFront"/>
      <a:lightRig rig="flat" dir="t"/>
    </dgm:scene3d>
    <dgm:sp3d prstMaterial="plastic">
      <a:bevelT w="120900" h="88900"/>
      <a:bevelB w="88900" h="31750" prst="angle"/>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node3">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node4">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fgImgPlace1">
    <dgm:scene3d>
      <a:camera prst="orthographicFront"/>
      <a:lightRig rig="flat" dir="t"/>
    </dgm:scene3d>
    <dgm:sp3d z="127000" prstMaterial="plastic">
      <a:bevelT w="88900" h="88900"/>
      <a:bevelB w="88900" h="31750" prst="angle"/>
    </dgm:sp3d>
    <dgm:txPr/>
    <dgm:style>
      <a:lnRef idx="0">
        <a:scrgbClr r="0" g="0" b="0"/>
      </a:lnRef>
      <a:fillRef idx="3">
        <a:scrgbClr r="0" g="0" b="0"/>
      </a:fillRef>
      <a:effectRef idx="2">
        <a:scrgbClr r="0" g="0" b="0"/>
      </a:effectRef>
      <a:fontRef idx="minor"/>
    </dgm:style>
  </dgm:styleLbl>
  <dgm:styleLbl name="alignImgPlace1">
    <dgm:scene3d>
      <a:camera prst="orthographicFront"/>
      <a:lightRig rig="flat" dir="t"/>
    </dgm:scene3d>
    <dgm:sp3d prstMaterial="plastic">
      <a:bevelT w="88900" h="88900"/>
      <a:bevelB w="88900" h="31750" prst="angle"/>
    </dgm:sp3d>
    <dgm:txPr/>
    <dgm:style>
      <a:lnRef idx="0">
        <a:scrgbClr r="0" g="0" b="0"/>
      </a:lnRef>
      <a:fillRef idx="3">
        <a:scrgbClr r="0" g="0" b="0"/>
      </a:fillRef>
      <a:effectRef idx="2">
        <a:scrgbClr r="0" g="0" b="0"/>
      </a:effectRef>
      <a:fontRef idx="minor"/>
    </dgm:style>
  </dgm:styleLbl>
  <dgm:styleLbl name="bgImgPlace1">
    <dgm:scene3d>
      <a:camera prst="orthographicFront"/>
      <a:lightRig rig="flat" dir="t"/>
    </dgm:scene3d>
    <dgm:sp3d z="-190500" prstMaterial="plastic">
      <a:bevelT w="88900" h="88900"/>
      <a:bevelB w="88900" h="31750" prst="angle"/>
    </dgm:sp3d>
    <dgm:txPr/>
    <dgm:style>
      <a:lnRef idx="0">
        <a:scrgbClr r="0" g="0" b="0"/>
      </a:lnRef>
      <a:fillRef idx="3">
        <a:scrgbClr r="0" g="0" b="0"/>
      </a:fillRef>
      <a:effectRef idx="2">
        <a:scrgbClr r="0" g="0" b="0"/>
      </a:effectRef>
      <a:fontRef idx="minor"/>
    </dgm:style>
  </dgm:styleLbl>
  <dgm:styleLbl name="sibTrans2D1">
    <dgm:scene3d>
      <a:camera prst="orthographicFront"/>
      <a:lightRig rig="flat" dir="t"/>
    </dgm:scene3d>
    <dgm:sp3d z="-80000" prstMaterial="plastic">
      <a:bevelT w="50800" h="50800"/>
      <a:bevelB w="25400" h="25400" prst="angle"/>
    </dgm:sp3d>
    <dgm:txPr/>
    <dgm:style>
      <a:lnRef idx="0">
        <a:scrgbClr r="0" g="0" b="0"/>
      </a:lnRef>
      <a:fillRef idx="3">
        <a:scrgbClr r="0" g="0" b="0"/>
      </a:fillRef>
      <a:effectRef idx="2">
        <a:scrgbClr r="0" g="0" b="0"/>
      </a:effectRef>
      <a:fontRef idx="minor">
        <a:schemeClr val="lt1"/>
      </a:fontRef>
    </dgm:style>
  </dgm:styleLbl>
  <dgm:styleLbl name="fgSibTrans2D1">
    <dgm:scene3d>
      <a:camera prst="orthographicFront"/>
      <a:lightRig rig="flat" dir="t"/>
    </dgm:scene3d>
    <dgm:sp3d z="127000" prstMaterial="plastic">
      <a:bevelT w="50800" h="50800"/>
      <a:bevelB w="25400" h="25400" prst="angle"/>
    </dgm:sp3d>
    <dgm:txPr/>
    <dgm:style>
      <a:lnRef idx="0">
        <a:scrgbClr r="0" g="0" b="0"/>
      </a:lnRef>
      <a:fillRef idx="3">
        <a:scrgbClr r="0" g="0" b="0"/>
      </a:fillRef>
      <a:effectRef idx="2">
        <a:scrgbClr r="0" g="0" b="0"/>
      </a:effectRef>
      <a:fontRef idx="minor">
        <a:schemeClr val="lt1"/>
      </a:fontRef>
    </dgm:style>
  </dgm:styleLbl>
  <dgm:styleLbl name="bgSibTrans2D1">
    <dgm:scene3d>
      <a:camera prst="orthographicFront"/>
      <a:lightRig rig="flat" dir="t"/>
    </dgm:scene3d>
    <dgm:sp3d z="-190500" prstMaterial="plastic">
      <a:bevelT w="50800" h="50800"/>
      <a:bevelB w="25400" h="25400" prst="angle"/>
    </dgm:sp3d>
    <dgm:txPr/>
    <dgm:style>
      <a:lnRef idx="0">
        <a:scrgbClr r="0" g="0" b="0"/>
      </a:lnRef>
      <a:fillRef idx="3">
        <a:scrgbClr r="0" g="0" b="0"/>
      </a:fillRef>
      <a:effectRef idx="2">
        <a:scrgbClr r="0" g="0" b="0"/>
      </a:effectRef>
      <a:fontRef idx="minor">
        <a:schemeClr val="lt1"/>
      </a:fontRef>
    </dgm:style>
  </dgm:styleLbl>
  <dgm:styleLbl name="sibTrans1D1">
    <dgm:scene3d>
      <a:camera prst="orthographicFront"/>
      <a:lightRig rig="flat" dir="t"/>
    </dgm:scene3d>
    <dgm:sp3d z="-40000" prstMaterial="matte"/>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z="127000" prstMaterial="matte"/>
    <dgm:txPr/>
    <dgm:style>
      <a:lnRef idx="2">
        <a:scrgbClr r="0" g="0" b="0"/>
      </a:lnRef>
      <a:fillRef idx="1">
        <a:scrgbClr r="0" g="0" b="0"/>
      </a:fillRef>
      <a:effectRef idx="0">
        <a:scrgbClr r="0" g="0" b="0"/>
      </a:effectRef>
      <a:fontRef idx="minor"/>
    </dgm:style>
  </dgm:styleLbl>
  <dgm:styleLbl name="asst0">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asst1">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asst2">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asst3">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1">
    <dgm:scene3d>
      <a:camera prst="orthographicFront"/>
      <a:lightRig rig="flat" dir="t"/>
    </dgm:scene3d>
    <dgm:sp3d z="-10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2">
    <dgm:scene3d>
      <a:camera prst="orthographicFront"/>
      <a:lightRig rig="flat" dir="t"/>
    </dgm:scene3d>
    <dgm:sp3d z="-6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3">
    <dgm:scene3d>
      <a:camera prst="orthographicFront"/>
      <a:lightRig rig="flat" dir="t"/>
    </dgm:scene3d>
    <dgm:sp3d z="-6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4">
    <dgm:scene3d>
      <a:camera prst="orthographicFront"/>
      <a:lightRig rig="flat" dir="t"/>
    </dgm:scene3d>
    <dgm:sp3d z="-6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1D1">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parChTrans1D2">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parChTrans1D3">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parChTrans1D4">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f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conF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alignAcc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trAlignAcc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b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solidF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solidAlignAcc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solidB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FollowNode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alignAccFollowNode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bgAccFollowNode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0">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2">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3">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4">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bgShp">
    <dgm:scene3d>
      <a:camera prst="orthographicFront"/>
      <a:lightRig rig="flat" dir="t"/>
    </dgm:scene3d>
    <dgm:sp3d z="-190500" extrusionH="12700" prstMaterial="plastic">
      <a:bevelT w="50800" h="50800"/>
    </dgm:sp3d>
    <dgm:txPr/>
    <dgm:style>
      <a:lnRef idx="0">
        <a:scrgbClr r="0" g="0" b="0"/>
      </a:lnRef>
      <a:fillRef idx="3">
        <a:scrgbClr r="0" g="0" b="0"/>
      </a:fillRef>
      <a:effectRef idx="0">
        <a:scrgbClr r="0" g="0" b="0"/>
      </a:effectRef>
      <a:fontRef idx="minor"/>
    </dgm:style>
  </dgm:styleLbl>
  <dgm:styleLbl name="dkBgShp">
    <dgm:scene3d>
      <a:camera prst="orthographicFront"/>
      <a:lightRig rig="flat" dir="t"/>
    </dgm:scene3d>
    <dgm:sp3d z="-190500" extrusionH="12700" prstMaterial="plastic">
      <a:bevelT w="50800" h="50800"/>
    </dgm:sp3d>
    <dgm:txPr/>
    <dgm:style>
      <a:lnRef idx="0">
        <a:scrgbClr r="0" g="0" b="0"/>
      </a:lnRef>
      <a:fillRef idx="2">
        <a:scrgbClr r="0" g="0" b="0"/>
      </a:fillRef>
      <a:effectRef idx="0">
        <a:scrgbClr r="0" g="0" b="0"/>
      </a:effectRef>
      <a:fontRef idx="minor"/>
    </dgm:style>
  </dgm:styleLbl>
  <dgm:styleLbl name="trBgShp">
    <dgm:scene3d>
      <a:camera prst="orthographicFront"/>
      <a:lightRig rig="flat" dir="t"/>
    </dgm:scene3d>
    <dgm:sp3d z="-190500" extrusionH="12700" prstMaterial="matte"/>
    <dgm:txPr/>
    <dgm:style>
      <a:lnRef idx="0">
        <a:scrgbClr r="0" g="0" b="0"/>
      </a:lnRef>
      <a:fillRef idx="1">
        <a:scrgbClr r="0" g="0" b="0"/>
      </a:fillRef>
      <a:effectRef idx="0">
        <a:scrgbClr r="0" g="0" b="0"/>
      </a:effectRef>
      <a:fontRef idx="minor"/>
    </dgm:style>
  </dgm:styleLbl>
  <dgm:styleLbl name="fgShp">
    <dgm:scene3d>
      <a:camera prst="orthographicFront"/>
      <a:lightRig rig="flat" dir="t"/>
    </dgm:scene3d>
    <dgm:sp3d z="190500" prstMaterial="plastic">
      <a:bevelT w="120900" h="88900"/>
      <a:bevelB w="88900" h="31750" prst="angle"/>
    </dgm:sp3d>
    <dgm:txPr/>
    <dgm:style>
      <a:lnRef idx="0">
        <a:scrgbClr r="0" g="0" b="0"/>
      </a:lnRef>
      <a:fillRef idx="1">
        <a:scrgbClr r="0" g="0" b="0"/>
      </a:fillRef>
      <a:effectRef idx="3">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3.xml.rels><?xml version="1.0" encoding="UTF-8" standalone="yes"?>
<Relationships xmlns="http://schemas.openxmlformats.org/package/2006/relationships"><Relationship Id="rId3" Type="http://schemas.openxmlformats.org/officeDocument/2006/relationships/diagramQuickStyle" Target="../diagrams/quickStyle2.xml"/><Relationship Id="rId2" Type="http://schemas.openxmlformats.org/officeDocument/2006/relationships/diagramLayout" Target="../diagrams/layout2.xml"/><Relationship Id="rId1" Type="http://schemas.openxmlformats.org/officeDocument/2006/relationships/diagramData" Target="../diagrams/data2.xml"/><Relationship Id="rId5" Type="http://schemas.microsoft.com/office/2007/relationships/diagramDrawing" Target="../diagrams/drawing2.xml"/><Relationship Id="rId4" Type="http://schemas.openxmlformats.org/officeDocument/2006/relationships/diagramColors" Target="../diagrams/colors2.xml"/></Relationships>
</file>

<file path=xl/drawings/_rels/drawing4.xml.rels><?xml version="1.0" encoding="UTF-8" standalone="yes"?>
<Relationships xmlns="http://schemas.openxmlformats.org/package/2006/relationships"><Relationship Id="rId3" Type="http://schemas.openxmlformats.org/officeDocument/2006/relationships/diagramQuickStyle" Target="../diagrams/quickStyle3.xml"/><Relationship Id="rId2" Type="http://schemas.openxmlformats.org/officeDocument/2006/relationships/diagramLayout" Target="../diagrams/layout3.xml"/><Relationship Id="rId1" Type="http://schemas.openxmlformats.org/officeDocument/2006/relationships/diagramData" Target="../diagrams/data3.xml"/><Relationship Id="rId5" Type="http://schemas.microsoft.com/office/2007/relationships/diagramDrawing" Target="../diagrams/drawing3.xml"/><Relationship Id="rId4" Type="http://schemas.openxmlformats.org/officeDocument/2006/relationships/diagramColors" Target="../diagrams/colors3.xml"/></Relationships>
</file>

<file path=xl/drawings/_rels/drawing5.xml.rels><?xml version="1.0" encoding="UTF-8" standalone="yes"?>
<Relationships xmlns="http://schemas.openxmlformats.org/package/2006/relationships"><Relationship Id="rId3" Type="http://schemas.openxmlformats.org/officeDocument/2006/relationships/diagramQuickStyle" Target="../diagrams/quickStyle4.xml"/><Relationship Id="rId2" Type="http://schemas.openxmlformats.org/officeDocument/2006/relationships/diagramLayout" Target="../diagrams/layout4.xml"/><Relationship Id="rId1" Type="http://schemas.openxmlformats.org/officeDocument/2006/relationships/diagramData" Target="../diagrams/data4.xml"/><Relationship Id="rId5" Type="http://schemas.microsoft.com/office/2007/relationships/diagramDrawing" Target="../diagrams/drawing4.xml"/><Relationship Id="rId4" Type="http://schemas.openxmlformats.org/officeDocument/2006/relationships/diagramColors" Target="../diagrams/colors4.xml"/></Relationships>
</file>

<file path=xl/drawings/_rels/drawing6.xml.rels><?xml version="1.0" encoding="UTF-8" standalone="yes"?>
<Relationships xmlns="http://schemas.openxmlformats.org/package/2006/relationships"><Relationship Id="rId3" Type="http://schemas.openxmlformats.org/officeDocument/2006/relationships/diagramQuickStyle" Target="../diagrams/quickStyle5.xml"/><Relationship Id="rId2" Type="http://schemas.openxmlformats.org/officeDocument/2006/relationships/diagramLayout" Target="../diagrams/layout5.xml"/><Relationship Id="rId1" Type="http://schemas.openxmlformats.org/officeDocument/2006/relationships/diagramData" Target="../diagrams/data5.xml"/><Relationship Id="rId5" Type="http://schemas.microsoft.com/office/2007/relationships/diagramDrawing" Target="../diagrams/drawing5.xml"/><Relationship Id="rId4" Type="http://schemas.openxmlformats.org/officeDocument/2006/relationships/diagramColors" Target="../diagrams/colors5.xml"/></Relationships>
</file>

<file path=xl/drawings/_rels/drawing7.xml.rels><?xml version="1.0" encoding="UTF-8" standalone="yes"?>
<Relationships xmlns="http://schemas.openxmlformats.org/package/2006/relationships"><Relationship Id="rId3" Type="http://schemas.openxmlformats.org/officeDocument/2006/relationships/diagramQuickStyle" Target="../diagrams/quickStyle6.xml"/><Relationship Id="rId2" Type="http://schemas.openxmlformats.org/officeDocument/2006/relationships/diagramLayout" Target="../diagrams/layout6.xml"/><Relationship Id="rId1" Type="http://schemas.openxmlformats.org/officeDocument/2006/relationships/diagramData" Target="../diagrams/data6.xml"/><Relationship Id="rId5" Type="http://schemas.microsoft.com/office/2007/relationships/diagramDrawing" Target="../diagrams/drawing6.xml"/><Relationship Id="rId4" Type="http://schemas.openxmlformats.org/officeDocument/2006/relationships/diagramColors" Target="../diagrams/colors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xml"/></Relationships>
</file>

<file path=xl/drawings/_rels/drawing9.xml.rels><?xml version="1.0" encoding="UTF-8" standalone="yes"?>
<Relationships xmlns="http://schemas.openxmlformats.org/package/2006/relationships"><Relationship Id="rId3" Type="http://schemas.openxmlformats.org/officeDocument/2006/relationships/diagramQuickStyle" Target="../diagrams/quickStyle7.xml"/><Relationship Id="rId2" Type="http://schemas.openxmlformats.org/officeDocument/2006/relationships/diagramLayout" Target="../diagrams/layout7.xml"/><Relationship Id="rId1" Type="http://schemas.openxmlformats.org/officeDocument/2006/relationships/diagramData" Target="../diagrams/data7.xml"/><Relationship Id="rId5" Type="http://schemas.microsoft.com/office/2007/relationships/diagramDrawing" Target="../diagrams/drawing7.xml"/><Relationship Id="rId4" Type="http://schemas.openxmlformats.org/officeDocument/2006/relationships/diagramColors" Target="../diagrams/colors7.xml"/></Relationships>
</file>

<file path=xl/drawings/drawing1.xml><?xml version="1.0" encoding="utf-8"?>
<xdr:wsDr xmlns:xdr="http://schemas.openxmlformats.org/drawingml/2006/spreadsheetDrawing" xmlns:a="http://schemas.openxmlformats.org/drawingml/2006/main">
  <xdr:twoCellAnchor>
    <xdr:from>
      <xdr:col>3</xdr:col>
      <xdr:colOff>69054</xdr:colOff>
      <xdr:row>22</xdr:row>
      <xdr:rowOff>157163</xdr:rowOff>
    </xdr:from>
    <xdr:to>
      <xdr:col>17</xdr:col>
      <xdr:colOff>352425</xdr:colOff>
      <xdr:row>44</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97630</xdr:colOff>
      <xdr:row>0</xdr:row>
      <xdr:rowOff>85725</xdr:rowOff>
    </xdr:from>
    <xdr:to>
      <xdr:col>17</xdr:col>
      <xdr:colOff>409574</xdr:colOff>
      <xdr:row>22</xdr:row>
      <xdr:rowOff>14287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576263</xdr:colOff>
      <xdr:row>90</xdr:row>
      <xdr:rowOff>104775</xdr:rowOff>
    </xdr:from>
    <xdr:to>
      <xdr:col>14</xdr:col>
      <xdr:colOff>371475</xdr:colOff>
      <xdr:row>99</xdr:row>
      <xdr:rowOff>80963</xdr:rowOff>
    </xdr:to>
    <xdr:graphicFrame macro="">
      <xdr:nvGraphicFramePr>
        <xdr:cNvPr id="3" name="Diagram 2"/>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13</xdr:col>
      <xdr:colOff>324969</xdr:colOff>
      <xdr:row>4</xdr:row>
      <xdr:rowOff>67236</xdr:rowOff>
    </xdr:from>
    <xdr:to>
      <xdr:col>20</xdr:col>
      <xdr:colOff>117659</xdr:colOff>
      <xdr:row>12</xdr:row>
      <xdr:rowOff>95250</xdr:rowOff>
    </xdr:to>
    <xdr:graphicFrame macro="">
      <xdr:nvGraphicFramePr>
        <xdr:cNvPr id="4" name="Diagram 3"/>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13</xdr:col>
      <xdr:colOff>409016</xdr:colOff>
      <xdr:row>3</xdr:row>
      <xdr:rowOff>44825</xdr:rowOff>
    </xdr:from>
    <xdr:to>
      <xdr:col>20</xdr:col>
      <xdr:colOff>184896</xdr:colOff>
      <xdr:row>11</xdr:row>
      <xdr:rowOff>28016</xdr:rowOff>
    </xdr:to>
    <xdr:graphicFrame macro="">
      <xdr:nvGraphicFramePr>
        <xdr:cNvPr id="4" name="Diagram 3"/>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13</xdr:col>
      <xdr:colOff>409016</xdr:colOff>
      <xdr:row>3</xdr:row>
      <xdr:rowOff>44825</xdr:rowOff>
    </xdr:from>
    <xdr:to>
      <xdr:col>20</xdr:col>
      <xdr:colOff>184896</xdr:colOff>
      <xdr:row>11</xdr:row>
      <xdr:rowOff>28016</xdr:rowOff>
    </xdr:to>
    <xdr:graphicFrame macro="">
      <xdr:nvGraphicFramePr>
        <xdr:cNvPr id="2" name="Diagram 1"/>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13</xdr:col>
      <xdr:colOff>409016</xdr:colOff>
      <xdr:row>3</xdr:row>
      <xdr:rowOff>44825</xdr:rowOff>
    </xdr:from>
    <xdr:to>
      <xdr:col>20</xdr:col>
      <xdr:colOff>184896</xdr:colOff>
      <xdr:row>11</xdr:row>
      <xdr:rowOff>28016</xdr:rowOff>
    </xdr:to>
    <xdr:graphicFrame macro="">
      <xdr:nvGraphicFramePr>
        <xdr:cNvPr id="2" name="Diagram 1"/>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13</xdr:col>
      <xdr:colOff>409016</xdr:colOff>
      <xdr:row>3</xdr:row>
      <xdr:rowOff>44825</xdr:rowOff>
    </xdr:from>
    <xdr:to>
      <xdr:col>20</xdr:col>
      <xdr:colOff>184896</xdr:colOff>
      <xdr:row>11</xdr:row>
      <xdr:rowOff>28016</xdr:rowOff>
    </xdr:to>
    <xdr:graphicFrame macro="">
      <xdr:nvGraphicFramePr>
        <xdr:cNvPr id="2" name="Diagram 1"/>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37269</xdr:colOff>
      <xdr:row>1</xdr:row>
      <xdr:rowOff>57979</xdr:rowOff>
    </xdr:from>
    <xdr:to>
      <xdr:col>20</xdr:col>
      <xdr:colOff>256760</xdr:colOff>
      <xdr:row>18</xdr:row>
      <xdr:rowOff>8283</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147675</xdr:colOff>
      <xdr:row>2</xdr:row>
      <xdr:rowOff>47624</xdr:rowOff>
    </xdr:from>
    <xdr:to>
      <xdr:col>7</xdr:col>
      <xdr:colOff>187863</xdr:colOff>
      <xdr:row>7</xdr:row>
      <xdr:rowOff>33336</xdr:rowOff>
    </xdr:to>
    <xdr:sp macro="" textlink="">
      <xdr:nvSpPr>
        <xdr:cNvPr id="3" name="Rectangle 2"/>
        <xdr:cNvSpPr/>
      </xdr:nvSpPr>
      <xdr:spPr>
        <a:xfrm>
          <a:off x="3386175" y="409574"/>
          <a:ext cx="1335588" cy="909637"/>
        </a:xfrm>
        <a:prstGeom prst="rect">
          <a:avLst/>
        </a:prstGeom>
        <a:solidFill>
          <a:schemeClr val="bg2">
            <a:lumMod val="85000"/>
          </a:schemeClr>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4801</xdr:colOff>
      <xdr:row>2</xdr:row>
      <xdr:rowOff>33340</xdr:rowOff>
    </xdr:from>
    <xdr:to>
      <xdr:col>5</xdr:col>
      <xdr:colOff>381047</xdr:colOff>
      <xdr:row>7</xdr:row>
      <xdr:rowOff>61914</xdr:rowOff>
    </xdr:to>
    <xdr:grpSp>
      <xdr:nvGrpSpPr>
        <xdr:cNvPr id="14" name="Group 13"/>
        <xdr:cNvGrpSpPr/>
      </xdr:nvGrpSpPr>
      <xdr:grpSpPr>
        <a:xfrm>
          <a:off x="1833601" y="414340"/>
          <a:ext cx="1595446" cy="990599"/>
          <a:chOff x="1538283" y="371475"/>
          <a:chExt cx="1671646" cy="952499"/>
        </a:xfrm>
      </xdr:grpSpPr>
      <xdr:sp macro="" textlink="">
        <xdr:nvSpPr>
          <xdr:cNvPr id="2" name="Rectangle 1"/>
          <xdr:cNvSpPr/>
        </xdr:nvSpPr>
        <xdr:spPr>
          <a:xfrm>
            <a:off x="1538283" y="385761"/>
            <a:ext cx="1335588" cy="909637"/>
          </a:xfrm>
          <a:prstGeom prst="rect">
            <a:avLst/>
          </a:prstGeom>
          <a:solidFill>
            <a:schemeClr val="accent1"/>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sp macro="" textlink="Sheet5!B4">
        <xdr:nvSpPr>
          <xdr:cNvPr id="6" name="TextBox 5"/>
          <xdr:cNvSpPr txBox="1"/>
        </xdr:nvSpPr>
        <xdr:spPr>
          <a:xfrm>
            <a:off x="2152654" y="371475"/>
            <a:ext cx="1057275" cy="557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57487ED-6EFD-4F2E-9F86-1D697A7E9011}" type="TxLink">
              <a:rPr lang="en-US" sz="3000" b="1" i="0" u="none" strike="noStrike">
                <a:solidFill>
                  <a:schemeClr val="bg1"/>
                </a:solidFill>
                <a:latin typeface="Calibri"/>
                <a:cs typeface="Calibri"/>
              </a:rPr>
              <a:pPr/>
              <a:t>88</a:t>
            </a:fld>
            <a:endParaRPr lang="en-IN" sz="3000" b="1">
              <a:solidFill>
                <a:schemeClr val="bg1"/>
              </a:solidFill>
            </a:endParaRPr>
          </a:p>
        </xdr:txBody>
      </xdr:sp>
      <xdr:sp macro="" textlink="">
        <xdr:nvSpPr>
          <xdr:cNvPr id="9" name="TextBox 8"/>
          <xdr:cNvSpPr txBox="1"/>
        </xdr:nvSpPr>
        <xdr:spPr>
          <a:xfrm>
            <a:off x="1895483" y="766761"/>
            <a:ext cx="1057275" cy="557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l"/>
            <a:r>
              <a:rPr lang="en-US" sz="1800" b="1" i="0" u="none" strike="noStrike">
                <a:solidFill>
                  <a:schemeClr val="bg1"/>
                </a:solidFill>
                <a:latin typeface="Calibri"/>
                <a:cs typeface="Calibri"/>
              </a:rPr>
              <a:t>Orders</a:t>
            </a:r>
            <a:endParaRPr lang="en-US" sz="3000" b="1" i="0" u="none" strike="noStrike">
              <a:solidFill>
                <a:schemeClr val="bg1"/>
              </a:solidFill>
              <a:latin typeface="Calibri"/>
              <a:cs typeface="Calibri"/>
            </a:endParaRPr>
          </a:p>
        </xdr:txBody>
      </xdr:sp>
    </xdr:grpSp>
    <xdr:clientData/>
  </xdr:twoCellAnchor>
  <xdr:twoCellAnchor>
    <xdr:from>
      <xdr:col>10</xdr:col>
      <xdr:colOff>109594</xdr:colOff>
      <xdr:row>2</xdr:row>
      <xdr:rowOff>42862</xdr:rowOff>
    </xdr:from>
    <xdr:to>
      <xdr:col>12</xdr:col>
      <xdr:colOff>504881</xdr:colOff>
      <xdr:row>7</xdr:row>
      <xdr:rowOff>71438</xdr:rowOff>
    </xdr:to>
    <xdr:grpSp>
      <xdr:nvGrpSpPr>
        <xdr:cNvPr id="12" name="Group 11"/>
        <xdr:cNvGrpSpPr/>
      </xdr:nvGrpSpPr>
      <xdr:grpSpPr>
        <a:xfrm>
          <a:off x="6205594" y="423862"/>
          <a:ext cx="1614487" cy="990601"/>
          <a:chOff x="6176976" y="404812"/>
          <a:chExt cx="1690687" cy="952501"/>
        </a:xfrm>
      </xdr:grpSpPr>
      <xdr:sp macro="" textlink="">
        <xdr:nvSpPr>
          <xdr:cNvPr id="5" name="Rectangle 4"/>
          <xdr:cNvSpPr/>
        </xdr:nvSpPr>
        <xdr:spPr>
          <a:xfrm>
            <a:off x="6176976" y="404812"/>
            <a:ext cx="1690687" cy="909637"/>
          </a:xfrm>
          <a:prstGeom prst="rect">
            <a:avLst/>
          </a:prstGeom>
          <a:solidFill>
            <a:schemeClr val="accent6"/>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sp macro="" textlink="Sheet5!B6">
        <xdr:nvSpPr>
          <xdr:cNvPr id="8" name="TextBox 7"/>
          <xdr:cNvSpPr txBox="1"/>
        </xdr:nvSpPr>
        <xdr:spPr>
          <a:xfrm>
            <a:off x="6267450" y="519112"/>
            <a:ext cx="1509716" cy="371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75E316B-5C9D-4B18-993C-290FA6EE6078}" type="TxLink">
              <a:rPr lang="en-US" sz="1800" b="1" i="0" u="none" strike="noStrike">
                <a:solidFill>
                  <a:schemeClr val="bg1"/>
                </a:solidFill>
                <a:latin typeface="Calibri"/>
                <a:cs typeface="Calibri"/>
              </a:rPr>
              <a:pPr/>
              <a:t> ₹ 1,70,293.00 </a:t>
            </a:fld>
            <a:endParaRPr lang="en-IN" sz="1800" b="1">
              <a:solidFill>
                <a:schemeClr val="bg1"/>
              </a:solidFill>
            </a:endParaRPr>
          </a:p>
        </xdr:txBody>
      </xdr:sp>
      <xdr:sp macro="" textlink="">
        <xdr:nvSpPr>
          <xdr:cNvPr id="10" name="TextBox 9"/>
          <xdr:cNvSpPr txBox="1"/>
        </xdr:nvSpPr>
        <xdr:spPr>
          <a:xfrm>
            <a:off x="6781801" y="800100"/>
            <a:ext cx="1057275" cy="557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i="0" u="none" strike="noStrike">
                <a:solidFill>
                  <a:schemeClr val="bg1"/>
                </a:solidFill>
                <a:latin typeface="Calibri"/>
                <a:cs typeface="Calibri"/>
              </a:rPr>
              <a:t>Expences</a:t>
            </a:r>
            <a:endParaRPr lang="en-US" sz="3000" b="1" i="0" u="none" strike="noStrike">
              <a:solidFill>
                <a:schemeClr val="bg1"/>
              </a:solidFill>
              <a:latin typeface="Calibri"/>
              <a:cs typeface="Calibri"/>
            </a:endParaRPr>
          </a:p>
        </xdr:txBody>
      </xdr:sp>
    </xdr:grpSp>
    <xdr:clientData/>
  </xdr:twoCellAnchor>
  <xdr:twoCellAnchor>
    <xdr:from>
      <xdr:col>7</xdr:col>
      <xdr:colOff>285794</xdr:colOff>
      <xdr:row>2</xdr:row>
      <xdr:rowOff>38100</xdr:rowOff>
    </xdr:from>
    <xdr:to>
      <xdr:col>10</xdr:col>
      <xdr:colOff>285793</xdr:colOff>
      <xdr:row>7</xdr:row>
      <xdr:rowOff>52388</xdr:rowOff>
    </xdr:to>
    <xdr:grpSp>
      <xdr:nvGrpSpPr>
        <xdr:cNvPr id="13" name="Group 12"/>
        <xdr:cNvGrpSpPr/>
      </xdr:nvGrpSpPr>
      <xdr:grpSpPr>
        <a:xfrm>
          <a:off x="4552994" y="419100"/>
          <a:ext cx="1828799" cy="976313"/>
          <a:chOff x="4410076" y="400050"/>
          <a:chExt cx="1943099" cy="938213"/>
        </a:xfrm>
      </xdr:grpSpPr>
      <xdr:sp macro="" textlink="">
        <xdr:nvSpPr>
          <xdr:cNvPr id="4" name="Rectangle 3"/>
          <xdr:cNvSpPr/>
        </xdr:nvSpPr>
        <xdr:spPr>
          <a:xfrm>
            <a:off x="4410076" y="400050"/>
            <a:ext cx="1690687" cy="909637"/>
          </a:xfrm>
          <a:prstGeom prst="rect">
            <a:avLst/>
          </a:prstGeom>
          <a:solidFill>
            <a:srgbClr val="009999"/>
          </a:solidFill>
          <a:ln>
            <a:no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sp macro="" textlink="Sheet5!B5">
        <xdr:nvSpPr>
          <xdr:cNvPr id="7" name="TextBox 6"/>
          <xdr:cNvSpPr txBox="1"/>
        </xdr:nvSpPr>
        <xdr:spPr>
          <a:xfrm>
            <a:off x="4500561" y="500061"/>
            <a:ext cx="1566863" cy="495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98A97E-82D3-4050-A90A-80513CCC084C}" type="TxLink">
              <a:rPr lang="en-US" sz="1800" b="1" i="0" u="none" strike="noStrike">
                <a:solidFill>
                  <a:schemeClr val="bg1"/>
                </a:solidFill>
                <a:latin typeface="Calibri"/>
                <a:cs typeface="Calibri"/>
              </a:rPr>
              <a:pPr/>
              <a:t> ₹ 2,34,018.00 </a:t>
            </a:fld>
            <a:endParaRPr lang="en-IN" sz="1800" b="1">
              <a:solidFill>
                <a:schemeClr val="bg1"/>
              </a:solidFill>
            </a:endParaRPr>
          </a:p>
        </xdr:txBody>
      </xdr:sp>
      <xdr:sp macro="" textlink="">
        <xdr:nvSpPr>
          <xdr:cNvPr id="11" name="TextBox 10"/>
          <xdr:cNvSpPr txBox="1"/>
        </xdr:nvSpPr>
        <xdr:spPr>
          <a:xfrm>
            <a:off x="5295900" y="781050"/>
            <a:ext cx="1057275" cy="557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i="0" u="none" strike="noStrike">
                <a:solidFill>
                  <a:schemeClr val="bg1"/>
                </a:solidFill>
                <a:latin typeface="Calibri"/>
                <a:cs typeface="Calibri"/>
              </a:rPr>
              <a:t>Sales</a:t>
            </a:r>
            <a:endParaRPr lang="en-US" sz="3000" b="1" i="0" u="none" strike="noStrike">
              <a:solidFill>
                <a:schemeClr val="bg1"/>
              </a:solidFill>
              <a:latin typeface="Calibri"/>
              <a:cs typeface="Calibri"/>
            </a:endParaRPr>
          </a:p>
        </xdr:txBody>
      </xdr:sp>
    </xdr:grpSp>
    <xdr:clientData/>
  </xdr:twoCellAnchor>
  <xdr:twoCellAnchor editAs="oneCell">
    <xdr:from>
      <xdr:col>0</xdr:col>
      <xdr:colOff>76199</xdr:colOff>
      <xdr:row>8</xdr:row>
      <xdr:rowOff>33337</xdr:rowOff>
    </xdr:from>
    <xdr:to>
      <xdr:col>2</xdr:col>
      <xdr:colOff>609599</xdr:colOff>
      <xdr:row>31</xdr:row>
      <xdr:rowOff>42862</xdr:rowOff>
    </xdr:to>
    <mc:AlternateContent xmlns:mc="http://schemas.openxmlformats.org/markup-compatibility/2006" xmlns:a14="http://schemas.microsoft.com/office/drawing/2010/main">
      <mc:Choice Requires="a14">
        <xdr:graphicFrame macro="">
          <xdr:nvGraphicFramePr>
            <xdr:cNvPr id="15" name="Description 1"/>
            <xdr:cNvGraphicFramePr/>
          </xdr:nvGraphicFramePr>
          <xdr:xfrm>
            <a:off x="0" y="0"/>
            <a:ext cx="0" cy="0"/>
          </xdr:xfrm>
          <a:graphic>
            <a:graphicData uri="http://schemas.microsoft.com/office/drawing/2010/slicer">
              <sle:slicer xmlns:sle="http://schemas.microsoft.com/office/drawing/2010/slicer" name="Description 1"/>
            </a:graphicData>
          </a:graphic>
        </xdr:graphicFrame>
      </mc:Choice>
      <mc:Fallback xmlns="">
        <xdr:sp macro="" textlink="">
          <xdr:nvSpPr>
            <xdr:cNvPr id="0" name=""/>
            <xdr:cNvSpPr>
              <a:spLocks noTextEdit="1"/>
            </xdr:cNvSpPr>
          </xdr:nvSpPr>
          <xdr:spPr>
            <a:xfrm>
              <a:off x="76199" y="1500187"/>
              <a:ext cx="1828800" cy="417195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119062</xdr:colOff>
      <xdr:row>8</xdr:row>
      <xdr:rowOff>38100</xdr:rowOff>
    </xdr:from>
    <xdr:to>
      <xdr:col>6</xdr:col>
      <xdr:colOff>4762</xdr:colOff>
      <xdr:row>31</xdr:row>
      <xdr:rowOff>28575</xdr:rowOff>
    </xdr:to>
    <mc:AlternateContent xmlns:mc="http://schemas.openxmlformats.org/markup-compatibility/2006" xmlns:a14="http://schemas.microsoft.com/office/drawing/2010/main">
      <mc:Choice Requires="a14">
        <xdr:graphicFrame macro="">
          <xdr:nvGraphicFramePr>
            <xdr:cNvPr id="16" name="Bill To 1"/>
            <xdr:cNvGraphicFramePr/>
          </xdr:nvGraphicFramePr>
          <xdr:xfrm>
            <a:off x="0" y="0"/>
            <a:ext cx="0" cy="0"/>
          </xdr:xfrm>
          <a:graphic>
            <a:graphicData uri="http://schemas.microsoft.com/office/drawing/2010/slicer">
              <sle:slicer xmlns:sle="http://schemas.microsoft.com/office/drawing/2010/slicer" name="Bill To 1"/>
            </a:graphicData>
          </a:graphic>
        </xdr:graphicFrame>
      </mc:Choice>
      <mc:Fallback xmlns="">
        <xdr:sp macro="" textlink="">
          <xdr:nvSpPr>
            <xdr:cNvPr id="0" name=""/>
            <xdr:cNvSpPr>
              <a:spLocks noTextEdit="1"/>
            </xdr:cNvSpPr>
          </xdr:nvSpPr>
          <xdr:spPr>
            <a:xfrm>
              <a:off x="2062162" y="1504950"/>
              <a:ext cx="1828800" cy="41529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6</xdr:col>
      <xdr:colOff>166688</xdr:colOff>
      <xdr:row>8</xdr:row>
      <xdr:rowOff>47625</xdr:rowOff>
    </xdr:from>
    <xdr:to>
      <xdr:col>12</xdr:col>
      <xdr:colOff>509588</xdr:colOff>
      <xdr:row>13</xdr:row>
      <xdr:rowOff>95250</xdr:rowOff>
    </xdr:to>
    <xdr:graphicFrame macro="">
      <xdr:nvGraphicFramePr>
        <xdr:cNvPr id="18" name="Diagram 17"/>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13</xdr:row>
      <xdr:rowOff>33337</xdr:rowOff>
    </xdr:from>
    <xdr:to>
      <xdr:col>1</xdr:col>
      <xdr:colOff>504825</xdr:colOff>
      <xdr:row>27</xdr:row>
      <xdr:rowOff>23812</xdr:rowOff>
    </xdr:to>
    <mc:AlternateContent xmlns:mc="http://schemas.openxmlformats.org/markup-compatibility/2006" xmlns:a14="http://schemas.microsoft.com/office/drawing/2010/main">
      <mc:Choice Requires="a14">
        <xdr:graphicFrame macro="">
          <xdr:nvGraphicFramePr>
            <xdr:cNvPr id="5" name="Description"/>
            <xdr:cNvGraphicFramePr/>
          </xdr:nvGraphicFramePr>
          <xdr:xfrm>
            <a:off x="0" y="0"/>
            <a:ext cx="0" cy="0"/>
          </xdr:xfrm>
          <a:graphic>
            <a:graphicData uri="http://schemas.microsoft.com/office/drawing/2010/slicer">
              <sle:slicer xmlns:sle="http://schemas.microsoft.com/office/drawing/2010/slicer" name="Description"/>
            </a:graphicData>
          </a:graphic>
        </xdr:graphicFrame>
      </mc:Choice>
      <mc:Fallback xmlns="">
        <xdr:sp macro="" textlink="">
          <xdr:nvSpPr>
            <xdr:cNvPr id="0" name=""/>
            <xdr:cNvSpPr>
              <a:spLocks noTextEdit="1"/>
            </xdr:cNvSpPr>
          </xdr:nvSpPr>
          <xdr:spPr>
            <a:xfrm>
              <a:off x="0" y="2386012"/>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733425</xdr:colOff>
      <xdr:row>13</xdr:row>
      <xdr:rowOff>23812</xdr:rowOff>
    </xdr:from>
    <xdr:to>
      <xdr:col>3</xdr:col>
      <xdr:colOff>581025</xdr:colOff>
      <xdr:row>27</xdr:row>
      <xdr:rowOff>14287</xdr:rowOff>
    </xdr:to>
    <mc:AlternateContent xmlns:mc="http://schemas.openxmlformats.org/markup-compatibility/2006" xmlns:a14="http://schemas.microsoft.com/office/drawing/2010/main">
      <mc:Choice Requires="a14">
        <xdr:graphicFrame macro="">
          <xdr:nvGraphicFramePr>
            <xdr:cNvPr id="2" name="Bill To"/>
            <xdr:cNvGraphicFramePr/>
          </xdr:nvGraphicFramePr>
          <xdr:xfrm>
            <a:off x="0" y="0"/>
            <a:ext cx="0" cy="0"/>
          </xdr:xfrm>
          <a:graphic>
            <a:graphicData uri="http://schemas.microsoft.com/office/drawing/2010/slicer">
              <sle:slicer xmlns:sle="http://schemas.microsoft.com/office/drawing/2010/slicer" name="Bill To"/>
            </a:graphicData>
          </a:graphic>
        </xdr:graphicFrame>
      </mc:Choice>
      <mc:Fallback xmlns="">
        <xdr:sp macro="" textlink="">
          <xdr:nvSpPr>
            <xdr:cNvPr id="0" name=""/>
            <xdr:cNvSpPr>
              <a:spLocks noTextEdit="1"/>
            </xdr:cNvSpPr>
          </xdr:nvSpPr>
          <xdr:spPr>
            <a:xfrm>
              <a:off x="1895475" y="237648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15.xml"/></Relationships>
</file>

<file path=xl/pivotCache/_rels/pivotCacheDefinition16.xml.rels><?xml version="1.0" encoding="UTF-8" standalone="yes"?>
<Relationships xmlns="http://schemas.openxmlformats.org/package/2006/relationships"><Relationship Id="rId1" Type="http://schemas.openxmlformats.org/officeDocument/2006/relationships/pivotCacheRecords" Target="pivotCacheRecords16.xml"/></Relationships>
</file>

<file path=xl/pivotCache/_rels/pivotCacheDefinition17.xml.rels><?xml version="1.0" encoding="UTF-8" standalone="yes"?>
<Relationships xmlns="http://schemas.openxmlformats.org/package/2006/relationships"><Relationship Id="rId1" Type="http://schemas.openxmlformats.org/officeDocument/2006/relationships/pivotCacheRecords" Target="pivotCacheRecords17.xml"/></Relationships>
</file>

<file path=xl/pivotCache/_rels/pivotCacheDefinition18.xml.rels><?xml version="1.0" encoding="UTF-8" standalone="yes"?>
<Relationships xmlns="http://schemas.openxmlformats.org/package/2006/relationships"><Relationship Id="rId1" Type="http://schemas.openxmlformats.org/officeDocument/2006/relationships/pivotCacheRecords" Target="pivotCacheRecords18.xml"/></Relationships>
</file>

<file path=xl/pivotCache/_rels/pivotCacheDefinition19.xml.rels><?xml version="1.0" encoding="UTF-8" standalone="yes"?>
<Relationships xmlns="http://schemas.openxmlformats.org/package/2006/relationships"><Relationship Id="rId1" Type="http://schemas.openxmlformats.org/officeDocument/2006/relationships/pivotCacheRecords" Target="pivotCacheRecords19.xml"/></Relationships>
</file>

<file path=xl/pivotCache/_rels/pivotCacheDefinition20.xml.rels><?xml version="1.0" encoding="UTF-8" standalone="yes"?>
<Relationships xmlns="http://schemas.openxmlformats.org/package/2006/relationships"><Relationship Id="rId1" Type="http://schemas.openxmlformats.org/officeDocument/2006/relationships/pivotCacheRecords" Target="pivotCacheRecords20.xml"/></Relationships>
</file>

<file path=xl/pivotCache/_rels/pivotCacheDefinition21.xml.rels><?xml version="1.0" encoding="UTF-8" standalone="yes"?>
<Relationships xmlns="http://schemas.openxmlformats.org/package/2006/relationships"><Relationship Id="rId1" Type="http://schemas.openxmlformats.org/officeDocument/2006/relationships/pivotCacheRecords" Target="pivotCacheRecords21.xml"/></Relationships>
</file>

<file path=xl/pivotCache/_rels/pivotCacheDefinition22.xml.rels><?xml version="1.0" encoding="UTF-8" standalone="yes"?>
<Relationships xmlns="http://schemas.openxmlformats.org/package/2006/relationships"><Relationship Id="rId1" Type="http://schemas.openxmlformats.org/officeDocument/2006/relationships/pivotCacheRecords" Target="pivotCacheRecords22.xml"/></Relationships>
</file>

<file path=xl/pivotCache/pivotCacheDefinition1.xml><?xml version="1.0" encoding="utf-8"?>
<pivotCacheDefinition xmlns="http://schemas.openxmlformats.org/spreadsheetml/2006/main" xmlns:r="http://schemas.openxmlformats.org/officeDocument/2006/relationships" r:id="rId1" refreshedBy="UmaiZahid" refreshedDate="46004.769379513891" createdVersion="4" refreshedVersion="4" minRefreshableVersion="3" recordCount="128">
  <cacheSource type="worksheet">
    <worksheetSource ref="A2:G130" sheet="Raw Materials"/>
  </cacheSource>
  <cacheFields count="7">
    <cacheField name="Date" numFmtId="0">
      <sharedItems containsNonDate="0" containsDate="1" containsString="0" containsBlank="1" minDate="2025-02-05T00:00:00" maxDate="2025-10-01T00:00:00" count="90">
        <d v="2025-02-05T00:00:00"/>
        <d v="2025-02-18T00:00:00"/>
        <d v="2025-02-20T00:00:00"/>
        <d v="2025-02-24T00:00:00"/>
        <d v="2025-02-26T00:00:00"/>
        <d v="2025-02-28T00:00:00"/>
        <d v="2025-03-03T00:00:00"/>
        <d v="2025-03-04T00:00:00"/>
        <d v="2025-03-07T00:00:00"/>
        <d v="2025-03-08T00:00:00"/>
        <d v="2025-03-13T00:00:00"/>
        <d v="2025-03-15T00:00:00"/>
        <d v="2025-03-17T00:00:00"/>
        <d v="2025-03-19T00:00:00"/>
        <d v="2025-03-20T00:00:00"/>
        <d v="2025-03-21T00:00:00"/>
        <d v="2025-03-22T00:00:00"/>
        <d v="2025-03-24T00:00:00"/>
        <d v="2025-03-25T00:00:00"/>
        <d v="2025-03-26T00:00:00"/>
        <d v="2025-03-27T00:00:00"/>
        <d v="2025-03-28T00:00:00"/>
        <d v="2025-03-29T00:00:00"/>
        <d v="2025-03-30T00:00:00"/>
        <d v="2025-04-04T00:00:00"/>
        <d v="2025-04-11T00:00:00"/>
        <d v="2025-04-12T00:00:00"/>
        <d v="2025-04-15T00:00:00"/>
        <d v="2025-04-19T00:00:00"/>
        <d v="2025-04-21T00:00:00"/>
        <d v="2025-04-23T00:00:00"/>
        <d v="2025-04-26T00:00:00"/>
        <d v="2025-05-01T00:00:00"/>
        <d v="2025-05-02T00:00:00"/>
        <d v="2025-05-06T00:00:00"/>
        <d v="2025-05-10T00:00:00"/>
        <d v="2025-05-14T00:00:00"/>
        <d v="2025-05-15T00:00:00"/>
        <d v="2025-05-19T00:00:00"/>
        <d v="2025-05-23T00:00:00"/>
        <d v="2025-05-25T00:00:00"/>
        <d v="2025-05-27T00:00:00"/>
        <d v="2025-05-30T00:00:00"/>
        <d v="2025-06-01T00:00:00"/>
        <d v="2025-06-03T00:00:00"/>
        <d v="2025-06-05T00:00:00"/>
        <d v="2025-06-06T00:00:00"/>
        <d v="2025-06-09T00:00:00"/>
        <d v="2025-06-14T00:00:00"/>
        <d v="2025-06-20T00:00:00"/>
        <d v="2025-06-21T00:00:00"/>
        <d v="2025-06-22T00:00:00"/>
        <d v="2025-06-24T00:00:00"/>
        <d v="2025-06-28T00:00:00"/>
        <d v="2025-07-02T00:00:00"/>
        <d v="2025-07-08T00:00:00"/>
        <d v="2025-07-11T00:00:00"/>
        <d v="2025-07-12T00:00:00"/>
        <d v="2025-07-15T00:00:00"/>
        <d v="2025-07-19T00:00:00"/>
        <d v="2025-07-21T00:00:00"/>
        <d v="2025-07-23T00:00:00"/>
        <d v="2025-07-24T00:00:00"/>
        <d v="2025-07-27T00:00:00"/>
        <d v="2025-07-29T00:00:00"/>
        <d v="2025-08-02T00:00:00"/>
        <d v="2025-08-06T00:00:00"/>
        <d v="2025-08-08T00:00:00"/>
        <d v="2025-08-12T00:00:00"/>
        <d v="2025-08-15T00:00:00"/>
        <d v="2025-08-19T00:00:00"/>
        <d v="2025-08-22T00:00:00"/>
        <d v="2025-08-23T00:00:00"/>
        <d v="2025-08-25T00:00:00"/>
        <d v="2025-08-29T00:00:00"/>
        <d v="2025-08-31T00:00:00"/>
        <d v="2025-09-02T00:00:00"/>
        <d v="2025-09-03T00:00:00"/>
        <d v="2025-09-05T00:00:00"/>
        <d v="2025-09-08T00:00:00"/>
        <d v="2025-09-11T00:00:00"/>
        <d v="2025-09-13T00:00:00"/>
        <d v="2025-09-15T00:00:00"/>
        <d v="2025-09-16T00:00:00"/>
        <d v="2025-09-18T00:00:00"/>
        <d v="2025-09-19T00:00:00"/>
        <d v="2025-09-25T00:00:00"/>
        <d v="2025-09-29T00:00:00"/>
        <d v="2025-09-30T00:00:00"/>
        <m/>
      </sharedItems>
    </cacheField>
    <cacheField name="Description" numFmtId="0">
      <sharedItems containsBlank="1" count="6">
        <s v="Garlic"/>
        <s v="Ginger"/>
        <m/>
        <s v="Total"/>
        <s v="Garlic " u="1"/>
        <s v="Ginger " u="1"/>
      </sharedItems>
    </cacheField>
    <cacheField name="Supplier" numFmtId="0">
      <sharedItems containsBlank="1"/>
    </cacheField>
    <cacheField name="Kgs" numFmtId="0">
      <sharedItems containsString="0" containsBlank="1" containsNumber="1" minValue="4" maxValue="10153.9"/>
    </cacheField>
    <cacheField name="Unit Price" numFmtId="0">
      <sharedItems containsString="0" containsBlank="1" containsNumber="1" minValue="33.33" maxValue="125"/>
    </cacheField>
    <cacheField name="Transportation" numFmtId="0">
      <sharedItems containsString="0" containsBlank="1" containsNumber="1" minValue="-0.5" maxValue="2900"/>
    </cacheField>
    <cacheField name="Price" numFmtId="8">
      <sharedItems containsString="0" containsBlank="1" containsNumber="1" minValue="250" maxValue="730891.9748900000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UmaiZahid" refreshedDate="46004.769379861114" createdVersion="4" refreshedVersion="4" minRefreshableVersion="3" recordCount="144">
  <cacheSource type="worksheet">
    <worksheetSource ref="A1:G145" sheet="July 2025 - Sales"/>
  </cacheSource>
  <cacheFields count="7">
    <cacheField name="Date" numFmtId="14">
      <sharedItems containsNonDate="0" containsDate="1" containsString="0" containsBlank="1" minDate="2025-07-01T00:00:00" maxDate="2025-08-01T00:00:00"/>
    </cacheField>
    <cacheField name="Invoice No" numFmtId="0">
      <sharedItems containsBlank="1"/>
    </cacheField>
    <cacheField name="Description" numFmtId="0">
      <sharedItems containsBlank="1" count="11">
        <s v="Opening Balance"/>
        <s v="Sales"/>
        <s v="Expences"/>
        <s v="Ginger Purchase"/>
        <s v="Staff Salary"/>
        <s v="Petrol"/>
        <s v="Rent"/>
        <s v="Garlic Purchase"/>
        <s v="Bills"/>
        <s v="Others"/>
        <m/>
      </sharedItems>
    </cacheField>
    <cacheField name="Sales" numFmtId="8">
      <sharedItems containsString="0" containsBlank="1" containsNumber="1" containsInteger="1" minValue="-14611" maxValue="13840"/>
    </cacheField>
    <cacheField name="Expences" numFmtId="0">
      <sharedItems containsString="0" containsBlank="1" containsNumber="1" containsInteger="1" minValue="25" maxValue="21375"/>
    </cacheField>
    <cacheField name="Bill To" numFmtId="0">
      <sharedItems containsBlank="1"/>
    </cacheField>
    <cacheField name="Credit"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UmaiZahid" refreshedDate="46004.769379976853" createdVersion="4" refreshedVersion="4" minRefreshableVersion="3" recordCount="125">
  <cacheSource type="worksheet">
    <worksheetSource ref="A1:G126" sheet="Mar 2025 - Sales"/>
  </cacheSource>
  <cacheFields count="7">
    <cacheField name="Date" numFmtId="14">
      <sharedItems containsSemiMixedTypes="0" containsNonDate="0" containsDate="1" containsString="0" minDate="2025-03-01T00:00:00" maxDate="2025-04-01T00:00:00"/>
    </cacheField>
    <cacheField name="Invoice No" numFmtId="0">
      <sharedItems containsBlank="1"/>
    </cacheField>
    <cacheField name="Description" numFmtId="0">
      <sharedItems count="9">
        <s v="Opening Balance"/>
        <s v="Sales"/>
        <s v="Expenses"/>
        <s v="Ginger Purchase"/>
        <s v="Garlic Purchase "/>
        <s v="Rent"/>
        <s v="Staff Salary"/>
        <s v="Wifi Bill"/>
        <s v="Petrol"/>
      </sharedItems>
    </cacheField>
    <cacheField name="Sales" numFmtId="0">
      <sharedItems containsString="0" containsBlank="1" containsNumber="1" containsInteger="1" minValue="40" maxValue="37403"/>
    </cacheField>
    <cacheField name="Expences" numFmtId="0">
      <sharedItems containsString="0" containsBlank="1" containsNumber="1" containsInteger="1" minValue="25" maxValue="24570"/>
    </cacheField>
    <cacheField name="Credit" numFmtId="0">
      <sharedItems containsNonDate="0" containsString="0" containsBlank="1"/>
    </cacheField>
    <cacheField name="Remarks"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UmaiZahid" refreshedDate="46004.76938020833" createdVersion="4" refreshedVersion="4" minRefreshableVersion="3" recordCount="102">
  <cacheSource type="worksheet">
    <worksheetSource ref="A1:G103" sheet="Apr 2025 - Sales"/>
  </cacheSource>
  <cacheFields count="7">
    <cacheField name="Date" numFmtId="14">
      <sharedItems containsNonDate="0" containsDate="1" containsString="0" containsBlank="1" minDate="2025-04-01T00:00:00" maxDate="2025-05-01T00:00:00"/>
    </cacheField>
    <cacheField name="Invoice No" numFmtId="0">
      <sharedItems containsBlank="1"/>
    </cacheField>
    <cacheField name="Description" numFmtId="0">
      <sharedItems containsBlank="1" count="12">
        <s v="Opening Balance"/>
        <s v="March Profit Share Paid"/>
        <s v="Sales"/>
        <s v="Expences"/>
        <s v="Ginger Purchase"/>
        <s v="Petrol"/>
        <s v="Garlic Purchase"/>
        <s v="Rent"/>
        <s v="Bills"/>
        <s v="Others"/>
        <m/>
        <s v="Staff Salary"/>
      </sharedItems>
    </cacheField>
    <cacheField name="Sales" numFmtId="8">
      <sharedItems containsString="0" containsBlank="1" containsNumber="1" containsInteger="1" minValue="40" maxValue="63848"/>
    </cacheField>
    <cacheField name="Expences" numFmtId="0">
      <sharedItems containsString="0" containsBlank="1" containsNumber="1" containsInteger="1" minValue="25" maxValue="20460"/>
    </cacheField>
    <cacheField name="Credit" numFmtId="0">
      <sharedItems containsNonDate="0" containsString="0" containsBlank="1"/>
    </cacheField>
    <cacheField name="Remarks" numFmtId="0">
      <sharedItems containsBlank="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r:id="rId1" refreshedBy="UmaiZahid" refreshedDate="46004.769380324076" createdVersion="4" refreshedVersion="4" minRefreshableVersion="3" recordCount="131">
  <cacheSource type="worksheet">
    <worksheetSource ref="A1:G132" sheet="May 2025 - Sales"/>
  </cacheSource>
  <cacheFields count="7">
    <cacheField name="Date" numFmtId="14">
      <sharedItems containsNonDate="0" containsDate="1" containsString="0" containsBlank="1" minDate="2025-05-01T00:00:00" maxDate="2025-06-01T00:00:00"/>
    </cacheField>
    <cacheField name="Invoice No" numFmtId="0">
      <sharedItems containsBlank="1"/>
    </cacheField>
    <cacheField name="Description" numFmtId="0">
      <sharedItems containsBlank="1" count="11">
        <s v="Opening Balance"/>
        <s v="Expences"/>
        <s v="Ginger Purchase"/>
        <s v="Sales"/>
        <s v="Garlic Purchase"/>
        <s v="Petrol"/>
        <s v="Rent"/>
        <s v="Staff Salary"/>
        <s v="Bills"/>
        <s v="Others"/>
        <m/>
      </sharedItems>
    </cacheField>
    <cacheField name="Sales" numFmtId="8">
      <sharedItems containsString="0" containsBlank="1" containsNumber="1" containsInteger="1" minValue="40" maxValue="54075"/>
    </cacheField>
    <cacheField name="Expences" numFmtId="0">
      <sharedItems containsString="0" containsBlank="1" containsNumber="1" containsInteger="1" minValue="20" maxValue="42865"/>
    </cacheField>
    <cacheField name="Credit" numFmtId="0">
      <sharedItems containsNonDate="0" containsString="0" containsBlank="1"/>
    </cacheField>
    <cacheField name="Remarks" numFmtId="0">
      <sharedItems containsBlank="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r:id="rId1" refreshedBy="UmaiZahid" refreshedDate="46004.769380439815" createdVersion="4" refreshedVersion="4" minRefreshableVersion="3" recordCount="141">
  <cacheSource type="worksheet">
    <worksheetSource ref="A1:F142" sheet="June 2025 - Sales"/>
  </cacheSource>
  <cacheFields count="6">
    <cacheField name="Date" numFmtId="14">
      <sharedItems containsSemiMixedTypes="0" containsNonDate="0" containsDate="1" containsString="0" minDate="2025-06-01T00:00:00" maxDate="2025-07-01T00:00:00"/>
    </cacheField>
    <cacheField name="Invoice No" numFmtId="0">
      <sharedItems containsBlank="1"/>
    </cacheField>
    <cacheField name="Description" numFmtId="0">
      <sharedItems containsBlank="1" count="11">
        <s v="Opening Balance"/>
        <s v="Ginger Purchase"/>
        <s v="Sales"/>
        <s v="Expences"/>
        <s v="Staff Salary"/>
        <s v="Petrol"/>
        <s v="Garlic Purchase"/>
        <s v="Rent"/>
        <s v="Advance"/>
        <s v="Bills"/>
        <m u="1"/>
      </sharedItems>
    </cacheField>
    <cacheField name="Sales" numFmtId="8">
      <sharedItems containsString="0" containsBlank="1" containsNumber="1" containsInteger="1" minValue="0" maxValue="32673"/>
    </cacheField>
    <cacheField name="Expences" numFmtId="0">
      <sharedItems containsString="0" containsBlank="1" containsNumber="1" containsInteger="1" minValue="20" maxValue="58367"/>
    </cacheField>
    <cacheField name="Credit"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r:id="rId1" refreshedBy="UmaiZahid" refreshedDate="46004.7693806713" createdVersion="4" refreshedVersion="4" minRefreshableVersion="3" recordCount="156">
  <cacheSource type="worksheet">
    <worksheetSource ref="A1:L157" sheet="Aug 2025 - Sales"/>
  </cacheSource>
  <cacheFields count="12">
    <cacheField name="Date" numFmtId="14">
      <sharedItems containsNonDate="0" containsDate="1" containsString="0" containsBlank="1" minDate="2025-08-01T00:00:00" maxDate="2025-09-01T00:00:00"/>
    </cacheField>
    <cacheField name="Invoice No" numFmtId="0">
      <sharedItems containsBlank="1"/>
    </cacheField>
    <cacheField name="Description" numFmtId="0">
      <sharedItems containsBlank="1" count="15">
        <s v="Opening Balance"/>
        <s v="Sales"/>
        <s v="Ginger Purchase"/>
        <s v="Expences"/>
        <s v="Delivery charge"/>
        <s v="Petrol"/>
        <s v="Rent"/>
        <s v="Others"/>
        <s v="Garlic Purchase"/>
        <s v="Staff Salary"/>
        <s v="Water Cane"/>
        <s v="Bills"/>
        <s v="Marketting"/>
        <s v="Packaging Material"/>
        <m u="1"/>
      </sharedItems>
    </cacheField>
    <cacheField name="Sales" numFmtId="8">
      <sharedItems containsString="0" containsBlank="1" containsNumber="1" containsInteger="1" minValue="90" maxValue="60648"/>
    </cacheField>
    <cacheField name="Expences" numFmtId="0">
      <sharedItems containsString="0" containsBlank="1" containsNumber="1" containsInteger="1" minValue="25" maxValue="31425"/>
    </cacheField>
    <cacheField name="Bill To" numFmtId="0">
      <sharedItems containsBlank="1"/>
    </cacheField>
    <cacheField name="Variety" numFmtId="0">
      <sharedItems containsBlank="1"/>
    </cacheField>
    <cacheField name="Unit Price" numFmtId="0">
      <sharedItems containsString="0" containsBlank="1" containsNumber="1" minValue="65" maxValue="125"/>
    </cacheField>
    <cacheField name="Transport cost" numFmtId="0">
      <sharedItems containsString="0" containsBlank="1" containsNumber="1" containsInteger="1" minValue="100" maxValue="1800"/>
    </cacheField>
    <cacheField name="Qty" numFmtId="1">
      <sharedItems containsString="0" containsBlank="1" containsNumber="1" containsInteger="1" minValue="14" maxValue="395"/>
    </cacheField>
    <cacheField name="Supplier" numFmtId="0">
      <sharedItems containsBlank="1"/>
    </cacheField>
    <cacheField name="Credit"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r:id="rId1" refreshedBy="UmaiZahid" refreshedDate="46004.769380902777" createdVersion="4" refreshedVersion="4" minRefreshableVersion="3" recordCount="6">
  <cacheSource type="worksheet">
    <worksheetSource ref="A143:E149" sheet="Raw Materials"/>
  </cacheSource>
  <cacheFields count="5">
    <cacheField name="Month" numFmtId="17">
      <sharedItems containsSemiMixedTypes="0" containsNonDate="0" containsDate="1" containsString="0" minDate="2025-02-01T00:00:00" maxDate="2025-07-02T00:00:00" count="6">
        <d v="2025-02-01T00:00:00"/>
        <d v="2025-03-01T00:00:00"/>
        <d v="2025-04-01T00:00:00"/>
        <d v="2025-05-01T00:00:00"/>
        <d v="2025-06-01T00:00:00"/>
        <d v="2025-07-01T00:00:00"/>
      </sharedItems>
    </cacheField>
    <cacheField name="Ginger Kgs" numFmtId="0">
      <sharedItems containsSemiMixedTypes="0" containsString="0" containsNumber="1" minValue="130" maxValue="921"/>
    </cacheField>
    <cacheField name="Ginger cost" numFmtId="8">
      <sharedItems containsSemiMixedTypes="0" containsString="0" containsNumber="1" containsInteger="1" minValue="5900" maxValue="38200"/>
    </cacheField>
    <cacheField name="Garlic Kgs" numFmtId="0">
      <sharedItems containsSemiMixedTypes="0" containsString="0" containsNumber="1" containsInteger="1" minValue="329" maxValue="1381"/>
    </cacheField>
    <cacheField name="Garlic cost" numFmtId="8">
      <sharedItems containsSemiMixedTypes="0" containsString="0" containsNumber="1" containsInteger="1" minValue="30735" maxValue="111892"/>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r:id="rId1" refreshedBy="UmaiZahid" refreshedDate="46004.769381018516" createdVersion="4" refreshedVersion="4" minRefreshableVersion="3" recordCount="156">
  <cacheSource type="worksheet">
    <worksheetSource name="Table1"/>
  </cacheSource>
  <cacheFields count="13">
    <cacheField name="Date" numFmtId="14">
      <sharedItems containsNonDate="0" containsDate="1" containsString="0" containsBlank="1" minDate="2025-08-01T00:00:00" maxDate="2025-09-01T00:00:00"/>
    </cacheField>
    <cacheField name="Invoice No" numFmtId="0">
      <sharedItems containsBlank="1"/>
    </cacheField>
    <cacheField name="Description" numFmtId="0">
      <sharedItems count="14">
        <s v="Opening Balance"/>
        <s v="Sales"/>
        <s v="Ginger Purchase"/>
        <s v="Expences"/>
        <s v="Delivery charge"/>
        <s v="Petrol"/>
        <s v="Rent"/>
        <s v="Others"/>
        <s v="Garlic Purchase"/>
        <s v="Staff Salary"/>
        <s v="Water Cane"/>
        <s v="Bills"/>
        <s v="Marketting"/>
        <s v="Packaging Material"/>
      </sharedItems>
    </cacheField>
    <cacheField name="Sales" numFmtId="8">
      <sharedItems containsString="0" containsBlank="1" containsNumber="1" containsInteger="1" minValue="90" maxValue="60648"/>
    </cacheField>
    <cacheField name="Expences" numFmtId="0">
      <sharedItems containsString="0" containsBlank="1" containsNumber="1" containsInteger="1" minValue="25" maxValue="31425"/>
    </cacheField>
    <cacheField name="Bill To" numFmtId="0">
      <sharedItems containsBlank="1" count="13">
        <m/>
        <s v="Cash"/>
        <s v="Riluwan(Nagore)"/>
        <s v="Ansari"/>
        <s v="Market Shop"/>
        <s v="Faisal(Nagai)"/>
        <s v="Barak Vegetables"/>
        <s v="Nasar"/>
        <s v="Hassan"/>
        <s v="Karthi"/>
        <s v="Masthan Aliyur"/>
        <s v="Hotel Noordeen"/>
        <s v="Mansoor"/>
      </sharedItems>
    </cacheField>
    <cacheField name="Variety" numFmtId="0">
      <sharedItems containsBlank="1"/>
    </cacheField>
    <cacheField name="Unit Price" numFmtId="0">
      <sharedItems containsString="0" containsBlank="1" containsNumber="1" minValue="65" maxValue="125"/>
    </cacheField>
    <cacheField name="Transport cost" numFmtId="0">
      <sharedItems containsString="0" containsBlank="1" containsNumber="1" containsInteger="1" minValue="100" maxValue="1800"/>
    </cacheField>
    <cacheField name="Qty" numFmtId="1">
      <sharedItems containsString="0" containsBlank="1" containsNumber="1" containsInteger="1" minValue="14" maxValue="395"/>
    </cacheField>
    <cacheField name="Supplier" numFmtId="0">
      <sharedItems containsBlank="1"/>
    </cacheField>
    <cacheField name="Credit" numFmtId="0">
      <sharedItems containsNonDate="0" containsString="0" containsBlank="1"/>
    </cacheField>
    <cacheField name="Remarks" numFmtId="0">
      <sharedItems containsBlank="1"/>
    </cacheField>
  </cacheFields>
  <extLst>
    <ext xmlns:x14="http://schemas.microsoft.com/office/spreadsheetml/2009/9/main" uri="{725AE2AE-9491-48be-B2B4-4EB974FC3084}">
      <x14:pivotCacheDefinition pivotCacheId="1"/>
    </ext>
  </extLst>
</pivotCacheDefinition>
</file>

<file path=xl/pivotCache/pivotCacheDefinition10.xml><?xml version="1.0" encoding="utf-8"?>
<pivotCacheDefinition xmlns="http://schemas.openxmlformats.org/spreadsheetml/2006/main" xmlns:r="http://schemas.openxmlformats.org/officeDocument/2006/relationships" r:id="rId1" refreshedBy="UmaiZahid" refreshedDate="46004.769381134261" createdVersion="4" refreshedVersion="4" minRefreshableVersion="3" recordCount="143">
  <cacheSource type="worksheet">
    <worksheetSource name="Table2"/>
  </cacheSource>
  <cacheFields count="8">
    <cacheField name="Date" numFmtId="14">
      <sharedItems containsSemiMixedTypes="0" containsNonDate="0" containsDate="1" containsString="0" minDate="2025-07-01T00:00:00" maxDate="2025-08-01T00:00:00"/>
    </cacheField>
    <cacheField name="Invoice No" numFmtId="0">
      <sharedItems containsBlank="1"/>
    </cacheField>
    <cacheField name="Description" numFmtId="0">
      <sharedItems/>
    </cacheField>
    <cacheField name="Sales" numFmtId="8">
      <sharedItems containsString="0" containsBlank="1" containsNumber="1" containsInteger="1" minValue="-14611" maxValue="13840"/>
    </cacheField>
    <cacheField name="Expences" numFmtId="0">
      <sharedItems containsString="0" containsBlank="1" containsNumber="1" containsInteger="1" minValue="25" maxValue="21375"/>
    </cacheField>
    <cacheField name="Bill To" numFmtId="0">
      <sharedItems containsBlank="1"/>
    </cacheField>
    <cacheField name="Credit" numFmtId="0">
      <sharedItems containsNonDate="0" containsString="0" containsBlank="1"/>
    </cacheField>
    <cacheField name="Remarks" numFmtId="0">
      <sharedItems containsBlank="1"/>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r:id="rId1" refreshedBy="UmaiZahid" refreshedDate="46004.76938125" createdVersion="4" refreshedVersion="4" minRefreshableVersion="3" recordCount="119">
  <cacheSource type="worksheet">
    <worksheetSource ref="A2:H121" sheet="Raw Materials"/>
  </cacheSource>
  <cacheFields count="8">
    <cacheField name="Date" numFmtId="14">
      <sharedItems containsSemiMixedTypes="0" containsNonDate="0" containsDate="1" containsString="0" minDate="2025-02-05T00:00:00" maxDate="2025-09-20T00:00:00" count="86">
        <d v="2025-02-05T00:00:00"/>
        <d v="2025-02-18T00:00:00"/>
        <d v="2025-02-20T00:00:00"/>
        <d v="2025-02-24T00:00:00"/>
        <d v="2025-02-26T00:00:00"/>
        <d v="2025-02-28T00:00:00"/>
        <d v="2025-03-03T00:00:00"/>
        <d v="2025-03-04T00:00:00"/>
        <d v="2025-03-07T00:00:00"/>
        <d v="2025-03-08T00:00:00"/>
        <d v="2025-03-13T00:00:00"/>
        <d v="2025-03-15T00:00:00"/>
        <d v="2025-03-17T00:00:00"/>
        <d v="2025-03-19T00:00:00"/>
        <d v="2025-03-20T00:00:00"/>
        <d v="2025-03-21T00:00:00"/>
        <d v="2025-03-22T00:00:00"/>
        <d v="2025-03-24T00:00:00"/>
        <d v="2025-03-25T00:00:00"/>
        <d v="2025-03-26T00:00:00"/>
        <d v="2025-03-27T00:00:00"/>
        <d v="2025-03-28T00:00:00"/>
        <d v="2025-03-29T00:00:00"/>
        <d v="2025-03-30T00:00:00"/>
        <d v="2025-04-04T00:00:00"/>
        <d v="2025-04-11T00:00:00"/>
        <d v="2025-04-12T00:00:00"/>
        <d v="2025-04-15T00:00:00"/>
        <d v="2025-04-19T00:00:00"/>
        <d v="2025-04-21T00:00:00"/>
        <d v="2025-04-23T00:00:00"/>
        <d v="2025-04-26T00:00:00"/>
        <d v="2025-05-01T00:00:00"/>
        <d v="2025-05-02T00:00:00"/>
        <d v="2025-05-06T00:00:00"/>
        <d v="2025-05-10T00:00:00"/>
        <d v="2025-05-14T00:00:00"/>
        <d v="2025-05-15T00:00:00"/>
        <d v="2025-05-19T00:00:00"/>
        <d v="2025-05-23T00:00:00"/>
        <d v="2025-05-25T00:00:00"/>
        <d v="2025-05-27T00:00:00"/>
        <d v="2025-05-30T00:00:00"/>
        <d v="2025-06-01T00:00:00"/>
        <d v="2025-06-03T00:00:00"/>
        <d v="2025-06-05T00:00:00"/>
        <d v="2025-06-06T00:00:00"/>
        <d v="2025-06-09T00:00:00"/>
        <d v="2025-06-14T00:00:00"/>
        <d v="2025-06-20T00:00:00"/>
        <d v="2025-06-21T00:00:00"/>
        <d v="2025-06-22T00:00:00"/>
        <d v="2025-06-24T00:00:00"/>
        <d v="2025-06-28T00:00:00"/>
        <d v="2025-07-02T00:00:00"/>
        <d v="2025-07-08T00:00:00"/>
        <d v="2025-07-11T00:00:00"/>
        <d v="2025-07-12T00:00:00"/>
        <d v="2025-07-15T00:00:00"/>
        <d v="2025-07-19T00:00:00"/>
        <d v="2025-07-21T00:00:00"/>
        <d v="2025-07-23T00:00:00"/>
        <d v="2025-07-24T00:00:00"/>
        <d v="2025-07-27T00:00:00"/>
        <d v="2025-07-29T00:00:00"/>
        <d v="2025-08-02T00:00:00"/>
        <d v="2025-08-06T00:00:00"/>
        <d v="2025-08-08T00:00:00"/>
        <d v="2025-08-12T00:00:00"/>
        <d v="2025-08-15T00:00:00"/>
        <d v="2025-08-19T00:00:00"/>
        <d v="2025-08-22T00:00:00"/>
        <d v="2025-08-23T00:00:00"/>
        <d v="2025-08-25T00:00:00"/>
        <d v="2025-08-29T00:00:00"/>
        <d v="2025-08-31T00:00:00"/>
        <d v="2025-09-02T00:00:00"/>
        <d v="2025-09-03T00:00:00"/>
        <d v="2025-09-05T00:00:00"/>
        <d v="2025-09-08T00:00:00"/>
        <d v="2025-09-11T00:00:00"/>
        <d v="2025-09-13T00:00:00"/>
        <d v="2025-09-15T00:00:00"/>
        <d v="2025-09-16T00:00:00"/>
        <d v="2025-09-18T00:00:00"/>
        <d v="2025-09-19T00:00:00"/>
      </sharedItems>
    </cacheField>
    <cacheField name="Description" numFmtId="0">
      <sharedItems count="2">
        <s v="Garlic"/>
        <s v="Ginger"/>
      </sharedItems>
    </cacheField>
    <cacheField name="Supplier" numFmtId="0">
      <sharedItems containsBlank="1"/>
    </cacheField>
    <cacheField name="Kgs" numFmtId="0">
      <sharedItems containsSemiMixedTypes="0" containsString="0" containsNumber="1" minValue="4" maxValue="721"/>
    </cacheField>
    <cacheField name="Unit Price" numFmtId="0">
      <sharedItems containsString="0" containsBlank="1" containsNumber="1" minValue="33.33" maxValue="125"/>
    </cacheField>
    <cacheField name="Transportation" numFmtId="0">
      <sharedItems containsString="0" containsBlank="1" containsNumber="1" minValue="-0.5" maxValue="2900"/>
    </cacheField>
    <cacheField name="Price" numFmtId="8">
      <sharedItems containsSemiMixedTypes="0" containsString="0" containsNumber="1" minValue="250" maxValue="58367"/>
    </cacheField>
    <cacheField name="Remarks" numFmtId="0">
      <sharedItems containsBlank="1"/>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r:id="rId1" refreshedBy="UmaiZahid" refreshedDate="46004.769381481485" createdVersion="4" refreshedVersion="4" minRefreshableVersion="3" recordCount="11">
  <cacheSource type="worksheet">
    <worksheetSource ref="A143:F154" sheet="Raw Materials"/>
  </cacheSource>
  <cacheFields count="6">
    <cacheField name="Month" numFmtId="17">
      <sharedItems containsSemiMixedTypes="0" containsNonDate="0" containsDate="1" containsString="0" minDate="2025-02-01T00:00:00" maxDate="2025-12-02T00:00:00" count="11">
        <d v="2025-02-01T00:00:00"/>
        <d v="2025-03-01T00:00:00"/>
        <d v="2025-04-01T00:00:00"/>
        <d v="2025-05-01T00:00:00"/>
        <d v="2025-06-01T00:00:00"/>
        <d v="2025-07-01T00:00:00"/>
        <d v="2025-08-01T00:00:00"/>
        <d v="2025-09-01T00:00:00"/>
        <d v="2025-10-01T00:00:00"/>
        <d v="2025-11-01T00:00:00"/>
        <d v="2025-12-01T00:00:00"/>
      </sharedItems>
    </cacheField>
    <cacheField name="Ginger Kgs" numFmtId="0">
      <sharedItems containsString="0" containsBlank="1" containsNumber="1" minValue="130" maxValue="921"/>
    </cacheField>
    <cacheField name="Ginger cost" numFmtId="8">
      <sharedItems containsString="0" containsBlank="1" containsNumber="1" minValue="5900" maxValue="45609.48"/>
    </cacheField>
    <cacheField name="Garlic Kgs" numFmtId="0">
      <sharedItems containsString="0" containsBlank="1" containsNumber="1" containsInteger="1" minValue="329" maxValue="1381"/>
    </cacheField>
    <cacheField name="Garlic cost" numFmtId="8">
      <sharedItems containsString="0" containsBlank="1" containsNumber="1" containsInteger="1" minValue="30735" maxValue="111892"/>
    </cacheField>
    <cacheField name="Monthly RM purchase cost" numFmtId="0">
      <sharedItems containsString="0" containsBlank="1" containsNumber="1" minValue="38150" maxValue="128342"/>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r:id="rId1" refreshedBy="UmaiZahid" refreshedDate="46004.769381597223" createdVersion="4" refreshedVersion="4" minRefreshableVersion="3" recordCount="12">
  <cacheSource type="worksheet">
    <worksheetSource ref="A5:F17" sheet="P&amp;L - 2025"/>
  </cacheSource>
  <cacheFields count="6">
    <cacheField name="Month" numFmtId="0">
      <sharedItems containsNonDate="0" containsDate="1" containsString="0" containsBlank="1" minDate="2025-02-01T00:00:00" maxDate="2025-12-02T00:00:00" count="12">
        <d v="2025-02-01T00:00:00"/>
        <d v="2025-03-01T00:00:00"/>
        <d v="2025-04-01T00:00:00"/>
        <d v="2025-05-01T00:00:00"/>
        <d v="2025-06-01T00:00:00"/>
        <d v="2025-07-01T00:00:00"/>
        <d v="2025-08-01T00:00:00"/>
        <d v="2025-09-01T00:00:00"/>
        <d v="2025-10-01T00:00:00"/>
        <d v="2025-11-01T00:00:00"/>
        <d v="2025-12-01T00:00:00"/>
        <m/>
      </sharedItems>
    </cacheField>
    <cacheField name="Sales" numFmtId="0">
      <sharedItems containsString="0" containsBlank="1" containsNumber="1" containsInteger="1" minValue="21450" maxValue="229785"/>
    </cacheField>
    <cacheField name="Expences" numFmtId="0">
      <sharedItems containsString="0" containsBlank="1" containsNumber="1" minValue="26975" maxValue="173935"/>
    </cacheField>
    <cacheField name="Gross Revenue" numFmtId="0">
      <sharedItems containsString="0" containsBlank="1" containsNumber="1" containsInteger="1" minValue="21450" maxValue="229785"/>
    </cacheField>
    <cacheField name="Gross Profit" numFmtId="0">
      <sharedItems containsNonDate="0" containsString="0" containsBlank="1"/>
    </cacheField>
    <cacheField name="Net Profit" numFmtId="0">
      <sharedItems containsString="0" containsBlank="1" containsNumber="1" minValue="-47284" maxValue="75259"/>
    </cacheField>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r:id="rId1" refreshedBy="UmaiZahid" refreshedDate="46004.769381712962" createdVersion="4" refreshedVersion="4" minRefreshableVersion="3" recordCount="339">
  <cacheSource type="worksheet">
    <worksheetSource name="Table3"/>
  </cacheSource>
  <cacheFields count="13">
    <cacheField name="Date" numFmtId="14">
      <sharedItems containsNonDate="0" containsDate="1" containsString="0" containsBlank="1" minDate="2025-09-01T00:00:00" maxDate="2025-10-01T00:00:00"/>
    </cacheField>
    <cacheField name="Invoice No" numFmtId="0">
      <sharedItems containsBlank="1"/>
    </cacheField>
    <cacheField name="Description" numFmtId="0">
      <sharedItems containsBlank="1"/>
    </cacheField>
    <cacheField name="Sales" numFmtId="8">
      <sharedItems containsString="0" containsBlank="1" containsNumber="1" containsInteger="1" minValue="60" maxValue="63725"/>
    </cacheField>
    <cacheField name="Expences" numFmtId="0">
      <sharedItems containsString="0" containsBlank="1" containsNumber="1" containsInteger="1" minValue="15" maxValue="27450"/>
    </cacheField>
    <cacheField name="Bill To" numFmtId="0">
      <sharedItems containsBlank="1" count="38">
        <m/>
        <s v="Cash"/>
        <s v="Hotel Noordeen"/>
        <s v="Ansari"/>
        <s v="Hassan"/>
        <s v="Maraikar Shop"/>
        <s v="REAL SUPER MARKET"/>
        <s v="BILAL COOK"/>
        <s v="DARBAR CATERING"/>
        <s v="AL AZEEM CATERS &amp; RESTAURANT"/>
        <s v="AMEEN MASTER CHEF"/>
        <s v="HABIL SAHIB"/>
        <s v="ARAFATH"/>
        <s v="VANJUR SHOP MARKET VASAL"/>
        <s v="HASSIM CATERING"/>
        <s v="ISMAIL BANDARI (THARANGAPADI )"/>
        <s v="HOTEL BISMI"/>
        <s v="SAHABUDEEN"/>
        <s v="HABEEB"/>
        <s v="RIYAS BANDARI"/>
        <s v="Mansoor"/>
        <s v="YOUSUF BANDARI"/>
        <s v="ARAFA RESTAURANT"/>
        <s v="MALAYSIAN FAST FOOD"/>
        <s v="halidh cook"/>
        <s v="SANDWICH SHOP"/>
        <s v="RR Mini Mart"/>
        <s v="AR RAHIM HOTEL"/>
        <s v="NFS DELIVERY"/>
        <s v="AL BAIK MANDI"/>
        <s v="SUPPLAYKART"/>
        <s v="bava chef"/>
        <s v="Andrew Cook"/>
        <s v="Nasar"/>
        <s v="Burhaan"/>
        <s v="UMAR BRIYANI"/>
        <s v="AHEE BANDARI"/>
        <s v="RILWAN"/>
      </sharedItems>
    </cacheField>
    <cacheField name="Variety" numFmtId="0">
      <sharedItems containsBlank="1"/>
    </cacheField>
    <cacheField name="Unit Price" numFmtId="0">
      <sharedItems containsString="0" containsBlank="1" containsNumber="1" minValue="44.64" maxValue="80"/>
    </cacheField>
    <cacheField name="Transport cost" numFmtId="0">
      <sharedItems containsString="0" containsBlank="1" containsNumber="1" containsInteger="1" minValue="0" maxValue="2100"/>
    </cacheField>
    <cacheField name="Qty" numFmtId="1">
      <sharedItems containsString="0" containsBlank="1" containsNumber="1" containsInteger="1" minValue="10" maxValue="390"/>
    </cacheField>
    <cacheField name="Supplier" numFmtId="0">
      <sharedItems containsBlank="1"/>
    </cacheField>
    <cacheField name="Credit" numFmtId="0">
      <sharedItems containsNonDate="0" containsString="0" containsBlank="1"/>
    </cacheField>
    <cacheField name="Remarks" numFmtId="0">
      <sharedItems containsBlank="1"/>
    </cacheField>
  </cacheFields>
  <extLst>
    <ext xmlns:x14="http://schemas.microsoft.com/office/spreadsheetml/2009/9/main" uri="{725AE2AE-9491-48be-B2B4-4EB974FC3084}">
      <x14:pivotCacheDefinition/>
    </ext>
  </extLst>
</pivotCacheDefinition>
</file>

<file path=xl/pivotCache/pivotCacheDefinition15.xml><?xml version="1.0" encoding="utf-8"?>
<pivotCacheDefinition xmlns="http://schemas.openxmlformats.org/spreadsheetml/2006/main" xmlns:r="http://schemas.openxmlformats.org/officeDocument/2006/relationships" r:id="rId1" refreshedBy="UmaiZahid" refreshedDate="46004.769381944447" createdVersion="4" refreshedVersion="4" minRefreshableVersion="3" recordCount="339">
  <cacheSource type="worksheet">
    <worksheetSource ref="B1:M340" sheet="Sep 2025 - Sales "/>
  </cacheSource>
  <cacheFields count="12">
    <cacheField name="Invoice No" numFmtId="0">
      <sharedItems containsBlank="1"/>
    </cacheField>
    <cacheField name="Description" numFmtId="0">
      <sharedItems containsBlank="1" count="16">
        <s v="Opening Balance"/>
        <s v="Sales"/>
        <s v="Expences"/>
        <s v="Packaging Material"/>
        <s v="Ginger Purchase"/>
        <s v="Water Cane"/>
        <s v="Garlic Purchase"/>
        <s v="Petrol"/>
        <s v="Staff Salary"/>
        <s v="Trasport"/>
        <s v="Delivery charge"/>
        <s v="Rent"/>
        <s v="Essential Items"/>
        <s v="Others"/>
        <s v="Bills"/>
        <m/>
      </sharedItems>
    </cacheField>
    <cacheField name="Sales" numFmtId="8">
      <sharedItems containsString="0" containsBlank="1" containsNumber="1" containsInteger="1" minValue="60" maxValue="63725"/>
    </cacheField>
    <cacheField name="Expences" numFmtId="0">
      <sharedItems containsString="0" containsBlank="1" containsNumber="1" containsInteger="1" minValue="15" maxValue="27450"/>
    </cacheField>
    <cacheField name="Bill To" numFmtId="0">
      <sharedItems containsBlank="1"/>
    </cacheField>
    <cacheField name="Variety" numFmtId="0">
      <sharedItems containsBlank="1"/>
    </cacheField>
    <cacheField name="Unit Price" numFmtId="0">
      <sharedItems containsString="0" containsBlank="1" containsNumber="1" minValue="44.64" maxValue="80"/>
    </cacheField>
    <cacheField name="Transport cost" numFmtId="0">
      <sharedItems containsString="0" containsBlank="1" containsNumber="1" containsInteger="1" minValue="0" maxValue="2100"/>
    </cacheField>
    <cacheField name="Qty" numFmtId="1">
      <sharedItems containsString="0" containsBlank="1" containsNumber="1" containsInteger="1" minValue="10" maxValue="390"/>
    </cacheField>
    <cacheField name="Supplier" numFmtId="0">
      <sharedItems containsBlank="1"/>
    </cacheField>
    <cacheField name="Credit" numFmtId="0">
      <sharedItems containsNonDate="0" containsString="0" containsBlank="1"/>
    </cacheField>
    <cacheField name="Remarks" numFmtId="0">
      <sharedItems containsBlank="1"/>
    </cacheField>
  </cacheFields>
  <extLst>
    <ext xmlns:x14="http://schemas.microsoft.com/office/spreadsheetml/2009/9/main" uri="{725AE2AE-9491-48be-B2B4-4EB974FC3084}">
      <x14:pivotCacheDefinition/>
    </ext>
  </extLst>
</pivotCacheDefinition>
</file>

<file path=xl/pivotCache/pivotCacheDefinition16.xml><?xml version="1.0" encoding="utf-8"?>
<pivotCacheDefinition xmlns="http://schemas.openxmlformats.org/spreadsheetml/2006/main" xmlns:r="http://schemas.openxmlformats.org/officeDocument/2006/relationships" r:id="rId1" refreshedBy="UmaiZahid" refreshedDate="46004.769382175924" createdVersion="4" refreshedVersion="4" minRefreshableVersion="3" recordCount="347">
  <cacheSource type="worksheet">
    <worksheetSource name="Table35[[Date]:[Supplier]]"/>
  </cacheSource>
  <cacheFields count="11">
    <cacheField name="Date" numFmtId="14">
      <sharedItems containsNonDate="0" containsDate="1" containsString="0" containsBlank="1" minDate="2025-10-01T00:00:00" maxDate="2025-11-01T00:00:00"/>
    </cacheField>
    <cacheField name="Invoice No" numFmtId="0">
      <sharedItems containsBlank="1"/>
    </cacheField>
    <cacheField name="Description" numFmtId="0">
      <sharedItems/>
    </cacheField>
    <cacheField name="Sales" numFmtId="8">
      <sharedItems containsString="0" containsBlank="1" containsNumber="1" containsInteger="1" minValue="0" maxValue="4800"/>
    </cacheField>
    <cacheField name="Expences" numFmtId="0">
      <sharedItems containsBlank="1" containsMixedTypes="1" containsNumber="1" containsInteger="1" minValue="10" maxValue="25321"/>
    </cacheField>
    <cacheField name="Bill To" numFmtId="0">
      <sharedItems containsBlank="1" count="39">
        <m/>
        <s v="NFS Delivery"/>
        <s v="Hotel Noordeen"/>
        <s v="Cash"/>
        <s v="Hotel Bismi"/>
        <s v="Maraikar Shop"/>
        <s v="Darbar Catering"/>
        <s v="Arafath"/>
        <s v="Malaysian Fast Food"/>
        <s v="Hassim Catering"/>
        <s v="AL AZEEM CATERS &amp; RESTAURANT"/>
        <s v="Halidh Cook"/>
        <s v="Ameen Master Chef"/>
        <s v="Habil Sahib"/>
        <s v="RR mini Mart"/>
        <s v="Supplaykart"/>
        <s v="Andrew Cook"/>
        <s v="Burhaan"/>
        <s v="Ya Salaam"/>
        <s v="Mansoor"/>
        <s v="Market Shop"/>
        <s v="AL RAYAAN MANDI"/>
        <s v="Ar rahim hotel"/>
        <s v="Faizal Nagai"/>
        <s v="VANJUR SHOP MARKET VASAL"/>
        <s v="habeeb"/>
        <s v="Hassan"/>
        <s v="sandwich shop"/>
        <s v="ansari"/>
        <s v="Chennai Tawa Beef"/>
        <s v="Riyas Bandari"/>
        <s v="Bilal Cook"/>
        <s v="Hotel Anas"/>
        <s v="ISMAIL BANDARI (THARANGAPADI )"/>
        <s v="LE ROYAL MANDI"/>
        <s v="HOTEL LEBBAI"/>
        <s v="Sahabudeen"/>
        <s v="RILWAN CATERING"/>
        <s v="nasar"/>
      </sharedItems>
    </cacheField>
    <cacheField name="Variety" numFmtId="0">
      <sharedItems containsBlank="1"/>
    </cacheField>
    <cacheField name="Unit Price" numFmtId="0">
      <sharedItems containsString="0" containsBlank="1" containsNumber="1" minValue="60" maxValue="104"/>
    </cacheField>
    <cacheField name="Transport cost" numFmtId="0">
      <sharedItems containsString="0" containsBlank="1" containsNumber="1" containsInteger="1" minValue="1051" maxValue="1501"/>
    </cacheField>
    <cacheField name="Qty" numFmtId="1">
      <sharedItems containsString="0" containsBlank="1" containsNumber="1" containsInteger="1" minValue="25" maxValue="397"/>
    </cacheField>
    <cacheField name="Supplier" numFmtId="0">
      <sharedItems containsBlank="1"/>
    </cacheField>
  </cacheFields>
  <extLst>
    <ext xmlns:x14="http://schemas.microsoft.com/office/spreadsheetml/2009/9/main" uri="{725AE2AE-9491-48be-B2B4-4EB974FC3084}">
      <x14:pivotCacheDefinition/>
    </ext>
  </extLst>
</pivotCacheDefinition>
</file>

<file path=xl/pivotCache/pivotCacheDefinition17.xml><?xml version="1.0" encoding="utf-8"?>
<pivotCacheDefinition xmlns="http://schemas.openxmlformats.org/spreadsheetml/2006/main" xmlns:r="http://schemas.openxmlformats.org/officeDocument/2006/relationships" r:id="rId1" refreshedBy="UmaiZahid" refreshedDate="46004.769382407409" createdVersion="4" refreshedVersion="4" minRefreshableVersion="3" recordCount="347">
  <cacheSource type="worksheet">
    <worksheetSource name="Table35"/>
  </cacheSource>
  <cacheFields count="13">
    <cacheField name="Date" numFmtId="14">
      <sharedItems containsNonDate="0" containsDate="1" containsString="0" containsBlank="1" minDate="2025-10-01T00:00:00" maxDate="2025-11-01T00:00:00"/>
    </cacheField>
    <cacheField name="Invoice No" numFmtId="0">
      <sharedItems containsBlank="1"/>
    </cacheField>
    <cacheField name="Description" numFmtId="0">
      <sharedItems containsBlank="1" count="18">
        <s v="Opening Balance"/>
        <s v="Ginger Purchase"/>
        <s v="Sales"/>
        <s v="Expences"/>
        <s v="Packaging Material"/>
        <s v="Others"/>
        <s v="Delivery charge"/>
        <s v="Staff Salary"/>
        <s v="Water Cane"/>
        <s v="Petrol"/>
        <s v="Rent"/>
        <s v="Essential Items"/>
        <s v="Garlic Purchase"/>
        <s v="Bills"/>
        <s v="Trasport"/>
        <s v="Customer deposit refund"/>
        <s v="Machinary Maintenance"/>
        <m u="1"/>
      </sharedItems>
    </cacheField>
    <cacheField name="Sales" numFmtId="8">
      <sharedItems containsString="0" containsBlank="1" containsNumber="1" containsInteger="1" minValue="0" maxValue="4800"/>
    </cacheField>
    <cacheField name="Expences" numFmtId="0">
      <sharedItems containsBlank="1" containsMixedTypes="1" containsNumber="1" containsInteger="1" minValue="10" maxValue="25321"/>
    </cacheField>
    <cacheField name="Bill To" numFmtId="0">
      <sharedItems containsBlank="1"/>
    </cacheField>
    <cacheField name="Variety" numFmtId="0">
      <sharedItems containsBlank="1"/>
    </cacheField>
    <cacheField name="Unit Price" numFmtId="0">
      <sharedItems containsString="0" containsBlank="1" containsNumber="1" minValue="60" maxValue="104"/>
    </cacheField>
    <cacheField name="Transport cost" numFmtId="0">
      <sharedItems containsString="0" containsBlank="1" containsNumber="1" containsInteger="1" minValue="1051" maxValue="1501"/>
    </cacheField>
    <cacheField name="Qty" numFmtId="1">
      <sharedItems containsString="0" containsBlank="1" containsNumber="1" containsInteger="1" minValue="25" maxValue="397"/>
    </cacheField>
    <cacheField name="Supplier" numFmtId="0">
      <sharedItems containsBlank="1"/>
    </cacheField>
    <cacheField name="Credit" numFmtId="0">
      <sharedItems containsNonDate="0" containsString="0" containsBlank="1"/>
    </cacheField>
    <cacheField name="Remarks" numFmtId="0">
      <sharedItems containsBlank="1"/>
    </cacheField>
  </cacheFields>
  <extLst>
    <ext xmlns:x14="http://schemas.microsoft.com/office/spreadsheetml/2009/9/main" uri="{725AE2AE-9491-48be-B2B4-4EB974FC3084}">
      <x14:pivotCacheDefinition/>
    </ext>
  </extLst>
</pivotCacheDefinition>
</file>

<file path=xl/pivotCache/pivotCacheDefinition18.xml><?xml version="1.0" encoding="utf-8"?>
<pivotCacheDefinition xmlns="http://schemas.openxmlformats.org/spreadsheetml/2006/main" xmlns:r="http://schemas.openxmlformats.org/officeDocument/2006/relationships" r:id="rId1" refreshedBy="UmaiZahid" refreshedDate="46004.769382638886" createdVersion="4" refreshedVersion="4" minRefreshableVersion="3" recordCount="316">
  <cacheSource type="worksheet">
    <worksheetSource name="Table356[[Date]:[Supplier]]"/>
  </cacheSource>
  <cacheFields count="11">
    <cacheField name="Date" numFmtId="14">
      <sharedItems containsNonDate="0" containsDate="1" containsString="0" containsBlank="1" minDate="2025-11-01T00:00:00" maxDate="2025-12-01T00:00:00"/>
    </cacheField>
    <cacheField name="Invoice No" numFmtId="0">
      <sharedItems containsBlank="1"/>
    </cacheField>
    <cacheField name="Description" numFmtId="0">
      <sharedItems containsBlank="1"/>
    </cacheField>
    <cacheField name="Sales" numFmtId="8">
      <sharedItems containsString="0" containsBlank="1" containsNumber="1" containsInteger="1" minValue="60" maxValue="39169"/>
    </cacheField>
    <cacheField name="Expences" numFmtId="0">
      <sharedItems containsString="0" containsBlank="1" containsNumber="1" minValue="10" maxValue="25991"/>
    </cacheField>
    <cacheField name="Bill To" numFmtId="0">
      <sharedItems containsBlank="1" count="38">
        <m/>
        <s v="AMEEN MASTER CHEF"/>
        <s v="HOTEL NOORDEEN"/>
        <s v="CHENNAI TAWA BEEF"/>
        <s v="FAISAL(NAGAI)"/>
        <s v="HOTEL BISMI"/>
        <s v="MARAIKAR SHOP"/>
        <s v="SUPPLAYKART"/>
        <s v="AL AZEEM CATERS &amp; RESTAURANT"/>
        <s v="HALIDH COOK"/>
        <s v="CASH"/>
        <s v="HOTEL ANAS"/>
        <s v="HASSIM CATERING"/>
        <s v="UMAR BRIYANI"/>
        <s v="NFS DELIVERY"/>
        <s v="ANSARI"/>
        <s v="LE ROYAL MANDI"/>
        <s v="BURHAAN"/>
        <s v="SAMSU BANDARI"/>
        <s v="NASAR"/>
        <s v="HASSAN"/>
        <s v="AR RAHIM HOTEL"/>
        <s v="DARBAR CATERING"/>
        <s v="ANDREW COOK"/>
        <s v="MALAYSIAN FAST FOOD"/>
        <s v="RR mini mart"/>
        <s v="Sandwich shop"/>
        <s v="Yousuf Bandari"/>
        <s v="FAIZAL NAGAI"/>
        <s v="Arafath"/>
        <s v="YA Salaam"/>
        <s v="Sahabudeen"/>
        <s v="RILUWAN(NAGORE)"/>
        <s v="Habil Sahib"/>
        <s v="NOORDIN FOOD COURT"/>
        <s v="ARAFA RESTAURANT"/>
        <s v="Riyas Bandari"/>
        <s v="Badhru Idli Kadai"/>
      </sharedItems>
    </cacheField>
    <cacheField name="Variety" numFmtId="0">
      <sharedItems containsBlank="1"/>
    </cacheField>
    <cacheField name="Unit Price" numFmtId="0">
      <sharedItems containsString="0" containsBlank="1" containsNumber="1" minValue="58" maxValue="68"/>
    </cacheField>
    <cacheField name="Transport cost" numFmtId="0">
      <sharedItems containsString="0" containsBlank="1" containsNumber="1" containsInteger="1" minValue="1501" maxValue="1501"/>
    </cacheField>
    <cacheField name="Qty" numFmtId="1">
      <sharedItems containsString="0" containsBlank="1" containsNumber="1" containsInteger="1" minValue="30" maxValue="395"/>
    </cacheField>
    <cacheField name="Supplier" numFmtId="0">
      <sharedItems containsBlank="1"/>
    </cacheField>
  </cacheFields>
  <extLst>
    <ext xmlns:x14="http://schemas.microsoft.com/office/spreadsheetml/2009/9/main" uri="{725AE2AE-9491-48be-B2B4-4EB974FC3084}">
      <x14:pivotCacheDefinition/>
    </ext>
  </extLst>
</pivotCacheDefinition>
</file>

<file path=xl/pivotCache/pivotCacheDefinition19.xml><?xml version="1.0" encoding="utf-8"?>
<pivotCacheDefinition xmlns="http://schemas.openxmlformats.org/spreadsheetml/2006/main" xmlns:r="http://schemas.openxmlformats.org/officeDocument/2006/relationships" r:id="rId1" refreshedBy="UmaiZahid" refreshedDate="46004.769384490741" createdVersion="4" refreshedVersion="4" minRefreshableVersion="3" recordCount="316">
  <cacheSource type="worksheet">
    <worksheetSource name="Table356"/>
  </cacheSource>
  <cacheFields count="13">
    <cacheField name="Date" numFmtId="14">
      <sharedItems containsNonDate="0" containsDate="1" containsString="0" containsBlank="1" minDate="2025-11-01T00:00:00" maxDate="2025-12-01T00:00:00"/>
    </cacheField>
    <cacheField name="Invoice No" numFmtId="0">
      <sharedItems containsBlank="1"/>
    </cacheField>
    <cacheField name="Description" numFmtId="0">
      <sharedItems containsBlank="1" count="16">
        <s v="Opening Balance"/>
        <s v="Ginger Purchase"/>
        <s v="Sales"/>
        <s v="Staff Salary"/>
        <s v="Expences"/>
        <s v="Water Cane"/>
        <s v="Rent"/>
        <s v="Essential Items"/>
        <s v="Delivery charge"/>
        <s v="Packaging Material"/>
        <s v="Petrol"/>
        <s v="Garlic Purchase"/>
        <m/>
        <s v="Others"/>
        <s v="Bills"/>
        <s v="Marketting"/>
      </sharedItems>
    </cacheField>
    <cacheField name="Sales" numFmtId="8">
      <sharedItems containsString="0" containsBlank="1" containsNumber="1" containsInteger="1" minValue="60" maxValue="39169"/>
    </cacheField>
    <cacheField name="Expences" numFmtId="0">
      <sharedItems containsString="0" containsBlank="1" containsNumber="1" minValue="10" maxValue="25991"/>
    </cacheField>
    <cacheField name="Bill To" numFmtId="0">
      <sharedItems containsBlank="1"/>
    </cacheField>
    <cacheField name="Variety" numFmtId="0">
      <sharedItems containsBlank="1"/>
    </cacheField>
    <cacheField name="Unit Price" numFmtId="0">
      <sharedItems containsString="0" containsBlank="1" containsNumber="1" minValue="58" maxValue="68"/>
    </cacheField>
    <cacheField name="Transport cost" numFmtId="0">
      <sharedItems containsString="0" containsBlank="1" containsNumber="1" containsInteger="1" minValue="1501" maxValue="1501"/>
    </cacheField>
    <cacheField name="Qty" numFmtId="1">
      <sharedItems containsString="0" containsBlank="1" containsNumber="1" containsInteger="1" minValue="30" maxValue="395"/>
    </cacheField>
    <cacheField name="Supplier" numFmtId="0">
      <sharedItems containsBlank="1"/>
    </cacheField>
    <cacheField name="Credit" numFmtId="0">
      <sharedItems containsNonDate="0" containsString="0" containsBlank="1"/>
    </cacheField>
    <cacheField name="Remarks" numFmtId="0">
      <sharedItems containsBlank="1"/>
    </cacheField>
  </cacheFields>
  <extLst>
    <ext xmlns:x14="http://schemas.microsoft.com/office/spreadsheetml/2009/9/main" uri="{725AE2AE-9491-48be-B2B4-4EB974FC3084}">
      <x14:pivotCacheDefinition/>
    </ext>
  </extLst>
</pivotCacheDefinition>
</file>

<file path=xl/pivotCache/pivotCacheDefinition20.xml><?xml version="1.0" encoding="utf-8"?>
<pivotCacheDefinition xmlns="http://schemas.openxmlformats.org/spreadsheetml/2006/main" xmlns:r="http://schemas.openxmlformats.org/officeDocument/2006/relationships" r:id="rId1" refreshedBy="UmaiZahid" refreshedDate="46004.769386111111" createdVersion="4" refreshedVersion="4" minRefreshableVersion="3" recordCount="143">
  <cacheSource type="worksheet">
    <worksheetSource name="Table3567"/>
  </cacheSource>
  <cacheFields count="13">
    <cacheField name="Date" numFmtId="14">
      <sharedItems containsNonDate="0" containsDate="1" containsString="0" containsBlank="1" minDate="2025-12-01T00:00:00" maxDate="2025-12-14T00:00:00"/>
    </cacheField>
    <cacheField name="Invoice No" numFmtId="0">
      <sharedItems containsBlank="1"/>
    </cacheField>
    <cacheField name="Description" numFmtId="0">
      <sharedItems containsBlank="1" count="14">
        <s v="Opening Balance"/>
        <s v="Sales"/>
        <s v="Expences"/>
        <s v="Water Cane"/>
        <s v="Packaging Material"/>
        <s v="Ginger Purchase"/>
        <s v="Staff Salary"/>
        <s v="Delivery charge"/>
        <s v="Others"/>
        <s v="Rent"/>
        <s v="Petrol"/>
        <m/>
        <s v="Garlic Purchase"/>
        <s v="Essential Items"/>
      </sharedItems>
    </cacheField>
    <cacheField name="Sales" numFmtId="8">
      <sharedItems containsString="0" containsBlank="1" containsNumber="1" minValue="80" maxValue="60995.5"/>
    </cacheField>
    <cacheField name="Expences" numFmtId="0">
      <sharedItems containsString="0" containsBlank="1" containsNumber="1" containsInteger="1" minValue="20" maxValue="45300"/>
    </cacheField>
    <cacheField name="Bill To" numFmtId="0">
      <sharedItems containsBlank="1"/>
    </cacheField>
    <cacheField name="Variety" numFmtId="0">
      <sharedItems containsBlank="1"/>
    </cacheField>
    <cacheField name="Unit Price" numFmtId="0">
      <sharedItems containsString="0" containsBlank="1" containsNumber="1" containsInteger="1" minValue="60" maxValue="75"/>
    </cacheField>
    <cacheField name="Transport cost" numFmtId="0">
      <sharedItems containsString="0" containsBlank="1" containsNumber="1" containsInteger="1" minValue="2400" maxValue="2400"/>
    </cacheField>
    <cacheField name="Qty" numFmtId="1">
      <sharedItems containsString="0" containsBlank="1" containsNumber="1" containsInteger="1" minValue="42" maxValue="390"/>
    </cacheField>
    <cacheField name="Supplier" numFmtId="0">
      <sharedItems containsBlank="1"/>
    </cacheField>
    <cacheField name="Credit" numFmtId="0">
      <sharedItems containsNonDate="0" containsString="0" containsBlank="1"/>
    </cacheField>
    <cacheField name="Remarks" numFmtId="0">
      <sharedItems containsBlank="1"/>
    </cacheField>
  </cacheFields>
  <extLst>
    <ext xmlns:x14="http://schemas.microsoft.com/office/spreadsheetml/2009/9/main" uri="{725AE2AE-9491-48be-B2B4-4EB974FC3084}">
      <x14:pivotCacheDefinition/>
    </ext>
  </extLst>
</pivotCacheDefinition>
</file>

<file path=xl/pivotCache/pivotCacheDefinition21.xml><?xml version="1.0" encoding="utf-8"?>
<pivotCacheDefinition xmlns="http://schemas.openxmlformats.org/spreadsheetml/2006/main" xmlns:r="http://schemas.openxmlformats.org/officeDocument/2006/relationships" r:id="rId1" refreshedBy="UmaiZahid" refreshedDate="46004.769388773151" createdVersion="4" refreshedVersion="4" minRefreshableVersion="3" recordCount="143">
  <cacheSource type="worksheet">
    <worksheetSource name="Table3567[[Date]:[Supplier]]"/>
  </cacheSource>
  <cacheFields count="11">
    <cacheField name="Date" numFmtId="14">
      <sharedItems containsNonDate="0" containsDate="1" containsString="0" containsBlank="1" minDate="2025-12-01T00:00:00" maxDate="2025-12-14T00:00:00"/>
    </cacheField>
    <cacheField name="Invoice No" numFmtId="0">
      <sharedItems containsBlank="1"/>
    </cacheField>
    <cacheField name="Description" numFmtId="0">
      <sharedItems containsBlank="1"/>
    </cacheField>
    <cacheField name="Sales" numFmtId="8">
      <sharedItems containsString="0" containsBlank="1" containsNumber="1" minValue="80" maxValue="60995.5"/>
    </cacheField>
    <cacheField name="Expences" numFmtId="0">
      <sharedItems containsString="0" containsBlank="1" containsNumber="1" containsInteger="1" minValue="20" maxValue="45300"/>
    </cacheField>
    <cacheField name="Bill To" numFmtId="0">
      <sharedItems containsBlank="1" count="33">
        <m/>
        <s v="HOTEL BISMI"/>
        <s v="SAHABUDEEN"/>
        <s v="CHENNAI TAWA BEEF"/>
        <s v="NOORDIN FOOD COURT"/>
        <s v="HASSAN"/>
        <s v="LE ROYAL MANDI"/>
        <s v="Cash"/>
        <s v="NFS DELIVERY"/>
        <s v="BURHAAN"/>
        <s v="HALIDH COOK"/>
        <s v="HASSIM CATERING"/>
        <s v="ARAFA RESTAURANT"/>
        <s v="RR MINI MART"/>
        <s v="AR RAHIM HOTEL"/>
        <s v="SUPPLAYKART"/>
        <s v="AMEEN MASTER CHEF"/>
        <s v="MALAYSIAN FAST FOOD"/>
        <s v="HABIL SAHIB"/>
        <s v="AL AZEEM CATERS &amp; RESTAURANT"/>
        <s v="FAIZAL NAGAI"/>
        <s v="HOTEL ANAS"/>
        <s v="HABEEB"/>
        <s v="YA SALAAM"/>
        <s v="ANDREW COOK"/>
        <s v="RIYAS BANDARI"/>
        <s v="ANSARI"/>
        <s v="YOUSUF BANDARI"/>
        <s v="DARBAR CATERING"/>
        <s v="ARAFATH"/>
        <s v="FAISAL(NAGAI)"/>
        <s v="SANDWICH SHOP"/>
        <s v="NASAR"/>
      </sharedItems>
    </cacheField>
    <cacheField name="Variety" numFmtId="0">
      <sharedItems containsBlank="1"/>
    </cacheField>
    <cacheField name="Unit Price" numFmtId="0">
      <sharedItems containsString="0" containsBlank="1" containsNumber="1" containsInteger="1" minValue="60" maxValue="75"/>
    </cacheField>
    <cacheField name="Transport cost" numFmtId="0">
      <sharedItems containsString="0" containsBlank="1" containsNumber="1" containsInteger="1" minValue="2400" maxValue="2400"/>
    </cacheField>
    <cacheField name="Qty" numFmtId="1">
      <sharedItems containsString="0" containsBlank="1" containsNumber="1" containsInteger="1" minValue="42" maxValue="390"/>
    </cacheField>
    <cacheField name="Supplier" numFmtId="0">
      <sharedItems containsBlank="1"/>
    </cacheField>
  </cacheFields>
  <extLst>
    <ext xmlns:x14="http://schemas.microsoft.com/office/spreadsheetml/2009/9/main" uri="{725AE2AE-9491-48be-B2B4-4EB974FC3084}">
      <x14:pivotCacheDefinition/>
    </ext>
  </extLst>
</pivotCacheDefinition>
</file>

<file path=xl/pivotCache/pivotCacheDefinition22.xml><?xml version="1.0" encoding="utf-8"?>
<pivotCacheDefinition xmlns="http://schemas.openxmlformats.org/spreadsheetml/2006/main" xmlns:r="http://schemas.openxmlformats.org/officeDocument/2006/relationships" r:id="rId1" refreshedBy="UmaiZahid" refreshedDate="46011.999888078702" createdVersion="4" refreshedVersion="4" minRefreshableVersion="3" recordCount="11">
  <cacheSource type="worksheet">
    <worksheetSource ref="A5:F16" sheet="P&amp;L - 2025"/>
  </cacheSource>
  <cacheFields count="6">
    <cacheField name="Month" numFmtId="17">
      <sharedItems containsSemiMixedTypes="0" containsNonDate="0" containsDate="1" containsString="0" minDate="2025-02-01T00:00:00" maxDate="2025-12-02T00:00:00" count="11">
        <d v="2025-02-01T00:00:00"/>
        <d v="2025-03-01T00:00:00"/>
        <d v="2025-04-01T00:00:00"/>
        <d v="2025-05-01T00:00:00"/>
        <d v="2025-06-01T00:00:00"/>
        <d v="2025-07-01T00:00:00"/>
        <d v="2025-08-01T00:00:00"/>
        <d v="2025-09-01T00:00:00"/>
        <d v="2025-10-01T00:00:00"/>
        <d v="2025-11-01T00:00:00"/>
        <d v="2025-12-01T00:00:00"/>
      </sharedItems>
    </cacheField>
    <cacheField name="Sales" numFmtId="8">
      <sharedItems containsSemiMixedTypes="0" containsString="0" containsNumber="1" containsInteger="1" minValue="21450" maxValue="229785"/>
    </cacheField>
    <cacheField name="Expences" numFmtId="8">
      <sharedItems containsSemiMixedTypes="0" containsString="0" containsNumber="1" minValue="26975" maxValue="173935"/>
    </cacheField>
    <cacheField name="Gross Revenue" numFmtId="8">
      <sharedItems containsSemiMixedTypes="0" containsString="0" containsNumber="1" containsInteger="1" minValue="21450" maxValue="229785"/>
    </cacheField>
    <cacheField name="Gross Profit" numFmtId="0">
      <sharedItems containsNonDate="0" containsString="0" containsBlank="1"/>
    </cacheField>
    <cacheField name="Net Profit" numFmtId="0">
      <sharedItems containsSemiMixedTypes="0" containsString="0" containsNumber="1" minValue="-47284" maxValue="7525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28">
  <r>
    <x v="0"/>
    <x v="0"/>
    <m/>
    <n v="62"/>
    <n v="90"/>
    <m/>
    <n v="5580"/>
  </r>
  <r>
    <x v="1"/>
    <x v="1"/>
    <m/>
    <n v="40"/>
    <n v="47.5"/>
    <n v="200"/>
    <n v="2100"/>
  </r>
  <r>
    <x v="2"/>
    <x v="0"/>
    <m/>
    <n v="76"/>
    <n v="85"/>
    <n v="560"/>
    <n v="7020"/>
  </r>
  <r>
    <x v="3"/>
    <x v="0"/>
    <m/>
    <n v="66"/>
    <n v="80"/>
    <n v="520"/>
    <n v="5800"/>
  </r>
  <r>
    <x v="3"/>
    <x v="1"/>
    <m/>
    <n v="30"/>
    <m/>
    <m/>
    <n v="1300"/>
  </r>
  <r>
    <x v="4"/>
    <x v="1"/>
    <m/>
    <n v="60"/>
    <n v="40"/>
    <n v="100"/>
    <n v="2500"/>
  </r>
  <r>
    <x v="5"/>
    <x v="0"/>
    <s v="PK Garlic Vadugapatti"/>
    <n v="160"/>
    <n v="80"/>
    <n v="1050"/>
    <n v="13850"/>
  </r>
  <r>
    <x v="6"/>
    <x v="1"/>
    <s v="Local Purchase"/>
    <n v="20"/>
    <n v="60"/>
    <m/>
    <n v="1200"/>
  </r>
  <r>
    <x v="7"/>
    <x v="0"/>
    <s v="PK Garlic Vadugapatti"/>
    <n v="98"/>
    <n v="80"/>
    <n v="685"/>
    <n v="8525"/>
  </r>
  <r>
    <x v="7"/>
    <x v="1"/>
    <s v="Bala Vegetables"/>
    <n v="56"/>
    <n v="43"/>
    <n v="100"/>
    <n v="2500"/>
  </r>
  <r>
    <x v="8"/>
    <x v="1"/>
    <s v="Bala Vegetables"/>
    <n v="56"/>
    <n v="43"/>
    <n v="100"/>
    <n v="2500"/>
  </r>
  <r>
    <x v="9"/>
    <x v="0"/>
    <s v="PK Garlic Vadugapatti"/>
    <n v="137"/>
    <n v="80"/>
    <n v="810"/>
    <n v="11770"/>
  </r>
  <r>
    <x v="10"/>
    <x v="1"/>
    <s v="Bala Vegetables"/>
    <n v="56"/>
    <n v="42.85"/>
    <n v="100.4"/>
    <n v="2500"/>
  </r>
  <r>
    <x v="11"/>
    <x v="0"/>
    <s v="PK Garlic Vadugapatti"/>
    <n v="165"/>
    <n v="80"/>
    <n v="1010"/>
    <n v="14210"/>
  </r>
  <r>
    <x v="11"/>
    <x v="1"/>
    <s v="Jakakodi Traders"/>
    <n v="56"/>
    <n v="38.39"/>
    <n v="100.16"/>
    <n v="2250"/>
  </r>
  <r>
    <x v="12"/>
    <x v="1"/>
    <s v="Jakakodi Traders"/>
    <n v="56"/>
    <n v="38.39"/>
    <n v="100.16"/>
    <n v="2250"/>
  </r>
  <r>
    <x v="13"/>
    <x v="1"/>
    <s v="Jakakodi Traders"/>
    <n v="56"/>
    <n v="38.39"/>
    <n v="100.16"/>
    <n v="2250"/>
  </r>
  <r>
    <x v="14"/>
    <x v="1"/>
    <s v="Jakakodi Traders"/>
    <n v="56"/>
    <n v="38.39"/>
    <n v="100.16"/>
    <n v="2250"/>
  </r>
  <r>
    <x v="15"/>
    <x v="1"/>
    <s v="Jakakodi Traders"/>
    <n v="56"/>
    <n v="38.39"/>
    <n v="100.16"/>
    <n v="2250"/>
  </r>
  <r>
    <x v="16"/>
    <x v="1"/>
    <s v="Ameen Bandary"/>
    <n v="5"/>
    <n v="50"/>
    <m/>
    <n v="250"/>
  </r>
  <r>
    <x v="16"/>
    <x v="0"/>
    <s v="Ameen Bandary"/>
    <n v="10"/>
    <n v="75"/>
    <m/>
    <n v="750"/>
  </r>
  <r>
    <x v="16"/>
    <x v="0"/>
    <s v="PK Garlic Vadugapatti"/>
    <n v="156"/>
    <n v="80"/>
    <n v="910"/>
    <n v="13390"/>
  </r>
  <r>
    <x v="17"/>
    <x v="1"/>
    <s v="Jakakodi Traders"/>
    <n v="56"/>
    <n v="38.39"/>
    <n v="100.16"/>
    <n v="2250"/>
  </r>
  <r>
    <x v="18"/>
    <x v="1"/>
    <s v="Jakakodi Traders"/>
    <n v="56"/>
    <n v="38.39"/>
    <n v="100.16"/>
    <n v="2250"/>
  </r>
  <r>
    <x v="19"/>
    <x v="1"/>
    <s v="Jakakodi Traders"/>
    <n v="56"/>
    <n v="38.39"/>
    <n v="100.16"/>
    <n v="2250"/>
  </r>
  <r>
    <x v="20"/>
    <x v="0"/>
    <s v="PK Garlic Vadugapatti"/>
    <n v="160"/>
    <n v="80"/>
    <n v="570"/>
    <n v="13370"/>
  </r>
  <r>
    <x v="20"/>
    <x v="0"/>
    <s v="PK Garlic Vadugapatti"/>
    <n v="120"/>
    <n v="85"/>
    <n v="1000"/>
    <n v="11200"/>
  </r>
  <r>
    <x v="20"/>
    <x v="1"/>
    <s v="Jakakodi Traders"/>
    <n v="56"/>
    <n v="38.39"/>
    <n v="100.16"/>
    <n v="2250"/>
  </r>
  <r>
    <x v="20"/>
    <x v="1"/>
    <s v="Jakakodi Traders"/>
    <n v="56"/>
    <n v="38.39"/>
    <n v="100.16"/>
    <n v="2250"/>
  </r>
  <r>
    <x v="21"/>
    <x v="1"/>
    <s v="Jakakodi Traders"/>
    <n v="56"/>
    <n v="38.39"/>
    <n v="100.16"/>
    <n v="2250"/>
  </r>
  <r>
    <x v="22"/>
    <x v="1"/>
    <s v="Jakakodi Traders"/>
    <n v="56"/>
    <n v="38.39"/>
    <n v="100.16"/>
    <n v="2250"/>
  </r>
  <r>
    <x v="23"/>
    <x v="1"/>
    <s v="Jakakodi Traders"/>
    <n v="56"/>
    <n v="38.39"/>
    <n v="100.16"/>
    <n v="2250"/>
  </r>
  <r>
    <x v="23"/>
    <x v="0"/>
    <s v="PK Garlic Vadugapatti"/>
    <n v="158"/>
    <n v="80"/>
    <n v="1020"/>
    <n v="13660"/>
  </r>
  <r>
    <x v="24"/>
    <x v="1"/>
    <s v="Jakakodi Traders"/>
    <n v="56"/>
    <n v="36.6"/>
    <n v="100.4"/>
    <n v="2150"/>
  </r>
  <r>
    <x v="25"/>
    <x v="0"/>
    <s v="Ameen Bandary"/>
    <n v="11"/>
    <n v="80"/>
    <m/>
    <n v="880"/>
  </r>
  <r>
    <x v="25"/>
    <x v="1"/>
    <s v="Ameen Bandary"/>
    <n v="15"/>
    <n v="50"/>
    <m/>
    <n v="750"/>
  </r>
  <r>
    <x v="26"/>
    <x v="1"/>
    <s v="Jakakodi Traders"/>
    <n v="56"/>
    <n v="38.39"/>
    <n v="100.16"/>
    <n v="2250"/>
  </r>
  <r>
    <x v="27"/>
    <x v="0"/>
    <s v="PK Garlic Vadugapatti"/>
    <n v="129"/>
    <n v="70"/>
    <m/>
    <n v="9030"/>
  </r>
  <r>
    <x v="27"/>
    <x v="0"/>
    <s v="PK Garlic Vadugapatti"/>
    <n v="87"/>
    <n v="75"/>
    <n v="1020"/>
    <n v="7545"/>
  </r>
  <r>
    <x v="27"/>
    <x v="1"/>
    <s v="Jakakodi Traders"/>
    <n v="56"/>
    <n v="36.6"/>
    <n v="100.4"/>
    <n v="2150"/>
  </r>
  <r>
    <x v="28"/>
    <x v="1"/>
    <s v="Jakakodi Traders"/>
    <n v="56"/>
    <n v="36.6"/>
    <n v="100.4"/>
    <n v="2150"/>
  </r>
  <r>
    <x v="29"/>
    <x v="0"/>
    <s v="PK Garlic Vadugapatti"/>
    <n v="192"/>
    <n v="75"/>
    <n v="1000"/>
    <n v="15400"/>
  </r>
  <r>
    <x v="30"/>
    <x v="1"/>
    <s v="Jakakodi Traders"/>
    <n v="56"/>
    <n v="36.6"/>
    <n v="100.4"/>
    <n v="2150"/>
  </r>
  <r>
    <x v="31"/>
    <x v="1"/>
    <s v="Jakakodi Traders"/>
    <n v="56"/>
    <n v="36.6"/>
    <n v="100.4"/>
    <n v="2150"/>
  </r>
  <r>
    <x v="32"/>
    <x v="1"/>
    <s v="Jakakodi Traders"/>
    <n v="54"/>
    <n v="33.33"/>
    <n v="100.18"/>
    <n v="1900"/>
  </r>
  <r>
    <x v="33"/>
    <x v="0"/>
    <s v="PK Garlic Vadugapatti"/>
    <n v="220"/>
    <n v="81.5"/>
    <n v="0"/>
    <n v="17930"/>
  </r>
  <r>
    <x v="34"/>
    <x v="1"/>
    <s v="Jakakodi Traders"/>
    <n v="52"/>
    <n v="33.65"/>
    <n v="0.2"/>
    <n v="1750"/>
  </r>
  <r>
    <x v="35"/>
    <x v="1"/>
    <s v="Jakakodi Traders"/>
    <n v="54"/>
    <n v="34.25"/>
    <n v="0.5"/>
    <n v="1850"/>
  </r>
  <r>
    <x v="36"/>
    <x v="0"/>
    <s v="PK Garlic Vadugapatti"/>
    <n v="388"/>
    <n v="70"/>
    <n v="2900"/>
    <n v="30060"/>
  </r>
  <r>
    <x v="36"/>
    <x v="0"/>
    <s v="PK Garlic Vadugapatti"/>
    <n v="197"/>
    <n v="65"/>
    <n v="0"/>
    <n v="12805"/>
  </r>
  <r>
    <x v="37"/>
    <x v="1"/>
    <s v="Jakakodi Traders"/>
    <n v="50"/>
    <n v="39"/>
    <n v="0"/>
    <n v="1950"/>
  </r>
  <r>
    <x v="38"/>
    <x v="1"/>
    <s v="Mass Traders"/>
    <n v="250"/>
    <n v="35"/>
    <n v="0"/>
    <n v="8750"/>
  </r>
  <r>
    <x v="39"/>
    <x v="0"/>
    <s v="Nilaa Wholesale Supplies"/>
    <n v="20"/>
    <n v="75"/>
    <n v="0"/>
    <n v="1500"/>
  </r>
  <r>
    <x v="40"/>
    <x v="1"/>
    <s v="Jakakodi Traders"/>
    <n v="50"/>
    <n v="43"/>
    <n v="0"/>
    <n v="2150"/>
  </r>
  <r>
    <x v="41"/>
    <x v="1"/>
    <s v="Jakakodi Traders"/>
    <n v="50"/>
    <n v="49"/>
    <n v="0"/>
    <n v="2450"/>
  </r>
  <r>
    <x v="42"/>
    <x v="1"/>
    <s v="Jakakodi Traders"/>
    <n v="25"/>
    <n v="49"/>
    <n v="50"/>
    <n v="1275"/>
  </r>
  <r>
    <x v="42"/>
    <x v="1"/>
    <s v="Nilaa Wholesale Supplies"/>
    <n v="8"/>
    <n v="50"/>
    <n v="0"/>
    <n v="400"/>
  </r>
  <r>
    <x v="42"/>
    <x v="0"/>
    <s v="Nilaa Wholesale Supplies"/>
    <n v="4"/>
    <n v="75"/>
    <n v="0"/>
    <n v="300"/>
  </r>
  <r>
    <x v="43"/>
    <x v="1"/>
    <s v="Jakakodi Traders"/>
    <n v="50"/>
    <n v="50"/>
    <n v="0"/>
    <n v="2500"/>
  </r>
  <r>
    <x v="44"/>
    <x v="1"/>
    <s v="Jakakodi Traders"/>
    <n v="50"/>
    <n v="49"/>
    <n v="0"/>
    <n v="2450"/>
  </r>
  <r>
    <x v="45"/>
    <x v="0"/>
    <s v="Nilaa Wholesale Supplies"/>
    <n v="350"/>
    <n v="75"/>
    <n v="200"/>
    <n v="26450"/>
  </r>
  <r>
    <x v="45"/>
    <x v="0"/>
    <s v="Nilaa Wholesale Supplies"/>
    <n v="102"/>
    <n v="80"/>
    <n v="0"/>
    <n v="8160"/>
  </r>
  <r>
    <x v="46"/>
    <x v="1"/>
    <s v="Jakakodi Traders"/>
    <n v="50"/>
    <n v="48"/>
    <n v="0"/>
    <n v="2400"/>
  </r>
  <r>
    <x v="47"/>
    <x v="1"/>
    <s v="Jakakodi Traders"/>
    <n v="50"/>
    <n v="46"/>
    <n v="0"/>
    <n v="2300"/>
  </r>
  <r>
    <x v="48"/>
    <x v="1"/>
    <s v="Jakakodi Traders"/>
    <n v="50"/>
    <n v="46"/>
    <n v="0"/>
    <n v="2300"/>
  </r>
  <r>
    <x v="49"/>
    <x v="0"/>
    <s v="Nilaa Wholesale Supplies"/>
    <n v="19"/>
    <n v="90"/>
    <n v="0"/>
    <n v="1710"/>
  </r>
  <r>
    <x v="50"/>
    <x v="1"/>
    <s v="Jakakodi Traders"/>
    <n v="50"/>
    <n v="46"/>
    <n v="0"/>
    <n v="2300"/>
  </r>
  <r>
    <x v="51"/>
    <x v="0"/>
    <s v="Nilaa Wholesale Supplies"/>
    <n v="150"/>
    <n v="90"/>
    <n v="0"/>
    <n v="13500"/>
  </r>
  <r>
    <x v="51"/>
    <x v="0"/>
    <s v="Nilaa Wholesale Supplies"/>
    <n v="39"/>
    <n v="95"/>
    <n v="0"/>
    <n v="3705"/>
  </r>
  <r>
    <x v="52"/>
    <x v="1"/>
    <s v="Jakakodi Traders"/>
    <n v="50"/>
    <n v="44"/>
    <n v="0"/>
    <n v="2200"/>
  </r>
  <r>
    <x v="52"/>
    <x v="0"/>
    <s v="PK Garlic Vadugapatti"/>
    <n v="721"/>
    <n v="77"/>
    <n v="2850"/>
    <n v="58367"/>
  </r>
  <r>
    <x v="53"/>
    <x v="1"/>
    <s v="Jakakodi Traders"/>
    <n v="50"/>
    <n v="44"/>
    <n v="0"/>
    <n v="2200"/>
  </r>
  <r>
    <x v="54"/>
    <x v="1"/>
    <s v="Jakakodi Traders"/>
    <n v="54"/>
    <n v="40.75"/>
    <n v="-0.5"/>
    <n v="2200"/>
  </r>
  <r>
    <x v="55"/>
    <x v="0"/>
    <s v="Nilaa Wholesale Supplies"/>
    <n v="20"/>
    <n v="90"/>
    <n v="0"/>
    <n v="1800"/>
  </r>
  <r>
    <x v="56"/>
    <x v="1"/>
    <s v="Jakakodi Traders"/>
    <n v="100"/>
    <n v="44"/>
    <n v="0"/>
    <n v="4400"/>
  </r>
  <r>
    <x v="56"/>
    <x v="0"/>
    <s v="Nilaa Wholesale Supplies"/>
    <n v="44"/>
    <n v="90"/>
    <n v="0"/>
    <n v="3960"/>
  </r>
  <r>
    <x v="57"/>
    <x v="1"/>
    <s v="Jakakodi Traders"/>
    <n v="50"/>
    <n v="42"/>
    <n v="0"/>
    <n v="2100"/>
  </r>
  <r>
    <x v="57"/>
    <x v="0"/>
    <s v="Nilaa Wholesale Supplies"/>
    <n v="10"/>
    <n v="90"/>
    <n v="0"/>
    <n v="900"/>
  </r>
  <r>
    <x v="58"/>
    <x v="1"/>
    <s v="Jakakodi Traders"/>
    <n v="50"/>
    <n v="44"/>
    <n v="0"/>
    <n v="2200"/>
  </r>
  <r>
    <x v="58"/>
    <x v="0"/>
    <s v="Nilaa Wholesale Supplies"/>
    <n v="10"/>
    <n v="90"/>
    <n v="0"/>
    <n v="900"/>
  </r>
  <r>
    <x v="59"/>
    <x v="1"/>
    <s v="Jakakodi Traders"/>
    <n v="50"/>
    <n v="50"/>
    <n v="0"/>
    <n v="2500"/>
  </r>
  <r>
    <x v="59"/>
    <x v="0"/>
    <s v="Nilaa Wholesale Supplies"/>
    <n v="10"/>
    <n v="90"/>
    <n v="0"/>
    <n v="900"/>
  </r>
  <r>
    <x v="60"/>
    <x v="1"/>
    <s v="Jakakodi Traders"/>
    <n v="50"/>
    <n v="58"/>
    <n v="0"/>
    <n v="2900"/>
  </r>
  <r>
    <x v="60"/>
    <x v="0"/>
    <s v="Nilaa Wholesale Supplies"/>
    <n v="10"/>
    <n v="90"/>
    <n v="0"/>
    <n v="900"/>
  </r>
  <r>
    <x v="61"/>
    <x v="0"/>
    <s v="Nilaa Wholesale Supplies"/>
    <n v="225"/>
    <n v="95"/>
    <n v="0"/>
    <n v="21375"/>
  </r>
  <r>
    <x v="62"/>
    <x v="1"/>
    <s v="Jakakodi Traders"/>
    <n v="50"/>
    <n v="58"/>
    <n v="100"/>
    <n v="3000"/>
  </r>
  <r>
    <x v="63"/>
    <x v="1"/>
    <s v="Jakakodi Traders"/>
    <n v="56.7"/>
    <n v="54.673699999999997"/>
    <n v="100"/>
    <n v="3199.9987900000001"/>
  </r>
  <r>
    <x v="64"/>
    <x v="1"/>
    <s v="Jakakodi Traders"/>
    <n v="54.2"/>
    <n v="57.195500000000003"/>
    <n v="100"/>
    <n v="3199.9961000000003"/>
  </r>
  <r>
    <x v="65"/>
    <x v="1"/>
    <s v="Jakakodi Traders"/>
    <n v="56"/>
    <n v="69.650000000000006"/>
    <n v="0"/>
    <n v="3900.4000000000005"/>
  </r>
  <r>
    <x v="66"/>
    <x v="0"/>
    <s v="Nilaa Wholesale Supplies"/>
    <n v="66"/>
    <n v="95"/>
    <n v="0"/>
    <n v="6270"/>
  </r>
  <r>
    <x v="66"/>
    <x v="1"/>
    <s v="Jakakodi Traders"/>
    <n v="56"/>
    <n v="67.849999999999994"/>
    <n v="0.4"/>
    <n v="3799.9999999999995"/>
  </r>
  <r>
    <x v="67"/>
    <x v="1"/>
    <s v="Jakakodi Traders"/>
    <n v="113"/>
    <n v="67.260000000000005"/>
    <n v="-0.38"/>
    <n v="7600.0000000000009"/>
  </r>
  <r>
    <x v="67"/>
    <x v="0"/>
    <s v="Nilaa Wholesale Supplies"/>
    <n v="34"/>
    <n v="95"/>
    <n v="0"/>
    <n v="3230"/>
  </r>
  <r>
    <x v="67"/>
    <x v="0"/>
    <s v="Mass Traders"/>
    <n v="197"/>
    <n v="65"/>
    <n v="1050"/>
    <n v="13855"/>
  </r>
  <r>
    <x v="68"/>
    <x v="1"/>
    <s v="Jakakodi Traders"/>
    <n v="50"/>
    <n v="80"/>
    <n v="0"/>
    <n v="4000"/>
  </r>
  <r>
    <x v="69"/>
    <x v="1"/>
    <s v="Jakakodi Traders"/>
    <n v="50"/>
    <n v="80"/>
    <n v="0"/>
    <n v="4000"/>
  </r>
  <r>
    <x v="70"/>
    <x v="1"/>
    <s v="Jakakodi Traders"/>
    <n v="50"/>
    <n v="78"/>
    <n v="0"/>
    <n v="3900"/>
  </r>
  <r>
    <x v="71"/>
    <x v="0"/>
    <s v="SVG Garlics"/>
    <n v="395"/>
    <n v="75"/>
    <n v="1800"/>
    <n v="31425"/>
  </r>
  <r>
    <x v="71"/>
    <x v="0"/>
    <s v="Nilaa Wholesale Supplies"/>
    <n v="183"/>
    <n v="125"/>
    <n v="100"/>
    <n v="22975"/>
  </r>
  <r>
    <x v="72"/>
    <x v="1"/>
    <s v="Jakakodi Traders"/>
    <n v="50"/>
    <n v="80"/>
    <n v="0"/>
    <n v="4000"/>
  </r>
  <r>
    <x v="73"/>
    <x v="1"/>
    <s v="Jakakodi Traders"/>
    <n v="50"/>
    <n v="76"/>
    <n v="0"/>
    <n v="3800"/>
  </r>
  <r>
    <x v="74"/>
    <x v="1"/>
    <s v="Jakakodi Traders"/>
    <n v="50"/>
    <n v="78"/>
    <n v="0"/>
    <n v="3900"/>
  </r>
  <r>
    <x v="75"/>
    <x v="1"/>
    <s v="Jakakodi Traders"/>
    <n v="50"/>
    <n v="78"/>
    <n v="0"/>
    <n v="3900"/>
  </r>
  <r>
    <x v="75"/>
    <x v="0"/>
    <s v="Nilaa Wholesale Supplies"/>
    <n v="14"/>
    <n v="107.15"/>
    <n v="0"/>
    <n v="1500.1000000000001"/>
  </r>
  <r>
    <x v="76"/>
    <x v="1"/>
    <s v="Jakakodi Traders"/>
    <n v="50"/>
    <n v="78"/>
    <n v="0"/>
    <n v="3900"/>
  </r>
  <r>
    <x v="77"/>
    <x v="0"/>
    <s v="SVG Garlics"/>
    <n v="125"/>
    <n v="75"/>
    <n v="450"/>
    <n v="9825"/>
  </r>
  <r>
    <x v="77"/>
    <x v="1"/>
    <s v="Jakakodi Traders"/>
    <n v="100"/>
    <n v="80"/>
    <n v="0"/>
    <n v="8000"/>
  </r>
  <r>
    <x v="78"/>
    <x v="1"/>
    <s v="Jakakodi Traders"/>
    <n v="50"/>
    <n v="78"/>
    <n v="0"/>
    <n v="3900"/>
  </r>
  <r>
    <x v="79"/>
    <x v="1"/>
    <s v="Jakakodi Traders"/>
    <n v="50"/>
    <n v="78"/>
    <n v="0"/>
    <n v="3900"/>
  </r>
  <r>
    <x v="79"/>
    <x v="0"/>
    <s v="SVG Garlics"/>
    <n v="140"/>
    <n v="60"/>
    <n v="600"/>
    <n v="9000"/>
  </r>
  <r>
    <x v="79"/>
    <x v="0"/>
    <s v="SVG Garlics"/>
    <n v="10"/>
    <n v="60"/>
    <n v="0"/>
    <n v="600"/>
  </r>
  <r>
    <x v="80"/>
    <x v="0"/>
    <s v="PK Garlic"/>
    <n v="390"/>
    <n v="65"/>
    <n v="2100"/>
    <n v="27450"/>
  </r>
  <r>
    <x v="80"/>
    <x v="0"/>
    <s v="PK Garlic"/>
    <n v="78"/>
    <n v="80"/>
    <n v="0"/>
    <n v="6240"/>
  </r>
  <r>
    <x v="80"/>
    <x v="1"/>
    <s v="Jakakodi Traders"/>
    <n v="50"/>
    <n v="78"/>
    <n v="0"/>
    <n v="3900"/>
  </r>
  <r>
    <x v="81"/>
    <x v="1"/>
    <s v="Jakakodi Traders"/>
    <n v="50"/>
    <n v="74"/>
    <n v="0"/>
    <n v="3700"/>
  </r>
  <r>
    <x v="82"/>
    <x v="1"/>
    <s v="Jakakodi Traders"/>
    <n v="28"/>
    <n v="67.849999999999994"/>
    <n v="0"/>
    <n v="1899.7999999999997"/>
  </r>
  <r>
    <x v="83"/>
    <x v="1"/>
    <s v="Jakakodi Traders"/>
    <n v="50"/>
    <n v="74"/>
    <n v="0"/>
    <n v="3700"/>
  </r>
  <r>
    <x v="84"/>
    <x v="1"/>
    <s v="Jakakodi Traders"/>
    <n v="112"/>
    <n v="44.64"/>
    <n v="510"/>
    <n v="5509.68"/>
  </r>
  <r>
    <x v="85"/>
    <x v="0"/>
    <s v="SVG Garlics"/>
    <n v="171"/>
    <n v="65"/>
    <n v="1150"/>
    <n v="12265"/>
  </r>
  <r>
    <x v="86"/>
    <x v="1"/>
    <s v="Jakakodi Traders"/>
    <n v="50"/>
    <n v="72"/>
    <m/>
    <n v="3600"/>
  </r>
  <r>
    <x v="87"/>
    <x v="1"/>
    <s v="Jakakodi Traders"/>
    <n v="50"/>
    <n v="72"/>
    <m/>
    <n v="3600"/>
  </r>
  <r>
    <x v="88"/>
    <x v="0"/>
    <s v="SVG Garlics"/>
    <n v="80"/>
    <n v="65"/>
    <n v="1170"/>
    <n v="6370"/>
  </r>
  <r>
    <x v="88"/>
    <x v="0"/>
    <s v="SVG Garlics"/>
    <n v="160"/>
    <n v="60"/>
    <n v="0"/>
    <n v="9600"/>
  </r>
  <r>
    <x v="89"/>
    <x v="2"/>
    <m/>
    <m/>
    <m/>
    <m/>
    <m/>
  </r>
  <r>
    <x v="89"/>
    <x v="2"/>
    <m/>
    <m/>
    <m/>
    <m/>
    <m/>
  </r>
  <r>
    <x v="89"/>
    <x v="2"/>
    <m/>
    <m/>
    <m/>
    <m/>
    <m/>
  </r>
  <r>
    <x v="89"/>
    <x v="2"/>
    <m/>
    <m/>
    <m/>
    <m/>
    <m/>
  </r>
  <r>
    <x v="89"/>
    <x v="3"/>
    <m/>
    <n v="10153.9"/>
    <m/>
    <m/>
    <n v="730891.97489000007"/>
  </r>
</pivotCacheRecords>
</file>

<file path=xl/pivotCache/pivotCacheRecords2.xml><?xml version="1.0" encoding="utf-8"?>
<pivotCacheRecords xmlns="http://schemas.openxmlformats.org/spreadsheetml/2006/main" xmlns:r="http://schemas.openxmlformats.org/officeDocument/2006/relationships" count="144">
  <r>
    <d v="2025-07-01T00:00:00"/>
    <m/>
    <x v="0"/>
    <n v="-14611"/>
    <m/>
    <m/>
    <m/>
  </r>
  <r>
    <d v="2025-07-01T00:00:00"/>
    <s v="INV-234"/>
    <x v="1"/>
    <n v="410"/>
    <m/>
    <s v="Cash"/>
    <m/>
  </r>
  <r>
    <d v="2025-07-01T00:00:00"/>
    <s v="INV-235"/>
    <x v="1"/>
    <n v="1330"/>
    <m/>
    <s v="Riluwan(Nagore)"/>
    <m/>
  </r>
  <r>
    <d v="2025-07-01T00:00:00"/>
    <s v="INV-236"/>
    <x v="1"/>
    <n v="240"/>
    <m/>
    <s v="Ansari"/>
    <m/>
  </r>
  <r>
    <d v="2025-07-01T00:00:00"/>
    <m/>
    <x v="2"/>
    <m/>
    <n v="210"/>
    <m/>
    <m/>
  </r>
  <r>
    <d v="2025-07-02T00:00:00"/>
    <m/>
    <x v="3"/>
    <m/>
    <n v="2200"/>
    <m/>
    <m/>
  </r>
  <r>
    <d v="2025-07-02T00:00:00"/>
    <m/>
    <x v="2"/>
    <m/>
    <n v="447"/>
    <m/>
    <m/>
  </r>
  <r>
    <d v="2025-07-02T00:00:00"/>
    <s v="INV-237"/>
    <x v="1"/>
    <n v="3000"/>
    <m/>
    <s v="Riluwan(Nagore)"/>
    <m/>
  </r>
  <r>
    <d v="2025-07-02T00:00:00"/>
    <s v="INV-238"/>
    <x v="1"/>
    <n v="80"/>
    <m/>
    <s v="Cash"/>
    <m/>
  </r>
  <r>
    <d v="2025-07-03T00:00:00"/>
    <m/>
    <x v="4"/>
    <m/>
    <n v="2000"/>
    <m/>
    <m/>
  </r>
  <r>
    <d v="2025-07-03T00:00:00"/>
    <s v="INV-239"/>
    <x v="1"/>
    <n v="3630"/>
    <m/>
    <s v="Riluwan(Nagore)"/>
    <m/>
  </r>
  <r>
    <d v="2025-07-03T00:00:00"/>
    <s v="INV-240"/>
    <x v="1"/>
    <n v="40"/>
    <m/>
    <s v="Cash"/>
    <m/>
  </r>
  <r>
    <d v="2025-07-03T00:00:00"/>
    <m/>
    <x v="2"/>
    <m/>
    <n v="25"/>
    <m/>
    <m/>
  </r>
  <r>
    <d v="2025-07-04T00:00:00"/>
    <s v="INV-241"/>
    <x v="1"/>
    <n v="40"/>
    <m/>
    <s v="Cash"/>
    <m/>
  </r>
  <r>
    <d v="2025-07-04T00:00:00"/>
    <s v="INV-242"/>
    <x v="1"/>
    <n v="3310"/>
    <m/>
    <s v="Market Shop"/>
    <m/>
  </r>
  <r>
    <d v="2025-07-04T00:00:00"/>
    <s v="INV-243"/>
    <x v="1"/>
    <n v="280"/>
    <m/>
    <s v="Faisal(Nagai)"/>
    <m/>
  </r>
  <r>
    <d v="2025-07-04T00:00:00"/>
    <m/>
    <x v="2"/>
    <m/>
    <n v="25"/>
    <m/>
    <m/>
  </r>
  <r>
    <d v="2025-07-04T00:00:00"/>
    <m/>
    <x v="5"/>
    <m/>
    <n v="400"/>
    <m/>
    <m/>
  </r>
  <r>
    <d v="2025-07-05T00:00:00"/>
    <s v="INV-244"/>
    <x v="1"/>
    <n v="700"/>
    <m/>
    <s v="Faisal(Nagai)"/>
    <m/>
  </r>
  <r>
    <d v="2025-07-05T00:00:00"/>
    <s v="INV-245"/>
    <x v="1"/>
    <n v="720"/>
    <m/>
    <s v="Market Shop"/>
    <m/>
  </r>
  <r>
    <d v="2025-07-05T00:00:00"/>
    <s v="INV-246"/>
    <x v="1"/>
    <n v="1900"/>
    <m/>
    <s v="Riluwan(Nagore)"/>
    <m/>
  </r>
  <r>
    <d v="2025-07-06T00:00:00"/>
    <s v="INV-247"/>
    <x v="1"/>
    <n v="480"/>
    <m/>
    <s v="Ansari"/>
    <m/>
  </r>
  <r>
    <d v="2025-07-06T00:00:00"/>
    <s v="INV-248"/>
    <x v="1"/>
    <n v="180"/>
    <m/>
    <s v="Market Shop"/>
    <m/>
  </r>
  <r>
    <d v="2025-07-06T00:00:00"/>
    <s v="INV-249"/>
    <x v="1"/>
    <n v="1275"/>
    <m/>
    <s v="Riluwan(Nagore)"/>
    <m/>
  </r>
  <r>
    <d v="2025-07-06T00:00:00"/>
    <m/>
    <x v="6"/>
    <m/>
    <n v="9000"/>
    <m/>
    <m/>
  </r>
  <r>
    <d v="2025-07-07T00:00:00"/>
    <s v="INV-250"/>
    <x v="1"/>
    <n v="2240"/>
    <m/>
    <s v="Riluwan(Nagore)"/>
    <m/>
  </r>
  <r>
    <d v="2025-07-07T00:00:00"/>
    <s v="INV-251"/>
    <x v="1"/>
    <n v="600"/>
    <m/>
    <s v="Market Shop"/>
    <m/>
  </r>
  <r>
    <d v="2025-07-07T00:00:00"/>
    <s v="INV-252"/>
    <x v="1"/>
    <n v="100"/>
    <m/>
    <s v="Ansari"/>
    <m/>
  </r>
  <r>
    <d v="2025-07-07T00:00:00"/>
    <m/>
    <x v="2"/>
    <m/>
    <n v="50"/>
    <m/>
    <m/>
  </r>
  <r>
    <d v="2025-07-08T00:00:00"/>
    <s v="INV-253"/>
    <x v="1"/>
    <n v="80"/>
    <m/>
    <s v="Cash"/>
    <m/>
  </r>
  <r>
    <d v="2025-07-08T00:00:00"/>
    <s v="INV-254"/>
    <x v="1"/>
    <n v="100"/>
    <m/>
    <s v="Hassan"/>
    <m/>
  </r>
  <r>
    <d v="2025-07-08T00:00:00"/>
    <s v="INV-255"/>
    <x v="1"/>
    <n v="100"/>
    <m/>
    <s v="Ansari"/>
    <m/>
  </r>
  <r>
    <d v="2025-07-08T00:00:00"/>
    <s v="INV-256"/>
    <x v="1"/>
    <n v="1260"/>
    <m/>
    <s v="Market Shop"/>
    <m/>
  </r>
  <r>
    <d v="2025-07-08T00:00:00"/>
    <m/>
    <x v="7"/>
    <m/>
    <n v="1800"/>
    <m/>
    <m/>
  </r>
  <r>
    <d v="2025-07-08T00:00:00"/>
    <m/>
    <x v="2"/>
    <m/>
    <n v="25"/>
    <m/>
    <m/>
  </r>
  <r>
    <d v="2025-07-09T00:00:00"/>
    <s v="INV-257"/>
    <x v="1"/>
    <n v="3100"/>
    <m/>
    <s v="Riluwan(Nagore)"/>
    <m/>
  </r>
  <r>
    <d v="2025-07-09T00:00:00"/>
    <s v="INV-258"/>
    <x v="1"/>
    <n v="1650"/>
    <m/>
    <s v="Market Shop"/>
    <m/>
  </r>
  <r>
    <d v="2025-07-10T00:00:00"/>
    <s v="INV-259"/>
    <x v="1"/>
    <n v="720"/>
    <m/>
    <s v="Market Shop"/>
    <m/>
  </r>
  <r>
    <d v="2025-07-10T00:00:00"/>
    <s v="INV-260"/>
    <x v="1"/>
    <n v="240"/>
    <m/>
    <s v="Ansari"/>
    <m/>
  </r>
  <r>
    <d v="2025-07-10T00:00:00"/>
    <s v="INV-261"/>
    <x v="1"/>
    <n v="1900"/>
    <m/>
    <s v="Riluwan(Nagore)"/>
    <m/>
  </r>
  <r>
    <d v="2025-07-10T00:00:00"/>
    <m/>
    <x v="2"/>
    <m/>
    <n v="185"/>
    <m/>
    <m/>
  </r>
  <r>
    <d v="2025-07-11T00:00:00"/>
    <m/>
    <x v="7"/>
    <m/>
    <n v="3960"/>
    <m/>
    <m/>
  </r>
  <r>
    <d v="2025-07-11T00:00:00"/>
    <m/>
    <x v="3"/>
    <m/>
    <n v="4400"/>
    <m/>
    <m/>
  </r>
  <r>
    <d v="2025-07-11T00:00:00"/>
    <s v="INV-262"/>
    <x v="1"/>
    <n v="5490"/>
    <m/>
    <s v="Riluwan(Nagore)"/>
    <m/>
  </r>
  <r>
    <d v="2025-07-11T00:00:00"/>
    <s v="INV-263"/>
    <x v="1"/>
    <n v="2880"/>
    <m/>
    <s v="Market Shop"/>
    <m/>
  </r>
  <r>
    <d v="2025-07-11T00:00:00"/>
    <s v="INV-264"/>
    <x v="1"/>
    <n v="80"/>
    <m/>
    <s v="Cash"/>
    <m/>
  </r>
  <r>
    <d v="2025-07-11T00:00:00"/>
    <s v="INV-265"/>
    <x v="1"/>
    <n v="8000"/>
    <m/>
    <s v="Ansari"/>
    <m/>
  </r>
  <r>
    <d v="2025-07-11T00:00:00"/>
    <s v="INV-266"/>
    <x v="1"/>
    <n v="1260"/>
    <m/>
    <s v="Faisal(Nagai)"/>
    <m/>
  </r>
  <r>
    <d v="2025-07-11T00:00:00"/>
    <m/>
    <x v="4"/>
    <m/>
    <n v="300"/>
    <m/>
    <m/>
  </r>
  <r>
    <d v="2025-07-11T00:00:00"/>
    <m/>
    <x v="5"/>
    <m/>
    <n v="400"/>
    <m/>
    <m/>
  </r>
  <r>
    <d v="2025-07-11T00:00:00"/>
    <m/>
    <x v="2"/>
    <m/>
    <n v="758"/>
    <m/>
    <m/>
  </r>
  <r>
    <d v="2025-07-12T00:00:00"/>
    <m/>
    <x v="7"/>
    <m/>
    <n v="900"/>
    <m/>
    <m/>
  </r>
  <r>
    <d v="2025-07-12T00:00:00"/>
    <m/>
    <x v="3"/>
    <m/>
    <n v="2100"/>
    <m/>
    <m/>
  </r>
  <r>
    <d v="2025-07-12T00:00:00"/>
    <s v="INV-267"/>
    <x v="1"/>
    <n v="4800"/>
    <m/>
    <s v="Halidh Cook"/>
    <m/>
  </r>
  <r>
    <d v="2025-07-12T00:00:00"/>
    <s v="INV-268"/>
    <x v="1"/>
    <n v="600"/>
    <m/>
    <s v="Market Shop"/>
    <m/>
  </r>
  <r>
    <d v="2025-07-12T00:00:00"/>
    <s v="INV-269"/>
    <x v="1"/>
    <n v="12480"/>
    <m/>
    <s v="Riluwan(Nagore)"/>
    <m/>
  </r>
  <r>
    <d v="2025-07-12T00:00:00"/>
    <m/>
    <x v="4"/>
    <m/>
    <n v="300"/>
    <m/>
    <m/>
  </r>
  <r>
    <d v="2025-07-12T00:00:00"/>
    <m/>
    <x v="2"/>
    <m/>
    <n v="238"/>
    <m/>
    <m/>
  </r>
  <r>
    <d v="2025-07-13T00:00:00"/>
    <s v="INV-270"/>
    <x v="1"/>
    <n v="4175"/>
    <m/>
    <s v="Riluwan(Nagore)"/>
    <m/>
  </r>
  <r>
    <d v="2025-07-13T00:00:00"/>
    <s v="INV-271"/>
    <x v="1"/>
    <n v="1020"/>
    <m/>
    <s v="Market Shop"/>
    <m/>
  </r>
  <r>
    <d v="2025-07-14T00:00:00"/>
    <s v="INV-272"/>
    <x v="1"/>
    <n v="3985"/>
    <m/>
    <s v="Riluwan(Nagore)"/>
    <m/>
  </r>
  <r>
    <d v="2025-07-14T00:00:00"/>
    <s v="INV-273"/>
    <x v="1"/>
    <n v="40"/>
    <m/>
    <s v="Cash"/>
    <m/>
  </r>
  <r>
    <d v="2025-07-14T00:00:00"/>
    <m/>
    <x v="2"/>
    <m/>
    <n v="210"/>
    <m/>
    <m/>
  </r>
  <r>
    <d v="2025-07-15T00:00:00"/>
    <m/>
    <x v="7"/>
    <m/>
    <n v="900"/>
    <m/>
    <m/>
  </r>
  <r>
    <d v="2025-07-15T00:00:00"/>
    <m/>
    <x v="3"/>
    <m/>
    <n v="2200"/>
    <m/>
    <m/>
  </r>
  <r>
    <d v="2025-07-15T00:00:00"/>
    <s v="INV-274"/>
    <x v="1"/>
    <n v="1200"/>
    <m/>
    <s v="Riluwan(Nagore)"/>
    <m/>
  </r>
  <r>
    <d v="2025-07-15T00:00:00"/>
    <s v="INV-275"/>
    <x v="1"/>
    <n v="40"/>
    <m/>
    <s v="Cash"/>
    <m/>
  </r>
  <r>
    <d v="2025-07-15T00:00:00"/>
    <s v="INV-276"/>
    <x v="1"/>
    <n v="180"/>
    <m/>
    <s v="Market Shop"/>
    <m/>
  </r>
  <r>
    <d v="2025-07-15T00:00:00"/>
    <s v="INV-277"/>
    <x v="1"/>
    <n v="420"/>
    <m/>
    <s v="Faisal(Nagai)"/>
    <m/>
  </r>
  <r>
    <d v="2025-07-15T00:00:00"/>
    <m/>
    <x v="2"/>
    <m/>
    <n v="45"/>
    <m/>
    <m/>
  </r>
  <r>
    <d v="2025-07-16T00:00:00"/>
    <s v="INV-278"/>
    <x v="1"/>
    <n v="150"/>
    <m/>
    <s v="Cash"/>
    <m/>
  </r>
  <r>
    <d v="2025-07-16T00:00:00"/>
    <s v="INV-279"/>
    <x v="1"/>
    <n v="2500"/>
    <m/>
    <s v="Riluwan(Nagore)"/>
    <m/>
  </r>
  <r>
    <d v="2025-07-16T00:00:00"/>
    <m/>
    <x v="2"/>
    <m/>
    <n v="25"/>
    <m/>
    <m/>
  </r>
  <r>
    <d v="2025-07-17T00:00:00"/>
    <s v="INV-280"/>
    <x v="1"/>
    <n v="3855"/>
    <m/>
    <s v="Riluwan(Nagore)"/>
    <m/>
  </r>
  <r>
    <d v="2025-07-17T00:00:00"/>
    <m/>
    <x v="2"/>
    <m/>
    <n v="25"/>
    <m/>
    <m/>
  </r>
  <r>
    <d v="2025-07-17T00:00:00"/>
    <m/>
    <x v="8"/>
    <m/>
    <n v="550"/>
    <m/>
    <m/>
  </r>
  <r>
    <d v="2025-07-18T00:00:00"/>
    <s v="INV-281"/>
    <x v="1"/>
    <n v="2370"/>
    <m/>
    <s v="Riluwan(Nagore)"/>
    <m/>
  </r>
  <r>
    <d v="2025-07-18T00:00:00"/>
    <s v="INV-282"/>
    <x v="1"/>
    <n v="170"/>
    <m/>
    <s v="Cash"/>
    <m/>
  </r>
  <r>
    <d v="2025-07-18T00:00:00"/>
    <s v="INV-283"/>
    <x v="1"/>
    <n v="910"/>
    <m/>
    <s v="Market Shop"/>
    <m/>
  </r>
  <r>
    <d v="2025-07-18T00:00:00"/>
    <m/>
    <x v="5"/>
    <m/>
    <n v="400"/>
    <m/>
    <m/>
  </r>
  <r>
    <d v="2025-07-18T00:00:00"/>
    <m/>
    <x v="2"/>
    <m/>
    <n v="50"/>
    <m/>
    <m/>
  </r>
  <r>
    <d v="2025-07-19T00:00:00"/>
    <m/>
    <x v="3"/>
    <m/>
    <n v="2500"/>
    <m/>
    <m/>
  </r>
  <r>
    <d v="2025-07-19T00:00:00"/>
    <m/>
    <x v="7"/>
    <m/>
    <n v="900"/>
    <m/>
    <m/>
  </r>
  <r>
    <d v="2025-07-19T00:00:00"/>
    <s v="INV-284"/>
    <x v="1"/>
    <n v="1930"/>
    <m/>
    <s v="Market Shop"/>
    <m/>
  </r>
  <r>
    <d v="2025-07-19T00:00:00"/>
    <s v="INV-285"/>
    <x v="1"/>
    <n v="10630"/>
    <m/>
    <s v="Riluwan(Nagore)"/>
    <m/>
  </r>
  <r>
    <d v="2025-07-19T00:00:00"/>
    <s v="INV-286"/>
    <x v="1"/>
    <n v="4500"/>
    <m/>
    <s v="Ansari"/>
    <m/>
  </r>
  <r>
    <d v="2025-07-19T00:00:00"/>
    <m/>
    <x v="4"/>
    <m/>
    <n v="100"/>
    <m/>
    <m/>
  </r>
  <r>
    <d v="2025-07-19T00:00:00"/>
    <m/>
    <x v="2"/>
    <m/>
    <n v="500"/>
    <m/>
    <m/>
  </r>
  <r>
    <d v="2025-07-20T00:00:00"/>
    <s v="INV-287"/>
    <x v="1"/>
    <n v="1850"/>
    <m/>
    <s v="Riluwan(Nagore)"/>
    <m/>
  </r>
  <r>
    <d v="2025-07-20T00:00:00"/>
    <m/>
    <x v="2"/>
    <m/>
    <n v="30"/>
    <m/>
    <m/>
  </r>
  <r>
    <d v="2025-07-20T00:00:00"/>
    <s v="INV-288"/>
    <x v="1"/>
    <n v="920"/>
    <m/>
    <s v="Market Shop"/>
    <m/>
  </r>
  <r>
    <d v="2025-07-20T00:00:00"/>
    <s v="INV-289"/>
    <x v="1"/>
    <n v="480"/>
    <m/>
    <s v="Cash"/>
    <m/>
  </r>
  <r>
    <d v="2025-07-21T00:00:00"/>
    <s v="INV-290"/>
    <x v="1"/>
    <n v="5645"/>
    <m/>
    <s v="Riluwan(Nagore)"/>
    <m/>
  </r>
  <r>
    <d v="2025-07-21T00:00:00"/>
    <s v="INV-291"/>
    <x v="1"/>
    <n v="1450"/>
    <m/>
    <s v="Cash"/>
    <m/>
  </r>
  <r>
    <d v="2025-07-21T00:00:00"/>
    <m/>
    <x v="3"/>
    <m/>
    <n v="2800"/>
    <m/>
    <m/>
  </r>
  <r>
    <d v="2025-07-21T00:00:00"/>
    <m/>
    <x v="7"/>
    <m/>
    <n v="900"/>
    <m/>
    <m/>
  </r>
  <r>
    <d v="2025-07-21T00:00:00"/>
    <s v="INV-292"/>
    <x v="1"/>
    <n v="1200"/>
    <m/>
    <s v="Market Shop"/>
    <m/>
  </r>
  <r>
    <d v="2025-07-22T00:00:00"/>
    <s v="INV-293"/>
    <x v="1"/>
    <n v="750"/>
    <m/>
    <s v="Cash"/>
    <m/>
  </r>
  <r>
    <d v="2025-07-22T00:00:00"/>
    <s v="INV-294"/>
    <x v="1"/>
    <n v="280"/>
    <m/>
    <s v="Cash"/>
    <m/>
  </r>
  <r>
    <d v="2025-07-22T00:00:00"/>
    <s v="INV-295"/>
    <x v="1"/>
    <n v="980"/>
    <m/>
    <s v="Riluwan(Nagore)"/>
    <m/>
  </r>
  <r>
    <d v="2025-07-22T00:00:00"/>
    <m/>
    <x v="4"/>
    <m/>
    <n v="100"/>
    <m/>
    <m/>
  </r>
  <r>
    <d v="2025-07-22T00:00:00"/>
    <m/>
    <x v="9"/>
    <m/>
    <n v="1277"/>
    <m/>
    <m/>
  </r>
  <r>
    <d v="2025-07-22T00:00:00"/>
    <m/>
    <x v="9"/>
    <m/>
    <n v="1100"/>
    <m/>
    <m/>
  </r>
  <r>
    <d v="2025-07-22T00:00:00"/>
    <m/>
    <x v="2"/>
    <m/>
    <n v="210"/>
    <m/>
    <m/>
  </r>
  <r>
    <d v="2025-07-22T00:00:00"/>
    <m/>
    <x v="9"/>
    <m/>
    <n v="200"/>
    <m/>
    <m/>
  </r>
  <r>
    <d v="2025-07-23T00:00:00"/>
    <s v="INV-298"/>
    <x v="1"/>
    <n v="2250"/>
    <m/>
    <m/>
    <m/>
  </r>
  <r>
    <d v="2025-07-23T00:00:00"/>
    <s v="INV-299"/>
    <x v="1"/>
    <n v="150"/>
    <m/>
    <m/>
    <m/>
  </r>
  <r>
    <d v="2025-07-23T00:00:00"/>
    <s v="P-93"/>
    <x v="7"/>
    <m/>
    <n v="21375"/>
    <m/>
    <m/>
  </r>
  <r>
    <d v="2025-07-23T00:00:00"/>
    <m/>
    <x v="9"/>
    <m/>
    <n v="150"/>
    <m/>
    <m/>
  </r>
  <r>
    <d v="2025-07-23T00:00:00"/>
    <s v="INV-300"/>
    <x v="1"/>
    <n v="200"/>
    <m/>
    <m/>
    <m/>
  </r>
  <r>
    <d v="2025-07-24T00:00:00"/>
    <s v="INV-301"/>
    <x v="1"/>
    <n v="450"/>
    <m/>
    <m/>
    <m/>
  </r>
  <r>
    <d v="2025-07-24T00:00:00"/>
    <s v="P-94"/>
    <x v="3"/>
    <m/>
    <n v="3000"/>
    <m/>
    <m/>
  </r>
  <r>
    <d v="2025-07-24T00:00:00"/>
    <m/>
    <x v="2"/>
    <m/>
    <n v="780"/>
    <m/>
    <m/>
  </r>
  <r>
    <d v="2025-07-24T00:00:00"/>
    <m/>
    <x v="5"/>
    <m/>
    <n v="200"/>
    <m/>
    <m/>
  </r>
  <r>
    <d v="2025-07-24T00:00:00"/>
    <m/>
    <x v="2"/>
    <m/>
    <n v="4336"/>
    <m/>
    <m/>
  </r>
  <r>
    <d v="2025-07-24T00:00:00"/>
    <m/>
    <x v="4"/>
    <m/>
    <n v="3000"/>
    <m/>
    <m/>
  </r>
  <r>
    <d v="2025-07-25T00:00:00"/>
    <s v="INV-302"/>
    <x v="1"/>
    <n v="280"/>
    <m/>
    <m/>
    <m/>
  </r>
  <r>
    <d v="2025-07-25T00:00:00"/>
    <s v="INV-303"/>
    <x v="1"/>
    <n v="2400"/>
    <m/>
    <m/>
    <m/>
  </r>
  <r>
    <d v="2025-07-25T00:00:00"/>
    <s v="INV-304"/>
    <x v="1"/>
    <n v="5850"/>
    <m/>
    <m/>
    <m/>
  </r>
  <r>
    <d v="2025-07-25T00:00:00"/>
    <s v="INV-305"/>
    <x v="1"/>
    <n v="750"/>
    <m/>
    <m/>
    <m/>
  </r>
  <r>
    <d v="2025-07-25T00:00:00"/>
    <s v="INV-306"/>
    <x v="1"/>
    <n v="210"/>
    <m/>
    <m/>
    <m/>
  </r>
  <r>
    <d v="2025-07-26T00:00:00"/>
    <s v="INV-307"/>
    <x v="1"/>
    <n v="13840"/>
    <m/>
    <m/>
    <m/>
  </r>
  <r>
    <d v="2025-07-26T00:00:00"/>
    <s v="INV-308"/>
    <x v="1"/>
    <n v="200"/>
    <m/>
    <m/>
    <m/>
  </r>
  <r>
    <d v="2025-07-26T00:00:00"/>
    <m/>
    <x v="2"/>
    <m/>
    <n v="160"/>
    <m/>
    <m/>
  </r>
  <r>
    <d v="2025-07-27T00:00:00"/>
    <s v="INV-309"/>
    <x v="1"/>
    <n v="300"/>
    <m/>
    <m/>
    <m/>
  </r>
  <r>
    <d v="2025-07-27T00:00:00"/>
    <s v="INV-310"/>
    <x v="1"/>
    <n v="80"/>
    <m/>
    <m/>
    <m/>
  </r>
  <r>
    <d v="2025-07-27T00:00:00"/>
    <s v="INV-311"/>
    <x v="1"/>
    <n v="6000"/>
    <m/>
    <m/>
    <m/>
  </r>
  <r>
    <d v="2025-07-27T00:00:00"/>
    <s v="P-95"/>
    <x v="3"/>
    <m/>
    <n v="3200"/>
    <m/>
    <m/>
  </r>
  <r>
    <d v="2025-07-28T00:00:00"/>
    <s v="INV-312"/>
    <x v="1"/>
    <n v="940"/>
    <m/>
    <m/>
    <m/>
  </r>
  <r>
    <d v="2025-07-28T00:00:00"/>
    <s v="INV-313"/>
    <x v="1"/>
    <n v="2000"/>
    <m/>
    <m/>
    <m/>
  </r>
  <r>
    <d v="2025-07-29T00:00:00"/>
    <m/>
    <x v="8"/>
    <m/>
    <n v="350"/>
    <m/>
    <m/>
  </r>
  <r>
    <d v="2025-07-29T00:00:00"/>
    <s v="P-96"/>
    <x v="3"/>
    <m/>
    <n v="3200"/>
    <m/>
    <m/>
  </r>
  <r>
    <d v="2025-07-29T00:00:00"/>
    <s v="INV-314"/>
    <x v="1"/>
    <n v="300"/>
    <m/>
    <m/>
    <m/>
  </r>
  <r>
    <d v="2025-07-29T00:00:00"/>
    <s v="INV-315"/>
    <x v="1"/>
    <n v="150"/>
    <m/>
    <m/>
    <m/>
  </r>
  <r>
    <d v="2025-07-29T00:00:00"/>
    <s v="INV-316"/>
    <x v="1"/>
    <n v="1860"/>
    <m/>
    <m/>
    <m/>
  </r>
  <r>
    <d v="2025-07-30T00:00:00"/>
    <s v="INV-317"/>
    <x v="1"/>
    <n v="3795"/>
    <m/>
    <m/>
    <m/>
  </r>
  <r>
    <d v="2025-07-30T00:00:00"/>
    <s v="INV-318"/>
    <x v="1"/>
    <n v="830"/>
    <m/>
    <m/>
    <m/>
  </r>
  <r>
    <d v="2025-07-31T00:00:00"/>
    <s v="INV-319"/>
    <x v="1"/>
    <n v="150"/>
    <m/>
    <m/>
    <m/>
  </r>
  <r>
    <d v="2025-07-31T00:00:00"/>
    <s v="INV-320"/>
    <x v="1"/>
    <n v="3825"/>
    <m/>
    <m/>
    <m/>
  </r>
  <r>
    <d v="2025-07-31T00:00:00"/>
    <s v="INV-321"/>
    <x v="1"/>
    <n v="1020"/>
    <m/>
    <m/>
    <m/>
  </r>
  <r>
    <d v="2025-07-31T00:00:00"/>
    <m/>
    <x v="2"/>
    <m/>
    <n v="50"/>
    <m/>
    <m/>
  </r>
  <r>
    <d v="2025-07-31T00:00:00"/>
    <m/>
    <x v="4"/>
    <m/>
    <n v="4800"/>
    <m/>
    <m/>
  </r>
  <r>
    <d v="2025-07-31T00:00:00"/>
    <m/>
    <x v="4"/>
    <m/>
    <n v="150"/>
    <m/>
    <m/>
  </r>
  <r>
    <m/>
    <m/>
    <x v="10"/>
    <m/>
    <m/>
    <m/>
    <m/>
  </r>
</pivotCacheRecords>
</file>

<file path=xl/pivotCache/pivotCacheRecords3.xml><?xml version="1.0" encoding="utf-8"?>
<pivotCacheRecords xmlns="http://schemas.openxmlformats.org/spreadsheetml/2006/main" xmlns:r="http://schemas.openxmlformats.org/officeDocument/2006/relationships" count="125">
  <r>
    <d v="2025-03-01T00:00:00"/>
    <m/>
    <x v="0"/>
    <n v="37403"/>
    <m/>
    <m/>
    <m/>
  </r>
  <r>
    <d v="2025-03-01T00:00:00"/>
    <m/>
    <x v="1"/>
    <n v="7915"/>
    <m/>
    <m/>
    <m/>
  </r>
  <r>
    <d v="2025-03-01T00:00:00"/>
    <m/>
    <x v="1"/>
    <n v="1200"/>
    <m/>
    <m/>
    <m/>
  </r>
  <r>
    <d v="2025-03-01T00:00:00"/>
    <m/>
    <x v="2"/>
    <m/>
    <n v="560"/>
    <m/>
    <s v="Pouch &amp; Transport for Fridge"/>
  </r>
  <r>
    <d v="2025-03-02T00:00:00"/>
    <m/>
    <x v="1"/>
    <n v="7950"/>
    <m/>
    <m/>
    <m/>
  </r>
  <r>
    <d v="2025-03-02T00:00:00"/>
    <m/>
    <x v="2"/>
    <m/>
    <n v="1110"/>
    <m/>
    <m/>
  </r>
  <r>
    <d v="2025-03-03T00:00:00"/>
    <m/>
    <x v="1"/>
    <n v="2260"/>
    <m/>
    <m/>
    <m/>
  </r>
  <r>
    <d v="2025-03-03T00:00:00"/>
    <m/>
    <x v="3"/>
    <m/>
    <n v="1200"/>
    <m/>
    <s v=" 20Kg * 60Rs"/>
  </r>
  <r>
    <d v="2025-03-03T00:00:00"/>
    <m/>
    <x v="2"/>
    <m/>
    <n v="575"/>
    <m/>
    <m/>
  </r>
  <r>
    <d v="2025-03-04T00:00:00"/>
    <m/>
    <x v="4"/>
    <m/>
    <n v="8525"/>
    <m/>
    <s v=" 98kg * 80Rs"/>
  </r>
  <r>
    <d v="2025-03-04T00:00:00"/>
    <s v="GST-023"/>
    <x v="1"/>
    <n v="4490"/>
    <m/>
    <m/>
    <m/>
  </r>
  <r>
    <d v="2025-03-04T00:00:00"/>
    <m/>
    <x v="2"/>
    <m/>
    <n v="100"/>
    <m/>
    <m/>
  </r>
  <r>
    <d v="2025-03-04T00:00:00"/>
    <m/>
    <x v="3"/>
    <m/>
    <n v="2500"/>
    <m/>
    <s v="56kkgs * 43Rs"/>
  </r>
  <r>
    <d v="2025-03-04T00:00:00"/>
    <m/>
    <x v="2"/>
    <m/>
    <n v="800"/>
    <m/>
    <s v="1Kg Box Purchase 100Nos"/>
  </r>
  <r>
    <d v="2025-03-05T00:00:00"/>
    <s v="GST-023"/>
    <x v="1"/>
    <n v="1920"/>
    <m/>
    <m/>
    <m/>
  </r>
  <r>
    <d v="2025-03-05T00:00:00"/>
    <s v="GST-024"/>
    <x v="1"/>
    <n v="720"/>
    <m/>
    <m/>
    <m/>
  </r>
  <r>
    <d v="2025-03-05T00:00:00"/>
    <m/>
    <x v="2"/>
    <m/>
    <n v="140"/>
    <m/>
    <m/>
  </r>
  <r>
    <d v="2025-03-06T00:00:00"/>
    <s v="GST-025"/>
    <x v="1"/>
    <n v="5860"/>
    <m/>
    <m/>
    <m/>
  </r>
  <r>
    <d v="2025-03-06T00:00:00"/>
    <s v="GST-026"/>
    <x v="1"/>
    <n v="470"/>
    <m/>
    <m/>
    <m/>
  </r>
  <r>
    <d v="2025-03-06T00:00:00"/>
    <m/>
    <x v="2"/>
    <m/>
    <n v="25"/>
    <m/>
    <m/>
  </r>
  <r>
    <d v="2025-03-07T00:00:00"/>
    <s v="GST-027"/>
    <x v="1"/>
    <n v="3150"/>
    <m/>
    <m/>
    <m/>
  </r>
  <r>
    <d v="2025-03-07T00:00:00"/>
    <m/>
    <x v="3"/>
    <m/>
    <n v="2500"/>
    <m/>
    <s v="56kg"/>
  </r>
  <r>
    <d v="2025-03-07T00:00:00"/>
    <m/>
    <x v="2"/>
    <m/>
    <n v="1822"/>
    <m/>
    <s v="Thar Pai &amp; Sealing machine"/>
  </r>
  <r>
    <d v="2025-03-07T00:00:00"/>
    <m/>
    <x v="2"/>
    <m/>
    <n v="370"/>
    <m/>
    <s v="Tea, Petrol &amp; Mask"/>
  </r>
  <r>
    <d v="2025-03-08T00:00:00"/>
    <m/>
    <x v="4"/>
    <m/>
    <n v="11770"/>
    <m/>
    <s v="137kg * 80 +810"/>
  </r>
  <r>
    <d v="2025-03-08T00:00:00"/>
    <s v="GST-028"/>
    <x v="1"/>
    <n v="5940"/>
    <m/>
    <m/>
    <m/>
  </r>
  <r>
    <d v="2025-03-08T00:00:00"/>
    <s v="GST-029"/>
    <x v="1"/>
    <n v="200"/>
    <m/>
    <m/>
    <m/>
  </r>
  <r>
    <d v="2025-03-08T00:00:00"/>
    <m/>
    <x v="2"/>
    <m/>
    <n v="25"/>
    <m/>
    <m/>
  </r>
  <r>
    <d v="2025-03-09T00:00:00"/>
    <s v="GST-030"/>
    <x v="1"/>
    <n v="3000"/>
    <m/>
    <m/>
    <m/>
  </r>
  <r>
    <d v="2025-03-10T00:00:00"/>
    <s v="GST-031"/>
    <x v="1"/>
    <n v="6080"/>
    <m/>
    <m/>
    <m/>
  </r>
  <r>
    <d v="2025-03-10T00:00:00"/>
    <m/>
    <x v="2"/>
    <m/>
    <n v="50"/>
    <m/>
    <m/>
  </r>
  <r>
    <d v="2025-03-11T00:00:00"/>
    <m/>
    <x v="5"/>
    <m/>
    <n v="9000"/>
    <m/>
    <m/>
  </r>
  <r>
    <d v="2025-03-11T00:00:00"/>
    <s v="GST-032"/>
    <x v="1"/>
    <n v="1080"/>
    <m/>
    <m/>
    <m/>
  </r>
  <r>
    <d v="2025-03-12T00:00:00"/>
    <s v="GST-033"/>
    <x v="1"/>
    <n v="2760"/>
    <m/>
    <m/>
    <m/>
  </r>
  <r>
    <d v="2025-03-12T00:00:00"/>
    <s v="GST-034"/>
    <x v="1"/>
    <n v="600"/>
    <m/>
    <m/>
    <m/>
  </r>
  <r>
    <d v="2025-03-12T00:00:00"/>
    <s v="GST-035"/>
    <x v="1"/>
    <n v="40"/>
    <m/>
    <m/>
    <m/>
  </r>
  <r>
    <d v="2025-03-12T00:00:00"/>
    <m/>
    <x v="2"/>
    <m/>
    <n v="30"/>
    <m/>
    <m/>
  </r>
  <r>
    <d v="2025-03-13T00:00:00"/>
    <s v="GST-036"/>
    <x v="1"/>
    <n v="3730"/>
    <m/>
    <m/>
    <m/>
  </r>
  <r>
    <d v="2025-03-13T00:00:00"/>
    <m/>
    <x v="3"/>
    <m/>
    <n v="2500"/>
    <m/>
    <s v="56Kgs"/>
  </r>
  <r>
    <d v="2025-03-13T00:00:00"/>
    <m/>
    <x v="2"/>
    <m/>
    <n v="1370"/>
    <m/>
    <s v="Essential items purchase"/>
  </r>
  <r>
    <d v="2025-03-13T00:00:00"/>
    <m/>
    <x v="6"/>
    <m/>
    <n v="1000"/>
    <m/>
    <s v="Advance"/>
  </r>
  <r>
    <d v="2025-03-13T00:00:00"/>
    <m/>
    <x v="2"/>
    <m/>
    <n v="213"/>
    <m/>
    <m/>
  </r>
  <r>
    <d v="2025-03-14T00:00:00"/>
    <s v="GST-037"/>
    <x v="1"/>
    <n v="3960"/>
    <m/>
    <m/>
    <m/>
  </r>
  <r>
    <d v="2025-03-14T00:00:00"/>
    <s v="GST-038"/>
    <x v="1"/>
    <n v="40"/>
    <m/>
    <m/>
    <m/>
  </r>
  <r>
    <d v="2025-03-14T00:00:00"/>
    <s v="GST-039"/>
    <x v="1"/>
    <n v="600"/>
    <m/>
    <m/>
    <m/>
  </r>
  <r>
    <d v="2025-03-14T00:00:00"/>
    <m/>
    <x v="2"/>
    <m/>
    <n v="345"/>
    <m/>
    <m/>
  </r>
  <r>
    <d v="2025-03-15T00:00:00"/>
    <s v="GST-040"/>
    <x v="1"/>
    <n v="8645"/>
    <m/>
    <m/>
    <m/>
  </r>
  <r>
    <d v="2025-03-15T00:00:00"/>
    <m/>
    <x v="4"/>
    <m/>
    <n v="14210"/>
    <m/>
    <s v="165kg * 80Rs"/>
  </r>
  <r>
    <d v="2025-03-15T00:00:00"/>
    <m/>
    <x v="3"/>
    <m/>
    <n v="2250"/>
    <m/>
    <s v="56Kgs *38.39"/>
  </r>
  <r>
    <d v="2025-03-15T00:00:00"/>
    <m/>
    <x v="2"/>
    <m/>
    <n v="50"/>
    <m/>
    <m/>
  </r>
  <r>
    <d v="2025-03-16T00:00:00"/>
    <s v="GST-041"/>
    <x v="1"/>
    <n v="1430"/>
    <m/>
    <m/>
    <m/>
  </r>
  <r>
    <d v="2025-03-16T00:00:00"/>
    <s v="GST-042"/>
    <x v="1"/>
    <n v="2705"/>
    <m/>
    <m/>
    <m/>
  </r>
  <r>
    <d v="2025-03-16T00:00:00"/>
    <s v="GST-043"/>
    <x v="1"/>
    <n v="120"/>
    <m/>
    <m/>
    <m/>
  </r>
  <r>
    <d v="2025-03-16T00:00:00"/>
    <m/>
    <x v="2"/>
    <m/>
    <n v="25"/>
    <m/>
    <m/>
  </r>
  <r>
    <d v="2025-03-16T00:00:00"/>
    <m/>
    <x v="6"/>
    <m/>
    <n v="3000"/>
    <m/>
    <s v="Advance"/>
  </r>
  <r>
    <d v="2025-03-17T00:00:00"/>
    <s v="GST-044"/>
    <x v="1"/>
    <n v="720"/>
    <m/>
    <m/>
    <m/>
  </r>
  <r>
    <d v="2025-03-17T00:00:00"/>
    <s v="GST-045"/>
    <x v="1"/>
    <n v="840"/>
    <m/>
    <m/>
    <m/>
  </r>
  <r>
    <d v="2025-03-17T00:00:00"/>
    <s v="GST-046"/>
    <x v="1"/>
    <n v="560"/>
    <m/>
    <m/>
    <m/>
  </r>
  <r>
    <d v="2025-03-17T00:00:00"/>
    <m/>
    <x v="3"/>
    <m/>
    <n v="2250"/>
    <m/>
    <s v="56Kgs *38.39"/>
  </r>
  <r>
    <d v="2025-03-17T00:00:00"/>
    <s v="GST-047"/>
    <x v="1"/>
    <n v="2460"/>
    <m/>
    <m/>
    <m/>
  </r>
  <r>
    <d v="2025-03-17T00:00:00"/>
    <m/>
    <x v="2"/>
    <m/>
    <n v="335"/>
    <m/>
    <m/>
  </r>
  <r>
    <d v="2025-03-18T00:00:00"/>
    <s v="GST-048"/>
    <x v="1"/>
    <n v="6315"/>
    <m/>
    <m/>
    <m/>
  </r>
  <r>
    <d v="2025-03-18T00:00:00"/>
    <s v="GST-049"/>
    <x v="1"/>
    <n v="240"/>
    <m/>
    <m/>
    <m/>
  </r>
  <r>
    <d v="2025-03-18T00:00:00"/>
    <m/>
    <x v="2"/>
    <m/>
    <n v="50"/>
    <m/>
    <m/>
  </r>
  <r>
    <d v="2025-03-19T00:00:00"/>
    <s v="GST-050"/>
    <x v="1"/>
    <n v="5685"/>
    <m/>
    <m/>
    <m/>
  </r>
  <r>
    <d v="2025-03-19T00:00:00"/>
    <s v="GST-051"/>
    <x v="1"/>
    <n v="1200"/>
    <m/>
    <m/>
    <m/>
  </r>
  <r>
    <d v="2025-03-19T00:00:00"/>
    <m/>
    <x v="3"/>
    <m/>
    <n v="2250"/>
    <m/>
    <s v=" 56Kgs *38.39"/>
  </r>
  <r>
    <d v="2025-03-19T00:00:00"/>
    <m/>
    <x v="7"/>
    <m/>
    <n v="550"/>
    <m/>
    <m/>
  </r>
  <r>
    <d v="2025-03-19T00:00:00"/>
    <m/>
    <x v="2"/>
    <m/>
    <n v="350"/>
    <m/>
    <m/>
  </r>
  <r>
    <d v="2025-03-20T00:00:00"/>
    <s v="GST-052"/>
    <x v="1"/>
    <n v="1200"/>
    <m/>
    <m/>
    <m/>
  </r>
  <r>
    <d v="2025-03-20T00:00:00"/>
    <s v="GST-053"/>
    <x v="1"/>
    <n v="650"/>
    <m/>
    <m/>
    <m/>
  </r>
  <r>
    <d v="2025-03-20T00:00:00"/>
    <s v="INV-001"/>
    <x v="1"/>
    <n v="3820"/>
    <m/>
    <m/>
    <m/>
  </r>
  <r>
    <d v="2025-03-20T00:00:00"/>
    <m/>
    <x v="3"/>
    <m/>
    <n v="2250"/>
    <m/>
    <s v=" 56Kgs *38.39"/>
  </r>
  <r>
    <d v="2025-03-20T00:00:00"/>
    <m/>
    <x v="2"/>
    <m/>
    <n v="160"/>
    <m/>
    <m/>
  </r>
  <r>
    <d v="2025-03-21T00:00:00"/>
    <s v="INV-002"/>
    <x v="1"/>
    <n v="4750"/>
    <m/>
    <m/>
    <m/>
  </r>
  <r>
    <d v="2025-03-21T00:00:00"/>
    <m/>
    <x v="3"/>
    <m/>
    <n v="2250"/>
    <m/>
    <s v=" 56Kgs *38.39"/>
  </r>
  <r>
    <d v="2025-03-21T00:00:00"/>
    <m/>
    <x v="2"/>
    <m/>
    <n v="250"/>
    <m/>
    <s v="Electrician &amp; Tea"/>
  </r>
  <r>
    <d v="2025-03-22T00:00:00"/>
    <m/>
    <x v="2"/>
    <m/>
    <n v="440"/>
    <m/>
    <s v="Pouch purchase"/>
  </r>
  <r>
    <d v="2025-03-22T00:00:00"/>
    <s v="INV-003"/>
    <x v="1"/>
    <n v="340"/>
    <m/>
    <m/>
    <m/>
  </r>
  <r>
    <d v="2025-03-22T00:00:00"/>
    <m/>
    <x v="3"/>
    <m/>
    <n v="250"/>
    <m/>
    <s v=" 5kgs * 50Rs kg"/>
  </r>
  <r>
    <d v="2025-03-22T00:00:00"/>
    <m/>
    <x v="4"/>
    <m/>
    <n v="750"/>
    <m/>
    <s v="10kgs *75Rs kg"/>
  </r>
  <r>
    <d v="2025-03-22T00:00:00"/>
    <m/>
    <x v="4"/>
    <m/>
    <n v="13390"/>
    <m/>
    <s v="165kg * 80Rs"/>
  </r>
  <r>
    <d v="2025-03-22T00:00:00"/>
    <m/>
    <x v="2"/>
    <m/>
    <n v="50"/>
    <m/>
    <m/>
  </r>
  <r>
    <d v="2025-03-22T00:00:00"/>
    <s v="INV-004"/>
    <x v="1"/>
    <n v="6460"/>
    <m/>
    <m/>
    <m/>
  </r>
  <r>
    <d v="2025-03-23T00:00:00"/>
    <s v="INV-005"/>
    <x v="1"/>
    <n v="6670"/>
    <m/>
    <m/>
    <m/>
  </r>
  <r>
    <d v="2025-03-23T00:00:00"/>
    <m/>
    <x v="8"/>
    <m/>
    <n v="300"/>
    <m/>
    <m/>
  </r>
  <r>
    <d v="2025-03-24T00:00:00"/>
    <m/>
    <x v="3"/>
    <m/>
    <n v="2250"/>
    <m/>
    <s v="56Kgs *38.39"/>
  </r>
  <r>
    <d v="2025-03-24T00:00:00"/>
    <m/>
    <x v="6"/>
    <m/>
    <n v="2610"/>
    <m/>
    <s v="Siva Malar"/>
  </r>
  <r>
    <d v="2025-03-24T00:00:00"/>
    <m/>
    <x v="6"/>
    <m/>
    <n v="5310"/>
    <m/>
    <s v="Chitra"/>
  </r>
  <r>
    <d v="2025-03-24T00:00:00"/>
    <s v="INV-006"/>
    <x v="1"/>
    <n v="1800"/>
    <m/>
    <m/>
    <m/>
  </r>
  <r>
    <d v="2025-03-24T00:00:00"/>
    <s v="INV-007"/>
    <x v="1"/>
    <n v="7620"/>
    <m/>
    <m/>
    <m/>
  </r>
  <r>
    <d v="2025-03-24T00:00:00"/>
    <s v="INV-008"/>
    <x v="1"/>
    <n v="40"/>
    <m/>
    <m/>
    <m/>
  </r>
  <r>
    <d v="2025-03-24T00:00:00"/>
    <m/>
    <x v="2"/>
    <m/>
    <n v="205"/>
    <m/>
    <m/>
  </r>
  <r>
    <d v="2025-03-25T00:00:00"/>
    <s v="INV-009"/>
    <x v="1"/>
    <n v="7715"/>
    <m/>
    <m/>
    <m/>
  </r>
  <r>
    <d v="2025-03-25T00:00:00"/>
    <s v="INV-010"/>
    <x v="1"/>
    <n v="180"/>
    <m/>
    <m/>
    <m/>
  </r>
  <r>
    <d v="2025-03-25T00:00:00"/>
    <m/>
    <x v="3"/>
    <m/>
    <n v="2250"/>
    <m/>
    <s v="56Kgs *38.39"/>
  </r>
  <r>
    <d v="2025-03-25T00:00:00"/>
    <m/>
    <x v="2"/>
    <m/>
    <n v="150"/>
    <m/>
    <m/>
  </r>
  <r>
    <d v="2025-03-26T00:00:00"/>
    <s v="INV-011"/>
    <x v="1"/>
    <n v="12375"/>
    <m/>
    <m/>
    <m/>
  </r>
  <r>
    <d v="2025-03-26T00:00:00"/>
    <s v="INV-012"/>
    <x v="1"/>
    <n v="190"/>
    <m/>
    <m/>
    <m/>
  </r>
  <r>
    <d v="2025-03-26T00:00:00"/>
    <m/>
    <x v="3"/>
    <m/>
    <n v="2250"/>
    <m/>
    <s v="56Kgs *38.39"/>
  </r>
  <r>
    <d v="2025-03-26T00:00:00"/>
    <m/>
    <x v="2"/>
    <m/>
    <n v="50"/>
    <m/>
    <m/>
  </r>
  <r>
    <d v="2025-03-27T00:00:00"/>
    <m/>
    <x v="2"/>
    <m/>
    <n v="190"/>
    <m/>
    <m/>
  </r>
  <r>
    <d v="2025-03-27T00:00:00"/>
    <m/>
    <x v="4"/>
    <m/>
    <n v="24570"/>
    <m/>
    <s v="160kg * 80Rs"/>
  </r>
  <r>
    <d v="2025-03-27T00:00:00"/>
    <m/>
    <x v="3"/>
    <m/>
    <n v="2250"/>
    <m/>
    <s v="56Kgs *38.39"/>
  </r>
  <r>
    <d v="2025-03-27T00:00:00"/>
    <s v="INV-013"/>
    <x v="1"/>
    <n v="1920"/>
    <m/>
    <m/>
    <m/>
  </r>
  <r>
    <d v="2025-03-27T00:00:00"/>
    <s v="INV-014"/>
    <x v="1"/>
    <n v="15495"/>
    <m/>
    <m/>
    <m/>
  </r>
  <r>
    <d v="2025-03-28T00:00:00"/>
    <s v="INV-015"/>
    <x v="1"/>
    <n v="2340"/>
    <m/>
    <m/>
    <m/>
  </r>
  <r>
    <d v="2025-03-28T00:00:00"/>
    <s v="INV-016"/>
    <x v="1"/>
    <n v="960"/>
    <m/>
    <m/>
    <m/>
  </r>
  <r>
    <d v="2025-03-28T00:00:00"/>
    <s v="INV-017"/>
    <x v="1"/>
    <n v="5595"/>
    <m/>
    <m/>
    <m/>
  </r>
  <r>
    <d v="2025-03-28T00:00:00"/>
    <s v="INV-018"/>
    <x v="1"/>
    <n v="150"/>
    <m/>
    <m/>
    <m/>
  </r>
  <r>
    <d v="2025-03-28T00:00:00"/>
    <m/>
    <x v="3"/>
    <m/>
    <n v="2250"/>
    <m/>
    <s v="56Kgs *38.39"/>
  </r>
  <r>
    <d v="2025-03-28T00:00:00"/>
    <m/>
    <x v="2"/>
    <m/>
    <n v="50"/>
    <m/>
    <m/>
  </r>
  <r>
    <d v="2025-03-28T00:00:00"/>
    <m/>
    <x v="8"/>
    <m/>
    <n v="300"/>
    <m/>
    <m/>
  </r>
  <r>
    <d v="2025-03-29T00:00:00"/>
    <s v="INV-019"/>
    <x v="1"/>
    <n v="7365"/>
    <m/>
    <m/>
    <m/>
  </r>
  <r>
    <d v="2025-03-29T00:00:00"/>
    <m/>
    <x v="2"/>
    <m/>
    <n v="50"/>
    <m/>
    <m/>
  </r>
  <r>
    <d v="2025-03-29T00:00:00"/>
    <m/>
    <x v="3"/>
    <m/>
    <n v="2250"/>
    <m/>
    <s v="56Kgs *38.39"/>
  </r>
  <r>
    <d v="2025-03-30T00:00:00"/>
    <s v="INV-020"/>
    <x v="1"/>
    <n v="4190"/>
    <m/>
    <m/>
    <m/>
  </r>
  <r>
    <d v="2025-03-30T00:00:00"/>
    <s v="INV-021"/>
    <x v="1"/>
    <n v="280"/>
    <m/>
    <m/>
    <m/>
  </r>
  <r>
    <d v="2025-03-30T00:00:00"/>
    <s v="INV-022"/>
    <x v="1"/>
    <n v="1240"/>
    <m/>
    <m/>
    <m/>
  </r>
  <r>
    <d v="2025-03-30T00:00:00"/>
    <m/>
    <x v="4"/>
    <m/>
    <n v="13660"/>
    <m/>
    <s v="158kg * 80Rs"/>
  </r>
  <r>
    <d v="2025-03-30T00:00:00"/>
    <m/>
    <x v="3"/>
    <m/>
    <n v="2250"/>
    <m/>
    <s v="56Kgs *38.39"/>
  </r>
  <r>
    <d v="2025-03-31T00:00:00"/>
    <m/>
    <x v="1"/>
    <n v="350"/>
    <m/>
    <m/>
    <m/>
  </r>
  <r>
    <d v="2025-03-31T00:00:00"/>
    <m/>
    <x v="6"/>
    <m/>
    <n v="1400"/>
    <m/>
    <s v="Siva Malar"/>
  </r>
  <r>
    <d v="2025-03-31T00:00:00"/>
    <m/>
    <x v="6"/>
    <m/>
    <n v="1200"/>
    <m/>
    <s v="Chitra"/>
  </r>
  <r>
    <d v="2025-03-31T00:00:00"/>
    <m/>
    <x v="6"/>
    <m/>
    <n v="4700"/>
    <m/>
    <s v="Jayanthi"/>
  </r>
</pivotCacheRecords>
</file>

<file path=xl/pivotCache/pivotCacheRecords4.xml><?xml version="1.0" encoding="utf-8"?>
<pivotCacheRecords xmlns="http://schemas.openxmlformats.org/spreadsheetml/2006/main" xmlns:r="http://schemas.openxmlformats.org/officeDocument/2006/relationships" count="102">
  <r>
    <d v="2025-04-01T00:00:00"/>
    <m/>
    <x v="0"/>
    <n v="63848"/>
    <m/>
    <m/>
    <m/>
  </r>
  <r>
    <d v="2025-04-01T00:00:00"/>
    <m/>
    <x v="1"/>
    <m/>
    <n v="20460"/>
    <m/>
    <m/>
  </r>
  <r>
    <d v="2025-04-01T00:00:00"/>
    <s v="INV-024"/>
    <x v="2"/>
    <n v="1115"/>
    <m/>
    <m/>
    <m/>
  </r>
  <r>
    <d v="2025-04-01T00:00:00"/>
    <m/>
    <x v="3"/>
    <m/>
    <n v="789"/>
    <m/>
    <m/>
  </r>
  <r>
    <d v="2025-04-02T00:00:00"/>
    <s v="INV-025"/>
    <x v="2"/>
    <n v="2295"/>
    <m/>
    <m/>
    <m/>
  </r>
  <r>
    <d v="2025-04-02T00:00:00"/>
    <m/>
    <x v="3"/>
    <m/>
    <n v="50"/>
    <m/>
    <m/>
  </r>
  <r>
    <d v="2025-04-03T00:00:00"/>
    <s v="INV-026"/>
    <x v="2"/>
    <n v="2350"/>
    <m/>
    <m/>
    <m/>
  </r>
  <r>
    <d v="2025-04-03T00:00:00"/>
    <s v="INV-027"/>
    <x v="2"/>
    <n v="3250"/>
    <m/>
    <m/>
    <m/>
  </r>
  <r>
    <d v="2025-04-03T00:00:00"/>
    <m/>
    <x v="3"/>
    <m/>
    <n v="50"/>
    <m/>
    <m/>
  </r>
  <r>
    <d v="2025-04-04T00:00:00"/>
    <m/>
    <x v="4"/>
    <m/>
    <n v="2150"/>
    <m/>
    <m/>
  </r>
  <r>
    <d v="2025-04-04T00:00:00"/>
    <s v="INV-028"/>
    <x v="2"/>
    <n v="4260"/>
    <m/>
    <m/>
    <m/>
  </r>
  <r>
    <d v="2025-04-04T00:00:00"/>
    <m/>
    <x v="5"/>
    <m/>
    <n v="300"/>
    <m/>
    <m/>
  </r>
  <r>
    <d v="2025-04-04T00:00:00"/>
    <m/>
    <x v="3"/>
    <m/>
    <n v="50"/>
    <m/>
    <m/>
  </r>
  <r>
    <d v="2025-04-05T00:00:00"/>
    <s v="INV-029"/>
    <x v="2"/>
    <n v="3795"/>
    <m/>
    <m/>
    <m/>
  </r>
  <r>
    <d v="2025-04-06T00:00:00"/>
    <s v="INV-030"/>
    <x v="2"/>
    <n v="1955"/>
    <m/>
    <m/>
    <m/>
  </r>
  <r>
    <d v="2025-04-06T00:00:00"/>
    <s v="INV-031"/>
    <x v="2"/>
    <n v="480"/>
    <m/>
    <m/>
    <m/>
  </r>
  <r>
    <d v="2025-04-07T00:00:00"/>
    <s v="INV-032"/>
    <x v="2"/>
    <n v="350"/>
    <m/>
    <m/>
    <m/>
  </r>
  <r>
    <d v="2025-04-07T00:00:00"/>
    <s v="INV-033"/>
    <x v="2"/>
    <n v="755"/>
    <m/>
    <m/>
    <m/>
  </r>
  <r>
    <d v="2025-04-07T00:00:00"/>
    <m/>
    <x v="3"/>
    <m/>
    <n v="50"/>
    <m/>
    <m/>
  </r>
  <r>
    <d v="2025-04-08T00:00:00"/>
    <s v="INV-034"/>
    <x v="2"/>
    <n v="2330"/>
    <m/>
    <m/>
    <m/>
  </r>
  <r>
    <d v="2025-04-08T00:00:00"/>
    <s v="INV-035"/>
    <x v="2"/>
    <n v="480"/>
    <m/>
    <m/>
    <m/>
  </r>
  <r>
    <d v="2025-04-09T00:00:00"/>
    <m/>
    <x v="5"/>
    <m/>
    <n v="300"/>
    <m/>
    <m/>
  </r>
  <r>
    <d v="2025-04-09T00:00:00"/>
    <m/>
    <x v="3"/>
    <m/>
    <n v="280"/>
    <m/>
    <m/>
  </r>
  <r>
    <d v="2025-04-10T00:00:00"/>
    <s v="INV-036"/>
    <x v="2"/>
    <n v="1325"/>
    <m/>
    <m/>
    <m/>
  </r>
  <r>
    <d v="2025-04-10T00:00:00"/>
    <s v="INV-037"/>
    <x v="2"/>
    <n v="3120"/>
    <m/>
    <m/>
    <m/>
  </r>
  <r>
    <d v="2025-04-11T00:00:00"/>
    <m/>
    <x v="6"/>
    <m/>
    <n v="880"/>
    <m/>
    <m/>
  </r>
  <r>
    <d v="2025-04-11T00:00:00"/>
    <m/>
    <x v="4"/>
    <m/>
    <n v="750"/>
    <m/>
    <m/>
  </r>
  <r>
    <d v="2025-04-11T00:00:00"/>
    <m/>
    <x v="3"/>
    <m/>
    <n v="397"/>
    <m/>
    <m/>
  </r>
  <r>
    <d v="2025-04-11T00:00:00"/>
    <s v="INV-038"/>
    <x v="2"/>
    <n v="5310"/>
    <m/>
    <m/>
    <m/>
  </r>
  <r>
    <d v="2025-04-11T00:00:00"/>
    <s v="INV-039"/>
    <x v="2"/>
    <n v="640"/>
    <m/>
    <m/>
    <m/>
  </r>
  <r>
    <d v="2025-04-12T00:00:00"/>
    <m/>
    <x v="4"/>
    <m/>
    <n v="2150"/>
    <m/>
    <m/>
  </r>
  <r>
    <d v="2025-04-12T00:00:00"/>
    <m/>
    <x v="3"/>
    <m/>
    <n v="50"/>
    <m/>
    <m/>
  </r>
  <r>
    <d v="2025-04-12T00:00:00"/>
    <s v="INV-040"/>
    <x v="2"/>
    <n v="5020"/>
    <m/>
    <m/>
    <m/>
  </r>
  <r>
    <d v="2025-04-13T00:00:00"/>
    <s v="INV-041"/>
    <x v="2"/>
    <n v="3690"/>
    <m/>
    <m/>
    <m/>
  </r>
  <r>
    <d v="2025-04-13T00:00:00"/>
    <m/>
    <x v="5"/>
    <m/>
    <n v="300"/>
    <m/>
    <m/>
  </r>
  <r>
    <d v="2025-04-14T00:00:00"/>
    <s v="INV-042"/>
    <x v="2"/>
    <n v="2610"/>
    <m/>
    <m/>
    <m/>
  </r>
  <r>
    <d v="2025-04-14T00:00:00"/>
    <m/>
    <x v="7"/>
    <m/>
    <n v="9000"/>
    <m/>
    <m/>
  </r>
  <r>
    <d v="2025-04-14T00:00:00"/>
    <m/>
    <x v="3"/>
    <m/>
    <n v="25"/>
    <m/>
    <m/>
  </r>
  <r>
    <d v="2025-04-15T00:00:00"/>
    <m/>
    <x v="6"/>
    <m/>
    <n v="16575"/>
    <m/>
    <m/>
  </r>
  <r>
    <d v="2025-04-15T00:00:00"/>
    <m/>
    <x v="4"/>
    <m/>
    <n v="2150"/>
    <m/>
    <m/>
  </r>
  <r>
    <d v="2025-04-15T00:00:00"/>
    <s v="INV-043"/>
    <x v="2"/>
    <n v="800"/>
    <m/>
    <m/>
    <m/>
  </r>
  <r>
    <d v="2025-04-15T00:00:00"/>
    <m/>
    <x v="3"/>
    <m/>
    <n v="50"/>
    <m/>
    <m/>
  </r>
  <r>
    <d v="2025-04-16T00:00:00"/>
    <s v="INV-044"/>
    <x v="2"/>
    <n v="2580"/>
    <m/>
    <m/>
    <m/>
  </r>
  <r>
    <d v="2025-04-16T00:00:00"/>
    <m/>
    <x v="3"/>
    <m/>
    <n v="25"/>
    <m/>
    <m/>
  </r>
  <r>
    <d v="2025-04-17T00:00:00"/>
    <s v="INV-045"/>
    <x v="2"/>
    <n v="160"/>
    <m/>
    <m/>
    <m/>
  </r>
  <r>
    <d v="2025-04-17T00:00:00"/>
    <s v="INV-046"/>
    <x v="2"/>
    <n v="3185"/>
    <m/>
    <m/>
    <m/>
  </r>
  <r>
    <d v="2025-04-17T00:00:00"/>
    <m/>
    <x v="5"/>
    <m/>
    <n v="300"/>
    <m/>
    <m/>
  </r>
  <r>
    <d v="2025-04-18T00:00:00"/>
    <s v="INV-047"/>
    <x v="2"/>
    <n v="290"/>
    <m/>
    <m/>
    <m/>
  </r>
  <r>
    <d v="2025-04-18T00:00:00"/>
    <s v="INV-048"/>
    <x v="2"/>
    <n v="3550"/>
    <m/>
    <m/>
    <m/>
  </r>
  <r>
    <d v="2025-04-18T00:00:00"/>
    <m/>
    <x v="3"/>
    <m/>
    <n v="50"/>
    <m/>
    <m/>
  </r>
  <r>
    <d v="2025-04-18T00:00:00"/>
    <m/>
    <x v="8"/>
    <m/>
    <n v="550"/>
    <m/>
    <m/>
  </r>
  <r>
    <d v="2025-04-19T00:00:00"/>
    <m/>
    <x v="3"/>
    <m/>
    <n v="100"/>
    <m/>
    <m/>
  </r>
  <r>
    <d v="2025-04-19T00:00:00"/>
    <m/>
    <x v="4"/>
    <m/>
    <n v="2150"/>
    <m/>
    <m/>
  </r>
  <r>
    <d v="2025-04-19T00:00:00"/>
    <s v="INV-049"/>
    <x v="2"/>
    <n v="5825"/>
    <m/>
    <m/>
    <m/>
  </r>
  <r>
    <d v="2025-04-19T00:00:00"/>
    <s v="INV-050"/>
    <x v="9"/>
    <m/>
    <m/>
    <m/>
    <s v="NFS"/>
  </r>
  <r>
    <d v="2025-04-19T00:00:00"/>
    <s v="INV-051"/>
    <x v="2"/>
    <n v="3500"/>
    <m/>
    <m/>
    <m/>
  </r>
  <r>
    <d v="2025-04-20T00:00:00"/>
    <s v="INV-052"/>
    <x v="2"/>
    <m/>
    <m/>
    <m/>
    <m/>
  </r>
  <r>
    <d v="2025-04-20T00:00:00"/>
    <s v="INV-053"/>
    <x v="2"/>
    <n v="1240"/>
    <m/>
    <m/>
    <m/>
  </r>
  <r>
    <d v="2025-04-20T00:00:00"/>
    <m/>
    <x v="3"/>
    <m/>
    <n v="165"/>
    <m/>
    <m/>
  </r>
  <r>
    <d v="2025-04-21T00:00:00"/>
    <s v="INV-054"/>
    <x v="2"/>
    <n v="2190"/>
    <m/>
    <m/>
    <m/>
  </r>
  <r>
    <d v="2025-04-21T00:00:00"/>
    <s v="INV-055"/>
    <x v="2"/>
    <n v="180"/>
    <m/>
    <m/>
    <m/>
  </r>
  <r>
    <d v="2025-04-21T00:00:00"/>
    <s v="INV-056"/>
    <x v="9"/>
    <m/>
    <m/>
    <m/>
    <s v="NFS"/>
  </r>
  <r>
    <d v="2025-04-21T00:00:00"/>
    <m/>
    <x v="5"/>
    <m/>
    <n v="300"/>
    <m/>
    <m/>
  </r>
  <r>
    <d v="2025-04-21T00:00:00"/>
    <m/>
    <x v="3"/>
    <m/>
    <n v="903"/>
    <m/>
    <m/>
  </r>
  <r>
    <d v="2025-04-22T00:00:00"/>
    <m/>
    <x v="8"/>
    <m/>
    <n v="19334"/>
    <m/>
    <m/>
  </r>
  <r>
    <d v="2025-04-22T00:00:00"/>
    <s v="INV-057"/>
    <x v="2"/>
    <n v="1725"/>
    <m/>
    <m/>
    <m/>
  </r>
  <r>
    <d v="2025-04-22T00:00:00"/>
    <s v="INV-058"/>
    <x v="2"/>
    <n v="760"/>
    <m/>
    <m/>
    <m/>
  </r>
  <r>
    <d v="2025-04-22T00:00:00"/>
    <m/>
    <x v="6"/>
    <m/>
    <n v="15400"/>
    <m/>
    <m/>
  </r>
  <r>
    <d v="2025-04-22T00:00:00"/>
    <m/>
    <x v="3"/>
    <m/>
    <n v="50"/>
    <m/>
    <m/>
  </r>
  <r>
    <d v="2025-04-23T00:00:00"/>
    <m/>
    <x v="4"/>
    <m/>
    <n v="2150"/>
    <m/>
    <m/>
  </r>
  <r>
    <d v="2025-04-23T00:00:00"/>
    <s v="INV-059"/>
    <x v="2"/>
    <n v="5570"/>
    <m/>
    <m/>
    <m/>
  </r>
  <r>
    <d v="2025-04-23T00:00:00"/>
    <s v="INV-060"/>
    <x v="2"/>
    <n v="80"/>
    <m/>
    <m/>
    <m/>
  </r>
  <r>
    <d v="2025-04-23T00:00:00"/>
    <s v="INV-061"/>
    <x v="2"/>
    <n v="560"/>
    <m/>
    <m/>
    <m/>
  </r>
  <r>
    <d v="2025-04-23T00:00:00"/>
    <m/>
    <x v="3"/>
    <m/>
    <n v="50"/>
    <m/>
    <m/>
  </r>
  <r>
    <d v="2025-04-24T00:00:00"/>
    <s v="INV-062"/>
    <x v="2"/>
    <n v="5305"/>
    <m/>
    <m/>
    <m/>
  </r>
  <r>
    <d v="2025-04-24T00:00:00"/>
    <s v="INV-063"/>
    <x v="2"/>
    <m/>
    <m/>
    <m/>
    <s v="NFS"/>
  </r>
  <r>
    <d v="2025-04-24T00:00:00"/>
    <m/>
    <x v="3"/>
    <m/>
    <n v="50"/>
    <m/>
    <m/>
  </r>
  <r>
    <d v="2025-04-24T00:00:00"/>
    <m/>
    <x v="5"/>
    <m/>
    <n v="300"/>
    <m/>
    <m/>
  </r>
  <r>
    <d v="2025-04-25T00:00:00"/>
    <s v="INV-064"/>
    <x v="2"/>
    <n v="2825"/>
    <m/>
    <m/>
    <m/>
  </r>
  <r>
    <d v="2025-04-25T00:00:00"/>
    <s v="INV-065"/>
    <x v="2"/>
    <m/>
    <m/>
    <m/>
    <s v="NFS"/>
  </r>
  <r>
    <d v="2025-04-25T00:00:00"/>
    <m/>
    <x v="3"/>
    <m/>
    <n v="50"/>
    <m/>
    <m/>
  </r>
  <r>
    <d v="2025-04-26T00:00:00"/>
    <m/>
    <x v="3"/>
    <m/>
    <n v="25"/>
    <m/>
    <m/>
  </r>
  <r>
    <d v="2025-04-26T00:00:00"/>
    <m/>
    <x v="4"/>
    <m/>
    <n v="2150"/>
    <m/>
    <m/>
  </r>
  <r>
    <d v="2025-04-26T00:00:00"/>
    <s v="INV-066"/>
    <x v="2"/>
    <n v="120"/>
    <m/>
    <m/>
    <m/>
  </r>
  <r>
    <d v="2025-04-26T00:00:00"/>
    <s v="INV-067"/>
    <x v="2"/>
    <n v="4100"/>
    <m/>
    <m/>
    <m/>
  </r>
  <r>
    <d v="2025-04-27T00:00:00"/>
    <s v="INV-068"/>
    <x v="2"/>
    <n v="3450"/>
    <m/>
    <m/>
    <m/>
  </r>
  <r>
    <d v="2025-04-28T00:00:00"/>
    <m/>
    <x v="5"/>
    <m/>
    <n v="300"/>
    <m/>
    <m/>
  </r>
  <r>
    <d v="2025-04-28T00:00:00"/>
    <m/>
    <x v="3"/>
    <m/>
    <n v="75"/>
    <m/>
    <m/>
  </r>
  <r>
    <d v="2025-04-28T00:00:00"/>
    <s v="INV-069"/>
    <x v="2"/>
    <n v="40"/>
    <m/>
    <m/>
    <m/>
  </r>
  <r>
    <d v="2025-04-28T00:00:00"/>
    <s v="INV-070"/>
    <x v="2"/>
    <n v="2375"/>
    <m/>
    <m/>
    <m/>
  </r>
  <r>
    <d v="2025-04-28T00:00:00"/>
    <s v="INV-071"/>
    <x v="2"/>
    <n v="340"/>
    <m/>
    <m/>
    <m/>
  </r>
  <r>
    <d v="2025-04-28T00:00:00"/>
    <s v="INV-072"/>
    <x v="10"/>
    <m/>
    <m/>
    <m/>
    <s v="NFS"/>
  </r>
  <r>
    <d v="2025-04-29T00:00:00"/>
    <m/>
    <x v="3"/>
    <m/>
    <n v="50"/>
    <m/>
    <m/>
  </r>
  <r>
    <d v="2025-04-29T00:00:00"/>
    <m/>
    <x v="2"/>
    <n v="2950"/>
    <m/>
    <m/>
    <m/>
  </r>
  <r>
    <d v="2025-04-30T00:00:00"/>
    <m/>
    <x v="3"/>
    <m/>
    <n v="3000"/>
    <m/>
    <m/>
  </r>
  <r>
    <d v="2025-04-30T00:00:00"/>
    <s v="INV-075"/>
    <x v="2"/>
    <n v="40"/>
    <m/>
    <m/>
    <m/>
  </r>
  <r>
    <d v="2025-04-30T00:00:00"/>
    <s v="INV-076"/>
    <x v="2"/>
    <n v="3990"/>
    <m/>
    <m/>
    <m/>
  </r>
  <r>
    <d v="2025-04-30T00:00:00"/>
    <s v="INV-077"/>
    <x v="2"/>
    <n v="2200"/>
    <m/>
    <m/>
    <m/>
  </r>
  <r>
    <d v="2025-04-30T00:00:00"/>
    <s v="INV-078"/>
    <x v="2"/>
    <m/>
    <m/>
    <m/>
    <s v="NFS"/>
  </r>
  <r>
    <d v="2025-04-30T00:00:00"/>
    <m/>
    <x v="11"/>
    <m/>
    <n v="5250"/>
    <m/>
    <s v="Siva Malar"/>
  </r>
  <r>
    <d v="2025-04-30T00:00:00"/>
    <m/>
    <x v="11"/>
    <m/>
    <n v="5250"/>
    <m/>
    <s v="Jayanthi"/>
  </r>
  <r>
    <m/>
    <m/>
    <x v="10"/>
    <m/>
    <m/>
    <m/>
    <m/>
  </r>
</pivotCacheRecords>
</file>

<file path=xl/pivotCache/pivotCacheRecords5.xml><?xml version="1.0" encoding="utf-8"?>
<pivotCacheRecords xmlns="http://schemas.openxmlformats.org/spreadsheetml/2006/main" xmlns:r="http://schemas.openxmlformats.org/officeDocument/2006/relationships" count="131">
  <r>
    <d v="2025-05-01T00:00:00"/>
    <m/>
    <x v="0"/>
    <n v="54075"/>
    <m/>
    <m/>
    <m/>
  </r>
  <r>
    <d v="2025-05-01T00:00:00"/>
    <m/>
    <x v="1"/>
    <m/>
    <n v="630"/>
    <m/>
    <m/>
  </r>
  <r>
    <d v="2025-05-01T00:00:00"/>
    <m/>
    <x v="2"/>
    <m/>
    <n v="1900"/>
    <m/>
    <m/>
  </r>
  <r>
    <d v="2025-05-01T00:00:00"/>
    <s v="INV-079"/>
    <x v="3"/>
    <n v="1440"/>
    <m/>
    <m/>
    <m/>
  </r>
  <r>
    <d v="2025-05-01T00:00:00"/>
    <s v="INV-080"/>
    <x v="3"/>
    <n v="2100"/>
    <m/>
    <m/>
    <m/>
  </r>
  <r>
    <d v="2025-05-02T00:00:00"/>
    <m/>
    <x v="4"/>
    <m/>
    <n v="17930"/>
    <m/>
    <m/>
  </r>
  <r>
    <d v="2025-05-02T00:00:00"/>
    <s v="INV-081"/>
    <x v="3"/>
    <n v="2925"/>
    <m/>
    <m/>
    <m/>
  </r>
  <r>
    <d v="2025-05-02T00:00:00"/>
    <m/>
    <x v="1"/>
    <m/>
    <n v="123"/>
    <m/>
    <m/>
  </r>
  <r>
    <d v="2025-05-03T00:00:00"/>
    <s v="INV-082"/>
    <x v="3"/>
    <n v="1150"/>
    <m/>
    <m/>
    <m/>
  </r>
  <r>
    <d v="2025-05-03T00:00:00"/>
    <m/>
    <x v="1"/>
    <m/>
    <n v="1052"/>
    <m/>
    <m/>
  </r>
  <r>
    <d v="2025-05-04T00:00:00"/>
    <s v="INV-083"/>
    <x v="3"/>
    <n v="4570"/>
    <m/>
    <m/>
    <m/>
  </r>
  <r>
    <d v="2025-05-04T00:00:00"/>
    <m/>
    <x v="5"/>
    <m/>
    <n v="300"/>
    <m/>
    <m/>
  </r>
  <r>
    <d v="2025-05-05T00:00:00"/>
    <m/>
    <x v="1"/>
    <m/>
    <n v="225"/>
    <m/>
    <s v="30th April missing"/>
  </r>
  <r>
    <d v="2025-05-05T00:00:00"/>
    <m/>
    <x v="1"/>
    <m/>
    <n v="650"/>
    <m/>
    <m/>
  </r>
  <r>
    <d v="2025-05-05T00:00:00"/>
    <s v="INV-084"/>
    <x v="3"/>
    <n v="3525"/>
    <m/>
    <m/>
    <m/>
  </r>
  <r>
    <d v="2025-05-05T00:00:00"/>
    <s v="INV-085"/>
    <x v="3"/>
    <n v="40"/>
    <m/>
    <m/>
    <m/>
  </r>
  <r>
    <d v="2025-05-06T00:00:00"/>
    <m/>
    <x v="6"/>
    <m/>
    <n v="9000"/>
    <m/>
    <m/>
  </r>
  <r>
    <d v="2025-05-06T00:00:00"/>
    <m/>
    <x v="2"/>
    <m/>
    <n v="1750"/>
    <m/>
    <m/>
  </r>
  <r>
    <d v="2025-05-06T00:00:00"/>
    <m/>
    <x v="1"/>
    <m/>
    <n v="25"/>
    <m/>
    <m/>
  </r>
  <r>
    <d v="2025-05-06T00:00:00"/>
    <s v="INV-086"/>
    <x v="3"/>
    <n v="1990"/>
    <m/>
    <m/>
    <m/>
  </r>
  <r>
    <d v="2025-05-06T00:00:00"/>
    <s v="INV-087"/>
    <x v="3"/>
    <n v="80"/>
    <m/>
    <m/>
    <m/>
  </r>
  <r>
    <d v="2025-05-07T00:00:00"/>
    <m/>
    <x v="1"/>
    <m/>
    <n v="2360"/>
    <m/>
    <s v="Barcode Purchase 2 Nos"/>
  </r>
  <r>
    <d v="2025-05-07T00:00:00"/>
    <m/>
    <x v="1"/>
    <m/>
    <n v="25"/>
    <m/>
    <m/>
  </r>
  <r>
    <d v="2025-05-07T00:00:00"/>
    <s v="INV-088"/>
    <x v="3"/>
    <n v="700"/>
    <m/>
    <m/>
    <m/>
  </r>
  <r>
    <d v="2025-05-07T00:00:00"/>
    <s v="INV-089"/>
    <x v="3"/>
    <n v="2925"/>
    <m/>
    <m/>
    <m/>
  </r>
  <r>
    <d v="2025-05-08T00:00:00"/>
    <m/>
    <x v="5"/>
    <m/>
    <n v="300"/>
    <m/>
    <m/>
  </r>
  <r>
    <d v="2025-05-08T00:00:00"/>
    <m/>
    <x v="1"/>
    <m/>
    <n v="18500"/>
    <m/>
    <s v="Freezer purchase"/>
  </r>
  <r>
    <d v="2025-05-08T00:00:00"/>
    <m/>
    <x v="1"/>
    <m/>
    <n v="50"/>
    <m/>
    <m/>
  </r>
  <r>
    <d v="2025-05-08T00:00:00"/>
    <m/>
    <x v="7"/>
    <m/>
    <n v="3000"/>
    <m/>
    <s v="Siva Malar Salary advance"/>
  </r>
  <r>
    <d v="2025-05-08T00:00:00"/>
    <s v="INV-090"/>
    <x v="3"/>
    <n v="3225"/>
    <m/>
    <m/>
    <m/>
  </r>
  <r>
    <d v="2025-05-09T00:00:00"/>
    <s v="INV-091"/>
    <x v="3"/>
    <n v="1415"/>
    <m/>
    <m/>
    <m/>
  </r>
  <r>
    <d v="2025-05-09T00:00:00"/>
    <s v="INV-091"/>
    <x v="3"/>
    <n v="450"/>
    <m/>
    <m/>
    <m/>
  </r>
  <r>
    <d v="2025-05-09T00:00:00"/>
    <m/>
    <x v="1"/>
    <m/>
    <n v="1110"/>
    <m/>
    <m/>
  </r>
  <r>
    <d v="2025-05-10T00:00:00"/>
    <m/>
    <x v="2"/>
    <m/>
    <n v="1850"/>
    <m/>
    <m/>
  </r>
  <r>
    <d v="2025-05-10T00:00:00"/>
    <m/>
    <x v="1"/>
    <m/>
    <n v="25"/>
    <m/>
    <m/>
  </r>
  <r>
    <d v="2025-05-10T00:00:00"/>
    <s v="INV-093"/>
    <x v="3"/>
    <n v="8300"/>
    <m/>
    <m/>
    <m/>
  </r>
  <r>
    <d v="2025-05-11T00:00:00"/>
    <s v="INV-094"/>
    <x v="3"/>
    <n v="1920"/>
    <m/>
    <m/>
    <m/>
  </r>
  <r>
    <d v="2025-05-11T00:00:00"/>
    <s v="INV-095"/>
    <x v="3"/>
    <n v="120"/>
    <m/>
    <m/>
    <m/>
  </r>
  <r>
    <d v="2025-05-11T00:00:00"/>
    <m/>
    <x v="1"/>
    <m/>
    <n v="14200"/>
    <m/>
    <s v="Freezer purchase kkl"/>
  </r>
  <r>
    <d v="2025-05-11T00:00:00"/>
    <m/>
    <x v="1"/>
    <m/>
    <n v="140"/>
    <m/>
    <m/>
  </r>
  <r>
    <d v="2025-05-12T00:00:00"/>
    <s v="INV-096"/>
    <x v="3"/>
    <n v="2650"/>
    <m/>
    <m/>
    <m/>
  </r>
  <r>
    <d v="2025-05-12T00:00:00"/>
    <s v="INV-097"/>
    <x v="3"/>
    <n v="280"/>
    <m/>
    <m/>
    <m/>
  </r>
  <r>
    <d v="2025-05-12T00:00:00"/>
    <m/>
    <x v="1"/>
    <m/>
    <n v="165"/>
    <m/>
    <m/>
  </r>
  <r>
    <d v="2025-05-13T00:00:00"/>
    <s v="INV-098"/>
    <x v="3"/>
    <n v="2470"/>
    <m/>
    <m/>
    <m/>
  </r>
  <r>
    <d v="2025-05-13T00:00:00"/>
    <s v="INV-099"/>
    <x v="3"/>
    <n v="600"/>
    <m/>
    <m/>
    <m/>
  </r>
  <r>
    <d v="2025-05-13T00:00:00"/>
    <s v="INV-100"/>
    <x v="3"/>
    <n v="150"/>
    <m/>
    <m/>
    <m/>
  </r>
  <r>
    <d v="2025-05-13T00:00:00"/>
    <m/>
    <x v="5"/>
    <m/>
    <n v="300"/>
    <m/>
    <m/>
  </r>
  <r>
    <d v="2025-05-13T00:00:00"/>
    <m/>
    <x v="7"/>
    <m/>
    <n v="300"/>
    <m/>
    <s v="Temp Staff"/>
  </r>
  <r>
    <d v="2025-05-13T00:00:00"/>
    <m/>
    <x v="1"/>
    <m/>
    <n v="20"/>
    <m/>
    <m/>
  </r>
  <r>
    <d v="2025-05-14T00:00:00"/>
    <m/>
    <x v="4"/>
    <m/>
    <n v="42865"/>
    <m/>
    <m/>
  </r>
  <r>
    <d v="2025-05-14T00:00:00"/>
    <m/>
    <x v="2"/>
    <m/>
    <n v="1950"/>
    <m/>
    <m/>
  </r>
  <r>
    <d v="2025-05-14T00:00:00"/>
    <s v="INV-101"/>
    <x v="3"/>
    <n v="2160"/>
    <m/>
    <m/>
    <m/>
  </r>
  <r>
    <d v="2025-05-14T00:00:00"/>
    <s v="INV-102"/>
    <x v="3"/>
    <n v="840"/>
    <m/>
    <m/>
    <m/>
  </r>
  <r>
    <d v="2025-05-14T00:00:00"/>
    <s v="INV-103"/>
    <x v="3"/>
    <n v="470"/>
    <m/>
    <m/>
    <m/>
  </r>
  <r>
    <d v="2025-05-14T00:00:00"/>
    <m/>
    <x v="1"/>
    <m/>
    <n v="186"/>
    <m/>
    <m/>
  </r>
  <r>
    <d v="2025-05-15T00:00:00"/>
    <s v="INV-104"/>
    <x v="3"/>
    <n v="6680"/>
    <m/>
    <m/>
    <m/>
  </r>
  <r>
    <d v="2025-05-15T00:00:00"/>
    <s v="INV-105"/>
    <x v="3"/>
    <n v="100"/>
    <m/>
    <m/>
    <m/>
  </r>
  <r>
    <d v="2025-05-15T00:00:00"/>
    <m/>
    <x v="1"/>
    <m/>
    <n v="20"/>
    <m/>
    <m/>
  </r>
  <r>
    <d v="2025-05-16T00:00:00"/>
    <s v="INV-106"/>
    <x v="3"/>
    <n v="80"/>
    <m/>
    <m/>
    <m/>
  </r>
  <r>
    <d v="2025-05-16T00:00:00"/>
    <s v="INV-107"/>
    <x v="3"/>
    <n v="1800"/>
    <m/>
    <m/>
    <m/>
  </r>
  <r>
    <d v="2025-05-16T00:00:00"/>
    <s v="INV-108"/>
    <x v="3"/>
    <n v="720"/>
    <m/>
    <m/>
    <m/>
  </r>
  <r>
    <d v="2025-05-16T00:00:00"/>
    <m/>
    <x v="1"/>
    <m/>
    <n v="70"/>
    <m/>
    <m/>
  </r>
  <r>
    <d v="2025-05-16T00:00:00"/>
    <m/>
    <x v="1"/>
    <m/>
    <n v="3700"/>
    <m/>
    <s v="EB KV increment"/>
  </r>
  <r>
    <d v="2025-05-17T00:00:00"/>
    <s v="INV-109"/>
    <x v="3"/>
    <n v="2420"/>
    <m/>
    <m/>
    <m/>
  </r>
  <r>
    <d v="2025-05-17T00:00:00"/>
    <s v="INV-110"/>
    <x v="3"/>
    <n v="1190"/>
    <m/>
    <m/>
    <m/>
  </r>
  <r>
    <d v="2025-05-17T00:00:00"/>
    <s v="INV-111"/>
    <x v="3"/>
    <n v="700"/>
    <m/>
    <m/>
    <m/>
  </r>
  <r>
    <d v="2025-05-17T00:00:00"/>
    <m/>
    <x v="1"/>
    <m/>
    <n v="220"/>
    <m/>
    <m/>
  </r>
  <r>
    <d v="2025-05-17T00:00:00"/>
    <m/>
    <x v="5"/>
    <m/>
    <n v="300"/>
    <m/>
    <m/>
  </r>
  <r>
    <d v="2025-05-18T00:00:00"/>
    <s v="INV-112"/>
    <x v="3"/>
    <n v="3525"/>
    <m/>
    <m/>
    <m/>
  </r>
  <r>
    <d v="2025-05-19T00:00:00"/>
    <m/>
    <x v="2"/>
    <m/>
    <n v="8750"/>
    <m/>
    <m/>
  </r>
  <r>
    <d v="2025-05-19T00:00:00"/>
    <s v="INV-113"/>
    <x v="3"/>
    <n v="340"/>
    <m/>
    <m/>
    <m/>
  </r>
  <r>
    <d v="2025-05-19T00:00:00"/>
    <s v="INV-114"/>
    <x v="3"/>
    <n v="280"/>
    <m/>
    <m/>
    <m/>
  </r>
  <r>
    <d v="2025-05-19T00:00:00"/>
    <s v="INV-115"/>
    <x v="3"/>
    <n v="700"/>
    <m/>
    <m/>
    <m/>
  </r>
  <r>
    <d v="2025-05-19T00:00:00"/>
    <m/>
    <x v="8"/>
    <m/>
    <n v="550"/>
    <m/>
    <s v="Wifi Bill"/>
  </r>
  <r>
    <d v="2025-05-19T00:00:00"/>
    <m/>
    <x v="1"/>
    <m/>
    <n v="20"/>
    <m/>
    <m/>
  </r>
  <r>
    <d v="2025-05-20T00:00:00"/>
    <s v="INV-116"/>
    <x v="3"/>
    <n v="230"/>
    <m/>
    <m/>
    <m/>
  </r>
  <r>
    <d v="2025-05-20T00:00:00"/>
    <s v="INV-117"/>
    <x v="3"/>
    <n v="5270"/>
    <m/>
    <m/>
    <m/>
  </r>
  <r>
    <d v="2025-05-20T00:00:00"/>
    <s v="INV-118"/>
    <x v="3"/>
    <n v="2430"/>
    <m/>
    <m/>
    <m/>
  </r>
  <r>
    <d v="2025-05-20T00:00:00"/>
    <s v="INV-119"/>
    <x v="3"/>
    <n v="1020"/>
    <m/>
    <m/>
    <m/>
  </r>
  <r>
    <d v="2025-05-20T00:00:00"/>
    <m/>
    <x v="7"/>
    <m/>
    <n v="200"/>
    <m/>
    <s v="Temp Staff"/>
  </r>
  <r>
    <d v="2025-05-20T00:00:00"/>
    <m/>
    <x v="1"/>
    <m/>
    <n v="220"/>
    <m/>
    <m/>
  </r>
  <r>
    <d v="2025-05-20T00:00:00"/>
    <m/>
    <x v="9"/>
    <m/>
    <n v="1120"/>
    <m/>
    <s v="500 Rs pathiram x2"/>
  </r>
  <r>
    <d v="2025-05-21T00:00:00"/>
    <s v="INV-120"/>
    <x v="3"/>
    <n v="960"/>
    <m/>
    <m/>
    <m/>
  </r>
  <r>
    <d v="2025-05-21T00:00:00"/>
    <s v="INV-121"/>
    <x v="3"/>
    <n v="850"/>
    <m/>
    <m/>
    <m/>
  </r>
  <r>
    <d v="2025-05-21T00:00:00"/>
    <m/>
    <x v="1"/>
    <m/>
    <n v="20"/>
    <m/>
    <m/>
  </r>
  <r>
    <d v="2025-05-22T00:00:00"/>
    <s v="INV-122"/>
    <x v="3"/>
    <n v="1080"/>
    <m/>
    <m/>
    <m/>
  </r>
  <r>
    <d v="2025-05-22T00:00:00"/>
    <s v="INV-123"/>
    <x v="3"/>
    <n v="100"/>
    <m/>
    <m/>
    <m/>
  </r>
  <r>
    <d v="2025-05-22T00:00:00"/>
    <m/>
    <x v="1"/>
    <m/>
    <n v="75"/>
    <m/>
    <m/>
  </r>
  <r>
    <d v="2025-05-23T00:00:00"/>
    <s v="INV-124"/>
    <x v="3"/>
    <n v="7120"/>
    <m/>
    <m/>
    <m/>
  </r>
  <r>
    <d v="2025-05-23T00:00:00"/>
    <s v="INV-125"/>
    <x v="3"/>
    <n v="800"/>
    <m/>
    <m/>
    <m/>
  </r>
  <r>
    <d v="2025-05-23T00:00:00"/>
    <m/>
    <x v="4"/>
    <m/>
    <n v="1500"/>
    <m/>
    <m/>
  </r>
  <r>
    <d v="2025-05-23T00:00:00"/>
    <m/>
    <x v="5"/>
    <m/>
    <n v="400"/>
    <m/>
    <m/>
  </r>
  <r>
    <d v="2025-05-23T00:00:00"/>
    <m/>
    <x v="1"/>
    <m/>
    <n v="220"/>
    <m/>
    <m/>
  </r>
  <r>
    <d v="2025-05-24T00:00:00"/>
    <s v="INV-126"/>
    <x v="3"/>
    <n v="5310"/>
    <m/>
    <m/>
    <m/>
  </r>
  <r>
    <d v="2025-05-24T00:00:00"/>
    <s v="INV-127"/>
    <x v="3"/>
    <n v="3920"/>
    <m/>
    <m/>
    <m/>
  </r>
  <r>
    <d v="2025-05-24T00:00:00"/>
    <m/>
    <x v="1"/>
    <m/>
    <n v="390"/>
    <m/>
    <m/>
  </r>
  <r>
    <d v="2025-05-25T00:00:00"/>
    <m/>
    <x v="2"/>
    <m/>
    <n v="2150"/>
    <m/>
    <m/>
  </r>
  <r>
    <d v="2025-05-25T00:00:00"/>
    <s v="INV-128"/>
    <x v="3"/>
    <n v="2400"/>
    <m/>
    <m/>
    <m/>
  </r>
  <r>
    <d v="2025-05-25T00:00:00"/>
    <s v="INV-129"/>
    <x v="3"/>
    <n v="720"/>
    <m/>
    <m/>
    <m/>
  </r>
  <r>
    <d v="2025-05-25T00:00:00"/>
    <s v="INV-130"/>
    <x v="3"/>
    <n v="260"/>
    <m/>
    <m/>
    <m/>
  </r>
  <r>
    <d v="2025-05-25T00:00:00"/>
    <m/>
    <x v="1"/>
    <m/>
    <n v="815"/>
    <m/>
    <m/>
  </r>
  <r>
    <d v="2025-05-26T00:00:00"/>
    <s v="INV-131"/>
    <x v="3"/>
    <n v="2415"/>
    <m/>
    <m/>
    <m/>
  </r>
  <r>
    <d v="2025-05-26T00:00:00"/>
    <s v="INV-132"/>
    <x v="3"/>
    <n v="1200"/>
    <m/>
    <m/>
    <m/>
  </r>
  <r>
    <d v="2025-05-26T00:00:00"/>
    <s v="INV-133"/>
    <x v="3"/>
    <n v="200"/>
    <m/>
    <m/>
    <m/>
  </r>
  <r>
    <d v="2025-05-26T00:00:00"/>
    <s v="INV-134"/>
    <x v="3"/>
    <n v="140"/>
    <m/>
    <m/>
    <m/>
  </r>
  <r>
    <d v="2025-05-26T00:00:00"/>
    <m/>
    <x v="1"/>
    <m/>
    <n v="720"/>
    <m/>
    <m/>
  </r>
  <r>
    <d v="2025-05-27T00:00:00"/>
    <m/>
    <x v="2"/>
    <m/>
    <n v="2450"/>
    <m/>
    <m/>
  </r>
  <r>
    <d v="2025-05-27T00:00:00"/>
    <s v="INV-135"/>
    <x v="3"/>
    <n v="80"/>
    <m/>
    <m/>
    <m/>
  </r>
  <r>
    <d v="2025-05-27T00:00:00"/>
    <s v="INV-136"/>
    <x v="3"/>
    <n v="2600"/>
    <m/>
    <m/>
    <m/>
  </r>
  <r>
    <d v="2025-05-27T00:00:00"/>
    <m/>
    <x v="1"/>
    <m/>
    <n v="260"/>
    <m/>
    <m/>
  </r>
  <r>
    <d v="2025-05-28T00:00:00"/>
    <s v="INV-137"/>
    <x v="3"/>
    <n v="2080"/>
    <m/>
    <m/>
    <m/>
  </r>
  <r>
    <d v="2025-05-28T00:00:00"/>
    <m/>
    <x v="1"/>
    <m/>
    <n v="20"/>
    <m/>
    <m/>
  </r>
  <r>
    <d v="2025-05-28T00:00:00"/>
    <m/>
    <x v="5"/>
    <m/>
    <n v="300"/>
    <m/>
    <m/>
  </r>
  <r>
    <d v="2025-05-29T00:00:00"/>
    <m/>
    <x v="1"/>
    <m/>
    <n v="20"/>
    <m/>
    <m/>
  </r>
  <r>
    <d v="2025-05-29T00:00:00"/>
    <s v="INV-138"/>
    <x v="3"/>
    <n v="3800"/>
    <m/>
    <m/>
    <m/>
  </r>
  <r>
    <d v="2025-05-29T00:00:00"/>
    <s v="INV-139"/>
    <x v="3"/>
    <n v="840"/>
    <m/>
    <m/>
    <m/>
  </r>
  <r>
    <d v="2025-05-30T00:00:00"/>
    <m/>
    <x v="1"/>
    <m/>
    <n v="40"/>
    <m/>
    <m/>
  </r>
  <r>
    <d v="2025-05-30T00:00:00"/>
    <m/>
    <x v="2"/>
    <m/>
    <n v="1275"/>
    <m/>
    <s v="Nilaa WH "/>
  </r>
  <r>
    <d v="2025-05-30T00:00:00"/>
    <m/>
    <x v="2"/>
    <m/>
    <n v="400"/>
    <m/>
    <s v="Nilaa WH "/>
  </r>
  <r>
    <d v="2025-05-30T00:00:00"/>
    <m/>
    <x v="4"/>
    <m/>
    <n v="300"/>
    <m/>
    <m/>
  </r>
  <r>
    <d v="2025-05-30T00:00:00"/>
    <s v="INV-140"/>
    <x v="3"/>
    <n v="6090"/>
    <m/>
    <m/>
    <m/>
  </r>
  <r>
    <d v="2025-05-30T00:00:00"/>
    <s v="INV-141"/>
    <x v="3"/>
    <n v="2820"/>
    <m/>
    <m/>
    <m/>
  </r>
  <r>
    <d v="2025-05-30T00:00:00"/>
    <s v="INV-142"/>
    <x v="3"/>
    <n v="280"/>
    <m/>
    <m/>
    <m/>
  </r>
  <r>
    <d v="2025-05-31T00:00:00"/>
    <m/>
    <x v="1"/>
    <m/>
    <n v="1356"/>
    <m/>
    <m/>
  </r>
  <r>
    <d v="2025-05-31T00:00:00"/>
    <s v="INV-143"/>
    <x v="3"/>
    <n v="4330"/>
    <m/>
    <m/>
    <m/>
  </r>
  <r>
    <d v="2025-05-31T00:00:00"/>
    <s v="INV-144"/>
    <x v="3"/>
    <n v="6900"/>
    <m/>
    <m/>
    <m/>
  </r>
  <r>
    <d v="2025-05-31T00:00:00"/>
    <s v="INV-145"/>
    <x v="3"/>
    <n v="1285"/>
    <m/>
    <m/>
    <m/>
  </r>
  <r>
    <d v="2025-05-31T00:00:00"/>
    <s v="INV-146"/>
    <x v="3"/>
    <n v="600"/>
    <m/>
    <m/>
    <m/>
  </r>
  <r>
    <d v="2025-05-31T00:00:00"/>
    <m/>
    <x v="7"/>
    <m/>
    <n v="2250"/>
    <m/>
    <s v="Sivamalar"/>
  </r>
  <r>
    <d v="2025-05-31T00:00:00"/>
    <m/>
    <x v="7"/>
    <m/>
    <n v="3500"/>
    <m/>
    <s v="Maheshwari"/>
  </r>
  <r>
    <m/>
    <m/>
    <x v="10"/>
    <m/>
    <m/>
    <m/>
    <m/>
  </r>
</pivotCacheRecords>
</file>

<file path=xl/pivotCache/pivotCacheRecords6.xml><?xml version="1.0" encoding="utf-8"?>
<pivotCacheRecords xmlns="http://schemas.openxmlformats.org/spreadsheetml/2006/main" xmlns:r="http://schemas.openxmlformats.org/officeDocument/2006/relationships" count="141">
  <r>
    <d v="2025-06-01T00:00:00"/>
    <m/>
    <x v="0"/>
    <n v="32673"/>
    <m/>
    <m/>
  </r>
  <r>
    <d v="2025-06-01T00:00:00"/>
    <m/>
    <x v="1"/>
    <m/>
    <n v="2500"/>
    <m/>
  </r>
  <r>
    <d v="2025-06-01T00:00:00"/>
    <s v="INV-147"/>
    <x v="2"/>
    <n v="1760"/>
    <m/>
    <m/>
  </r>
  <r>
    <d v="2025-06-01T00:00:00"/>
    <s v="INV-148"/>
    <x v="2"/>
    <n v="2600"/>
    <m/>
    <m/>
  </r>
  <r>
    <d v="2025-06-01T00:00:00"/>
    <m/>
    <x v="3"/>
    <m/>
    <n v="20"/>
    <m/>
  </r>
  <r>
    <d v="2025-06-01T00:00:00"/>
    <m/>
    <x v="4"/>
    <m/>
    <n v="3000"/>
    <m/>
  </r>
  <r>
    <d v="2025-06-02T00:00:00"/>
    <s v="INV-149"/>
    <x v="2"/>
    <n v="120"/>
    <m/>
    <m/>
  </r>
  <r>
    <d v="2025-06-02T00:00:00"/>
    <s v="INV-150"/>
    <x v="2"/>
    <n v="1900"/>
    <m/>
    <m/>
  </r>
  <r>
    <d v="2025-06-02T00:00:00"/>
    <m/>
    <x v="3"/>
    <m/>
    <n v="210"/>
    <m/>
  </r>
  <r>
    <d v="2025-06-02T00:00:00"/>
    <m/>
    <x v="5"/>
    <m/>
    <n v="300"/>
    <m/>
  </r>
  <r>
    <d v="2025-06-03T00:00:00"/>
    <m/>
    <x v="1"/>
    <m/>
    <n v="2400"/>
    <m/>
  </r>
  <r>
    <d v="2025-06-03T00:00:00"/>
    <s v="INV-151"/>
    <x v="2"/>
    <n v="40"/>
    <m/>
    <m/>
  </r>
  <r>
    <d v="2025-06-03T00:00:00"/>
    <s v="INV-152"/>
    <x v="2"/>
    <n v="560"/>
    <m/>
    <m/>
  </r>
  <r>
    <d v="2025-06-03T00:00:00"/>
    <s v="INV-153"/>
    <x v="2"/>
    <n v="1400"/>
    <m/>
    <m/>
  </r>
  <r>
    <d v="2025-06-03T00:00:00"/>
    <m/>
    <x v="3"/>
    <m/>
    <n v="75"/>
    <m/>
  </r>
  <r>
    <d v="2025-06-04T00:00:00"/>
    <s v="INV-154"/>
    <x v="2"/>
    <n v="3540"/>
    <m/>
    <m/>
  </r>
  <r>
    <d v="2025-06-04T00:00:00"/>
    <s v="INV-155"/>
    <x v="2"/>
    <n v="1560"/>
    <m/>
    <m/>
  </r>
  <r>
    <d v="2025-06-04T00:00:00"/>
    <s v="INV-156"/>
    <x v="2"/>
    <n v="2780"/>
    <m/>
    <m/>
  </r>
  <r>
    <d v="2025-06-04T00:00:00"/>
    <m/>
    <x v="3"/>
    <m/>
    <n v="50"/>
    <m/>
  </r>
  <r>
    <d v="2025-06-05T00:00:00"/>
    <m/>
    <x v="6"/>
    <m/>
    <n v="34610"/>
    <m/>
  </r>
  <r>
    <d v="2025-06-05T00:00:00"/>
    <m/>
    <x v="4"/>
    <m/>
    <n v="300"/>
    <m/>
  </r>
  <r>
    <d v="2025-06-05T00:00:00"/>
    <m/>
    <x v="3"/>
    <m/>
    <n v="25"/>
    <m/>
  </r>
  <r>
    <d v="2025-06-05T00:00:00"/>
    <s v="INV-157"/>
    <x v="2"/>
    <n v="4300"/>
    <m/>
    <m/>
  </r>
  <r>
    <d v="2025-06-05T00:00:00"/>
    <s v="INV-158"/>
    <x v="2"/>
    <n v="1950"/>
    <m/>
    <m/>
  </r>
  <r>
    <d v="2025-06-05T00:00:00"/>
    <s v="INV-159"/>
    <x v="2"/>
    <n v="790"/>
    <m/>
    <m/>
  </r>
  <r>
    <d v="2025-06-05T00:00:00"/>
    <s v="INV-160"/>
    <x v="2"/>
    <n v="660"/>
    <m/>
    <m/>
  </r>
  <r>
    <d v="2025-06-06T00:00:00"/>
    <s v="INV-161"/>
    <x v="2"/>
    <n v="120"/>
    <m/>
    <m/>
  </r>
  <r>
    <d v="2025-06-06T00:00:00"/>
    <s v="INV-162"/>
    <x v="2"/>
    <n v="2650"/>
    <m/>
    <m/>
  </r>
  <r>
    <d v="2025-06-06T00:00:00"/>
    <s v="INV-163"/>
    <x v="2"/>
    <n v="100"/>
    <m/>
    <m/>
  </r>
  <r>
    <d v="2025-06-06T00:00:00"/>
    <s v="INV-164"/>
    <x v="2"/>
    <n v="100"/>
    <m/>
    <m/>
  </r>
  <r>
    <d v="2025-06-06T00:00:00"/>
    <s v="INV-165"/>
    <x v="2"/>
    <n v="1280"/>
    <m/>
    <m/>
  </r>
  <r>
    <d v="2025-06-06T00:00:00"/>
    <m/>
    <x v="4"/>
    <m/>
    <n v="100"/>
    <m/>
  </r>
  <r>
    <d v="2025-06-06T00:00:00"/>
    <m/>
    <x v="3"/>
    <m/>
    <n v="50"/>
    <m/>
  </r>
  <r>
    <d v="2025-06-06T00:00:00"/>
    <m/>
    <x v="1"/>
    <m/>
    <n v="2400"/>
    <m/>
  </r>
  <r>
    <d v="2025-06-07T00:00:00"/>
    <s v="INV-166"/>
    <x v="2"/>
    <n v="1915"/>
    <m/>
    <m/>
  </r>
  <r>
    <d v="2025-06-07T00:00:00"/>
    <m/>
    <x v="3"/>
    <m/>
    <n v="50"/>
    <m/>
  </r>
  <r>
    <d v="2025-06-08T00:00:00"/>
    <s v="INV-167"/>
    <x v="2"/>
    <n v="7380"/>
    <m/>
    <m/>
  </r>
  <r>
    <d v="2025-06-08T00:00:00"/>
    <s v="INV-168"/>
    <x v="2"/>
    <n v="2245"/>
    <m/>
    <m/>
  </r>
  <r>
    <d v="2025-06-08T00:00:00"/>
    <m/>
    <x v="5"/>
    <m/>
    <n v="300"/>
    <m/>
  </r>
  <r>
    <d v="2025-06-08T00:00:00"/>
    <m/>
    <x v="4"/>
    <m/>
    <n v="50"/>
    <m/>
  </r>
  <r>
    <d v="2025-06-09T00:00:00"/>
    <m/>
    <x v="1"/>
    <m/>
    <n v="2300"/>
    <m/>
  </r>
  <r>
    <d v="2025-06-09T00:00:00"/>
    <m/>
    <x v="3"/>
    <m/>
    <n v="50"/>
    <m/>
  </r>
  <r>
    <d v="2025-06-09T00:00:00"/>
    <s v="INV-169"/>
    <x v="2"/>
    <n v="280"/>
    <m/>
    <m/>
  </r>
  <r>
    <d v="2025-06-09T00:00:00"/>
    <s v="INV-170"/>
    <x v="2"/>
    <n v="240"/>
    <m/>
    <m/>
  </r>
  <r>
    <d v="2025-06-09T00:00:00"/>
    <s v="INV-171"/>
    <x v="2"/>
    <n v="380"/>
    <m/>
    <m/>
  </r>
  <r>
    <d v="2025-06-10T00:00:00"/>
    <s v="INV-172"/>
    <x v="2"/>
    <n v="850"/>
    <m/>
    <m/>
  </r>
  <r>
    <d v="2025-06-10T00:00:00"/>
    <s v="INV-173"/>
    <x v="2"/>
    <n v="880"/>
    <m/>
    <m/>
  </r>
  <r>
    <d v="2025-06-10T00:00:00"/>
    <m/>
    <x v="3"/>
    <m/>
    <n v="220"/>
    <m/>
  </r>
  <r>
    <d v="2025-06-11T00:00:00"/>
    <s v="INV-174"/>
    <x v="2"/>
    <n v="3650"/>
    <m/>
    <m/>
  </r>
  <r>
    <d v="2025-06-11T00:00:00"/>
    <s v="INV-175"/>
    <x v="2"/>
    <n v="200"/>
    <m/>
    <m/>
  </r>
  <r>
    <d v="2025-06-11T00:00:00"/>
    <s v="INV-176"/>
    <x v="2"/>
    <n v="880"/>
    <m/>
    <m/>
  </r>
  <r>
    <d v="2025-06-11T00:00:00"/>
    <m/>
    <x v="7"/>
    <m/>
    <n v="9000"/>
    <m/>
  </r>
  <r>
    <d v="2025-06-11T00:00:00"/>
    <m/>
    <x v="3"/>
    <m/>
    <n v="1495"/>
    <m/>
  </r>
  <r>
    <d v="2025-06-12T00:00:00"/>
    <s v="INV-177"/>
    <x v="2"/>
    <n v="3165"/>
    <m/>
    <m/>
  </r>
  <r>
    <d v="2025-06-12T00:00:00"/>
    <s v="INV-178"/>
    <x v="2"/>
    <n v="80"/>
    <m/>
    <m/>
  </r>
  <r>
    <d v="2025-06-12T00:00:00"/>
    <m/>
    <x v="3"/>
    <m/>
    <n v="75"/>
    <m/>
  </r>
  <r>
    <d v="2025-06-13T00:00:00"/>
    <s v="INV-179"/>
    <x v="2"/>
    <n v="40"/>
    <m/>
    <m/>
  </r>
  <r>
    <d v="2025-06-13T00:00:00"/>
    <s v="INV-180"/>
    <x v="2"/>
    <n v="1900"/>
    <m/>
    <m/>
  </r>
  <r>
    <d v="2025-06-13T00:00:00"/>
    <s v="INV-181"/>
    <x v="2"/>
    <n v="3295"/>
    <m/>
    <m/>
  </r>
  <r>
    <d v="2025-06-13T00:00:00"/>
    <m/>
    <x v="3"/>
    <m/>
    <n v="210"/>
    <m/>
  </r>
  <r>
    <d v="2025-06-13T00:00:00"/>
    <m/>
    <x v="5"/>
    <m/>
    <n v="300"/>
    <m/>
  </r>
  <r>
    <d v="2025-06-14T00:00:00"/>
    <s v="INV-182"/>
    <x v="2"/>
    <n v="180"/>
    <m/>
    <m/>
  </r>
  <r>
    <d v="2025-06-14T00:00:00"/>
    <s v="INV-183"/>
    <x v="2"/>
    <n v="610"/>
    <m/>
    <m/>
  </r>
  <r>
    <d v="2025-06-14T00:00:00"/>
    <s v="INV-184"/>
    <x v="2"/>
    <n v="100"/>
    <m/>
    <m/>
  </r>
  <r>
    <d v="2025-06-14T00:00:00"/>
    <s v="INV-185"/>
    <x v="2"/>
    <n v="1240"/>
    <m/>
    <m/>
  </r>
  <r>
    <d v="2025-06-14T00:00:00"/>
    <m/>
    <x v="3"/>
    <m/>
    <n v="409"/>
    <m/>
  </r>
  <r>
    <d v="2025-06-14T00:00:00"/>
    <m/>
    <x v="1"/>
    <m/>
    <n v="2300"/>
    <m/>
  </r>
  <r>
    <d v="2025-06-15T00:00:00"/>
    <m/>
    <x v="8"/>
    <n v="0"/>
    <m/>
    <m/>
  </r>
  <r>
    <d v="2025-06-15T00:00:00"/>
    <s v="INV-186"/>
    <x v="2"/>
    <n v="4010"/>
    <m/>
    <m/>
  </r>
  <r>
    <d v="2025-06-15T00:00:00"/>
    <s v="INV-187"/>
    <x v="2"/>
    <n v="1440"/>
    <m/>
    <m/>
  </r>
  <r>
    <d v="2025-06-16T00:00:00"/>
    <s v="INV-188"/>
    <x v="2"/>
    <n v="1020"/>
    <m/>
    <m/>
  </r>
  <r>
    <d v="2025-06-16T00:00:00"/>
    <s v="INV-189"/>
    <x v="2"/>
    <n v="140"/>
    <m/>
    <m/>
  </r>
  <r>
    <d v="2025-06-16T00:00:00"/>
    <s v="INV-190"/>
    <x v="2"/>
    <n v="1900"/>
    <m/>
    <m/>
  </r>
  <r>
    <d v="2025-06-17T00:00:00"/>
    <m/>
    <x v="9"/>
    <m/>
    <n v="550"/>
    <m/>
  </r>
  <r>
    <d v="2025-06-17T00:00:00"/>
    <s v="INV-191"/>
    <x v="2"/>
    <n v="1240"/>
    <m/>
    <m/>
  </r>
  <r>
    <d v="2025-06-17T00:00:00"/>
    <s v="INV-192"/>
    <x v="2"/>
    <n v="260"/>
    <m/>
    <m/>
  </r>
  <r>
    <d v="2025-06-17T00:00:00"/>
    <m/>
    <x v="3"/>
    <m/>
    <n v="50"/>
    <m/>
  </r>
  <r>
    <d v="2025-06-18T00:00:00"/>
    <s v="INV-193"/>
    <x v="2"/>
    <n v="880"/>
    <m/>
    <m/>
  </r>
  <r>
    <d v="2025-06-18T00:00:00"/>
    <s v="INV-194"/>
    <x v="2"/>
    <n v="430"/>
    <m/>
    <m/>
  </r>
  <r>
    <d v="2025-06-18T00:00:00"/>
    <s v="INV-195"/>
    <x v="2"/>
    <n v="80"/>
    <m/>
    <m/>
  </r>
  <r>
    <d v="2025-06-18T00:00:00"/>
    <m/>
    <x v="5"/>
    <m/>
    <n v="300"/>
    <m/>
  </r>
  <r>
    <d v="2025-06-18T00:00:00"/>
    <m/>
    <x v="3"/>
    <m/>
    <n v="210"/>
    <m/>
  </r>
  <r>
    <d v="2025-06-19T00:00:00"/>
    <s v="INV-196"/>
    <x v="2"/>
    <n v="3100"/>
    <m/>
    <m/>
  </r>
  <r>
    <d v="2025-06-19T00:00:00"/>
    <s v="INV-197"/>
    <x v="2"/>
    <n v="480"/>
    <m/>
    <m/>
  </r>
  <r>
    <d v="2025-06-19T00:00:00"/>
    <m/>
    <x v="3"/>
    <m/>
    <n v="25"/>
    <m/>
  </r>
  <r>
    <d v="2025-06-20T00:00:00"/>
    <s v="INV-198"/>
    <x v="2"/>
    <n v="4555"/>
    <m/>
    <m/>
  </r>
  <r>
    <d v="2025-06-20T00:00:00"/>
    <s v="INV-199"/>
    <x v="2"/>
    <n v="300"/>
    <m/>
    <m/>
  </r>
  <r>
    <d v="2025-06-20T00:00:00"/>
    <s v="INV-200"/>
    <x v="2"/>
    <n v="40"/>
    <m/>
    <m/>
  </r>
  <r>
    <d v="2025-06-20T00:00:00"/>
    <m/>
    <x v="3"/>
    <m/>
    <n v="50"/>
    <m/>
  </r>
  <r>
    <d v="2025-06-20T00:00:00"/>
    <m/>
    <x v="6"/>
    <m/>
    <n v="1710"/>
    <m/>
  </r>
  <r>
    <d v="2025-06-21T00:00:00"/>
    <m/>
    <x v="9"/>
    <m/>
    <n v="11302"/>
    <m/>
  </r>
  <r>
    <d v="2025-06-21T00:00:00"/>
    <m/>
    <x v="1"/>
    <m/>
    <n v="2300"/>
    <m/>
  </r>
  <r>
    <d v="2025-06-21T00:00:00"/>
    <s v="INV-201"/>
    <x v="2"/>
    <n v="3520"/>
    <m/>
    <m/>
  </r>
  <r>
    <d v="2025-06-21T00:00:00"/>
    <s v="INV-202"/>
    <x v="2"/>
    <n v="6750"/>
    <m/>
    <m/>
  </r>
  <r>
    <d v="2025-06-21T00:00:00"/>
    <s v="INV-203"/>
    <x v="2"/>
    <n v="2840"/>
    <m/>
    <m/>
  </r>
  <r>
    <d v="2025-06-21T00:00:00"/>
    <s v="INV-204"/>
    <x v="2"/>
    <n v="700"/>
    <m/>
    <m/>
  </r>
  <r>
    <d v="2025-06-21T00:00:00"/>
    <m/>
    <x v="3"/>
    <m/>
    <n v="300"/>
    <m/>
  </r>
  <r>
    <d v="2025-06-22T00:00:00"/>
    <s v="INV-205"/>
    <x v="2"/>
    <n v="1850"/>
    <m/>
    <m/>
  </r>
  <r>
    <d v="2025-06-22T00:00:00"/>
    <s v="INV-206"/>
    <x v="2"/>
    <n v="840"/>
    <m/>
    <m/>
  </r>
  <r>
    <d v="2025-06-22T00:00:00"/>
    <s v="INV-207"/>
    <x v="2"/>
    <n v="480"/>
    <m/>
    <m/>
  </r>
  <r>
    <d v="2025-06-22T00:00:00"/>
    <m/>
    <x v="6"/>
    <m/>
    <n v="17205"/>
    <m/>
  </r>
  <r>
    <d v="2025-06-23T00:00:00"/>
    <s v="INV-208"/>
    <x v="2"/>
    <n v="4185"/>
    <m/>
    <m/>
  </r>
  <r>
    <d v="2025-06-23T00:00:00"/>
    <s v="INV-209"/>
    <x v="2"/>
    <n v="680"/>
    <m/>
    <m/>
  </r>
  <r>
    <d v="2025-06-23T00:00:00"/>
    <s v="INV-210"/>
    <x v="2"/>
    <n v="80"/>
    <m/>
    <m/>
  </r>
  <r>
    <d v="2025-06-23T00:00:00"/>
    <s v="INV-211"/>
    <x v="2"/>
    <n v="700"/>
    <m/>
    <m/>
  </r>
  <r>
    <d v="2025-06-23T00:00:00"/>
    <s v="INV-212"/>
    <x v="2"/>
    <n v="150"/>
    <m/>
    <m/>
  </r>
  <r>
    <d v="2025-06-23T00:00:00"/>
    <m/>
    <x v="3"/>
    <m/>
    <n v="716"/>
    <m/>
  </r>
  <r>
    <d v="2025-06-24T00:00:00"/>
    <s v="INV-213"/>
    <x v="2"/>
    <n v="1300"/>
    <m/>
    <m/>
  </r>
  <r>
    <d v="2025-06-24T00:00:00"/>
    <s v="INV-214"/>
    <x v="2"/>
    <n v="600"/>
    <m/>
    <m/>
  </r>
  <r>
    <d v="2025-06-24T00:00:00"/>
    <m/>
    <x v="3"/>
    <m/>
    <n v="210"/>
    <m/>
  </r>
  <r>
    <d v="2025-06-24T00:00:00"/>
    <m/>
    <x v="3"/>
    <m/>
    <n v="5300"/>
    <m/>
  </r>
  <r>
    <d v="2025-06-24T00:00:00"/>
    <m/>
    <x v="1"/>
    <m/>
    <n v="2200"/>
    <m/>
  </r>
  <r>
    <d v="2025-06-24T00:00:00"/>
    <m/>
    <x v="6"/>
    <m/>
    <n v="58367"/>
    <m/>
  </r>
  <r>
    <d v="2025-06-25T00:00:00"/>
    <s v="INV-215"/>
    <x v="2"/>
    <n v="240"/>
    <m/>
    <m/>
  </r>
  <r>
    <d v="2025-06-25T00:00:00"/>
    <s v="INV-216"/>
    <x v="2"/>
    <n v="2710"/>
    <m/>
    <m/>
  </r>
  <r>
    <d v="2025-06-25T00:00:00"/>
    <m/>
    <x v="3"/>
    <m/>
    <n v="25"/>
    <m/>
  </r>
  <r>
    <d v="2025-06-26T00:00:00"/>
    <s v="INV-217"/>
    <x v="2"/>
    <n v="2140"/>
    <m/>
    <m/>
  </r>
  <r>
    <d v="2025-06-26T00:00:00"/>
    <s v="INV-218"/>
    <x v="2"/>
    <n v="120"/>
    <m/>
    <m/>
  </r>
  <r>
    <d v="2025-06-26T00:00:00"/>
    <s v="INV-219"/>
    <x v="2"/>
    <n v="200"/>
    <m/>
    <m/>
  </r>
  <r>
    <d v="2025-06-26T00:00:00"/>
    <s v="INV-220"/>
    <x v="2"/>
    <n v="40"/>
    <m/>
    <m/>
  </r>
  <r>
    <d v="2025-06-26T00:00:00"/>
    <m/>
    <x v="3"/>
    <m/>
    <n v="55"/>
    <m/>
  </r>
  <r>
    <d v="2025-06-27T00:00:00"/>
    <s v="INV-221"/>
    <x v="2"/>
    <n v="1420"/>
    <m/>
    <m/>
  </r>
  <r>
    <d v="2025-06-27T00:00:00"/>
    <s v="INV-222"/>
    <x v="2"/>
    <n v="2240"/>
    <m/>
    <m/>
  </r>
  <r>
    <d v="2025-06-27T00:00:00"/>
    <s v="INV-223"/>
    <x v="2"/>
    <n v="700"/>
    <m/>
    <m/>
  </r>
  <r>
    <d v="2025-06-27T00:00:00"/>
    <m/>
    <x v="3"/>
    <m/>
    <n v="400"/>
    <m/>
  </r>
  <r>
    <d v="2025-06-28T00:00:00"/>
    <m/>
    <x v="1"/>
    <m/>
    <n v="2200"/>
    <m/>
  </r>
  <r>
    <d v="2025-06-28T00:00:00"/>
    <s v="INV-224"/>
    <x v="2"/>
    <n v="100"/>
    <m/>
    <m/>
  </r>
  <r>
    <d v="2025-06-28T00:00:00"/>
    <s v="INV-225"/>
    <x v="2"/>
    <n v="80"/>
    <m/>
    <m/>
  </r>
  <r>
    <d v="2025-06-28T00:00:00"/>
    <s v="INV-226"/>
    <x v="2"/>
    <n v="4505"/>
    <m/>
    <m/>
  </r>
  <r>
    <d v="2025-06-28T00:00:00"/>
    <s v="INV-227"/>
    <x v="2"/>
    <n v="600"/>
    <m/>
    <m/>
  </r>
  <r>
    <d v="2025-06-28T00:00:00"/>
    <s v="INV-228"/>
    <x v="2"/>
    <n v="400"/>
    <m/>
    <m/>
  </r>
  <r>
    <d v="2025-06-28T00:00:00"/>
    <s v="INV-229"/>
    <x v="2"/>
    <n v="980"/>
    <m/>
    <m/>
  </r>
  <r>
    <d v="2025-06-28T00:00:00"/>
    <m/>
    <x v="5"/>
    <m/>
    <n v="400"/>
    <m/>
  </r>
  <r>
    <d v="2025-06-28T00:00:00"/>
    <m/>
    <x v="3"/>
    <m/>
    <n v="195"/>
    <m/>
  </r>
  <r>
    <d v="2025-06-29T00:00:00"/>
    <s v="INV-230"/>
    <x v="2"/>
    <n v="3000"/>
    <m/>
    <m/>
  </r>
  <r>
    <d v="2025-06-30T00:00:00"/>
    <s v="INV-231"/>
    <x v="2"/>
    <n v="4060"/>
    <m/>
    <m/>
  </r>
  <r>
    <d v="2025-06-30T00:00:00"/>
    <s v="INV-232"/>
    <x v="2"/>
    <n v="300"/>
    <m/>
    <m/>
  </r>
  <r>
    <d v="2025-06-30T00:00:00"/>
    <s v="INV-233"/>
    <x v="2"/>
    <n v="280"/>
    <m/>
    <m/>
  </r>
  <r>
    <d v="2025-06-30T00:00:00"/>
    <m/>
    <x v="3"/>
    <m/>
    <n v="50"/>
    <m/>
  </r>
  <r>
    <d v="2025-06-30T00:00:00"/>
    <m/>
    <x v="4"/>
    <m/>
    <n v="2000"/>
    <m/>
  </r>
  <r>
    <d v="2025-06-30T00:00:00"/>
    <m/>
    <x v="4"/>
    <m/>
    <n v="4750"/>
    <m/>
  </r>
</pivotCacheRecords>
</file>

<file path=xl/pivotCache/pivotCacheRecords7.xml><?xml version="1.0" encoding="utf-8"?>
<pivotCacheRecords xmlns="http://schemas.openxmlformats.org/spreadsheetml/2006/main" xmlns:r="http://schemas.openxmlformats.org/officeDocument/2006/relationships" count="156">
  <r>
    <m/>
    <m/>
    <x v="0"/>
    <n v="60648"/>
    <m/>
    <m/>
    <m/>
    <m/>
    <m/>
    <m/>
    <m/>
    <m/>
  </r>
  <r>
    <d v="2025-08-01T00:00:00"/>
    <s v="INV-322"/>
    <x v="1"/>
    <n v="340"/>
    <m/>
    <s v="Cash"/>
    <m/>
    <m/>
    <m/>
    <m/>
    <m/>
    <m/>
  </r>
  <r>
    <d v="2025-08-01T00:00:00"/>
    <s v="INV-323"/>
    <x v="1"/>
    <n v="500"/>
    <m/>
    <s v="Riluwan(Nagore)"/>
    <m/>
    <m/>
    <m/>
    <m/>
    <m/>
    <m/>
  </r>
  <r>
    <d v="2025-08-01T00:00:00"/>
    <s v="INV-324"/>
    <x v="1"/>
    <n v="100"/>
    <m/>
    <s v="Ansari"/>
    <m/>
    <m/>
    <m/>
    <m/>
    <m/>
    <m/>
  </r>
  <r>
    <d v="2025-08-02T00:00:00"/>
    <s v="INV-325"/>
    <x v="1"/>
    <n v="350"/>
    <m/>
    <s v="Cash"/>
    <m/>
    <m/>
    <m/>
    <m/>
    <m/>
    <m/>
  </r>
  <r>
    <d v="2025-08-02T00:00:00"/>
    <s v="INV-326"/>
    <x v="1"/>
    <n v="1920"/>
    <m/>
    <s v="Market Shop"/>
    <m/>
    <m/>
    <m/>
    <m/>
    <m/>
    <m/>
  </r>
  <r>
    <d v="2025-08-02T00:00:00"/>
    <s v="INV-327"/>
    <x v="1"/>
    <n v="210"/>
    <m/>
    <s v="Faisal(Nagai)"/>
    <m/>
    <m/>
    <m/>
    <m/>
    <m/>
    <m/>
  </r>
  <r>
    <d v="2025-08-02T00:00:00"/>
    <s v="P-53"/>
    <x v="2"/>
    <m/>
    <n v="3900"/>
    <m/>
    <s v="Old Ginger"/>
    <n v="69.650000000000006"/>
    <m/>
    <n v="56"/>
    <s v="Jakakodi Traders"/>
    <m/>
  </r>
  <r>
    <d v="2025-08-02T00:00:00"/>
    <m/>
    <x v="3"/>
    <m/>
    <n v="25"/>
    <m/>
    <m/>
    <m/>
    <m/>
    <m/>
    <m/>
    <m/>
  </r>
  <r>
    <d v="2025-08-03T00:00:00"/>
    <s v="INV-328"/>
    <x v="1"/>
    <n v="300"/>
    <m/>
    <s v="Cash"/>
    <m/>
    <m/>
    <m/>
    <m/>
    <m/>
    <m/>
  </r>
  <r>
    <d v="2025-08-03T00:00:00"/>
    <s v="INV-329"/>
    <x v="1"/>
    <n v="675"/>
    <m/>
    <s v="Market Shop"/>
    <m/>
    <m/>
    <m/>
    <m/>
    <m/>
    <m/>
  </r>
  <r>
    <d v="2025-08-03T00:00:00"/>
    <s v="INV-330"/>
    <x v="1"/>
    <n v="3500"/>
    <m/>
    <s v="Riluwan(Nagore)"/>
    <m/>
    <m/>
    <m/>
    <m/>
    <m/>
    <m/>
  </r>
  <r>
    <d v="2025-08-03T00:00:00"/>
    <s v="INV-331"/>
    <x v="1"/>
    <n v="2100"/>
    <m/>
    <s v="Ansari"/>
    <m/>
    <m/>
    <m/>
    <m/>
    <m/>
    <m/>
  </r>
  <r>
    <d v="2025-08-03T00:00:00"/>
    <s v="INV-332"/>
    <x v="1"/>
    <n v="1200"/>
    <m/>
    <s v="Cash"/>
    <m/>
    <m/>
    <m/>
    <m/>
    <m/>
    <m/>
  </r>
  <r>
    <d v="2025-08-03T00:00:00"/>
    <m/>
    <x v="4"/>
    <m/>
    <n v="200"/>
    <m/>
    <m/>
    <m/>
    <m/>
    <m/>
    <m/>
    <m/>
  </r>
  <r>
    <d v="2025-08-04T00:00:00"/>
    <s v="INV-333"/>
    <x v="1"/>
    <n v="960"/>
    <m/>
    <s v="Cash"/>
    <m/>
    <m/>
    <m/>
    <m/>
    <m/>
    <m/>
  </r>
  <r>
    <d v="2025-08-04T00:00:00"/>
    <s v="INV-334"/>
    <x v="1"/>
    <n v="570"/>
    <m/>
    <s v="Market Shop"/>
    <m/>
    <m/>
    <m/>
    <m/>
    <m/>
    <m/>
  </r>
  <r>
    <d v="2025-08-04T00:00:00"/>
    <m/>
    <x v="3"/>
    <m/>
    <n v="210"/>
    <m/>
    <m/>
    <m/>
    <m/>
    <m/>
    <m/>
    <m/>
  </r>
  <r>
    <d v="2025-08-04T00:00:00"/>
    <m/>
    <x v="5"/>
    <m/>
    <n v="400"/>
    <m/>
    <m/>
    <m/>
    <m/>
    <m/>
    <m/>
    <m/>
  </r>
  <r>
    <d v="2025-08-05T00:00:00"/>
    <s v="INV-335"/>
    <x v="1"/>
    <n v="620"/>
    <m/>
    <s v="Cash"/>
    <m/>
    <m/>
    <m/>
    <m/>
    <m/>
    <m/>
  </r>
  <r>
    <d v="2025-08-05T00:00:00"/>
    <s v="INV-336"/>
    <x v="1"/>
    <n v="4660"/>
    <m/>
    <s v="Market Shop"/>
    <m/>
    <m/>
    <m/>
    <m/>
    <m/>
    <m/>
  </r>
  <r>
    <d v="2025-08-05T00:00:00"/>
    <m/>
    <x v="6"/>
    <m/>
    <n v="9000"/>
    <m/>
    <m/>
    <m/>
    <m/>
    <m/>
    <m/>
    <m/>
  </r>
  <r>
    <d v="2025-08-05T00:00:00"/>
    <m/>
    <x v="7"/>
    <m/>
    <n v="644"/>
    <m/>
    <m/>
    <m/>
    <m/>
    <m/>
    <m/>
    <m/>
  </r>
  <r>
    <d v="2025-08-05T00:00:00"/>
    <m/>
    <x v="7"/>
    <m/>
    <n v="400"/>
    <m/>
    <m/>
    <m/>
    <m/>
    <m/>
    <m/>
    <m/>
  </r>
  <r>
    <d v="2025-08-05T00:00:00"/>
    <m/>
    <x v="3"/>
    <m/>
    <n v="50"/>
    <m/>
    <m/>
    <m/>
    <m/>
    <m/>
    <m/>
    <m/>
  </r>
  <r>
    <d v="2025-08-06T00:00:00"/>
    <m/>
    <x v="3"/>
    <m/>
    <n v="50"/>
    <m/>
    <m/>
    <m/>
    <m/>
    <m/>
    <m/>
    <m/>
  </r>
  <r>
    <d v="2025-08-06T00:00:00"/>
    <m/>
    <x v="7"/>
    <m/>
    <n v="70"/>
    <m/>
    <m/>
    <m/>
    <m/>
    <m/>
    <m/>
    <m/>
  </r>
  <r>
    <d v="2025-08-06T00:00:00"/>
    <m/>
    <x v="8"/>
    <m/>
    <n v="6270"/>
    <m/>
    <s v="Desi 4A"/>
    <n v="95"/>
    <m/>
    <n v="66"/>
    <s v="Nilaa Wholesale Supplies"/>
    <m/>
  </r>
  <r>
    <d v="2025-08-06T00:00:00"/>
    <m/>
    <x v="2"/>
    <m/>
    <n v="3800"/>
    <m/>
    <s v="Old Ginger"/>
    <n v="67.849999999999994"/>
    <m/>
    <n v="56"/>
    <s v="Jakakodi Traders"/>
    <m/>
  </r>
  <r>
    <d v="2025-08-06T00:00:00"/>
    <s v="INV-337"/>
    <x v="1"/>
    <n v="940"/>
    <m/>
    <s v="Cash"/>
    <m/>
    <m/>
    <m/>
    <m/>
    <m/>
    <m/>
  </r>
  <r>
    <d v="2025-08-06T00:00:00"/>
    <s v="INV-338"/>
    <x v="1"/>
    <n v="3520"/>
    <m/>
    <s v="Market Shop"/>
    <m/>
    <m/>
    <m/>
    <m/>
    <m/>
    <m/>
  </r>
  <r>
    <d v="2025-08-08T00:00:00"/>
    <s v="INV-339"/>
    <x v="1"/>
    <n v="450"/>
    <m/>
    <s v="Cash"/>
    <m/>
    <m/>
    <m/>
    <m/>
    <m/>
    <m/>
  </r>
  <r>
    <d v="2025-08-08T00:00:00"/>
    <s v="INV-340"/>
    <x v="1"/>
    <n v="4170"/>
    <m/>
    <s v="Market Shop"/>
    <m/>
    <m/>
    <m/>
    <m/>
    <m/>
    <m/>
  </r>
  <r>
    <d v="2025-08-08T00:00:00"/>
    <s v="INV-341"/>
    <x v="1"/>
    <n v="1800"/>
    <m/>
    <s v="Barak Vegetables"/>
    <m/>
    <m/>
    <m/>
    <m/>
    <m/>
    <m/>
  </r>
  <r>
    <d v="2025-08-08T00:00:00"/>
    <s v="INV-342"/>
    <x v="1"/>
    <n v="300"/>
    <m/>
    <s v="Faisal(Nagai)"/>
    <m/>
    <m/>
    <m/>
    <m/>
    <m/>
    <m/>
  </r>
  <r>
    <d v="2025-08-07T00:00:00"/>
    <s v="INV-343"/>
    <x v="1"/>
    <n v="5400"/>
    <m/>
    <s v="Ansari"/>
    <m/>
    <m/>
    <m/>
    <m/>
    <m/>
    <m/>
  </r>
  <r>
    <d v="2025-08-07T00:00:00"/>
    <s v="INV-344"/>
    <x v="1"/>
    <n v="6075"/>
    <m/>
    <s v="Market Shop"/>
    <m/>
    <m/>
    <m/>
    <m/>
    <m/>
    <m/>
  </r>
  <r>
    <d v="2025-08-07T00:00:00"/>
    <s v="INV-345"/>
    <x v="1"/>
    <n v="400"/>
    <m/>
    <s v="Cash"/>
    <m/>
    <m/>
    <m/>
    <m/>
    <m/>
    <m/>
  </r>
  <r>
    <d v="2025-08-07T00:00:00"/>
    <m/>
    <x v="4"/>
    <m/>
    <n v="250"/>
    <m/>
    <m/>
    <m/>
    <m/>
    <m/>
    <m/>
    <m/>
  </r>
  <r>
    <d v="2025-08-08T00:00:00"/>
    <m/>
    <x v="2"/>
    <m/>
    <n v="7600"/>
    <m/>
    <s v="Old Ginger"/>
    <n v="67.260000000000005"/>
    <m/>
    <n v="113"/>
    <s v="Jakakodi Traders"/>
    <m/>
  </r>
  <r>
    <d v="2025-08-08T00:00:00"/>
    <m/>
    <x v="8"/>
    <m/>
    <n v="3230"/>
    <m/>
    <s v="Desi 4A"/>
    <n v="95"/>
    <m/>
    <n v="34"/>
    <s v="Nilaa Wholesale Supplies"/>
    <m/>
  </r>
  <r>
    <d v="2025-08-08T00:00:00"/>
    <m/>
    <x v="8"/>
    <m/>
    <n v="13855"/>
    <m/>
    <s v="Naatu Poondu"/>
    <n v="65"/>
    <m/>
    <n v="197"/>
    <s v="Mass Traders"/>
    <m/>
  </r>
  <r>
    <d v="2025-08-08T00:00:00"/>
    <m/>
    <x v="4"/>
    <m/>
    <n v="100"/>
    <m/>
    <m/>
    <m/>
    <m/>
    <m/>
    <m/>
    <m/>
  </r>
  <r>
    <d v="2025-08-08T00:00:00"/>
    <m/>
    <x v="3"/>
    <m/>
    <n v="50"/>
    <m/>
    <m/>
    <m/>
    <m/>
    <m/>
    <m/>
    <m/>
  </r>
  <r>
    <d v="2025-08-09T00:00:00"/>
    <s v="INV-346"/>
    <x v="1"/>
    <n v="250"/>
    <m/>
    <s v="Cash"/>
    <m/>
    <m/>
    <m/>
    <m/>
    <m/>
    <m/>
  </r>
  <r>
    <d v="2025-08-09T00:00:00"/>
    <s v="INV-347"/>
    <x v="1"/>
    <n v="5005"/>
    <m/>
    <s v="Market Shop"/>
    <m/>
    <m/>
    <m/>
    <m/>
    <m/>
    <m/>
  </r>
  <r>
    <d v="2025-08-09T00:00:00"/>
    <s v="INV-348"/>
    <x v="1"/>
    <n v="13500"/>
    <m/>
    <s v="Ansari"/>
    <m/>
    <m/>
    <m/>
    <m/>
    <m/>
    <m/>
  </r>
  <r>
    <d v="2025-08-09T00:00:00"/>
    <m/>
    <x v="9"/>
    <m/>
    <n v="150"/>
    <m/>
    <m/>
    <m/>
    <m/>
    <m/>
    <m/>
    <m/>
  </r>
  <r>
    <d v="2025-08-09T00:00:00"/>
    <m/>
    <x v="4"/>
    <m/>
    <n v="150"/>
    <m/>
    <m/>
    <m/>
    <m/>
    <m/>
    <m/>
    <m/>
  </r>
  <r>
    <d v="2025-08-09T00:00:00"/>
    <m/>
    <x v="5"/>
    <m/>
    <n v="300"/>
    <m/>
    <m/>
    <m/>
    <m/>
    <m/>
    <m/>
    <m/>
  </r>
  <r>
    <d v="2025-08-09T00:00:00"/>
    <m/>
    <x v="3"/>
    <m/>
    <n v="50"/>
    <m/>
    <m/>
    <m/>
    <m/>
    <m/>
    <m/>
    <m/>
  </r>
  <r>
    <d v="2025-08-09T00:00:00"/>
    <m/>
    <x v="10"/>
    <m/>
    <n v="160"/>
    <m/>
    <m/>
    <m/>
    <m/>
    <m/>
    <m/>
    <m/>
  </r>
  <r>
    <d v="2025-08-10T00:00:00"/>
    <s v="INV-349"/>
    <x v="1"/>
    <n v="900"/>
    <m/>
    <s v="Cash"/>
    <m/>
    <m/>
    <m/>
    <m/>
    <m/>
    <m/>
  </r>
  <r>
    <d v="2025-08-10T00:00:00"/>
    <s v="INV-350"/>
    <x v="1"/>
    <n v="3600"/>
    <m/>
    <s v="Ansari"/>
    <m/>
    <m/>
    <m/>
    <m/>
    <m/>
    <m/>
  </r>
  <r>
    <d v="2025-08-10T00:00:00"/>
    <s v="INV-351"/>
    <x v="1"/>
    <n v="945"/>
    <m/>
    <s v="Market Shop"/>
    <m/>
    <m/>
    <m/>
    <m/>
    <m/>
    <m/>
  </r>
  <r>
    <d v="2025-08-10T00:00:00"/>
    <m/>
    <x v="4"/>
    <m/>
    <n v="150"/>
    <m/>
    <m/>
    <m/>
    <m/>
    <m/>
    <m/>
    <m/>
  </r>
  <r>
    <d v="2025-08-11T00:00:00"/>
    <s v="INV-352"/>
    <x v="1"/>
    <n v="160"/>
    <m/>
    <s v="Cash"/>
    <m/>
    <m/>
    <m/>
    <m/>
    <m/>
    <m/>
  </r>
  <r>
    <d v="2025-08-11T00:00:00"/>
    <s v="INV-353"/>
    <x v="1"/>
    <n v="2210"/>
    <m/>
    <s v="Market Shop"/>
    <m/>
    <m/>
    <m/>
    <m/>
    <m/>
    <m/>
  </r>
  <r>
    <d v="2025-08-12T00:00:00"/>
    <m/>
    <x v="2"/>
    <m/>
    <n v="4000"/>
    <m/>
    <s v="Old Ginger"/>
    <n v="80"/>
    <m/>
    <n v="50"/>
    <s v="Jakakodi Traders"/>
    <m/>
  </r>
  <r>
    <d v="2025-08-12T00:00:00"/>
    <s v="INV-354"/>
    <x v="1"/>
    <n v="3250"/>
    <m/>
    <s v="Market Shop"/>
    <m/>
    <m/>
    <m/>
    <m/>
    <m/>
    <m/>
  </r>
  <r>
    <d v="2025-08-12T00:00:00"/>
    <s v="INV-355"/>
    <x v="1"/>
    <n v="900"/>
    <m/>
    <s v="Faisal(Nagai)"/>
    <m/>
    <m/>
    <m/>
    <m/>
    <m/>
    <m/>
  </r>
  <r>
    <d v="2025-08-12T00:00:00"/>
    <s v="INV-356"/>
    <x v="1"/>
    <n v="180"/>
    <m/>
    <s v="Cash"/>
    <m/>
    <m/>
    <m/>
    <m/>
    <m/>
    <m/>
  </r>
  <r>
    <d v="2025-08-12T00:00:00"/>
    <m/>
    <x v="3"/>
    <m/>
    <n v="50"/>
    <m/>
    <m/>
    <m/>
    <m/>
    <m/>
    <m/>
    <m/>
  </r>
  <r>
    <d v="2025-08-13T00:00:00"/>
    <s v="INV-357"/>
    <x v="1"/>
    <n v="240"/>
    <m/>
    <s v="Cash"/>
    <m/>
    <m/>
    <m/>
    <m/>
    <m/>
    <m/>
  </r>
  <r>
    <d v="2025-08-13T00:00:00"/>
    <s v="INV-358"/>
    <x v="1"/>
    <n v="1820"/>
    <m/>
    <s v="Nasar"/>
    <m/>
    <m/>
    <m/>
    <m/>
    <m/>
    <m/>
  </r>
  <r>
    <d v="2025-08-13T00:00:00"/>
    <s v="INV-359"/>
    <x v="1"/>
    <n v="1600"/>
    <m/>
    <s v="Ansari"/>
    <m/>
    <m/>
    <m/>
    <m/>
    <m/>
    <m/>
  </r>
  <r>
    <d v="2025-08-13T00:00:00"/>
    <m/>
    <x v="4"/>
    <m/>
    <n v="100"/>
    <m/>
    <m/>
    <m/>
    <m/>
    <m/>
    <m/>
    <m/>
  </r>
  <r>
    <d v="2025-08-13T00:00:00"/>
    <m/>
    <x v="4"/>
    <m/>
    <n v="100"/>
    <m/>
    <m/>
    <m/>
    <m/>
    <m/>
    <m/>
    <m/>
  </r>
  <r>
    <d v="2025-08-13T00:00:00"/>
    <m/>
    <x v="5"/>
    <m/>
    <n v="300"/>
    <m/>
    <m/>
    <m/>
    <m/>
    <m/>
    <m/>
    <m/>
  </r>
  <r>
    <d v="2025-08-14T00:00:00"/>
    <s v="INV-360"/>
    <x v="1"/>
    <n v="240"/>
    <m/>
    <s v="Cash"/>
    <m/>
    <m/>
    <m/>
    <m/>
    <m/>
    <m/>
  </r>
  <r>
    <d v="2025-08-14T00:00:00"/>
    <s v="INV-361"/>
    <x v="1"/>
    <n v="4610"/>
    <m/>
    <s v="Nasar"/>
    <m/>
    <m/>
    <m/>
    <m/>
    <m/>
    <m/>
  </r>
  <r>
    <d v="2025-08-14T00:00:00"/>
    <m/>
    <x v="3"/>
    <m/>
    <n v="50"/>
    <m/>
    <m/>
    <m/>
    <m/>
    <m/>
    <m/>
    <m/>
  </r>
  <r>
    <d v="2025-08-15T00:00:00"/>
    <s v="INV-362"/>
    <x v="1"/>
    <n v="290"/>
    <m/>
    <s v="Cash"/>
    <m/>
    <m/>
    <m/>
    <m/>
    <m/>
    <m/>
  </r>
  <r>
    <d v="2025-08-15T00:00:00"/>
    <s v="INV-363"/>
    <x v="1"/>
    <n v="3565"/>
    <m/>
    <s v="Nasar"/>
    <m/>
    <m/>
    <m/>
    <m/>
    <m/>
    <m/>
  </r>
  <r>
    <d v="2025-08-15T00:00:00"/>
    <s v="P-55"/>
    <x v="2"/>
    <m/>
    <n v="4000"/>
    <m/>
    <s v="Old Ginger"/>
    <n v="80"/>
    <m/>
    <n v="50"/>
    <s v="Jakakodi Traders"/>
    <m/>
  </r>
  <r>
    <d v="2025-08-15T00:00:00"/>
    <m/>
    <x v="3"/>
    <m/>
    <n v="50"/>
    <m/>
    <m/>
    <m/>
    <m/>
    <m/>
    <m/>
    <m/>
  </r>
  <r>
    <d v="2025-08-15T00:00:00"/>
    <m/>
    <x v="10"/>
    <m/>
    <n v="160"/>
    <m/>
    <m/>
    <m/>
    <m/>
    <m/>
    <m/>
    <m/>
  </r>
  <r>
    <d v="2025-08-15T00:00:00"/>
    <m/>
    <x v="7"/>
    <m/>
    <n v="50"/>
    <m/>
    <m/>
    <m/>
    <m/>
    <m/>
    <m/>
    <m/>
  </r>
  <r>
    <d v="2025-08-16T00:00:00"/>
    <s v="INV-364"/>
    <x v="1"/>
    <n v="6815"/>
    <m/>
    <s v="Nasar"/>
    <m/>
    <m/>
    <m/>
    <m/>
    <m/>
    <m/>
  </r>
  <r>
    <d v="2025-08-16T00:00:00"/>
    <s v="INV-365"/>
    <x v="1"/>
    <n v="2080"/>
    <m/>
    <s v="Riluwan(Nagore)"/>
    <m/>
    <m/>
    <m/>
    <m/>
    <m/>
    <m/>
  </r>
  <r>
    <d v="2025-08-16T00:00:00"/>
    <s v="INV-366"/>
    <x v="1"/>
    <n v="4130"/>
    <m/>
    <s v="Nasar"/>
    <m/>
    <m/>
    <m/>
    <m/>
    <m/>
    <m/>
  </r>
  <r>
    <d v="2025-08-18T00:00:00"/>
    <s v="INV-367"/>
    <x v="1"/>
    <n v="200"/>
    <m/>
    <s v="Hassan"/>
    <m/>
    <m/>
    <m/>
    <m/>
    <m/>
    <m/>
  </r>
  <r>
    <d v="2025-08-18T00:00:00"/>
    <s v="INV-368"/>
    <x v="1"/>
    <n v="770"/>
    <m/>
    <s v="Cash"/>
    <m/>
    <m/>
    <m/>
    <m/>
    <m/>
    <m/>
  </r>
  <r>
    <d v="2025-08-18T00:00:00"/>
    <s v="INV-369"/>
    <x v="1"/>
    <n v="2545"/>
    <m/>
    <s v="Nasar"/>
    <m/>
    <m/>
    <m/>
    <m/>
    <m/>
    <m/>
  </r>
  <r>
    <d v="2025-08-19T00:00:00"/>
    <m/>
    <x v="11"/>
    <m/>
    <n v="550"/>
    <m/>
    <m/>
    <m/>
    <m/>
    <m/>
    <m/>
    <m/>
  </r>
  <r>
    <d v="2025-08-19T00:00:00"/>
    <s v="P-56"/>
    <x v="2"/>
    <m/>
    <n v="3900"/>
    <m/>
    <s v="Old Ginger"/>
    <n v="78"/>
    <m/>
    <n v="50"/>
    <s v="Jakakodi Traders"/>
    <m/>
  </r>
  <r>
    <d v="2025-08-19T00:00:00"/>
    <s v="INV-370"/>
    <x v="1"/>
    <n v="240"/>
    <m/>
    <s v="Cash"/>
    <m/>
    <m/>
    <m/>
    <m/>
    <m/>
    <m/>
  </r>
  <r>
    <d v="2025-08-19T00:00:00"/>
    <s v="INV-371"/>
    <x v="1"/>
    <n v="4010"/>
    <m/>
    <s v="Nasar"/>
    <m/>
    <m/>
    <m/>
    <m/>
    <m/>
    <m/>
  </r>
  <r>
    <d v="2025-08-20T00:00:00"/>
    <s v="INV-372"/>
    <x v="1"/>
    <n v="520"/>
    <m/>
    <s v="Cash"/>
    <m/>
    <m/>
    <m/>
    <m/>
    <m/>
    <m/>
  </r>
  <r>
    <d v="2025-08-20T00:00:00"/>
    <s v="INV-373"/>
    <x v="1"/>
    <n v="1110"/>
    <m/>
    <s v="Faisal(Nagai)"/>
    <m/>
    <m/>
    <m/>
    <m/>
    <m/>
    <m/>
  </r>
  <r>
    <d v="2025-08-20T00:00:00"/>
    <s v="INV-374"/>
    <x v="1"/>
    <n v="2990"/>
    <m/>
    <s v="Nasar"/>
    <m/>
    <m/>
    <m/>
    <m/>
    <m/>
    <m/>
  </r>
  <r>
    <d v="2025-08-20T00:00:00"/>
    <m/>
    <x v="7"/>
    <m/>
    <n v="400"/>
    <m/>
    <m/>
    <m/>
    <m/>
    <m/>
    <m/>
    <m/>
  </r>
  <r>
    <d v="2025-08-20T00:00:00"/>
    <m/>
    <x v="7"/>
    <m/>
    <n v="835"/>
    <m/>
    <m/>
    <m/>
    <m/>
    <m/>
    <m/>
    <m/>
  </r>
  <r>
    <d v="2025-08-20T00:00:00"/>
    <m/>
    <x v="3"/>
    <m/>
    <n v="108"/>
    <m/>
    <m/>
    <m/>
    <m/>
    <m/>
    <m/>
    <m/>
  </r>
  <r>
    <d v="2025-08-21T00:00:00"/>
    <m/>
    <x v="5"/>
    <m/>
    <n v="300"/>
    <m/>
    <m/>
    <m/>
    <m/>
    <m/>
    <m/>
    <m/>
  </r>
  <r>
    <d v="2025-08-21T00:00:00"/>
    <s v="INV-375"/>
    <x v="1"/>
    <n v="2280"/>
    <m/>
    <s v="Nasar"/>
    <m/>
    <m/>
    <m/>
    <m/>
    <m/>
    <m/>
  </r>
  <r>
    <d v="2025-08-21T00:00:00"/>
    <m/>
    <x v="3"/>
    <m/>
    <n v="50"/>
    <m/>
    <m/>
    <m/>
    <m/>
    <m/>
    <m/>
    <m/>
  </r>
  <r>
    <d v="2025-08-22T00:00:00"/>
    <m/>
    <x v="8"/>
    <m/>
    <n v="31425"/>
    <m/>
    <s v="Naatu Poondu"/>
    <n v="75"/>
    <n v="1800"/>
    <n v="395"/>
    <s v="SVG Garlics"/>
    <m/>
  </r>
  <r>
    <d v="2025-08-22T00:00:00"/>
    <m/>
    <x v="8"/>
    <m/>
    <n v="22975"/>
    <m/>
    <s v="Desi Bom size"/>
    <n v="125"/>
    <n v="100"/>
    <n v="183"/>
    <s v="Nilaa Wholesale Supplies"/>
    <m/>
  </r>
  <r>
    <d v="2025-08-22T00:00:00"/>
    <s v="INV-376"/>
    <x v="1"/>
    <n v="1650"/>
    <m/>
    <s v="Cash"/>
    <m/>
    <m/>
    <m/>
    <m/>
    <m/>
    <m/>
  </r>
  <r>
    <d v="2025-08-22T00:00:00"/>
    <s v="INV-377"/>
    <x v="1"/>
    <n v="2325"/>
    <m/>
    <s v="Nasar"/>
    <m/>
    <m/>
    <m/>
    <m/>
    <m/>
    <m/>
  </r>
  <r>
    <d v="2025-08-22T00:00:00"/>
    <m/>
    <x v="3"/>
    <m/>
    <n v="50"/>
    <m/>
    <m/>
    <m/>
    <m/>
    <m/>
    <m/>
    <m/>
  </r>
  <r>
    <d v="2025-08-23T00:00:00"/>
    <s v="P-58"/>
    <x v="2"/>
    <m/>
    <n v="4000"/>
    <m/>
    <s v="Old Ginger"/>
    <n v="80"/>
    <m/>
    <n v="50"/>
    <s v="Jakakodi Traders"/>
    <m/>
  </r>
  <r>
    <d v="2025-08-23T00:00:00"/>
    <s v="INV-378"/>
    <x v="1"/>
    <n v="240"/>
    <m/>
    <s v="Cash"/>
    <m/>
    <m/>
    <m/>
    <m/>
    <m/>
    <m/>
  </r>
  <r>
    <d v="2025-08-23T00:00:00"/>
    <s v="INV-379"/>
    <x v="1"/>
    <n v="11420"/>
    <m/>
    <s v="Nasar"/>
    <m/>
    <m/>
    <m/>
    <m/>
    <m/>
    <m/>
  </r>
  <r>
    <d v="2025-08-23T00:00:00"/>
    <s v="INV-380"/>
    <x v="1"/>
    <n v="450"/>
    <m/>
    <s v="Ansari"/>
    <m/>
    <m/>
    <m/>
    <m/>
    <m/>
    <m/>
  </r>
  <r>
    <d v="2025-08-23T00:00:00"/>
    <s v="INV-381"/>
    <x v="1"/>
    <n v="1530"/>
    <m/>
    <s v="Karthi"/>
    <m/>
    <m/>
    <m/>
    <m/>
    <m/>
    <m/>
  </r>
  <r>
    <d v="2025-08-23T00:00:00"/>
    <m/>
    <x v="3"/>
    <m/>
    <n v="50"/>
    <m/>
    <m/>
    <m/>
    <m/>
    <m/>
    <m/>
    <m/>
  </r>
  <r>
    <d v="2025-08-23T00:00:00"/>
    <m/>
    <x v="10"/>
    <m/>
    <n v="160"/>
    <m/>
    <m/>
    <m/>
    <m/>
    <m/>
    <m/>
    <m/>
  </r>
  <r>
    <d v="2025-08-23T00:00:00"/>
    <m/>
    <x v="9"/>
    <m/>
    <n v="400"/>
    <m/>
    <m/>
    <m/>
    <m/>
    <m/>
    <m/>
    <m/>
  </r>
  <r>
    <d v="2025-08-23T00:00:00"/>
    <m/>
    <x v="4"/>
    <m/>
    <n v="300"/>
    <m/>
    <m/>
    <m/>
    <m/>
    <m/>
    <m/>
    <m/>
  </r>
  <r>
    <d v="2025-08-24T00:00:00"/>
    <m/>
    <x v="12"/>
    <m/>
    <n v="4000"/>
    <m/>
    <m/>
    <m/>
    <m/>
    <m/>
    <m/>
    <m/>
  </r>
  <r>
    <d v="2025-08-24T00:00:00"/>
    <m/>
    <x v="11"/>
    <m/>
    <n v="12706"/>
    <m/>
    <m/>
    <m/>
    <m/>
    <m/>
    <m/>
    <m/>
  </r>
  <r>
    <d v="2025-08-24T00:00:00"/>
    <s v="INV-382"/>
    <x v="1"/>
    <n v="340"/>
    <m/>
    <s v="Nasar"/>
    <m/>
    <m/>
    <m/>
    <m/>
    <m/>
    <m/>
  </r>
  <r>
    <d v="2025-08-25T00:00:00"/>
    <s v="INV-383"/>
    <x v="1"/>
    <n v="200"/>
    <m/>
    <s v="Cash"/>
    <m/>
    <m/>
    <m/>
    <m/>
    <m/>
    <m/>
  </r>
  <r>
    <d v="2025-08-25T00:00:00"/>
    <s v="INV-384"/>
    <x v="1"/>
    <n v="600"/>
    <m/>
    <s v="Faisal(Nagai)"/>
    <m/>
    <m/>
    <m/>
    <m/>
    <m/>
    <m/>
  </r>
  <r>
    <d v="2025-08-25T00:00:00"/>
    <s v="INV-385"/>
    <x v="1"/>
    <n v="5975"/>
    <m/>
    <s v="Nasar"/>
    <m/>
    <m/>
    <m/>
    <m/>
    <m/>
    <m/>
  </r>
  <r>
    <d v="2025-08-25T00:00:00"/>
    <m/>
    <x v="2"/>
    <m/>
    <n v="3800"/>
    <m/>
    <s v="Old Ginger"/>
    <n v="76"/>
    <m/>
    <n v="50"/>
    <s v="Jakakodi Traders"/>
    <m/>
  </r>
  <r>
    <d v="2025-08-25T00:00:00"/>
    <m/>
    <x v="3"/>
    <m/>
    <n v="50"/>
    <m/>
    <m/>
    <m/>
    <m/>
    <m/>
    <m/>
    <m/>
  </r>
  <r>
    <d v="2025-08-25T00:00:00"/>
    <m/>
    <x v="7"/>
    <m/>
    <n v="1500"/>
    <m/>
    <m/>
    <m/>
    <m/>
    <m/>
    <m/>
    <m/>
  </r>
  <r>
    <d v="2025-08-26T00:00:00"/>
    <s v="INV-386"/>
    <x v="1"/>
    <n v="2120"/>
    <m/>
    <s v="Cash"/>
    <m/>
    <m/>
    <m/>
    <m/>
    <m/>
    <m/>
  </r>
  <r>
    <d v="2025-08-26T00:00:00"/>
    <s v="INV-387"/>
    <x v="1"/>
    <n v="300"/>
    <m/>
    <s v="Cash"/>
    <m/>
    <m/>
    <m/>
    <m/>
    <m/>
    <m/>
  </r>
  <r>
    <d v="2025-08-26T00:00:00"/>
    <s v="INV-388"/>
    <x v="1"/>
    <n v="360"/>
    <m/>
    <s v="Masthan Aliyur"/>
    <m/>
    <m/>
    <m/>
    <m/>
    <m/>
    <m/>
  </r>
  <r>
    <d v="2025-08-26T00:00:00"/>
    <s v="INV-389"/>
    <x v="1"/>
    <n v="2025"/>
    <m/>
    <s v="Nasar"/>
    <m/>
    <m/>
    <m/>
    <m/>
    <m/>
    <m/>
  </r>
  <r>
    <d v="2025-08-26T00:00:00"/>
    <m/>
    <x v="5"/>
    <m/>
    <n v="400"/>
    <m/>
    <m/>
    <m/>
    <m/>
    <m/>
    <m/>
    <m/>
  </r>
  <r>
    <d v="2025-08-26T00:00:00"/>
    <m/>
    <x v="3"/>
    <m/>
    <n v="50"/>
    <m/>
    <m/>
    <m/>
    <m/>
    <m/>
    <m/>
    <m/>
  </r>
  <r>
    <d v="2025-08-27T00:00:00"/>
    <s v="INV-390"/>
    <x v="1"/>
    <n v="8795"/>
    <m/>
    <s v="Nasar"/>
    <m/>
    <m/>
    <m/>
    <m/>
    <m/>
    <m/>
  </r>
  <r>
    <d v="2025-08-27T00:00:00"/>
    <s v="INV-391"/>
    <x v="1"/>
    <n v="240"/>
    <m/>
    <s v="Cash"/>
    <m/>
    <m/>
    <m/>
    <m/>
    <m/>
    <m/>
  </r>
  <r>
    <d v="2025-08-27T00:00:00"/>
    <m/>
    <x v="3"/>
    <m/>
    <n v="50"/>
    <m/>
    <m/>
    <m/>
    <m/>
    <m/>
    <m/>
    <m/>
  </r>
  <r>
    <d v="2025-08-27T00:00:00"/>
    <m/>
    <x v="13"/>
    <m/>
    <n v="800"/>
    <m/>
    <m/>
    <m/>
    <m/>
    <m/>
    <m/>
    <m/>
  </r>
  <r>
    <d v="2025-08-28T00:00:00"/>
    <s v="INV-392"/>
    <x v="1"/>
    <n v="320"/>
    <m/>
    <s v="Hotel Noordeen"/>
    <m/>
    <m/>
    <m/>
    <m/>
    <m/>
    <m/>
  </r>
  <r>
    <d v="2025-08-28T00:00:00"/>
    <s v="INV-393"/>
    <x v="1"/>
    <n v="900"/>
    <m/>
    <s v="Ansari"/>
    <m/>
    <m/>
    <m/>
    <m/>
    <m/>
    <m/>
  </r>
  <r>
    <d v="2025-08-28T00:00:00"/>
    <s v="INV-394"/>
    <x v="1"/>
    <n v="5650"/>
    <m/>
    <s v="Nasar"/>
    <m/>
    <m/>
    <m/>
    <m/>
    <m/>
    <m/>
  </r>
  <r>
    <d v="2025-08-28T00:00:00"/>
    <s v="INV-395"/>
    <x v="1"/>
    <n v="200"/>
    <m/>
    <s v="Hassan"/>
    <m/>
    <m/>
    <m/>
    <m/>
    <m/>
    <m/>
  </r>
  <r>
    <d v="2025-08-28T00:00:00"/>
    <m/>
    <x v="3"/>
    <m/>
    <n v="50"/>
    <m/>
    <m/>
    <m/>
    <m/>
    <m/>
    <m/>
    <m/>
  </r>
  <r>
    <d v="2025-08-28T00:00:00"/>
    <m/>
    <x v="10"/>
    <m/>
    <n v="160"/>
    <m/>
    <m/>
    <m/>
    <m/>
    <m/>
    <m/>
    <m/>
  </r>
  <r>
    <d v="2025-08-29T00:00:00"/>
    <m/>
    <x v="2"/>
    <m/>
    <n v="3900"/>
    <m/>
    <s v="Old Ginger"/>
    <n v="78"/>
    <m/>
    <n v="50"/>
    <s v="Jakakodi Traders"/>
    <m/>
  </r>
  <r>
    <d v="2025-08-29T00:00:00"/>
    <s v="INV-396"/>
    <x v="1"/>
    <n v="6465"/>
    <m/>
    <s v="Nasar"/>
    <m/>
    <m/>
    <m/>
    <m/>
    <m/>
    <m/>
  </r>
  <r>
    <d v="2025-08-29T00:00:00"/>
    <s v="INV-397"/>
    <x v="1"/>
    <n v="200"/>
    <m/>
    <s v="Hotel Noordeen"/>
    <m/>
    <m/>
    <m/>
    <m/>
    <m/>
    <m/>
  </r>
  <r>
    <d v="2025-08-30T00:00:00"/>
    <s v="INV-398"/>
    <x v="1"/>
    <n v="800"/>
    <m/>
    <s v="Hotel Noordeen"/>
    <m/>
    <m/>
    <m/>
    <m/>
    <m/>
    <m/>
  </r>
  <r>
    <d v="2025-08-30T00:00:00"/>
    <s v="INV-399"/>
    <x v="1"/>
    <n v="5620"/>
    <m/>
    <s v="Nasar"/>
    <m/>
    <m/>
    <m/>
    <m/>
    <m/>
    <m/>
  </r>
  <r>
    <d v="2025-08-30T00:00:00"/>
    <s v="INV-400"/>
    <x v="1"/>
    <n v="150"/>
    <m/>
    <s v="Mansoor"/>
    <m/>
    <m/>
    <m/>
    <m/>
    <m/>
    <m/>
  </r>
  <r>
    <d v="2025-08-30T00:00:00"/>
    <s v="INV-401"/>
    <x v="1"/>
    <n v="350"/>
    <m/>
    <s v="Cash"/>
    <m/>
    <m/>
    <m/>
    <m/>
    <m/>
    <m/>
  </r>
  <r>
    <d v="2025-08-30T00:00:00"/>
    <m/>
    <x v="3"/>
    <m/>
    <n v="50"/>
    <m/>
    <m/>
    <m/>
    <m/>
    <m/>
    <m/>
    <m/>
  </r>
  <r>
    <d v="2025-08-30T00:00:00"/>
    <m/>
    <x v="5"/>
    <m/>
    <n v="300"/>
    <m/>
    <m/>
    <m/>
    <m/>
    <m/>
    <m/>
    <m/>
  </r>
  <r>
    <d v="2025-08-31T00:00:00"/>
    <m/>
    <x v="2"/>
    <m/>
    <n v="3900"/>
    <m/>
    <s v="Old Ginger"/>
    <n v="78"/>
    <m/>
    <n v="50"/>
    <s v="Jakakodi Traders"/>
    <m/>
  </r>
  <r>
    <d v="2025-08-31T00:00:00"/>
    <m/>
    <x v="8"/>
    <m/>
    <n v="1500"/>
    <m/>
    <s v="Ooty Seed A"/>
    <n v="107.15"/>
    <m/>
    <n v="14"/>
    <s v="Nilaa Wholesale Supplies"/>
    <m/>
  </r>
  <r>
    <d v="2025-08-31T00:00:00"/>
    <s v="INV-402"/>
    <x v="1"/>
    <n v="420"/>
    <m/>
    <s v="Nasar"/>
    <m/>
    <m/>
    <m/>
    <m/>
    <m/>
    <m/>
  </r>
  <r>
    <d v="2025-08-31T00:00:00"/>
    <s v="INV-403"/>
    <x v="1"/>
    <n v="300"/>
    <m/>
    <s v="Ansari"/>
    <m/>
    <m/>
    <m/>
    <m/>
    <m/>
    <m/>
  </r>
  <r>
    <d v="2025-08-31T00:00:00"/>
    <s v="INV-404"/>
    <x v="1"/>
    <n v="90"/>
    <m/>
    <s v="Cash"/>
    <m/>
    <m/>
    <m/>
    <m/>
    <m/>
    <m/>
  </r>
  <r>
    <d v="2025-08-31T00:00:00"/>
    <s v="INV-405"/>
    <x v="1"/>
    <n v="1320"/>
    <m/>
    <s v="Cash"/>
    <m/>
    <m/>
    <m/>
    <m/>
    <m/>
    <m/>
  </r>
  <r>
    <d v="2025-08-31T00:00:00"/>
    <m/>
    <x v="7"/>
    <m/>
    <n v="500"/>
    <m/>
    <m/>
    <m/>
    <m/>
    <m/>
    <m/>
    <m/>
  </r>
  <r>
    <d v="2025-08-31T00:00:00"/>
    <m/>
    <x v="3"/>
    <m/>
    <n v="50"/>
    <m/>
    <m/>
    <m/>
    <m/>
    <m/>
    <m/>
    <m/>
  </r>
  <r>
    <d v="2025-08-31T00:00:00"/>
    <m/>
    <x v="9"/>
    <m/>
    <n v="100"/>
    <m/>
    <m/>
    <m/>
    <m/>
    <m/>
    <m/>
    <m/>
  </r>
  <r>
    <d v="2025-08-31T00:00:00"/>
    <m/>
    <x v="9"/>
    <m/>
    <n v="4500"/>
    <m/>
    <m/>
    <m/>
    <m/>
    <m/>
    <m/>
    <m/>
  </r>
  <r>
    <d v="2025-08-31T00:00:00"/>
    <m/>
    <x v="9"/>
    <m/>
    <n v="6500"/>
    <m/>
    <m/>
    <m/>
    <m/>
    <m/>
    <m/>
    <m/>
  </r>
</pivotCacheRecords>
</file>

<file path=xl/pivotCache/pivotCacheRecords8.xml><?xml version="1.0" encoding="utf-8"?>
<pivotCacheRecords xmlns="http://schemas.openxmlformats.org/spreadsheetml/2006/main" xmlns:r="http://schemas.openxmlformats.org/officeDocument/2006/relationships" count="6">
  <r>
    <x v="0"/>
    <n v="130"/>
    <n v="5900"/>
    <n v="364"/>
    <n v="32250"/>
  </r>
  <r>
    <x v="1"/>
    <n v="921"/>
    <n v="38200"/>
    <n v="1004"/>
    <n v="86875"/>
  </r>
  <r>
    <x v="2"/>
    <n v="295"/>
    <n v="13750"/>
    <n v="419"/>
    <n v="32855"/>
  </r>
  <r>
    <x v="3"/>
    <n v="593"/>
    <n v="22475"/>
    <n v="829"/>
    <n v="62595"/>
  </r>
  <r>
    <x v="4"/>
    <n v="350"/>
    <n v="16450"/>
    <n v="1381"/>
    <n v="111892"/>
  </r>
  <r>
    <x v="5"/>
    <n v="514.9"/>
    <n v="25700"/>
    <n v="329"/>
    <n v="30735"/>
  </r>
</pivotCacheRecords>
</file>

<file path=xl/pivotCache/pivotCacheRecords9.xml><?xml version="1.0" encoding="utf-8"?>
<pivotCacheRecords xmlns="http://schemas.openxmlformats.org/spreadsheetml/2006/main" xmlns:r="http://schemas.openxmlformats.org/officeDocument/2006/relationships" count="156">
  <r>
    <m/>
    <m/>
    <x v="0"/>
    <n v="60648"/>
    <m/>
    <x v="0"/>
    <m/>
    <m/>
    <m/>
    <m/>
    <m/>
    <m/>
    <m/>
  </r>
  <r>
    <d v="2025-08-01T00:00:00"/>
    <s v="INV-322"/>
    <x v="1"/>
    <n v="340"/>
    <m/>
    <x v="1"/>
    <m/>
    <m/>
    <m/>
    <m/>
    <m/>
    <m/>
    <m/>
  </r>
  <r>
    <d v="2025-08-01T00:00:00"/>
    <s v="INV-323"/>
    <x v="1"/>
    <n v="500"/>
    <m/>
    <x v="2"/>
    <m/>
    <m/>
    <m/>
    <m/>
    <m/>
    <m/>
    <m/>
  </r>
  <r>
    <d v="2025-08-01T00:00:00"/>
    <s v="INV-324"/>
    <x v="1"/>
    <n v="100"/>
    <m/>
    <x v="3"/>
    <m/>
    <m/>
    <m/>
    <m/>
    <m/>
    <m/>
    <m/>
  </r>
  <r>
    <d v="2025-08-02T00:00:00"/>
    <s v="INV-325"/>
    <x v="1"/>
    <n v="350"/>
    <m/>
    <x v="1"/>
    <m/>
    <m/>
    <m/>
    <m/>
    <m/>
    <m/>
    <m/>
  </r>
  <r>
    <d v="2025-08-02T00:00:00"/>
    <s v="INV-326"/>
    <x v="1"/>
    <n v="1920"/>
    <m/>
    <x v="4"/>
    <m/>
    <m/>
    <m/>
    <m/>
    <m/>
    <m/>
    <m/>
  </r>
  <r>
    <d v="2025-08-02T00:00:00"/>
    <s v="INV-327"/>
    <x v="1"/>
    <n v="210"/>
    <m/>
    <x v="5"/>
    <m/>
    <m/>
    <m/>
    <m/>
    <m/>
    <m/>
    <m/>
  </r>
  <r>
    <d v="2025-08-02T00:00:00"/>
    <s v="P-53"/>
    <x v="2"/>
    <m/>
    <n v="3900"/>
    <x v="0"/>
    <s v="Old Ginger"/>
    <n v="69.650000000000006"/>
    <m/>
    <n v="56"/>
    <s v="Jakakodi Traders"/>
    <m/>
    <m/>
  </r>
  <r>
    <d v="2025-08-02T00:00:00"/>
    <m/>
    <x v="3"/>
    <m/>
    <n v="25"/>
    <x v="0"/>
    <m/>
    <m/>
    <m/>
    <m/>
    <m/>
    <m/>
    <m/>
  </r>
  <r>
    <d v="2025-08-03T00:00:00"/>
    <s v="INV-328"/>
    <x v="1"/>
    <n v="300"/>
    <m/>
    <x v="1"/>
    <m/>
    <m/>
    <m/>
    <m/>
    <m/>
    <m/>
    <m/>
  </r>
  <r>
    <d v="2025-08-03T00:00:00"/>
    <s v="INV-329"/>
    <x v="1"/>
    <n v="675"/>
    <m/>
    <x v="4"/>
    <m/>
    <m/>
    <m/>
    <m/>
    <m/>
    <m/>
    <m/>
  </r>
  <r>
    <d v="2025-08-03T00:00:00"/>
    <s v="INV-330"/>
    <x v="1"/>
    <n v="3500"/>
    <m/>
    <x v="2"/>
    <m/>
    <m/>
    <m/>
    <m/>
    <m/>
    <m/>
    <m/>
  </r>
  <r>
    <d v="2025-08-03T00:00:00"/>
    <s v="INV-331"/>
    <x v="1"/>
    <n v="2100"/>
    <m/>
    <x v="3"/>
    <m/>
    <m/>
    <m/>
    <m/>
    <m/>
    <m/>
    <m/>
  </r>
  <r>
    <d v="2025-08-03T00:00:00"/>
    <s v="INV-332"/>
    <x v="1"/>
    <n v="1200"/>
    <m/>
    <x v="1"/>
    <m/>
    <m/>
    <m/>
    <m/>
    <m/>
    <m/>
    <m/>
  </r>
  <r>
    <d v="2025-08-03T00:00:00"/>
    <m/>
    <x v="4"/>
    <m/>
    <n v="200"/>
    <x v="0"/>
    <m/>
    <m/>
    <m/>
    <m/>
    <m/>
    <m/>
    <s v="Nagai delivery"/>
  </r>
  <r>
    <d v="2025-08-04T00:00:00"/>
    <s v="INV-333"/>
    <x v="1"/>
    <n v="960"/>
    <m/>
    <x v="1"/>
    <m/>
    <m/>
    <m/>
    <m/>
    <m/>
    <m/>
    <m/>
  </r>
  <r>
    <d v="2025-08-04T00:00:00"/>
    <s v="INV-334"/>
    <x v="1"/>
    <n v="570"/>
    <m/>
    <x v="4"/>
    <m/>
    <m/>
    <m/>
    <m/>
    <m/>
    <m/>
    <m/>
  </r>
  <r>
    <d v="2025-08-04T00:00:00"/>
    <m/>
    <x v="3"/>
    <m/>
    <n v="210"/>
    <x v="0"/>
    <m/>
    <m/>
    <m/>
    <m/>
    <m/>
    <m/>
    <m/>
  </r>
  <r>
    <d v="2025-08-04T00:00:00"/>
    <m/>
    <x v="5"/>
    <m/>
    <n v="400"/>
    <x v="0"/>
    <m/>
    <m/>
    <m/>
    <m/>
    <m/>
    <m/>
    <m/>
  </r>
  <r>
    <d v="2025-08-05T00:00:00"/>
    <s v="INV-335"/>
    <x v="1"/>
    <n v="620"/>
    <m/>
    <x v="1"/>
    <m/>
    <m/>
    <m/>
    <m/>
    <m/>
    <m/>
    <m/>
  </r>
  <r>
    <d v="2025-08-05T00:00:00"/>
    <s v="INV-336"/>
    <x v="1"/>
    <n v="4660"/>
    <m/>
    <x v="4"/>
    <m/>
    <m/>
    <m/>
    <m/>
    <m/>
    <m/>
    <m/>
  </r>
  <r>
    <d v="2025-08-05T00:00:00"/>
    <m/>
    <x v="6"/>
    <m/>
    <n v="9000"/>
    <x v="0"/>
    <m/>
    <m/>
    <m/>
    <m/>
    <m/>
    <m/>
    <m/>
  </r>
  <r>
    <d v="2025-08-05T00:00:00"/>
    <m/>
    <x v="7"/>
    <m/>
    <n v="644"/>
    <x v="0"/>
    <m/>
    <m/>
    <m/>
    <m/>
    <m/>
    <m/>
    <s v="Pouch"/>
  </r>
  <r>
    <d v="2025-08-05T00:00:00"/>
    <m/>
    <x v="7"/>
    <m/>
    <n v="400"/>
    <x v="0"/>
    <m/>
    <m/>
    <m/>
    <m/>
    <m/>
    <m/>
    <s v="Sticker 10 Sheets"/>
  </r>
  <r>
    <d v="2025-08-05T00:00:00"/>
    <m/>
    <x v="3"/>
    <m/>
    <n v="50"/>
    <x v="0"/>
    <m/>
    <m/>
    <m/>
    <m/>
    <m/>
    <m/>
    <m/>
  </r>
  <r>
    <d v="2025-08-06T00:00:00"/>
    <m/>
    <x v="3"/>
    <m/>
    <n v="50"/>
    <x v="0"/>
    <m/>
    <m/>
    <m/>
    <m/>
    <m/>
    <m/>
    <m/>
  </r>
  <r>
    <d v="2025-08-06T00:00:00"/>
    <m/>
    <x v="7"/>
    <m/>
    <n v="70"/>
    <x v="0"/>
    <m/>
    <m/>
    <m/>
    <m/>
    <m/>
    <m/>
    <m/>
  </r>
  <r>
    <d v="2025-08-06T00:00:00"/>
    <m/>
    <x v="8"/>
    <m/>
    <n v="6270"/>
    <x v="0"/>
    <s v="Desi 4A"/>
    <n v="95"/>
    <m/>
    <n v="66"/>
    <s v="Nilaa Wholesale Supplies"/>
    <m/>
    <m/>
  </r>
  <r>
    <d v="2025-08-06T00:00:00"/>
    <m/>
    <x v="2"/>
    <m/>
    <n v="3800"/>
    <x v="0"/>
    <s v="Old Ginger"/>
    <n v="67.849999999999994"/>
    <m/>
    <n v="56"/>
    <s v="Jakakodi Traders"/>
    <m/>
    <m/>
  </r>
  <r>
    <d v="2025-08-06T00:00:00"/>
    <s v="INV-337"/>
    <x v="1"/>
    <n v="940"/>
    <m/>
    <x v="1"/>
    <m/>
    <m/>
    <m/>
    <m/>
    <m/>
    <m/>
    <m/>
  </r>
  <r>
    <d v="2025-08-06T00:00:00"/>
    <s v="INV-338"/>
    <x v="1"/>
    <n v="3520"/>
    <m/>
    <x v="4"/>
    <m/>
    <m/>
    <m/>
    <m/>
    <m/>
    <m/>
    <m/>
  </r>
  <r>
    <d v="2025-08-08T00:00:00"/>
    <s v="INV-339"/>
    <x v="1"/>
    <n v="450"/>
    <m/>
    <x v="1"/>
    <m/>
    <m/>
    <m/>
    <m/>
    <m/>
    <m/>
    <m/>
  </r>
  <r>
    <d v="2025-08-08T00:00:00"/>
    <s v="INV-340"/>
    <x v="1"/>
    <n v="4170"/>
    <m/>
    <x v="4"/>
    <m/>
    <m/>
    <m/>
    <m/>
    <m/>
    <m/>
    <m/>
  </r>
  <r>
    <d v="2025-08-08T00:00:00"/>
    <s v="INV-341"/>
    <x v="1"/>
    <n v="1800"/>
    <m/>
    <x v="6"/>
    <m/>
    <m/>
    <m/>
    <m/>
    <m/>
    <m/>
    <m/>
  </r>
  <r>
    <d v="2025-08-08T00:00:00"/>
    <s v="INV-342"/>
    <x v="1"/>
    <n v="300"/>
    <m/>
    <x v="5"/>
    <m/>
    <m/>
    <m/>
    <m/>
    <m/>
    <m/>
    <m/>
  </r>
  <r>
    <d v="2025-08-07T00:00:00"/>
    <s v="INV-343"/>
    <x v="1"/>
    <n v="5400"/>
    <m/>
    <x v="3"/>
    <m/>
    <m/>
    <m/>
    <m/>
    <m/>
    <m/>
    <m/>
  </r>
  <r>
    <d v="2025-08-07T00:00:00"/>
    <s v="INV-344"/>
    <x v="1"/>
    <n v="6075"/>
    <m/>
    <x v="4"/>
    <m/>
    <m/>
    <m/>
    <m/>
    <m/>
    <m/>
    <m/>
  </r>
  <r>
    <d v="2025-08-07T00:00:00"/>
    <s v="INV-345"/>
    <x v="1"/>
    <n v="400"/>
    <m/>
    <x v="1"/>
    <m/>
    <m/>
    <m/>
    <m/>
    <m/>
    <m/>
    <m/>
  </r>
  <r>
    <d v="2025-08-07T00:00:00"/>
    <m/>
    <x v="4"/>
    <m/>
    <n v="250"/>
    <x v="0"/>
    <m/>
    <m/>
    <m/>
    <m/>
    <m/>
    <m/>
    <m/>
  </r>
  <r>
    <d v="2025-08-08T00:00:00"/>
    <m/>
    <x v="2"/>
    <m/>
    <n v="7600"/>
    <x v="0"/>
    <s v="Old Ginger"/>
    <n v="67.260000000000005"/>
    <m/>
    <n v="113"/>
    <s v="Jakakodi Traders"/>
    <m/>
    <m/>
  </r>
  <r>
    <d v="2025-08-08T00:00:00"/>
    <m/>
    <x v="8"/>
    <m/>
    <n v="3230"/>
    <x v="0"/>
    <s v="Desi 4A"/>
    <n v="95"/>
    <m/>
    <n v="34"/>
    <s v="Nilaa Wholesale Supplies"/>
    <m/>
    <m/>
  </r>
  <r>
    <d v="2025-08-08T00:00:00"/>
    <m/>
    <x v="8"/>
    <m/>
    <n v="13855"/>
    <x v="0"/>
    <s v="Naatu Poondu"/>
    <n v="65"/>
    <m/>
    <n v="197"/>
    <s v="Mass Traders"/>
    <m/>
    <m/>
  </r>
  <r>
    <d v="2025-08-08T00:00:00"/>
    <m/>
    <x v="4"/>
    <m/>
    <n v="100"/>
    <x v="0"/>
    <m/>
    <m/>
    <m/>
    <m/>
    <m/>
    <m/>
    <m/>
  </r>
  <r>
    <d v="2025-08-08T00:00:00"/>
    <m/>
    <x v="3"/>
    <m/>
    <n v="50"/>
    <x v="0"/>
    <m/>
    <m/>
    <m/>
    <m/>
    <m/>
    <m/>
    <m/>
  </r>
  <r>
    <d v="2025-08-09T00:00:00"/>
    <s v="INV-346"/>
    <x v="1"/>
    <n v="250"/>
    <m/>
    <x v="1"/>
    <m/>
    <m/>
    <m/>
    <m/>
    <m/>
    <m/>
    <m/>
  </r>
  <r>
    <d v="2025-08-09T00:00:00"/>
    <s v="INV-347"/>
    <x v="1"/>
    <n v="5005"/>
    <m/>
    <x v="4"/>
    <m/>
    <m/>
    <m/>
    <m/>
    <m/>
    <m/>
    <m/>
  </r>
  <r>
    <d v="2025-08-09T00:00:00"/>
    <s v="INV-348"/>
    <x v="1"/>
    <n v="13500"/>
    <m/>
    <x v="3"/>
    <m/>
    <m/>
    <m/>
    <m/>
    <m/>
    <m/>
    <s v="Shaha Malim"/>
  </r>
  <r>
    <d v="2025-08-09T00:00:00"/>
    <m/>
    <x v="9"/>
    <m/>
    <n v="150"/>
    <x v="0"/>
    <m/>
    <m/>
    <m/>
    <m/>
    <m/>
    <m/>
    <m/>
  </r>
  <r>
    <d v="2025-08-09T00:00:00"/>
    <m/>
    <x v="4"/>
    <m/>
    <n v="150"/>
    <x v="0"/>
    <m/>
    <m/>
    <m/>
    <m/>
    <m/>
    <m/>
    <m/>
  </r>
  <r>
    <d v="2025-08-09T00:00:00"/>
    <m/>
    <x v="5"/>
    <m/>
    <n v="300"/>
    <x v="0"/>
    <m/>
    <m/>
    <m/>
    <m/>
    <m/>
    <m/>
    <m/>
  </r>
  <r>
    <d v="2025-08-09T00:00:00"/>
    <m/>
    <x v="3"/>
    <m/>
    <n v="50"/>
    <x v="0"/>
    <m/>
    <m/>
    <m/>
    <m/>
    <m/>
    <m/>
    <m/>
  </r>
  <r>
    <d v="2025-08-09T00:00:00"/>
    <m/>
    <x v="10"/>
    <m/>
    <n v="160"/>
    <x v="0"/>
    <m/>
    <m/>
    <m/>
    <m/>
    <m/>
    <m/>
    <m/>
  </r>
  <r>
    <d v="2025-08-10T00:00:00"/>
    <s v="INV-349"/>
    <x v="1"/>
    <n v="900"/>
    <m/>
    <x v="1"/>
    <m/>
    <m/>
    <m/>
    <m/>
    <m/>
    <m/>
    <m/>
  </r>
  <r>
    <d v="2025-08-10T00:00:00"/>
    <s v="INV-350"/>
    <x v="1"/>
    <n v="3600"/>
    <m/>
    <x v="3"/>
    <m/>
    <m/>
    <m/>
    <m/>
    <m/>
    <m/>
    <m/>
  </r>
  <r>
    <d v="2025-08-10T00:00:00"/>
    <s v="INV-351"/>
    <x v="1"/>
    <n v="945"/>
    <m/>
    <x v="4"/>
    <m/>
    <m/>
    <m/>
    <m/>
    <m/>
    <m/>
    <m/>
  </r>
  <r>
    <d v="2025-08-10T00:00:00"/>
    <m/>
    <x v="4"/>
    <m/>
    <n v="150"/>
    <x v="0"/>
    <m/>
    <m/>
    <m/>
    <m/>
    <m/>
    <m/>
    <m/>
  </r>
  <r>
    <d v="2025-08-11T00:00:00"/>
    <s v="INV-352"/>
    <x v="1"/>
    <n v="160"/>
    <m/>
    <x v="1"/>
    <m/>
    <m/>
    <m/>
    <m/>
    <m/>
    <m/>
    <m/>
  </r>
  <r>
    <d v="2025-08-11T00:00:00"/>
    <s v="INV-353"/>
    <x v="1"/>
    <n v="2210"/>
    <m/>
    <x v="4"/>
    <m/>
    <m/>
    <m/>
    <m/>
    <m/>
    <m/>
    <m/>
  </r>
  <r>
    <d v="2025-08-12T00:00:00"/>
    <m/>
    <x v="2"/>
    <m/>
    <n v="4000"/>
    <x v="0"/>
    <s v="Old Ginger"/>
    <n v="80"/>
    <m/>
    <n v="50"/>
    <s v="Jakakodi Traders"/>
    <m/>
    <m/>
  </r>
  <r>
    <d v="2025-08-12T00:00:00"/>
    <s v="INV-354"/>
    <x v="1"/>
    <n v="3250"/>
    <m/>
    <x v="4"/>
    <m/>
    <m/>
    <m/>
    <m/>
    <m/>
    <m/>
    <m/>
  </r>
  <r>
    <d v="2025-08-12T00:00:00"/>
    <s v="INV-355"/>
    <x v="1"/>
    <n v="900"/>
    <m/>
    <x v="5"/>
    <m/>
    <m/>
    <m/>
    <m/>
    <m/>
    <m/>
    <m/>
  </r>
  <r>
    <d v="2025-08-12T00:00:00"/>
    <s v="INV-356"/>
    <x v="1"/>
    <n v="180"/>
    <m/>
    <x v="1"/>
    <m/>
    <m/>
    <m/>
    <m/>
    <m/>
    <m/>
    <m/>
  </r>
  <r>
    <d v="2025-08-12T00:00:00"/>
    <m/>
    <x v="3"/>
    <m/>
    <n v="50"/>
    <x v="0"/>
    <m/>
    <m/>
    <m/>
    <m/>
    <m/>
    <m/>
    <m/>
  </r>
  <r>
    <d v="2025-08-13T00:00:00"/>
    <s v="INV-357"/>
    <x v="1"/>
    <n v="240"/>
    <m/>
    <x v="1"/>
    <m/>
    <m/>
    <m/>
    <m/>
    <m/>
    <m/>
    <m/>
  </r>
  <r>
    <d v="2025-08-13T00:00:00"/>
    <s v="INV-358"/>
    <x v="1"/>
    <n v="1820"/>
    <m/>
    <x v="7"/>
    <m/>
    <m/>
    <m/>
    <m/>
    <m/>
    <m/>
    <m/>
  </r>
  <r>
    <d v="2025-08-13T00:00:00"/>
    <s v="INV-359"/>
    <x v="1"/>
    <n v="1600"/>
    <m/>
    <x v="3"/>
    <m/>
    <m/>
    <m/>
    <m/>
    <m/>
    <m/>
    <s v="Sulaiman &amp; Nagai"/>
  </r>
  <r>
    <d v="2025-08-13T00:00:00"/>
    <m/>
    <x v="4"/>
    <m/>
    <n v="100"/>
    <x v="0"/>
    <m/>
    <m/>
    <m/>
    <m/>
    <m/>
    <m/>
    <m/>
  </r>
  <r>
    <d v="2025-08-13T00:00:00"/>
    <m/>
    <x v="4"/>
    <m/>
    <n v="100"/>
    <x v="0"/>
    <m/>
    <m/>
    <m/>
    <m/>
    <m/>
    <m/>
    <m/>
  </r>
  <r>
    <d v="2025-08-13T00:00:00"/>
    <m/>
    <x v="5"/>
    <m/>
    <n v="300"/>
    <x v="0"/>
    <m/>
    <m/>
    <m/>
    <m/>
    <m/>
    <m/>
    <m/>
  </r>
  <r>
    <d v="2025-08-14T00:00:00"/>
    <s v="INV-360"/>
    <x v="1"/>
    <n v="240"/>
    <m/>
    <x v="1"/>
    <m/>
    <m/>
    <m/>
    <m/>
    <m/>
    <m/>
    <m/>
  </r>
  <r>
    <d v="2025-08-14T00:00:00"/>
    <s v="INV-361"/>
    <x v="1"/>
    <n v="4610"/>
    <m/>
    <x v="7"/>
    <m/>
    <m/>
    <m/>
    <m/>
    <m/>
    <m/>
    <m/>
  </r>
  <r>
    <d v="2025-08-14T00:00:00"/>
    <m/>
    <x v="3"/>
    <m/>
    <n v="50"/>
    <x v="0"/>
    <m/>
    <m/>
    <m/>
    <m/>
    <m/>
    <m/>
    <m/>
  </r>
  <r>
    <d v="2025-08-15T00:00:00"/>
    <s v="INV-362"/>
    <x v="1"/>
    <n v="290"/>
    <m/>
    <x v="1"/>
    <m/>
    <m/>
    <m/>
    <m/>
    <m/>
    <m/>
    <m/>
  </r>
  <r>
    <d v="2025-08-15T00:00:00"/>
    <s v="INV-363"/>
    <x v="1"/>
    <n v="3565"/>
    <m/>
    <x v="7"/>
    <m/>
    <m/>
    <m/>
    <m/>
    <m/>
    <m/>
    <m/>
  </r>
  <r>
    <d v="2025-08-15T00:00:00"/>
    <s v="P-55"/>
    <x v="2"/>
    <m/>
    <n v="4000"/>
    <x v="0"/>
    <s v="Old Ginger"/>
    <n v="80"/>
    <m/>
    <n v="50"/>
    <s v="Jakakodi Traders"/>
    <m/>
    <m/>
  </r>
  <r>
    <d v="2025-08-15T00:00:00"/>
    <m/>
    <x v="3"/>
    <m/>
    <n v="50"/>
    <x v="0"/>
    <m/>
    <m/>
    <m/>
    <m/>
    <m/>
    <m/>
    <m/>
  </r>
  <r>
    <d v="2025-08-15T00:00:00"/>
    <m/>
    <x v="10"/>
    <m/>
    <n v="160"/>
    <x v="0"/>
    <m/>
    <m/>
    <m/>
    <m/>
    <m/>
    <m/>
    <m/>
  </r>
  <r>
    <d v="2025-08-15T00:00:00"/>
    <m/>
    <x v="7"/>
    <m/>
    <n v="50"/>
    <x v="0"/>
    <m/>
    <m/>
    <m/>
    <m/>
    <m/>
    <m/>
    <m/>
  </r>
  <r>
    <d v="2025-08-16T00:00:00"/>
    <s v="INV-364"/>
    <x v="1"/>
    <n v="6815"/>
    <m/>
    <x v="7"/>
    <m/>
    <m/>
    <m/>
    <m/>
    <m/>
    <m/>
    <m/>
  </r>
  <r>
    <d v="2025-08-16T00:00:00"/>
    <s v="INV-365"/>
    <x v="1"/>
    <n v="2080"/>
    <m/>
    <x v="2"/>
    <m/>
    <m/>
    <m/>
    <m/>
    <m/>
    <m/>
    <m/>
  </r>
  <r>
    <d v="2025-08-16T00:00:00"/>
    <s v="INV-366"/>
    <x v="1"/>
    <n v="4130"/>
    <m/>
    <x v="7"/>
    <m/>
    <m/>
    <m/>
    <m/>
    <m/>
    <m/>
    <m/>
  </r>
  <r>
    <d v="2025-08-18T00:00:00"/>
    <s v="INV-367"/>
    <x v="1"/>
    <n v="200"/>
    <m/>
    <x v="8"/>
    <m/>
    <m/>
    <m/>
    <m/>
    <m/>
    <m/>
    <m/>
  </r>
  <r>
    <d v="2025-08-18T00:00:00"/>
    <s v="INV-368"/>
    <x v="1"/>
    <n v="770"/>
    <m/>
    <x v="1"/>
    <m/>
    <m/>
    <m/>
    <m/>
    <m/>
    <m/>
    <m/>
  </r>
  <r>
    <d v="2025-08-18T00:00:00"/>
    <s v="INV-369"/>
    <x v="1"/>
    <n v="2545"/>
    <m/>
    <x v="7"/>
    <m/>
    <m/>
    <m/>
    <m/>
    <m/>
    <m/>
    <m/>
  </r>
  <r>
    <d v="2025-08-19T00:00:00"/>
    <m/>
    <x v="11"/>
    <m/>
    <n v="550"/>
    <x v="0"/>
    <m/>
    <m/>
    <m/>
    <m/>
    <m/>
    <m/>
    <m/>
  </r>
  <r>
    <d v="2025-08-19T00:00:00"/>
    <s v="P-56"/>
    <x v="2"/>
    <m/>
    <n v="3900"/>
    <x v="0"/>
    <s v="Old Ginger"/>
    <n v="78"/>
    <m/>
    <n v="50"/>
    <s v="Jakakodi Traders"/>
    <m/>
    <m/>
  </r>
  <r>
    <d v="2025-08-19T00:00:00"/>
    <s v="INV-370"/>
    <x v="1"/>
    <n v="240"/>
    <m/>
    <x v="1"/>
    <m/>
    <m/>
    <m/>
    <m/>
    <m/>
    <m/>
    <m/>
  </r>
  <r>
    <d v="2025-08-19T00:00:00"/>
    <s v="INV-371"/>
    <x v="1"/>
    <n v="4010"/>
    <m/>
    <x v="7"/>
    <m/>
    <m/>
    <m/>
    <m/>
    <m/>
    <m/>
    <m/>
  </r>
  <r>
    <d v="2025-08-20T00:00:00"/>
    <s v="INV-372"/>
    <x v="1"/>
    <n v="520"/>
    <m/>
    <x v="1"/>
    <m/>
    <m/>
    <m/>
    <m/>
    <m/>
    <m/>
    <m/>
  </r>
  <r>
    <d v="2025-08-20T00:00:00"/>
    <s v="INV-373"/>
    <x v="1"/>
    <n v="1110"/>
    <m/>
    <x v="5"/>
    <m/>
    <m/>
    <m/>
    <m/>
    <m/>
    <m/>
    <m/>
  </r>
  <r>
    <d v="2025-08-20T00:00:00"/>
    <s v="INV-374"/>
    <x v="1"/>
    <n v="2990"/>
    <m/>
    <x v="7"/>
    <m/>
    <m/>
    <m/>
    <m/>
    <m/>
    <m/>
    <m/>
  </r>
  <r>
    <d v="2025-08-20T00:00:00"/>
    <m/>
    <x v="7"/>
    <m/>
    <n v="400"/>
    <x v="0"/>
    <m/>
    <m/>
    <m/>
    <m/>
    <m/>
    <m/>
    <s v="Sticker Printing"/>
  </r>
  <r>
    <d v="2025-08-20T00:00:00"/>
    <m/>
    <x v="7"/>
    <m/>
    <n v="835"/>
    <x v="0"/>
    <m/>
    <m/>
    <m/>
    <m/>
    <m/>
    <m/>
    <s v="Ungal Kadai"/>
  </r>
  <r>
    <d v="2025-08-20T00:00:00"/>
    <m/>
    <x v="3"/>
    <m/>
    <n v="108"/>
    <x v="0"/>
    <m/>
    <m/>
    <m/>
    <m/>
    <m/>
    <m/>
    <m/>
  </r>
  <r>
    <d v="2025-08-21T00:00:00"/>
    <m/>
    <x v="5"/>
    <m/>
    <n v="300"/>
    <x v="0"/>
    <m/>
    <m/>
    <m/>
    <m/>
    <m/>
    <m/>
    <m/>
  </r>
  <r>
    <d v="2025-08-21T00:00:00"/>
    <s v="INV-375"/>
    <x v="1"/>
    <n v="2280"/>
    <m/>
    <x v="7"/>
    <m/>
    <m/>
    <m/>
    <m/>
    <m/>
    <m/>
    <m/>
  </r>
  <r>
    <d v="2025-08-21T00:00:00"/>
    <m/>
    <x v="3"/>
    <m/>
    <n v="50"/>
    <x v="0"/>
    <m/>
    <m/>
    <m/>
    <m/>
    <m/>
    <m/>
    <m/>
  </r>
  <r>
    <d v="2025-08-22T00:00:00"/>
    <m/>
    <x v="8"/>
    <m/>
    <n v="31425"/>
    <x v="0"/>
    <s v="Naatu Poondu"/>
    <n v="75"/>
    <n v="1800"/>
    <n v="395"/>
    <s v="SVG Garlics"/>
    <m/>
    <m/>
  </r>
  <r>
    <d v="2025-08-22T00:00:00"/>
    <m/>
    <x v="8"/>
    <m/>
    <n v="22975"/>
    <x v="0"/>
    <s v="Desi Bom size"/>
    <n v="125"/>
    <n v="100"/>
    <n v="183"/>
    <s v="Nilaa Wholesale Supplies"/>
    <m/>
    <m/>
  </r>
  <r>
    <d v="2025-08-22T00:00:00"/>
    <s v="INV-376"/>
    <x v="1"/>
    <n v="1650"/>
    <m/>
    <x v="1"/>
    <m/>
    <m/>
    <m/>
    <m/>
    <m/>
    <m/>
    <m/>
  </r>
  <r>
    <d v="2025-08-22T00:00:00"/>
    <s v="INV-377"/>
    <x v="1"/>
    <n v="2325"/>
    <m/>
    <x v="7"/>
    <m/>
    <m/>
    <m/>
    <m/>
    <m/>
    <m/>
    <m/>
  </r>
  <r>
    <d v="2025-08-22T00:00:00"/>
    <m/>
    <x v="3"/>
    <m/>
    <n v="50"/>
    <x v="0"/>
    <m/>
    <m/>
    <m/>
    <m/>
    <m/>
    <m/>
    <m/>
  </r>
  <r>
    <d v="2025-08-23T00:00:00"/>
    <s v="P-58"/>
    <x v="2"/>
    <m/>
    <n v="4000"/>
    <x v="0"/>
    <s v="Old Ginger"/>
    <n v="80"/>
    <m/>
    <n v="50"/>
    <s v="Jakakodi Traders"/>
    <m/>
    <m/>
  </r>
  <r>
    <d v="2025-08-23T00:00:00"/>
    <s v="INV-378"/>
    <x v="1"/>
    <n v="240"/>
    <m/>
    <x v="1"/>
    <m/>
    <m/>
    <m/>
    <m/>
    <m/>
    <m/>
    <m/>
  </r>
  <r>
    <d v="2025-08-23T00:00:00"/>
    <s v="INV-379"/>
    <x v="1"/>
    <n v="11420"/>
    <m/>
    <x v="7"/>
    <m/>
    <m/>
    <m/>
    <m/>
    <m/>
    <m/>
    <m/>
  </r>
  <r>
    <d v="2025-08-23T00:00:00"/>
    <s v="INV-380"/>
    <x v="1"/>
    <n v="450"/>
    <m/>
    <x v="3"/>
    <m/>
    <m/>
    <m/>
    <m/>
    <m/>
    <m/>
    <s v="Sellapa"/>
  </r>
  <r>
    <d v="2025-08-23T00:00:00"/>
    <s v="INV-381"/>
    <x v="1"/>
    <n v="1530"/>
    <m/>
    <x v="9"/>
    <m/>
    <m/>
    <m/>
    <m/>
    <m/>
    <m/>
    <m/>
  </r>
  <r>
    <d v="2025-08-23T00:00:00"/>
    <m/>
    <x v="3"/>
    <m/>
    <n v="50"/>
    <x v="0"/>
    <m/>
    <m/>
    <m/>
    <m/>
    <m/>
    <m/>
    <m/>
  </r>
  <r>
    <d v="2025-08-23T00:00:00"/>
    <m/>
    <x v="10"/>
    <m/>
    <n v="160"/>
    <x v="0"/>
    <m/>
    <m/>
    <m/>
    <m/>
    <m/>
    <m/>
    <m/>
  </r>
  <r>
    <d v="2025-08-23T00:00:00"/>
    <m/>
    <x v="9"/>
    <m/>
    <n v="400"/>
    <x v="0"/>
    <m/>
    <m/>
    <m/>
    <m/>
    <m/>
    <m/>
    <m/>
  </r>
  <r>
    <d v="2025-08-23T00:00:00"/>
    <m/>
    <x v="4"/>
    <m/>
    <n v="300"/>
    <x v="0"/>
    <m/>
    <m/>
    <m/>
    <m/>
    <m/>
    <m/>
    <m/>
  </r>
  <r>
    <d v="2025-08-24T00:00:00"/>
    <m/>
    <x v="12"/>
    <m/>
    <n v="4000"/>
    <x v="0"/>
    <m/>
    <m/>
    <m/>
    <m/>
    <m/>
    <m/>
    <s v="KRC Advertisement"/>
  </r>
  <r>
    <d v="2025-08-24T00:00:00"/>
    <m/>
    <x v="11"/>
    <m/>
    <n v="12706"/>
    <x v="0"/>
    <m/>
    <m/>
    <m/>
    <m/>
    <m/>
    <m/>
    <s v="EB"/>
  </r>
  <r>
    <d v="2025-08-24T00:00:00"/>
    <s v="INV-382"/>
    <x v="1"/>
    <n v="340"/>
    <m/>
    <x v="7"/>
    <m/>
    <m/>
    <m/>
    <m/>
    <m/>
    <m/>
    <m/>
  </r>
  <r>
    <d v="2025-08-25T00:00:00"/>
    <s v="INV-383"/>
    <x v="1"/>
    <n v="200"/>
    <m/>
    <x v="1"/>
    <m/>
    <m/>
    <m/>
    <m/>
    <m/>
    <m/>
    <m/>
  </r>
  <r>
    <d v="2025-08-25T00:00:00"/>
    <s v="INV-384"/>
    <x v="1"/>
    <n v="600"/>
    <m/>
    <x v="5"/>
    <m/>
    <m/>
    <m/>
    <m/>
    <m/>
    <m/>
    <m/>
  </r>
  <r>
    <d v="2025-08-25T00:00:00"/>
    <s v="INV-385"/>
    <x v="1"/>
    <n v="5975"/>
    <m/>
    <x v="7"/>
    <m/>
    <m/>
    <m/>
    <m/>
    <m/>
    <m/>
    <m/>
  </r>
  <r>
    <d v="2025-08-25T00:00:00"/>
    <m/>
    <x v="2"/>
    <m/>
    <n v="3800"/>
    <x v="0"/>
    <s v="Old Ginger"/>
    <n v="76"/>
    <m/>
    <n v="50"/>
    <s v="Jakakodi Traders"/>
    <m/>
    <m/>
  </r>
  <r>
    <d v="2025-08-25T00:00:00"/>
    <m/>
    <x v="3"/>
    <m/>
    <n v="50"/>
    <x v="0"/>
    <m/>
    <m/>
    <m/>
    <m/>
    <m/>
    <m/>
    <m/>
  </r>
  <r>
    <d v="2025-08-25T00:00:00"/>
    <m/>
    <x v="7"/>
    <m/>
    <n v="1500"/>
    <x v="0"/>
    <m/>
    <m/>
    <m/>
    <m/>
    <m/>
    <m/>
    <s v="Lab Test"/>
  </r>
  <r>
    <d v="2025-08-26T00:00:00"/>
    <s v="INV-386"/>
    <x v="1"/>
    <n v="2120"/>
    <m/>
    <x v="1"/>
    <m/>
    <m/>
    <m/>
    <m/>
    <m/>
    <m/>
    <m/>
  </r>
  <r>
    <d v="2025-08-26T00:00:00"/>
    <s v="INV-387"/>
    <x v="1"/>
    <n v="300"/>
    <m/>
    <x v="1"/>
    <m/>
    <m/>
    <m/>
    <m/>
    <m/>
    <m/>
    <m/>
  </r>
  <r>
    <d v="2025-08-26T00:00:00"/>
    <s v="INV-388"/>
    <x v="1"/>
    <n v="360"/>
    <m/>
    <x v="10"/>
    <m/>
    <m/>
    <m/>
    <m/>
    <m/>
    <m/>
    <m/>
  </r>
  <r>
    <d v="2025-08-26T00:00:00"/>
    <s v="INV-389"/>
    <x v="1"/>
    <n v="2025"/>
    <m/>
    <x v="7"/>
    <m/>
    <m/>
    <m/>
    <m/>
    <m/>
    <m/>
    <m/>
  </r>
  <r>
    <d v="2025-08-26T00:00:00"/>
    <m/>
    <x v="5"/>
    <m/>
    <n v="400"/>
    <x v="0"/>
    <m/>
    <m/>
    <m/>
    <m/>
    <m/>
    <m/>
    <m/>
  </r>
  <r>
    <d v="2025-08-26T00:00:00"/>
    <m/>
    <x v="3"/>
    <m/>
    <n v="50"/>
    <x v="0"/>
    <m/>
    <m/>
    <m/>
    <m/>
    <m/>
    <m/>
    <m/>
  </r>
  <r>
    <d v="2025-08-27T00:00:00"/>
    <s v="INV-390"/>
    <x v="1"/>
    <n v="8795"/>
    <m/>
    <x v="7"/>
    <m/>
    <m/>
    <m/>
    <m/>
    <m/>
    <m/>
    <m/>
  </r>
  <r>
    <d v="2025-08-27T00:00:00"/>
    <s v="INV-391"/>
    <x v="1"/>
    <n v="240"/>
    <m/>
    <x v="1"/>
    <m/>
    <m/>
    <m/>
    <m/>
    <m/>
    <m/>
    <m/>
  </r>
  <r>
    <d v="2025-08-27T00:00:00"/>
    <m/>
    <x v="3"/>
    <m/>
    <n v="50"/>
    <x v="0"/>
    <m/>
    <m/>
    <m/>
    <m/>
    <m/>
    <m/>
    <m/>
  </r>
  <r>
    <d v="2025-08-27T00:00:00"/>
    <m/>
    <x v="13"/>
    <m/>
    <n v="800"/>
    <x v="0"/>
    <m/>
    <m/>
    <m/>
    <m/>
    <m/>
    <m/>
    <m/>
  </r>
  <r>
    <d v="2025-08-28T00:00:00"/>
    <s v="INV-392"/>
    <x v="1"/>
    <n v="320"/>
    <m/>
    <x v="11"/>
    <m/>
    <m/>
    <m/>
    <m/>
    <m/>
    <m/>
    <m/>
  </r>
  <r>
    <d v="2025-08-28T00:00:00"/>
    <s v="INV-393"/>
    <x v="1"/>
    <n v="900"/>
    <m/>
    <x v="3"/>
    <m/>
    <m/>
    <m/>
    <m/>
    <m/>
    <m/>
    <s v="Bava"/>
  </r>
  <r>
    <d v="2025-08-28T00:00:00"/>
    <s v="INV-394"/>
    <x v="1"/>
    <n v="5650"/>
    <m/>
    <x v="7"/>
    <m/>
    <m/>
    <m/>
    <m/>
    <m/>
    <m/>
    <m/>
  </r>
  <r>
    <d v="2025-08-28T00:00:00"/>
    <s v="INV-395"/>
    <x v="1"/>
    <n v="200"/>
    <m/>
    <x v="8"/>
    <m/>
    <m/>
    <m/>
    <m/>
    <m/>
    <m/>
    <m/>
  </r>
  <r>
    <d v="2025-08-28T00:00:00"/>
    <m/>
    <x v="3"/>
    <m/>
    <n v="50"/>
    <x v="0"/>
    <m/>
    <m/>
    <m/>
    <m/>
    <m/>
    <m/>
    <m/>
  </r>
  <r>
    <d v="2025-08-28T00:00:00"/>
    <m/>
    <x v="10"/>
    <m/>
    <n v="160"/>
    <x v="0"/>
    <m/>
    <m/>
    <m/>
    <m/>
    <m/>
    <m/>
    <m/>
  </r>
  <r>
    <d v="2025-08-29T00:00:00"/>
    <m/>
    <x v="2"/>
    <m/>
    <n v="3900"/>
    <x v="0"/>
    <s v="Old Ginger"/>
    <n v="78"/>
    <m/>
    <n v="50"/>
    <s v="Jakakodi Traders"/>
    <m/>
    <m/>
  </r>
  <r>
    <d v="2025-08-29T00:00:00"/>
    <s v="INV-396"/>
    <x v="1"/>
    <n v="6465"/>
    <m/>
    <x v="7"/>
    <m/>
    <m/>
    <m/>
    <m/>
    <m/>
    <m/>
    <m/>
  </r>
  <r>
    <d v="2025-08-29T00:00:00"/>
    <s v="INV-397"/>
    <x v="1"/>
    <n v="200"/>
    <m/>
    <x v="11"/>
    <m/>
    <m/>
    <m/>
    <m/>
    <m/>
    <m/>
    <m/>
  </r>
  <r>
    <d v="2025-08-30T00:00:00"/>
    <s v="INV-398"/>
    <x v="1"/>
    <n v="800"/>
    <m/>
    <x v="11"/>
    <m/>
    <m/>
    <m/>
    <m/>
    <m/>
    <m/>
    <m/>
  </r>
  <r>
    <d v="2025-08-30T00:00:00"/>
    <s v="INV-399"/>
    <x v="1"/>
    <n v="5620"/>
    <m/>
    <x v="7"/>
    <m/>
    <m/>
    <m/>
    <m/>
    <m/>
    <m/>
    <m/>
  </r>
  <r>
    <d v="2025-08-30T00:00:00"/>
    <s v="INV-400"/>
    <x v="1"/>
    <n v="150"/>
    <m/>
    <x v="12"/>
    <m/>
    <m/>
    <m/>
    <m/>
    <m/>
    <m/>
    <m/>
  </r>
  <r>
    <d v="2025-08-30T00:00:00"/>
    <s v="INV-401"/>
    <x v="1"/>
    <n v="350"/>
    <m/>
    <x v="1"/>
    <m/>
    <m/>
    <m/>
    <m/>
    <m/>
    <m/>
    <m/>
  </r>
  <r>
    <d v="2025-08-30T00:00:00"/>
    <m/>
    <x v="3"/>
    <m/>
    <n v="50"/>
    <x v="0"/>
    <m/>
    <m/>
    <m/>
    <m/>
    <m/>
    <m/>
    <m/>
  </r>
  <r>
    <d v="2025-08-30T00:00:00"/>
    <m/>
    <x v="5"/>
    <m/>
    <n v="300"/>
    <x v="0"/>
    <m/>
    <m/>
    <m/>
    <m/>
    <m/>
    <m/>
    <m/>
  </r>
  <r>
    <d v="2025-08-31T00:00:00"/>
    <m/>
    <x v="2"/>
    <m/>
    <n v="3900"/>
    <x v="0"/>
    <s v="Old Ginger"/>
    <n v="78"/>
    <m/>
    <n v="50"/>
    <s v="Jakakodi Traders"/>
    <m/>
    <m/>
  </r>
  <r>
    <d v="2025-08-31T00:00:00"/>
    <m/>
    <x v="8"/>
    <m/>
    <n v="1500"/>
    <x v="0"/>
    <s v="Ooty Seed A"/>
    <n v="107.15"/>
    <m/>
    <n v="14"/>
    <s v="Nilaa Wholesale Supplies"/>
    <m/>
    <m/>
  </r>
  <r>
    <d v="2025-08-31T00:00:00"/>
    <s v="INV-402"/>
    <x v="1"/>
    <n v="420"/>
    <m/>
    <x v="7"/>
    <m/>
    <m/>
    <m/>
    <m/>
    <m/>
    <m/>
    <m/>
  </r>
  <r>
    <d v="2025-08-31T00:00:00"/>
    <s v="INV-403"/>
    <x v="1"/>
    <n v="300"/>
    <m/>
    <x v="3"/>
    <m/>
    <m/>
    <m/>
    <m/>
    <m/>
    <m/>
    <m/>
  </r>
  <r>
    <d v="2025-08-31T00:00:00"/>
    <s v="INV-404"/>
    <x v="1"/>
    <n v="90"/>
    <m/>
    <x v="1"/>
    <m/>
    <m/>
    <m/>
    <m/>
    <m/>
    <m/>
    <m/>
  </r>
  <r>
    <d v="2025-08-31T00:00:00"/>
    <s v="INV-405"/>
    <x v="1"/>
    <n v="1320"/>
    <m/>
    <x v="1"/>
    <m/>
    <m/>
    <m/>
    <m/>
    <m/>
    <m/>
    <m/>
  </r>
  <r>
    <d v="2025-08-31T00:00:00"/>
    <m/>
    <x v="7"/>
    <m/>
    <n v="500"/>
    <x v="0"/>
    <m/>
    <m/>
    <m/>
    <m/>
    <m/>
    <m/>
    <m/>
  </r>
  <r>
    <d v="2025-08-31T00:00:00"/>
    <m/>
    <x v="3"/>
    <m/>
    <n v="50"/>
    <x v="0"/>
    <m/>
    <m/>
    <m/>
    <m/>
    <m/>
    <m/>
    <m/>
  </r>
  <r>
    <d v="2025-08-31T00:00:00"/>
    <m/>
    <x v="9"/>
    <m/>
    <n v="100"/>
    <x v="0"/>
    <m/>
    <m/>
    <m/>
    <m/>
    <m/>
    <m/>
    <s v="Malar Salary"/>
  </r>
  <r>
    <d v="2025-08-31T00:00:00"/>
    <m/>
    <x v="9"/>
    <m/>
    <n v="4500"/>
    <x v="0"/>
    <m/>
    <m/>
    <m/>
    <m/>
    <m/>
    <m/>
    <s v="Saranya Salary"/>
  </r>
  <r>
    <d v="2025-08-31T00:00:00"/>
    <m/>
    <x v="9"/>
    <m/>
    <n v="6500"/>
    <x v="0"/>
    <m/>
    <m/>
    <m/>
    <m/>
    <m/>
    <m/>
    <s v="Malar Salary"/>
  </r>
</pivotCacheRecords>
</file>

<file path=xl/pivotCache/pivotCacheRecords10.xml><?xml version="1.0" encoding="utf-8"?>
<pivotCacheRecords xmlns="http://schemas.openxmlformats.org/spreadsheetml/2006/main" xmlns:r="http://schemas.openxmlformats.org/officeDocument/2006/relationships" count="143">
  <r>
    <d v="2025-07-01T00:00:00"/>
    <m/>
    <s v="Opening Balance"/>
    <n v="-14611"/>
    <m/>
    <m/>
    <m/>
    <m/>
  </r>
  <r>
    <d v="2025-07-01T00:00:00"/>
    <s v="INV-234"/>
    <s v="Sales"/>
    <n v="410"/>
    <m/>
    <s v="Cash"/>
    <m/>
    <m/>
  </r>
  <r>
    <d v="2025-07-01T00:00:00"/>
    <s v="INV-235"/>
    <s v="Sales"/>
    <n v="1330"/>
    <m/>
    <s v="Riluwan(Nagore)"/>
    <m/>
    <m/>
  </r>
  <r>
    <d v="2025-07-01T00:00:00"/>
    <s v="INV-236"/>
    <s v="Sales"/>
    <n v="240"/>
    <m/>
    <s v="Ansari"/>
    <m/>
    <m/>
  </r>
  <r>
    <d v="2025-07-01T00:00:00"/>
    <m/>
    <s v="Expences"/>
    <m/>
    <n v="210"/>
    <m/>
    <m/>
    <m/>
  </r>
  <r>
    <d v="2025-07-02T00:00:00"/>
    <m/>
    <s v="Ginger Purchase"/>
    <m/>
    <n v="2200"/>
    <m/>
    <m/>
    <m/>
  </r>
  <r>
    <d v="2025-07-02T00:00:00"/>
    <m/>
    <s v="Expences"/>
    <m/>
    <n v="447"/>
    <m/>
    <m/>
    <m/>
  </r>
  <r>
    <d v="2025-07-02T00:00:00"/>
    <s v="INV-237"/>
    <s v="Sales"/>
    <n v="3000"/>
    <m/>
    <s v="Riluwan(Nagore)"/>
    <m/>
    <m/>
  </r>
  <r>
    <d v="2025-07-02T00:00:00"/>
    <s v="INV-238"/>
    <s v="Sales"/>
    <n v="80"/>
    <m/>
    <s v="Cash"/>
    <m/>
    <m/>
  </r>
  <r>
    <d v="2025-07-03T00:00:00"/>
    <m/>
    <s v="Staff Salary"/>
    <m/>
    <n v="2000"/>
    <m/>
    <m/>
    <s v="Salary Advance - Malar"/>
  </r>
  <r>
    <d v="2025-07-03T00:00:00"/>
    <s v="INV-239"/>
    <s v="Sales"/>
    <n v="3630"/>
    <m/>
    <s v="Riluwan(Nagore)"/>
    <m/>
    <m/>
  </r>
  <r>
    <d v="2025-07-03T00:00:00"/>
    <s v="INV-240"/>
    <s v="Sales"/>
    <n v="40"/>
    <m/>
    <s v="Cash"/>
    <m/>
    <m/>
  </r>
  <r>
    <d v="2025-07-03T00:00:00"/>
    <m/>
    <s v="Expences"/>
    <m/>
    <n v="25"/>
    <m/>
    <m/>
    <m/>
  </r>
  <r>
    <d v="2025-07-04T00:00:00"/>
    <s v="INV-241"/>
    <s v="Sales"/>
    <n v="40"/>
    <m/>
    <s v="Cash"/>
    <m/>
    <m/>
  </r>
  <r>
    <d v="2025-07-04T00:00:00"/>
    <s v="INV-242"/>
    <s v="Sales"/>
    <n v="3310"/>
    <m/>
    <s v="Market Shop"/>
    <m/>
    <m/>
  </r>
  <r>
    <d v="2025-07-04T00:00:00"/>
    <s v="INV-243"/>
    <s v="Sales"/>
    <n v="280"/>
    <m/>
    <s v="Faisal(Nagai)"/>
    <m/>
    <m/>
  </r>
  <r>
    <d v="2025-07-04T00:00:00"/>
    <m/>
    <s v="Expences"/>
    <m/>
    <n v="25"/>
    <m/>
    <m/>
    <m/>
  </r>
  <r>
    <d v="2025-07-04T00:00:00"/>
    <m/>
    <s v="Petrol"/>
    <m/>
    <n v="400"/>
    <m/>
    <m/>
    <m/>
  </r>
  <r>
    <d v="2025-07-05T00:00:00"/>
    <s v="INV-244"/>
    <s v="Sales"/>
    <n v="700"/>
    <m/>
    <s v="Faisal(Nagai)"/>
    <m/>
    <m/>
  </r>
  <r>
    <d v="2025-07-05T00:00:00"/>
    <s v="INV-245"/>
    <s v="Sales"/>
    <n v="720"/>
    <m/>
    <s v="Market Shop"/>
    <m/>
    <m/>
  </r>
  <r>
    <d v="2025-07-05T00:00:00"/>
    <s v="INV-246"/>
    <s v="Sales"/>
    <n v="1900"/>
    <m/>
    <s v="Riluwan(Nagore)"/>
    <m/>
    <m/>
  </r>
  <r>
    <d v="2025-07-06T00:00:00"/>
    <s v="INV-247"/>
    <s v="Sales"/>
    <n v="480"/>
    <m/>
    <s v="Ansari"/>
    <m/>
    <m/>
  </r>
  <r>
    <d v="2025-07-06T00:00:00"/>
    <s v="INV-248"/>
    <s v="Sales"/>
    <n v="180"/>
    <m/>
    <s v="Market Shop"/>
    <m/>
    <m/>
  </r>
  <r>
    <d v="2025-07-06T00:00:00"/>
    <s v="INV-249"/>
    <s v="Sales"/>
    <n v="1275"/>
    <m/>
    <s v="Riluwan(Nagore)"/>
    <m/>
    <m/>
  </r>
  <r>
    <d v="2025-07-06T00:00:00"/>
    <m/>
    <s v="Rent"/>
    <m/>
    <n v="9000"/>
    <m/>
    <m/>
    <m/>
  </r>
  <r>
    <d v="2025-07-07T00:00:00"/>
    <s v="INV-250"/>
    <s v="Sales"/>
    <n v="2240"/>
    <m/>
    <s v="Riluwan(Nagore)"/>
    <m/>
    <m/>
  </r>
  <r>
    <d v="2025-07-07T00:00:00"/>
    <s v="INV-251"/>
    <s v="Sales"/>
    <n v="600"/>
    <m/>
    <s v="Market Shop"/>
    <m/>
    <m/>
  </r>
  <r>
    <d v="2025-07-07T00:00:00"/>
    <s v="INV-252"/>
    <s v="Sales"/>
    <n v="100"/>
    <m/>
    <s v="Ansari"/>
    <m/>
    <m/>
  </r>
  <r>
    <d v="2025-07-07T00:00:00"/>
    <m/>
    <s v="Expences"/>
    <m/>
    <n v="50"/>
    <m/>
    <m/>
    <m/>
  </r>
  <r>
    <d v="2025-07-08T00:00:00"/>
    <s v="INV-253"/>
    <s v="Sales"/>
    <n v="80"/>
    <m/>
    <s v="Cash"/>
    <m/>
    <m/>
  </r>
  <r>
    <d v="2025-07-08T00:00:00"/>
    <s v="INV-254"/>
    <s v="Sales"/>
    <n v="100"/>
    <m/>
    <s v="Hassan"/>
    <m/>
    <m/>
  </r>
  <r>
    <d v="2025-07-08T00:00:00"/>
    <s v="INV-255"/>
    <s v="Sales"/>
    <n v="100"/>
    <m/>
    <s v="Ansari"/>
    <m/>
    <m/>
  </r>
  <r>
    <d v="2025-07-08T00:00:00"/>
    <s v="INV-256"/>
    <s v="Sales"/>
    <n v="1260"/>
    <m/>
    <s v="Market Shop"/>
    <m/>
    <m/>
  </r>
  <r>
    <d v="2025-07-08T00:00:00"/>
    <m/>
    <s v="Garlic Purchase"/>
    <m/>
    <n v="1800"/>
    <m/>
    <m/>
    <m/>
  </r>
  <r>
    <d v="2025-07-08T00:00:00"/>
    <m/>
    <s v="Expences"/>
    <m/>
    <n v="25"/>
    <m/>
    <m/>
    <m/>
  </r>
  <r>
    <d v="2025-07-09T00:00:00"/>
    <s v="INV-257"/>
    <s v="Sales"/>
    <n v="3100"/>
    <m/>
    <s v="Riluwan(Nagore)"/>
    <m/>
    <m/>
  </r>
  <r>
    <d v="2025-07-09T00:00:00"/>
    <s v="INV-258"/>
    <s v="Sales"/>
    <n v="1650"/>
    <m/>
    <s v="Market Shop"/>
    <m/>
    <m/>
  </r>
  <r>
    <d v="2025-07-10T00:00:00"/>
    <s v="INV-259"/>
    <s v="Sales"/>
    <n v="720"/>
    <m/>
    <s v="Market Shop"/>
    <m/>
    <m/>
  </r>
  <r>
    <d v="2025-07-10T00:00:00"/>
    <s v="INV-260"/>
    <s v="Sales"/>
    <n v="240"/>
    <m/>
    <s v="Ansari"/>
    <m/>
    <m/>
  </r>
  <r>
    <d v="2025-07-10T00:00:00"/>
    <s v="INV-261"/>
    <s v="Sales"/>
    <n v="1900"/>
    <m/>
    <s v="Riluwan(Nagore)"/>
    <m/>
    <m/>
  </r>
  <r>
    <d v="2025-07-10T00:00:00"/>
    <m/>
    <s v="Expences"/>
    <m/>
    <n v="185"/>
    <m/>
    <m/>
    <m/>
  </r>
  <r>
    <d v="2025-07-11T00:00:00"/>
    <m/>
    <s v="Garlic Purchase"/>
    <m/>
    <n v="3960"/>
    <m/>
    <m/>
    <m/>
  </r>
  <r>
    <d v="2025-07-11T00:00:00"/>
    <m/>
    <s v="Ginger Purchase"/>
    <m/>
    <n v="4400"/>
    <m/>
    <m/>
    <m/>
  </r>
  <r>
    <d v="2025-07-11T00:00:00"/>
    <s v="INV-262"/>
    <s v="Sales"/>
    <n v="5490"/>
    <m/>
    <s v="Riluwan(Nagore)"/>
    <m/>
    <m/>
  </r>
  <r>
    <d v="2025-07-11T00:00:00"/>
    <s v="INV-263"/>
    <s v="Sales"/>
    <n v="2880"/>
    <m/>
    <s v="Market Shop"/>
    <m/>
    <m/>
  </r>
  <r>
    <d v="2025-07-11T00:00:00"/>
    <s v="INV-264"/>
    <s v="Sales"/>
    <n v="80"/>
    <m/>
    <s v="Cash"/>
    <m/>
    <m/>
  </r>
  <r>
    <d v="2025-07-11T00:00:00"/>
    <s v="INV-265"/>
    <s v="Sales"/>
    <n v="8000"/>
    <m/>
    <s v="Ansari"/>
    <m/>
    <s v="MGK - Paid"/>
  </r>
  <r>
    <d v="2025-07-11T00:00:00"/>
    <s v="INV-266"/>
    <s v="Sales"/>
    <n v="1260"/>
    <m/>
    <s v="Faisal(Nagai)"/>
    <m/>
    <m/>
  </r>
  <r>
    <d v="2025-07-11T00:00:00"/>
    <m/>
    <s v="Staff Salary"/>
    <m/>
    <n v="300"/>
    <m/>
    <m/>
    <m/>
  </r>
  <r>
    <d v="2025-07-11T00:00:00"/>
    <m/>
    <s v="Petrol"/>
    <m/>
    <n v="400"/>
    <m/>
    <m/>
    <m/>
  </r>
  <r>
    <d v="2025-07-11T00:00:00"/>
    <m/>
    <s v="Expences"/>
    <m/>
    <n v="758"/>
    <m/>
    <m/>
    <m/>
  </r>
  <r>
    <d v="2025-07-12T00:00:00"/>
    <m/>
    <s v="Garlic Purchase"/>
    <m/>
    <n v="900"/>
    <m/>
    <m/>
    <m/>
  </r>
  <r>
    <d v="2025-07-12T00:00:00"/>
    <m/>
    <s v="Ginger Purchase"/>
    <m/>
    <n v="2100"/>
    <m/>
    <m/>
    <m/>
  </r>
  <r>
    <d v="2025-07-12T00:00:00"/>
    <s v="INV-267"/>
    <s v="Sales"/>
    <n v="4800"/>
    <m/>
    <s v="Halidh Cook"/>
    <m/>
    <m/>
  </r>
  <r>
    <d v="2025-07-12T00:00:00"/>
    <s v="INV-268"/>
    <s v="Sales"/>
    <n v="600"/>
    <m/>
    <s v="Market Shop"/>
    <m/>
    <m/>
  </r>
  <r>
    <d v="2025-07-12T00:00:00"/>
    <s v="INV-269"/>
    <s v="Sales"/>
    <n v="12480"/>
    <m/>
    <s v="Riluwan(Nagore)"/>
    <m/>
    <m/>
  </r>
  <r>
    <d v="2025-07-12T00:00:00"/>
    <m/>
    <s v="Staff Salary"/>
    <m/>
    <n v="300"/>
    <m/>
    <m/>
    <m/>
  </r>
  <r>
    <d v="2025-07-12T00:00:00"/>
    <m/>
    <s v="Expences"/>
    <m/>
    <n v="238"/>
    <m/>
    <m/>
    <m/>
  </r>
  <r>
    <d v="2025-07-13T00:00:00"/>
    <s v="INV-270"/>
    <s v="Sales"/>
    <n v="4175"/>
    <m/>
    <s v="Riluwan(Nagore)"/>
    <m/>
    <m/>
  </r>
  <r>
    <d v="2025-07-13T00:00:00"/>
    <s v="INV-271"/>
    <s v="Sales"/>
    <n v="1020"/>
    <m/>
    <s v="Market Shop"/>
    <m/>
    <m/>
  </r>
  <r>
    <d v="2025-07-14T00:00:00"/>
    <s v="INV-272"/>
    <s v="Sales"/>
    <n v="3985"/>
    <m/>
    <s v="Riluwan(Nagore)"/>
    <m/>
    <m/>
  </r>
  <r>
    <d v="2025-07-14T00:00:00"/>
    <s v="INV-273"/>
    <s v="Sales"/>
    <n v="40"/>
    <m/>
    <s v="Cash"/>
    <m/>
    <m/>
  </r>
  <r>
    <d v="2025-07-14T00:00:00"/>
    <m/>
    <s v="Expences"/>
    <m/>
    <n v="210"/>
    <m/>
    <m/>
    <m/>
  </r>
  <r>
    <d v="2025-07-15T00:00:00"/>
    <m/>
    <s v="Garlic Purchase"/>
    <m/>
    <n v="900"/>
    <m/>
    <m/>
    <m/>
  </r>
  <r>
    <d v="2025-07-15T00:00:00"/>
    <m/>
    <s v="Ginger Purchase"/>
    <m/>
    <n v="2200"/>
    <m/>
    <m/>
    <m/>
  </r>
  <r>
    <d v="2025-07-15T00:00:00"/>
    <s v="INV-274"/>
    <s v="Sales"/>
    <n v="1200"/>
    <m/>
    <s v="Riluwan(Nagore)"/>
    <m/>
    <m/>
  </r>
  <r>
    <d v="2025-07-15T00:00:00"/>
    <s v="INV-275"/>
    <s v="Sales"/>
    <n v="40"/>
    <m/>
    <s v="Cash"/>
    <m/>
    <m/>
  </r>
  <r>
    <d v="2025-07-15T00:00:00"/>
    <s v="INV-276"/>
    <s v="Sales"/>
    <n v="180"/>
    <m/>
    <s v="Market Shop"/>
    <m/>
    <m/>
  </r>
  <r>
    <d v="2025-07-15T00:00:00"/>
    <s v="INV-277"/>
    <s v="Sales"/>
    <n v="420"/>
    <m/>
    <s v="Faisal(Nagai)"/>
    <m/>
    <m/>
  </r>
  <r>
    <d v="2025-07-15T00:00:00"/>
    <m/>
    <s v="Expences"/>
    <m/>
    <n v="45"/>
    <m/>
    <m/>
    <m/>
  </r>
  <r>
    <d v="2025-07-16T00:00:00"/>
    <s v="INV-278"/>
    <s v="Sales"/>
    <n v="150"/>
    <m/>
    <s v="Cash"/>
    <m/>
    <m/>
  </r>
  <r>
    <d v="2025-07-16T00:00:00"/>
    <s v="INV-279"/>
    <s v="Sales"/>
    <n v="2500"/>
    <m/>
    <s v="Riluwan(Nagore)"/>
    <m/>
    <m/>
  </r>
  <r>
    <d v="2025-07-16T00:00:00"/>
    <m/>
    <s v="Expences"/>
    <m/>
    <n v="25"/>
    <m/>
    <m/>
    <m/>
  </r>
  <r>
    <d v="2025-07-17T00:00:00"/>
    <s v="INV-280"/>
    <s v="Sales"/>
    <n v="3855"/>
    <m/>
    <s v="Riluwan(Nagore)"/>
    <m/>
    <m/>
  </r>
  <r>
    <d v="2025-07-17T00:00:00"/>
    <m/>
    <s v="Expences"/>
    <m/>
    <n v="25"/>
    <m/>
    <m/>
    <m/>
  </r>
  <r>
    <d v="2025-07-17T00:00:00"/>
    <m/>
    <s v="Bills"/>
    <m/>
    <n v="550"/>
    <m/>
    <m/>
    <s v="Wifi Bill"/>
  </r>
  <r>
    <d v="2025-07-18T00:00:00"/>
    <s v="INV-281"/>
    <s v="Sales"/>
    <n v="2370"/>
    <m/>
    <s v="Riluwan(Nagore)"/>
    <m/>
    <m/>
  </r>
  <r>
    <d v="2025-07-18T00:00:00"/>
    <s v="INV-282"/>
    <s v="Sales"/>
    <n v="170"/>
    <m/>
    <s v="Cash"/>
    <m/>
    <m/>
  </r>
  <r>
    <d v="2025-07-18T00:00:00"/>
    <s v="INV-283"/>
    <s v="Sales"/>
    <n v="910"/>
    <m/>
    <s v="Market Shop"/>
    <m/>
    <m/>
  </r>
  <r>
    <d v="2025-07-18T00:00:00"/>
    <m/>
    <s v="Petrol"/>
    <m/>
    <n v="400"/>
    <m/>
    <m/>
    <m/>
  </r>
  <r>
    <d v="2025-07-18T00:00:00"/>
    <m/>
    <s v="Expences"/>
    <m/>
    <n v="50"/>
    <m/>
    <m/>
    <m/>
  </r>
  <r>
    <d v="2025-07-19T00:00:00"/>
    <m/>
    <s v="Ginger Purchase"/>
    <m/>
    <n v="2500"/>
    <m/>
    <m/>
    <m/>
  </r>
  <r>
    <d v="2025-07-19T00:00:00"/>
    <m/>
    <s v="Garlic Purchase"/>
    <m/>
    <n v="900"/>
    <m/>
    <m/>
    <m/>
  </r>
  <r>
    <d v="2025-07-19T00:00:00"/>
    <s v="INV-284"/>
    <s v="Sales"/>
    <n v="1930"/>
    <m/>
    <s v="Market Shop"/>
    <m/>
    <m/>
  </r>
  <r>
    <d v="2025-07-19T00:00:00"/>
    <s v="INV-285"/>
    <s v="Sales"/>
    <n v="10630"/>
    <m/>
    <s v="Riluwan(Nagore)"/>
    <m/>
    <m/>
  </r>
  <r>
    <d v="2025-07-19T00:00:00"/>
    <s v="INV-286"/>
    <s v="Sales"/>
    <n v="4500"/>
    <m/>
    <s v="Ansari"/>
    <m/>
    <m/>
  </r>
  <r>
    <d v="2025-07-19T00:00:00"/>
    <m/>
    <s v="Staff Salary"/>
    <m/>
    <n v="100"/>
    <m/>
    <m/>
    <s v="Temp Staff"/>
  </r>
  <r>
    <d v="2025-07-19T00:00:00"/>
    <m/>
    <s v="Expences"/>
    <m/>
    <n v="500"/>
    <m/>
    <m/>
    <m/>
  </r>
  <r>
    <d v="2025-07-20T00:00:00"/>
    <s v="INV-287"/>
    <s v="Sales"/>
    <n v="1850"/>
    <m/>
    <s v="Riluwan(Nagore)"/>
    <m/>
    <m/>
  </r>
  <r>
    <d v="2025-07-20T00:00:00"/>
    <m/>
    <s v="Expences"/>
    <m/>
    <n v="30"/>
    <m/>
    <m/>
    <m/>
  </r>
  <r>
    <d v="2025-07-20T00:00:00"/>
    <s v="INV-288"/>
    <s v="Sales"/>
    <n v="920"/>
    <m/>
    <s v="Market Shop"/>
    <m/>
    <m/>
  </r>
  <r>
    <d v="2025-07-20T00:00:00"/>
    <s v="INV-289"/>
    <s v="Sales"/>
    <n v="480"/>
    <m/>
    <s v="Cash"/>
    <m/>
    <m/>
  </r>
  <r>
    <d v="2025-07-21T00:00:00"/>
    <s v="INV-290"/>
    <s v="Sales"/>
    <n v="5645"/>
    <m/>
    <s v="Riluwan(Nagore)"/>
    <m/>
    <m/>
  </r>
  <r>
    <d v="2025-07-21T00:00:00"/>
    <s v="INV-291"/>
    <s v="Sales"/>
    <n v="1450"/>
    <m/>
    <s v="Cash"/>
    <m/>
    <m/>
  </r>
  <r>
    <d v="2025-07-21T00:00:00"/>
    <m/>
    <s v="Ginger Purchase"/>
    <m/>
    <n v="2800"/>
    <m/>
    <m/>
    <m/>
  </r>
  <r>
    <d v="2025-07-21T00:00:00"/>
    <m/>
    <s v="Garlic Purchase"/>
    <m/>
    <n v="900"/>
    <m/>
    <m/>
    <m/>
  </r>
  <r>
    <d v="2025-07-21T00:00:00"/>
    <s v="INV-292"/>
    <s v="Sales"/>
    <n v="1200"/>
    <m/>
    <s v="Market Shop"/>
    <m/>
    <m/>
  </r>
  <r>
    <d v="2025-07-22T00:00:00"/>
    <s v="INV-293"/>
    <s v="Sales"/>
    <n v="750"/>
    <m/>
    <s v="Cash"/>
    <m/>
    <m/>
  </r>
  <r>
    <d v="2025-07-22T00:00:00"/>
    <s v="INV-294"/>
    <s v="Sales"/>
    <n v="280"/>
    <m/>
    <s v="Cash"/>
    <m/>
    <m/>
  </r>
  <r>
    <d v="2025-07-22T00:00:00"/>
    <s v="INV-295"/>
    <s v="Sales"/>
    <n v="980"/>
    <m/>
    <s v="Riluwan(Nagore)"/>
    <m/>
    <m/>
  </r>
  <r>
    <d v="2025-07-22T00:00:00"/>
    <m/>
    <s v="Staff Salary"/>
    <m/>
    <n v="100"/>
    <m/>
    <m/>
    <s v="Malar"/>
  </r>
  <r>
    <d v="2025-07-22T00:00:00"/>
    <m/>
    <s v="Others"/>
    <m/>
    <n v="1277"/>
    <m/>
    <m/>
    <s v="Ungal Kadai"/>
  </r>
  <r>
    <d v="2025-07-22T00:00:00"/>
    <m/>
    <s v="Others"/>
    <m/>
    <n v="1100"/>
    <m/>
    <m/>
    <s v="Bucket *11"/>
  </r>
  <r>
    <d v="2025-07-22T00:00:00"/>
    <m/>
    <s v="Expences"/>
    <m/>
    <n v="210"/>
    <m/>
    <m/>
    <m/>
  </r>
  <r>
    <d v="2025-07-22T00:00:00"/>
    <m/>
    <s v="Others"/>
    <m/>
    <n v="200"/>
    <m/>
    <m/>
    <m/>
  </r>
  <r>
    <d v="2025-07-23T00:00:00"/>
    <s v="INV-298"/>
    <s v="Sales"/>
    <n v="2250"/>
    <m/>
    <m/>
    <m/>
    <m/>
  </r>
  <r>
    <d v="2025-07-23T00:00:00"/>
    <s v="INV-299"/>
    <s v="Sales"/>
    <n v="150"/>
    <m/>
    <m/>
    <m/>
    <m/>
  </r>
  <r>
    <d v="2025-07-23T00:00:00"/>
    <s v="P-93"/>
    <s v="Garlic Purchase"/>
    <m/>
    <n v="21375"/>
    <m/>
    <m/>
    <m/>
  </r>
  <r>
    <d v="2025-07-23T00:00:00"/>
    <m/>
    <s v="Others"/>
    <m/>
    <n v="150"/>
    <m/>
    <m/>
    <m/>
  </r>
  <r>
    <d v="2025-07-23T00:00:00"/>
    <s v="INV-300"/>
    <s v="Sales"/>
    <n v="200"/>
    <m/>
    <m/>
    <m/>
    <m/>
  </r>
  <r>
    <d v="2025-07-24T00:00:00"/>
    <s v="INV-301"/>
    <s v="Sales"/>
    <n v="450"/>
    <m/>
    <m/>
    <m/>
    <m/>
  </r>
  <r>
    <d v="2025-07-24T00:00:00"/>
    <s v="P-94"/>
    <s v="Ginger Purchase"/>
    <m/>
    <n v="3000"/>
    <m/>
    <m/>
    <m/>
  </r>
  <r>
    <d v="2025-07-24T00:00:00"/>
    <m/>
    <s v="Expences"/>
    <m/>
    <n v="780"/>
    <m/>
    <m/>
    <s v="Ansari - Frame &amp; Belt"/>
  </r>
  <r>
    <d v="2025-07-24T00:00:00"/>
    <m/>
    <s v="Petrol"/>
    <m/>
    <n v="200"/>
    <m/>
    <m/>
    <s v="Ansari "/>
  </r>
  <r>
    <d v="2025-07-24T00:00:00"/>
    <m/>
    <s v="Expences"/>
    <m/>
    <n v="4336"/>
    <m/>
    <m/>
    <s v="Ansari - FSSAI pre bal"/>
  </r>
  <r>
    <d v="2025-07-24T00:00:00"/>
    <m/>
    <s v="Staff Salary"/>
    <m/>
    <n v="3000"/>
    <m/>
    <m/>
    <s v="Malar"/>
  </r>
  <r>
    <d v="2025-07-25T00:00:00"/>
    <s v="INV-302"/>
    <s v="Sales"/>
    <n v="280"/>
    <m/>
    <m/>
    <m/>
    <m/>
  </r>
  <r>
    <d v="2025-07-25T00:00:00"/>
    <s v="INV-303"/>
    <s v="Sales"/>
    <n v="2400"/>
    <m/>
    <m/>
    <m/>
    <m/>
  </r>
  <r>
    <d v="2025-07-25T00:00:00"/>
    <s v="INV-304"/>
    <s v="Sales"/>
    <n v="5850"/>
    <m/>
    <m/>
    <m/>
    <m/>
  </r>
  <r>
    <d v="2025-07-25T00:00:00"/>
    <s v="INV-305"/>
    <s v="Sales"/>
    <n v="750"/>
    <m/>
    <m/>
    <m/>
    <s v="Cash with Malar"/>
  </r>
  <r>
    <d v="2025-07-25T00:00:00"/>
    <s v="INV-306"/>
    <s v="Sales"/>
    <n v="210"/>
    <m/>
    <m/>
    <m/>
    <s v="Faisal Nagai - Unpaid"/>
  </r>
  <r>
    <d v="2025-07-26T00:00:00"/>
    <s v="INV-307"/>
    <s v="Sales"/>
    <n v="13840"/>
    <m/>
    <m/>
    <m/>
    <m/>
  </r>
  <r>
    <d v="2025-07-26T00:00:00"/>
    <s v="INV-308"/>
    <s v="Sales"/>
    <n v="200"/>
    <m/>
    <m/>
    <m/>
    <m/>
  </r>
  <r>
    <d v="2025-07-26T00:00:00"/>
    <m/>
    <s v="Expences"/>
    <m/>
    <n v="160"/>
    <m/>
    <m/>
    <m/>
  </r>
  <r>
    <d v="2025-07-27T00:00:00"/>
    <s v="INV-309"/>
    <s v="Sales"/>
    <n v="300"/>
    <m/>
    <m/>
    <m/>
    <m/>
  </r>
  <r>
    <d v="2025-07-27T00:00:00"/>
    <s v="INV-310"/>
    <s v="Sales"/>
    <n v="80"/>
    <m/>
    <m/>
    <m/>
    <m/>
  </r>
  <r>
    <d v="2025-07-27T00:00:00"/>
    <s v="INV-311"/>
    <s v="Sales"/>
    <n v="6000"/>
    <m/>
    <m/>
    <m/>
    <m/>
  </r>
  <r>
    <d v="2025-07-27T00:00:00"/>
    <s v="P-95"/>
    <s v="Ginger Purchase"/>
    <m/>
    <n v="3200"/>
    <m/>
    <m/>
    <m/>
  </r>
  <r>
    <d v="2025-07-28T00:00:00"/>
    <s v="INV-312"/>
    <s v="Sales"/>
    <n v="940"/>
    <m/>
    <m/>
    <m/>
    <m/>
  </r>
  <r>
    <d v="2025-07-28T00:00:00"/>
    <s v="INV-313"/>
    <s v="Sales"/>
    <n v="2000"/>
    <m/>
    <m/>
    <m/>
    <m/>
  </r>
  <r>
    <d v="2025-07-29T00:00:00"/>
    <m/>
    <s v="Bills"/>
    <m/>
    <n v="350"/>
    <m/>
    <m/>
    <s v="Company phone Rechange"/>
  </r>
  <r>
    <d v="2025-07-29T00:00:00"/>
    <s v="P-96"/>
    <s v="Ginger Purchase"/>
    <m/>
    <n v="3200"/>
    <m/>
    <m/>
    <m/>
  </r>
  <r>
    <d v="2025-07-29T00:00:00"/>
    <s v="INV-314"/>
    <s v="Sales"/>
    <n v="300"/>
    <m/>
    <m/>
    <m/>
    <s v="Cash"/>
  </r>
  <r>
    <d v="2025-07-29T00:00:00"/>
    <s v="INV-315"/>
    <s v="Sales"/>
    <n v="150"/>
    <m/>
    <m/>
    <m/>
    <s v="Gpay"/>
  </r>
  <r>
    <d v="2025-07-29T00:00:00"/>
    <s v="INV-316"/>
    <s v="Sales"/>
    <n v="1860"/>
    <m/>
    <m/>
    <m/>
    <m/>
  </r>
  <r>
    <d v="2025-07-30T00:00:00"/>
    <s v="INV-317"/>
    <s v="Sales"/>
    <n v="3795"/>
    <m/>
    <m/>
    <m/>
    <m/>
  </r>
  <r>
    <d v="2025-07-30T00:00:00"/>
    <s v="INV-318"/>
    <s v="Sales"/>
    <n v="830"/>
    <m/>
    <m/>
    <m/>
    <m/>
  </r>
  <r>
    <d v="2025-07-31T00:00:00"/>
    <s v="INV-319"/>
    <s v="Sales"/>
    <n v="150"/>
    <m/>
    <m/>
    <m/>
    <m/>
  </r>
  <r>
    <d v="2025-07-31T00:00:00"/>
    <s v="INV-320"/>
    <s v="Sales"/>
    <n v="3825"/>
    <m/>
    <m/>
    <m/>
    <m/>
  </r>
  <r>
    <d v="2025-07-31T00:00:00"/>
    <s v="INV-321"/>
    <s v="Sales"/>
    <n v="1020"/>
    <m/>
    <m/>
    <m/>
    <m/>
  </r>
  <r>
    <d v="2025-07-31T00:00:00"/>
    <m/>
    <s v="Expences"/>
    <m/>
    <n v="50"/>
    <m/>
    <m/>
    <m/>
  </r>
  <r>
    <d v="2025-07-31T00:00:00"/>
    <m/>
    <s v="Staff Salary"/>
    <m/>
    <n v="4800"/>
    <m/>
    <m/>
    <s v="Maheswari Salary"/>
  </r>
  <r>
    <d v="2025-07-31T00:00:00"/>
    <m/>
    <s v="Staff Salary"/>
    <m/>
    <n v="150"/>
    <m/>
    <m/>
    <s v="Malar OT"/>
  </r>
</pivotCacheRecords>
</file>

<file path=xl/pivotCache/pivotCacheRecords11.xml><?xml version="1.0" encoding="utf-8"?>
<pivotCacheRecords xmlns="http://schemas.openxmlformats.org/spreadsheetml/2006/main" xmlns:r="http://schemas.openxmlformats.org/officeDocument/2006/relationships" count="119">
  <r>
    <x v="0"/>
    <x v="0"/>
    <m/>
    <n v="62"/>
    <n v="90"/>
    <m/>
    <n v="5580"/>
    <s v="Rs90 per kg"/>
  </r>
  <r>
    <x v="1"/>
    <x v="1"/>
    <m/>
    <n v="40"/>
    <n v="47.5"/>
    <n v="200"/>
    <n v="2100"/>
    <m/>
  </r>
  <r>
    <x v="2"/>
    <x v="0"/>
    <m/>
    <n v="76"/>
    <n v="85"/>
    <n v="560"/>
    <n v="7020"/>
    <m/>
  </r>
  <r>
    <x v="3"/>
    <x v="0"/>
    <m/>
    <n v="66"/>
    <n v="80"/>
    <n v="520"/>
    <n v="5800"/>
    <s v="Advance payment"/>
  </r>
  <r>
    <x v="3"/>
    <x v="1"/>
    <m/>
    <n v="30"/>
    <m/>
    <m/>
    <n v="1300"/>
    <m/>
  </r>
  <r>
    <x v="4"/>
    <x v="1"/>
    <m/>
    <n v="60"/>
    <n v="40"/>
    <n v="100"/>
    <n v="2500"/>
    <m/>
  </r>
  <r>
    <x v="5"/>
    <x v="0"/>
    <s v="PK Garlic Vadugapatti"/>
    <n v="160"/>
    <n v="80"/>
    <n v="1050"/>
    <n v="13850"/>
    <m/>
  </r>
  <r>
    <x v="6"/>
    <x v="1"/>
    <s v="Local Purchase"/>
    <n v="20"/>
    <n v="60"/>
    <m/>
    <n v="1200"/>
    <m/>
  </r>
  <r>
    <x v="7"/>
    <x v="0"/>
    <s v="PK Garlic Vadugapatti"/>
    <n v="98"/>
    <n v="80"/>
    <n v="685"/>
    <n v="8525"/>
    <m/>
  </r>
  <r>
    <x v="7"/>
    <x v="1"/>
    <s v="Bala Vegetables"/>
    <n v="56"/>
    <n v="43"/>
    <n v="100"/>
    <n v="2500"/>
    <m/>
  </r>
  <r>
    <x v="8"/>
    <x v="1"/>
    <s v="Bala Vegetables"/>
    <n v="56"/>
    <n v="43"/>
    <n v="100"/>
    <n v="2500"/>
    <m/>
  </r>
  <r>
    <x v="9"/>
    <x v="0"/>
    <s v="PK Garlic Vadugapatti"/>
    <n v="137"/>
    <n v="80"/>
    <n v="810"/>
    <n v="11770"/>
    <m/>
  </r>
  <r>
    <x v="10"/>
    <x v="1"/>
    <s v="Bala Vegetables"/>
    <n v="56"/>
    <n v="42.85"/>
    <n v="100.4"/>
    <n v="2500"/>
    <m/>
  </r>
  <r>
    <x v="11"/>
    <x v="0"/>
    <s v="PK Garlic Vadugapatti"/>
    <n v="165"/>
    <n v="80"/>
    <n v="1010"/>
    <n v="14210"/>
    <m/>
  </r>
  <r>
    <x v="11"/>
    <x v="1"/>
    <s v="Jakakodi Traders"/>
    <n v="56"/>
    <n v="38.39"/>
    <n v="100.16"/>
    <n v="2250"/>
    <m/>
  </r>
  <r>
    <x v="12"/>
    <x v="1"/>
    <s v="Jakakodi Traders"/>
    <n v="56"/>
    <n v="38.39"/>
    <n v="100.16"/>
    <n v="2250"/>
    <m/>
  </r>
  <r>
    <x v="13"/>
    <x v="1"/>
    <s v="Jakakodi Traders"/>
    <n v="56"/>
    <n v="38.39"/>
    <n v="100.16"/>
    <n v="2250"/>
    <m/>
  </r>
  <r>
    <x v="14"/>
    <x v="1"/>
    <s v="Jakakodi Traders"/>
    <n v="56"/>
    <n v="38.39"/>
    <n v="100.16"/>
    <n v="2250"/>
    <m/>
  </r>
  <r>
    <x v="15"/>
    <x v="1"/>
    <s v="Jakakodi Traders"/>
    <n v="56"/>
    <n v="38.39"/>
    <n v="100.16"/>
    <n v="2250"/>
    <m/>
  </r>
  <r>
    <x v="16"/>
    <x v="1"/>
    <s v="Ameen Bandary"/>
    <n v="5"/>
    <n v="50"/>
    <m/>
    <n v="250"/>
    <m/>
  </r>
  <r>
    <x v="16"/>
    <x v="0"/>
    <s v="Ameen Bandary"/>
    <n v="10"/>
    <n v="75"/>
    <m/>
    <n v="750"/>
    <m/>
  </r>
  <r>
    <x v="16"/>
    <x v="0"/>
    <s v="PK Garlic Vadugapatti"/>
    <n v="156"/>
    <n v="80"/>
    <n v="910"/>
    <n v="13390"/>
    <m/>
  </r>
  <r>
    <x v="17"/>
    <x v="1"/>
    <s v="Jakakodi Traders"/>
    <n v="56"/>
    <n v="38.39"/>
    <n v="100.16"/>
    <n v="2250"/>
    <m/>
  </r>
  <r>
    <x v="18"/>
    <x v="1"/>
    <s v="Jakakodi Traders"/>
    <n v="56"/>
    <n v="38.39"/>
    <n v="100.16"/>
    <n v="2250"/>
    <m/>
  </r>
  <r>
    <x v="19"/>
    <x v="1"/>
    <s v="Jakakodi Traders"/>
    <n v="56"/>
    <n v="38.39"/>
    <n v="100.16"/>
    <n v="2250"/>
    <m/>
  </r>
  <r>
    <x v="20"/>
    <x v="0"/>
    <s v="PK Garlic Vadugapatti"/>
    <n v="160"/>
    <n v="80"/>
    <n v="570"/>
    <n v="13370"/>
    <m/>
  </r>
  <r>
    <x v="20"/>
    <x v="0"/>
    <s v="PK Garlic Vadugapatti"/>
    <n v="120"/>
    <n v="85"/>
    <n v="1000"/>
    <n v="11200"/>
    <m/>
  </r>
  <r>
    <x v="20"/>
    <x v="1"/>
    <s v="Jakakodi Traders"/>
    <n v="56"/>
    <n v="38.39"/>
    <n v="100.16"/>
    <n v="2250"/>
    <m/>
  </r>
  <r>
    <x v="20"/>
    <x v="1"/>
    <s v="Jakakodi Traders"/>
    <n v="56"/>
    <n v="38.39"/>
    <n v="100.16"/>
    <n v="2250"/>
    <m/>
  </r>
  <r>
    <x v="21"/>
    <x v="1"/>
    <s v="Jakakodi Traders"/>
    <n v="56"/>
    <n v="38.39"/>
    <n v="100.16"/>
    <n v="2250"/>
    <m/>
  </r>
  <r>
    <x v="22"/>
    <x v="1"/>
    <s v="Jakakodi Traders"/>
    <n v="56"/>
    <n v="38.39"/>
    <n v="100.16"/>
    <n v="2250"/>
    <m/>
  </r>
  <r>
    <x v="23"/>
    <x v="1"/>
    <s v="Jakakodi Traders"/>
    <n v="56"/>
    <n v="38.39"/>
    <n v="100.16"/>
    <n v="2250"/>
    <m/>
  </r>
  <r>
    <x v="23"/>
    <x v="0"/>
    <s v="PK Garlic Vadugapatti"/>
    <n v="158"/>
    <n v="80"/>
    <n v="1020"/>
    <n v="13660"/>
    <m/>
  </r>
  <r>
    <x v="24"/>
    <x v="1"/>
    <s v="Jakakodi Traders"/>
    <n v="56"/>
    <n v="36.6"/>
    <n v="100.4"/>
    <n v="2150"/>
    <m/>
  </r>
  <r>
    <x v="25"/>
    <x v="0"/>
    <s v="Ameen Bandary"/>
    <n v="11"/>
    <n v="80"/>
    <m/>
    <n v="880"/>
    <m/>
  </r>
  <r>
    <x v="25"/>
    <x v="1"/>
    <s v="Ameen Bandary"/>
    <n v="15"/>
    <n v="50"/>
    <m/>
    <n v="750"/>
    <m/>
  </r>
  <r>
    <x v="26"/>
    <x v="1"/>
    <s v="Jakakodi Traders"/>
    <n v="56"/>
    <n v="38.39"/>
    <n v="100.16"/>
    <n v="2250"/>
    <m/>
  </r>
  <r>
    <x v="27"/>
    <x v="0"/>
    <s v="PK Garlic Vadugapatti"/>
    <n v="129"/>
    <n v="70"/>
    <m/>
    <n v="9030"/>
    <m/>
  </r>
  <r>
    <x v="27"/>
    <x v="0"/>
    <s v="PK Garlic Vadugapatti"/>
    <n v="87"/>
    <n v="75"/>
    <n v="1020"/>
    <n v="7545"/>
    <m/>
  </r>
  <r>
    <x v="27"/>
    <x v="1"/>
    <s v="Jakakodi Traders"/>
    <n v="56"/>
    <n v="36.6"/>
    <n v="100.4"/>
    <n v="2150"/>
    <m/>
  </r>
  <r>
    <x v="28"/>
    <x v="1"/>
    <s v="Jakakodi Traders"/>
    <n v="56"/>
    <n v="36.6"/>
    <n v="100.4"/>
    <n v="2150"/>
    <m/>
  </r>
  <r>
    <x v="29"/>
    <x v="0"/>
    <s v="PK Garlic Vadugapatti"/>
    <n v="192"/>
    <n v="75"/>
    <n v="1000"/>
    <n v="15400"/>
    <m/>
  </r>
  <r>
    <x v="30"/>
    <x v="1"/>
    <s v="Jakakodi Traders"/>
    <n v="56"/>
    <n v="36.6"/>
    <n v="100.4"/>
    <n v="2150"/>
    <m/>
  </r>
  <r>
    <x v="31"/>
    <x v="1"/>
    <s v="Jakakodi Traders"/>
    <n v="56"/>
    <n v="36.6"/>
    <n v="100.4"/>
    <n v="2150"/>
    <m/>
  </r>
  <r>
    <x v="32"/>
    <x v="1"/>
    <s v="Jakakodi Traders"/>
    <n v="54"/>
    <n v="33.33"/>
    <n v="100.18"/>
    <n v="1900"/>
    <m/>
  </r>
  <r>
    <x v="33"/>
    <x v="0"/>
    <s v="PK Garlic Vadugapatti"/>
    <n v="220"/>
    <n v="81.5"/>
    <n v="0"/>
    <n v="17930"/>
    <m/>
  </r>
  <r>
    <x v="34"/>
    <x v="1"/>
    <s v="Jakakodi Traders"/>
    <n v="52"/>
    <n v="33.65"/>
    <n v="0.2"/>
    <n v="1750"/>
    <m/>
  </r>
  <r>
    <x v="35"/>
    <x v="1"/>
    <s v="Jakakodi Traders"/>
    <n v="54"/>
    <n v="34.25"/>
    <n v="0.5"/>
    <n v="1850"/>
    <m/>
  </r>
  <r>
    <x v="36"/>
    <x v="0"/>
    <s v="PK Garlic Vadugapatti"/>
    <n v="388"/>
    <n v="70"/>
    <n v="2900"/>
    <n v="30060"/>
    <m/>
  </r>
  <r>
    <x v="36"/>
    <x v="0"/>
    <s v="PK Garlic Vadugapatti"/>
    <n v="197"/>
    <n v="65"/>
    <n v="0"/>
    <n v="12805"/>
    <m/>
  </r>
  <r>
    <x v="37"/>
    <x v="1"/>
    <s v="Jakakodi Traders"/>
    <n v="50"/>
    <n v="39"/>
    <n v="0"/>
    <n v="1950"/>
    <m/>
  </r>
  <r>
    <x v="38"/>
    <x v="1"/>
    <s v="Mass Traders"/>
    <n v="250"/>
    <n v="35"/>
    <n v="0"/>
    <n v="8750"/>
    <m/>
  </r>
  <r>
    <x v="39"/>
    <x v="0"/>
    <s v="Nilaa Wholesale Supplies"/>
    <n v="20"/>
    <n v="75"/>
    <n v="0"/>
    <n v="1500"/>
    <m/>
  </r>
  <r>
    <x v="40"/>
    <x v="1"/>
    <s v="Jakakodi Traders"/>
    <n v="50"/>
    <n v="43"/>
    <n v="0"/>
    <n v="2150"/>
    <m/>
  </r>
  <r>
    <x v="41"/>
    <x v="1"/>
    <s v="Jakakodi Traders"/>
    <n v="50"/>
    <n v="49"/>
    <n v="0"/>
    <n v="2450"/>
    <m/>
  </r>
  <r>
    <x v="42"/>
    <x v="1"/>
    <s v="Jakakodi Traders"/>
    <n v="25"/>
    <n v="49"/>
    <n v="50"/>
    <n v="1275"/>
    <m/>
  </r>
  <r>
    <x v="42"/>
    <x v="1"/>
    <s v="Nilaa Wholesale Supplies"/>
    <n v="8"/>
    <n v="50"/>
    <n v="0"/>
    <n v="400"/>
    <m/>
  </r>
  <r>
    <x v="42"/>
    <x v="0"/>
    <s v="Nilaa Wholesale Supplies"/>
    <n v="4"/>
    <n v="75"/>
    <n v="0"/>
    <n v="300"/>
    <m/>
  </r>
  <r>
    <x v="43"/>
    <x v="1"/>
    <s v="Jakakodi Traders"/>
    <n v="50"/>
    <n v="50"/>
    <n v="0"/>
    <n v="2500"/>
    <m/>
  </r>
  <r>
    <x v="44"/>
    <x v="1"/>
    <s v="Jakakodi Traders"/>
    <n v="50"/>
    <n v="49"/>
    <n v="0"/>
    <n v="2450"/>
    <m/>
  </r>
  <r>
    <x v="45"/>
    <x v="0"/>
    <s v="Nilaa Wholesale Supplies"/>
    <n v="350"/>
    <n v="75"/>
    <n v="200"/>
    <n v="26450"/>
    <m/>
  </r>
  <r>
    <x v="45"/>
    <x v="0"/>
    <s v="Nilaa Wholesale Supplies"/>
    <n v="102"/>
    <n v="80"/>
    <n v="0"/>
    <n v="8160"/>
    <m/>
  </r>
  <r>
    <x v="46"/>
    <x v="1"/>
    <s v="Jakakodi Traders"/>
    <n v="50"/>
    <n v="48"/>
    <n v="0"/>
    <n v="2400"/>
    <m/>
  </r>
  <r>
    <x v="47"/>
    <x v="1"/>
    <s v="Jakakodi Traders"/>
    <n v="50"/>
    <n v="46"/>
    <n v="0"/>
    <n v="2300"/>
    <m/>
  </r>
  <r>
    <x v="48"/>
    <x v="1"/>
    <s v="Jakakodi Traders"/>
    <n v="50"/>
    <n v="46"/>
    <n v="0"/>
    <n v="2300"/>
    <m/>
  </r>
  <r>
    <x v="49"/>
    <x v="0"/>
    <s v="Nilaa Wholesale Supplies"/>
    <n v="19"/>
    <n v="90"/>
    <n v="0"/>
    <n v="1710"/>
    <m/>
  </r>
  <r>
    <x v="50"/>
    <x v="1"/>
    <s v="Jakakodi Traders"/>
    <n v="50"/>
    <n v="46"/>
    <n v="0"/>
    <n v="2300"/>
    <m/>
  </r>
  <r>
    <x v="51"/>
    <x v="0"/>
    <s v="Nilaa Wholesale Supplies"/>
    <n v="150"/>
    <n v="90"/>
    <n v="0"/>
    <n v="13500"/>
    <m/>
  </r>
  <r>
    <x v="51"/>
    <x v="0"/>
    <s v="Nilaa Wholesale Supplies"/>
    <n v="39"/>
    <n v="95"/>
    <n v="0"/>
    <n v="3705"/>
    <m/>
  </r>
  <r>
    <x v="52"/>
    <x v="1"/>
    <s v="Jakakodi Traders"/>
    <n v="50"/>
    <n v="44"/>
    <n v="0"/>
    <n v="2200"/>
    <m/>
  </r>
  <r>
    <x v="52"/>
    <x v="0"/>
    <s v="PK Garlic Vadugapatti"/>
    <n v="721"/>
    <n v="77"/>
    <n v="2850"/>
    <n v="58367"/>
    <m/>
  </r>
  <r>
    <x v="53"/>
    <x v="1"/>
    <s v="Jakakodi Traders"/>
    <n v="50"/>
    <n v="44"/>
    <n v="0"/>
    <n v="2200"/>
    <m/>
  </r>
  <r>
    <x v="54"/>
    <x v="1"/>
    <s v="Jakakodi Traders"/>
    <n v="54"/>
    <n v="40.75"/>
    <n v="-0.5"/>
    <n v="2200"/>
    <m/>
  </r>
  <r>
    <x v="55"/>
    <x v="0"/>
    <s v="Nilaa Wholesale Supplies"/>
    <n v="20"/>
    <n v="90"/>
    <n v="0"/>
    <n v="1800"/>
    <m/>
  </r>
  <r>
    <x v="56"/>
    <x v="1"/>
    <s v="Jakakodi Traders"/>
    <n v="100"/>
    <n v="44"/>
    <n v="0"/>
    <n v="4400"/>
    <m/>
  </r>
  <r>
    <x v="56"/>
    <x v="0"/>
    <s v="Nilaa Wholesale Supplies"/>
    <n v="44"/>
    <n v="90"/>
    <n v="0"/>
    <n v="3960"/>
    <m/>
  </r>
  <r>
    <x v="57"/>
    <x v="1"/>
    <s v="Jakakodi Traders"/>
    <n v="50"/>
    <n v="42"/>
    <n v="0"/>
    <n v="2100"/>
    <m/>
  </r>
  <r>
    <x v="57"/>
    <x v="0"/>
    <s v="Nilaa Wholesale Supplies"/>
    <n v="10"/>
    <n v="90"/>
    <n v="0"/>
    <n v="900"/>
    <m/>
  </r>
  <r>
    <x v="58"/>
    <x v="1"/>
    <s v="Jakakodi Traders"/>
    <n v="50"/>
    <n v="44"/>
    <n v="0"/>
    <n v="2200"/>
    <m/>
  </r>
  <r>
    <x v="58"/>
    <x v="0"/>
    <s v="Nilaa Wholesale Supplies"/>
    <n v="10"/>
    <n v="90"/>
    <n v="0"/>
    <n v="900"/>
    <m/>
  </r>
  <r>
    <x v="59"/>
    <x v="1"/>
    <s v="Jakakodi Traders"/>
    <n v="50"/>
    <n v="50"/>
    <n v="0"/>
    <n v="2500"/>
    <m/>
  </r>
  <r>
    <x v="59"/>
    <x v="0"/>
    <s v="Nilaa Wholesale Supplies"/>
    <n v="10"/>
    <n v="90"/>
    <n v="0"/>
    <n v="900"/>
    <m/>
  </r>
  <r>
    <x v="60"/>
    <x v="1"/>
    <s v="Jakakodi Traders"/>
    <n v="50"/>
    <n v="58"/>
    <n v="0"/>
    <n v="2900"/>
    <m/>
  </r>
  <r>
    <x v="60"/>
    <x v="0"/>
    <s v="Nilaa Wholesale Supplies"/>
    <n v="10"/>
    <n v="90"/>
    <n v="0"/>
    <n v="900"/>
    <m/>
  </r>
  <r>
    <x v="61"/>
    <x v="0"/>
    <s v="Nilaa Wholesale Supplies"/>
    <n v="225"/>
    <n v="95"/>
    <n v="0"/>
    <n v="21375"/>
    <m/>
  </r>
  <r>
    <x v="62"/>
    <x v="1"/>
    <s v="Jakakodi Traders"/>
    <n v="50"/>
    <n v="58"/>
    <n v="100"/>
    <n v="3000"/>
    <m/>
  </r>
  <r>
    <x v="63"/>
    <x v="1"/>
    <s v="Jakakodi Traders"/>
    <n v="56.7"/>
    <n v="54.673699999999997"/>
    <n v="100"/>
    <n v="3199.9987900000001"/>
    <m/>
  </r>
  <r>
    <x v="64"/>
    <x v="1"/>
    <s v="Jakakodi Traders"/>
    <n v="54.2"/>
    <n v="57.195500000000003"/>
    <n v="100"/>
    <n v="3199.9961000000003"/>
    <m/>
  </r>
  <r>
    <x v="65"/>
    <x v="1"/>
    <s v="Jakakodi Traders"/>
    <n v="56"/>
    <n v="69.650000000000006"/>
    <n v="0"/>
    <n v="3900.4000000000005"/>
    <m/>
  </r>
  <r>
    <x v="66"/>
    <x v="0"/>
    <s v="Nilaa Wholesale Supplies"/>
    <n v="66"/>
    <n v="95"/>
    <n v="0"/>
    <n v="6270"/>
    <m/>
  </r>
  <r>
    <x v="66"/>
    <x v="1"/>
    <s v="Jakakodi Traders"/>
    <n v="56"/>
    <n v="67.849999999999994"/>
    <n v="0.4"/>
    <n v="3799.9999999999995"/>
    <m/>
  </r>
  <r>
    <x v="67"/>
    <x v="1"/>
    <s v="Jakakodi Traders"/>
    <n v="113"/>
    <n v="67.260000000000005"/>
    <n v="-0.38"/>
    <n v="7600.0000000000009"/>
    <m/>
  </r>
  <r>
    <x v="67"/>
    <x v="0"/>
    <s v="Nilaa Wholesale Supplies"/>
    <n v="34"/>
    <n v="95"/>
    <n v="0"/>
    <n v="3230"/>
    <m/>
  </r>
  <r>
    <x v="67"/>
    <x v="0"/>
    <s v="Mass Traders"/>
    <n v="197"/>
    <n v="65"/>
    <n v="1050"/>
    <n v="13855"/>
    <m/>
  </r>
  <r>
    <x v="68"/>
    <x v="1"/>
    <s v="Jakakodi Traders"/>
    <n v="50"/>
    <n v="80"/>
    <n v="0"/>
    <n v="4000"/>
    <m/>
  </r>
  <r>
    <x v="69"/>
    <x v="1"/>
    <s v="Jakakodi Traders"/>
    <n v="50"/>
    <n v="80"/>
    <n v="0"/>
    <n v="4000"/>
    <m/>
  </r>
  <r>
    <x v="70"/>
    <x v="1"/>
    <s v="Jakakodi Traders"/>
    <n v="50"/>
    <n v="78"/>
    <n v="0"/>
    <n v="3900"/>
    <m/>
  </r>
  <r>
    <x v="71"/>
    <x v="0"/>
    <s v="SVG Garlics"/>
    <n v="395"/>
    <n v="75"/>
    <n v="1800"/>
    <n v="31425"/>
    <m/>
  </r>
  <r>
    <x v="71"/>
    <x v="0"/>
    <s v="Nilaa Wholesale Supplies"/>
    <n v="183"/>
    <n v="125"/>
    <n v="100"/>
    <n v="22975"/>
    <m/>
  </r>
  <r>
    <x v="72"/>
    <x v="1"/>
    <s v="Jakakodi Traders"/>
    <n v="50"/>
    <n v="80"/>
    <n v="0"/>
    <n v="4000"/>
    <m/>
  </r>
  <r>
    <x v="73"/>
    <x v="1"/>
    <s v="Jakakodi Traders"/>
    <n v="50"/>
    <n v="76"/>
    <n v="0"/>
    <n v="3800"/>
    <m/>
  </r>
  <r>
    <x v="74"/>
    <x v="1"/>
    <s v="Jakakodi Traders"/>
    <n v="50"/>
    <n v="78"/>
    <n v="0"/>
    <n v="3900"/>
    <m/>
  </r>
  <r>
    <x v="75"/>
    <x v="1"/>
    <s v="Jakakodi Traders"/>
    <n v="50"/>
    <n v="78"/>
    <n v="0"/>
    <n v="3900"/>
    <m/>
  </r>
  <r>
    <x v="75"/>
    <x v="0"/>
    <s v="Nilaa Wholesale Supplies"/>
    <n v="14"/>
    <n v="107.15"/>
    <n v="0"/>
    <n v="1500.1000000000001"/>
    <m/>
  </r>
  <r>
    <x v="76"/>
    <x v="1"/>
    <s v="Jakakodi Traders"/>
    <n v="50"/>
    <n v="78"/>
    <n v="0"/>
    <n v="3900"/>
    <m/>
  </r>
  <r>
    <x v="77"/>
    <x v="0"/>
    <s v="SVG Garlics"/>
    <n v="125"/>
    <n v="75"/>
    <n v="450"/>
    <n v="9825"/>
    <m/>
  </r>
  <r>
    <x v="77"/>
    <x v="1"/>
    <s v="Jakakodi Traders"/>
    <n v="100"/>
    <n v="80"/>
    <n v="0"/>
    <n v="8000"/>
    <m/>
  </r>
  <r>
    <x v="78"/>
    <x v="1"/>
    <s v="Jakakodi Traders"/>
    <n v="50"/>
    <n v="78"/>
    <n v="0"/>
    <n v="3900"/>
    <m/>
  </r>
  <r>
    <x v="79"/>
    <x v="1"/>
    <s v="Jakakodi Traders"/>
    <n v="50"/>
    <n v="78"/>
    <n v="0"/>
    <n v="3900"/>
    <m/>
  </r>
  <r>
    <x v="79"/>
    <x v="0"/>
    <s v="SVG Garlics"/>
    <n v="140"/>
    <n v="60"/>
    <n v="600"/>
    <n v="9000"/>
    <m/>
  </r>
  <r>
    <x v="79"/>
    <x v="0"/>
    <s v="SVG Garlics"/>
    <n v="10"/>
    <n v="60"/>
    <n v="0"/>
    <n v="600"/>
    <m/>
  </r>
  <r>
    <x v="80"/>
    <x v="0"/>
    <s v="PK Garlic"/>
    <n v="390"/>
    <n v="65"/>
    <n v="2100"/>
    <n v="27450"/>
    <m/>
  </r>
  <r>
    <x v="80"/>
    <x v="0"/>
    <s v="PK Garlic"/>
    <n v="78"/>
    <n v="80"/>
    <n v="0"/>
    <n v="6240"/>
    <m/>
  </r>
  <r>
    <x v="80"/>
    <x v="1"/>
    <s v="Jakakodi Traders"/>
    <n v="50"/>
    <n v="78"/>
    <n v="0"/>
    <n v="3900"/>
    <m/>
  </r>
  <r>
    <x v="81"/>
    <x v="1"/>
    <s v="Jakakodi Traders"/>
    <n v="50"/>
    <n v="74"/>
    <n v="0"/>
    <n v="3700"/>
    <m/>
  </r>
  <r>
    <x v="82"/>
    <x v="1"/>
    <s v="Jakakodi Traders"/>
    <n v="28"/>
    <n v="67.849999999999994"/>
    <n v="0"/>
    <n v="1899.7999999999997"/>
    <m/>
  </r>
  <r>
    <x v="83"/>
    <x v="1"/>
    <s v="Jakakodi Traders"/>
    <n v="50"/>
    <n v="74"/>
    <n v="0"/>
    <n v="3700"/>
    <m/>
  </r>
  <r>
    <x v="84"/>
    <x v="1"/>
    <s v="Jakakodi Traders"/>
    <n v="112"/>
    <n v="44.64"/>
    <n v="510"/>
    <n v="5509.68"/>
    <m/>
  </r>
  <r>
    <x v="85"/>
    <x v="0"/>
    <s v="SVG Garlics"/>
    <n v="171"/>
    <n v="65"/>
    <n v="1150"/>
    <n v="12265"/>
    <m/>
  </r>
</pivotCacheRecords>
</file>

<file path=xl/pivotCache/pivotCacheRecords12.xml><?xml version="1.0" encoding="utf-8"?>
<pivotCacheRecords xmlns="http://schemas.openxmlformats.org/spreadsheetml/2006/main" xmlns:r="http://schemas.openxmlformats.org/officeDocument/2006/relationships" count="11">
  <r>
    <x v="0"/>
    <n v="130"/>
    <n v="5900"/>
    <n v="364"/>
    <n v="32250"/>
    <n v="38150"/>
  </r>
  <r>
    <x v="1"/>
    <n v="921"/>
    <n v="38200"/>
    <n v="1004"/>
    <n v="86875"/>
    <n v="125075"/>
  </r>
  <r>
    <x v="2"/>
    <n v="295"/>
    <n v="13750"/>
    <n v="419"/>
    <n v="32855"/>
    <n v="46605"/>
  </r>
  <r>
    <x v="3"/>
    <n v="593"/>
    <n v="22475"/>
    <n v="829"/>
    <n v="62595"/>
    <n v="85070"/>
  </r>
  <r>
    <x v="4"/>
    <n v="350"/>
    <n v="16450"/>
    <n v="1381"/>
    <n v="111892"/>
    <n v="128342"/>
  </r>
  <r>
    <x v="5"/>
    <n v="514.9"/>
    <n v="25700"/>
    <n v="329"/>
    <n v="30735"/>
    <n v="56435"/>
  </r>
  <r>
    <x v="6"/>
    <n v="575"/>
    <n v="42800"/>
    <n v="889"/>
    <n v="82205"/>
    <n v="125005"/>
  </r>
  <r>
    <x v="7"/>
    <n v="640"/>
    <n v="45609.48"/>
    <n v="1154"/>
    <n v="81350"/>
    <n v="126959.48000000001"/>
  </r>
  <r>
    <x v="8"/>
    <m/>
    <m/>
    <m/>
    <m/>
    <m/>
  </r>
  <r>
    <x v="9"/>
    <m/>
    <m/>
    <m/>
    <m/>
    <m/>
  </r>
  <r>
    <x v="10"/>
    <m/>
    <m/>
    <m/>
    <m/>
    <m/>
  </r>
</pivotCacheRecords>
</file>

<file path=xl/pivotCache/pivotCacheRecords13.xml><?xml version="1.0" encoding="utf-8"?>
<pivotCacheRecords xmlns="http://schemas.openxmlformats.org/spreadsheetml/2006/main" xmlns:r="http://schemas.openxmlformats.org/officeDocument/2006/relationships" count="12">
  <r>
    <x v="0"/>
    <n v="21450"/>
    <n v="26975"/>
    <n v="21450"/>
    <m/>
    <n v="-5525"/>
  </r>
  <r>
    <x v="1"/>
    <n v="188580"/>
    <n v="162135"/>
    <n v="188580"/>
    <m/>
    <n v="26445"/>
  </r>
  <r>
    <x v="2"/>
    <n v="105060"/>
    <n v="114833"/>
    <n v="105060"/>
    <m/>
    <n v="-9773"/>
  </r>
  <r>
    <x v="3"/>
    <n v="133160"/>
    <n v="154562"/>
    <n v="133160"/>
    <m/>
    <n v="-21402"/>
  </r>
  <r>
    <x v="4"/>
    <n v="126385"/>
    <n v="173669"/>
    <n v="126385"/>
    <m/>
    <n v="-47284"/>
  </r>
  <r>
    <x v="5"/>
    <n v="164755"/>
    <n v="89496"/>
    <n v="164755"/>
    <m/>
    <n v="75259"/>
  </r>
  <r>
    <x v="6"/>
    <n v="173370"/>
    <n v="170293"/>
    <n v="173370"/>
    <m/>
    <n v="3077"/>
  </r>
  <r>
    <x v="7"/>
    <n v="229785"/>
    <n v="173935"/>
    <n v="229785"/>
    <m/>
    <n v="55850"/>
  </r>
  <r>
    <x v="8"/>
    <n v="171155"/>
    <n v="131986"/>
    <n v="171155"/>
    <m/>
    <n v="39169"/>
  </r>
  <r>
    <x v="9"/>
    <n v="178135"/>
    <n v="117139.5"/>
    <n v="178135"/>
    <m/>
    <n v="60995.5"/>
  </r>
  <r>
    <x v="10"/>
    <m/>
    <m/>
    <m/>
    <m/>
    <m/>
  </r>
  <r>
    <x v="11"/>
    <m/>
    <m/>
    <m/>
    <m/>
    <m/>
  </r>
</pivotCacheRecords>
</file>

<file path=xl/pivotCache/pivotCacheRecords14.xml><?xml version="1.0" encoding="utf-8"?>
<pivotCacheRecords xmlns="http://schemas.openxmlformats.org/spreadsheetml/2006/main" xmlns:r="http://schemas.openxmlformats.org/officeDocument/2006/relationships" count="339">
  <r>
    <m/>
    <m/>
    <s v="Opening Balance"/>
    <n v="63725"/>
    <m/>
    <x v="0"/>
    <m/>
    <m/>
    <m/>
    <m/>
    <m/>
    <m/>
    <m/>
  </r>
  <r>
    <d v="2025-09-01T00:00:00"/>
    <s v="INV-406"/>
    <s v="Sales"/>
    <n v="340"/>
    <m/>
    <x v="1"/>
    <m/>
    <m/>
    <m/>
    <m/>
    <m/>
    <m/>
    <m/>
  </r>
  <r>
    <d v="2025-09-01T00:00:00"/>
    <s v="INV-407"/>
    <s v="Sales"/>
    <n v="80"/>
    <m/>
    <x v="2"/>
    <m/>
    <m/>
    <m/>
    <m/>
    <m/>
    <m/>
    <m/>
  </r>
  <r>
    <d v="2025-09-01T00:00:00"/>
    <s v="INV-408"/>
    <s v="Sales"/>
    <n v="100"/>
    <m/>
    <x v="3"/>
    <m/>
    <m/>
    <m/>
    <m/>
    <m/>
    <m/>
    <m/>
  </r>
  <r>
    <d v="2025-09-01T00:00:00"/>
    <s v="INV-409"/>
    <s v="Sales"/>
    <n v="400"/>
    <m/>
    <x v="4"/>
    <m/>
    <m/>
    <m/>
    <m/>
    <m/>
    <m/>
    <m/>
  </r>
  <r>
    <d v="2025-09-01T00:00:00"/>
    <s v="INV-410"/>
    <s v="Sales"/>
    <n v="240"/>
    <m/>
    <x v="5"/>
    <m/>
    <m/>
    <m/>
    <m/>
    <m/>
    <m/>
    <m/>
  </r>
  <r>
    <d v="2025-09-01T00:00:00"/>
    <s v="INV-411"/>
    <s v="Sales"/>
    <n v="240"/>
    <m/>
    <x v="6"/>
    <m/>
    <m/>
    <m/>
    <m/>
    <m/>
    <m/>
    <m/>
  </r>
  <r>
    <d v="2025-09-01T00:00:00"/>
    <s v="INV-412"/>
    <s v="Sales"/>
    <n v="1800"/>
    <m/>
    <x v="7"/>
    <m/>
    <m/>
    <m/>
    <m/>
    <m/>
    <m/>
    <m/>
  </r>
  <r>
    <d v="2025-09-01T00:00:00"/>
    <m/>
    <s v="Expences"/>
    <m/>
    <n v="50"/>
    <x v="0"/>
    <m/>
    <m/>
    <m/>
    <m/>
    <m/>
    <m/>
    <m/>
  </r>
  <r>
    <d v="2025-09-01T00:00:00"/>
    <m/>
    <s v="Packaging Material"/>
    <m/>
    <n v="400"/>
    <x v="0"/>
    <m/>
    <m/>
    <m/>
    <m/>
    <m/>
    <m/>
    <m/>
  </r>
  <r>
    <d v="2025-09-02T00:00:00"/>
    <m/>
    <s v="Ginger Purchase"/>
    <m/>
    <n v="3900"/>
    <x v="0"/>
    <s v="Old Ginger"/>
    <n v="78"/>
    <m/>
    <n v="50"/>
    <s v="Jakakodi Traders"/>
    <m/>
    <m/>
  </r>
  <r>
    <d v="2025-09-02T00:00:00"/>
    <s v="INV-413"/>
    <s v="Sales"/>
    <n v="1200"/>
    <m/>
    <x v="8"/>
    <m/>
    <m/>
    <m/>
    <m/>
    <m/>
    <m/>
    <m/>
  </r>
  <r>
    <d v="2025-09-02T00:00:00"/>
    <s v="INV-414"/>
    <s v="Sales"/>
    <n v="1500"/>
    <m/>
    <x v="9"/>
    <m/>
    <m/>
    <m/>
    <m/>
    <m/>
    <m/>
    <m/>
  </r>
  <r>
    <d v="2025-09-02T00:00:00"/>
    <s v="INV-415"/>
    <s v="Sales"/>
    <n v="160"/>
    <m/>
    <x v="2"/>
    <m/>
    <m/>
    <m/>
    <m/>
    <m/>
    <m/>
    <m/>
  </r>
  <r>
    <d v="2025-09-02T00:00:00"/>
    <s v="INV-416"/>
    <s v="Sales"/>
    <n v="90"/>
    <m/>
    <x v="1"/>
    <m/>
    <m/>
    <m/>
    <m/>
    <m/>
    <m/>
    <m/>
  </r>
  <r>
    <d v="2025-09-02T00:00:00"/>
    <s v="INV-417"/>
    <s v="Sales"/>
    <n v="3000"/>
    <m/>
    <x v="10"/>
    <m/>
    <m/>
    <m/>
    <m/>
    <m/>
    <m/>
    <m/>
  </r>
  <r>
    <d v="2025-09-02T00:00:00"/>
    <m/>
    <s v="Water Cane"/>
    <m/>
    <n v="160"/>
    <x v="0"/>
    <m/>
    <m/>
    <m/>
    <m/>
    <m/>
    <m/>
    <m/>
  </r>
  <r>
    <d v="2025-09-02T00:00:00"/>
    <m/>
    <s v="Expences"/>
    <m/>
    <n v="100"/>
    <x v="0"/>
    <m/>
    <m/>
    <m/>
    <m/>
    <m/>
    <m/>
    <m/>
  </r>
  <r>
    <d v="2025-09-03T00:00:00"/>
    <s v="INV-418"/>
    <s v="Sales"/>
    <n v="1200"/>
    <m/>
    <x v="11"/>
    <m/>
    <m/>
    <m/>
    <m/>
    <m/>
    <m/>
    <m/>
  </r>
  <r>
    <d v="2025-09-03T00:00:00"/>
    <m/>
    <s v="Garlic Purchase"/>
    <m/>
    <n v="9825"/>
    <x v="0"/>
    <s v="Naatu Poondu"/>
    <n v="75"/>
    <n v="450"/>
    <n v="125"/>
    <s v="SVG Garlics"/>
    <m/>
    <m/>
  </r>
  <r>
    <d v="2025-09-03T00:00:00"/>
    <m/>
    <s v="Ginger Purchase"/>
    <m/>
    <n v="8000"/>
    <x v="0"/>
    <s v="Old Ginger"/>
    <n v="80"/>
    <m/>
    <n v="100"/>
    <s v="Jakakodi Traders"/>
    <m/>
    <m/>
  </r>
  <r>
    <d v="2025-09-03T00:00:00"/>
    <s v="INV-419"/>
    <s v="Sales"/>
    <n v="825"/>
    <m/>
    <x v="12"/>
    <m/>
    <m/>
    <m/>
    <m/>
    <m/>
    <m/>
    <m/>
  </r>
  <r>
    <d v="2025-09-03T00:00:00"/>
    <s v="INV-420"/>
    <s v="Sales"/>
    <n v="600"/>
    <m/>
    <x v="13"/>
    <m/>
    <m/>
    <m/>
    <m/>
    <m/>
    <m/>
    <m/>
  </r>
  <r>
    <d v="2025-09-03T00:00:00"/>
    <s v="INV-421"/>
    <s v="Sales"/>
    <n v="2040"/>
    <m/>
    <x v="1"/>
    <m/>
    <m/>
    <m/>
    <m/>
    <m/>
    <m/>
    <m/>
  </r>
  <r>
    <d v="2025-09-03T00:00:00"/>
    <s v="INV-422"/>
    <s v="Sales"/>
    <n v="240"/>
    <m/>
    <x v="2"/>
    <m/>
    <m/>
    <m/>
    <m/>
    <m/>
    <m/>
    <m/>
  </r>
  <r>
    <d v="2025-09-03T00:00:00"/>
    <s v="INV-423"/>
    <s v="Sales"/>
    <n v="2700"/>
    <m/>
    <x v="9"/>
    <m/>
    <m/>
    <m/>
    <m/>
    <m/>
    <m/>
    <m/>
  </r>
  <r>
    <d v="2025-09-03T00:00:00"/>
    <s v="INV-424"/>
    <s v="Sales"/>
    <n v="2250"/>
    <m/>
    <x v="14"/>
    <m/>
    <m/>
    <m/>
    <m/>
    <m/>
    <m/>
    <m/>
  </r>
  <r>
    <d v="2025-09-03T00:00:00"/>
    <s v="INV-425"/>
    <s v="Sales"/>
    <n v="3900"/>
    <m/>
    <x v="12"/>
    <m/>
    <m/>
    <m/>
    <m/>
    <m/>
    <m/>
    <m/>
  </r>
  <r>
    <d v="2025-09-03T00:00:00"/>
    <s v="INV-426"/>
    <s v="Sales"/>
    <n v="5120"/>
    <m/>
    <x v="15"/>
    <m/>
    <m/>
    <m/>
    <m/>
    <m/>
    <m/>
    <m/>
  </r>
  <r>
    <d v="2025-09-03T00:00:00"/>
    <s v="INV-427"/>
    <s v="Sales"/>
    <n v="360"/>
    <m/>
    <x v="16"/>
    <m/>
    <m/>
    <m/>
    <m/>
    <m/>
    <m/>
    <m/>
  </r>
  <r>
    <d v="2025-09-03T00:00:00"/>
    <m/>
    <s v="Expences"/>
    <m/>
    <n v="200"/>
    <x v="0"/>
    <m/>
    <m/>
    <m/>
    <m/>
    <m/>
    <m/>
    <s v="Maligai Kadai"/>
  </r>
  <r>
    <d v="2025-09-03T00:00:00"/>
    <m/>
    <s v="Packaging Material"/>
    <m/>
    <n v="638"/>
    <x v="0"/>
    <m/>
    <m/>
    <m/>
    <m/>
    <m/>
    <m/>
    <s v="Ungal Kadai"/>
  </r>
  <r>
    <d v="2025-09-03T00:00:00"/>
    <m/>
    <s v="Petrol"/>
    <m/>
    <n v="400"/>
    <x v="0"/>
    <m/>
    <m/>
    <m/>
    <m/>
    <m/>
    <m/>
    <m/>
  </r>
  <r>
    <d v="2025-09-03T00:00:00"/>
    <m/>
    <s v="Staff Salary"/>
    <m/>
    <n v="300"/>
    <x v="0"/>
    <m/>
    <m/>
    <m/>
    <m/>
    <m/>
    <m/>
    <s v="Tem Staff"/>
  </r>
  <r>
    <d v="2025-09-03T00:00:00"/>
    <m/>
    <s v="Trasport"/>
    <m/>
    <n v="250"/>
    <x v="0"/>
    <m/>
    <m/>
    <m/>
    <m/>
    <m/>
    <m/>
    <s v="Auto"/>
  </r>
  <r>
    <d v="2025-09-03T00:00:00"/>
    <m/>
    <s v="Expences"/>
    <m/>
    <n v="40"/>
    <x v="0"/>
    <m/>
    <m/>
    <m/>
    <m/>
    <m/>
    <m/>
    <m/>
  </r>
  <r>
    <d v="2025-09-04T00:00:00"/>
    <s v="INV-428"/>
    <s v="Sales"/>
    <n v="5700"/>
    <m/>
    <x v="1"/>
    <m/>
    <m/>
    <m/>
    <m/>
    <m/>
    <m/>
    <m/>
  </r>
  <r>
    <d v="2025-09-04T00:00:00"/>
    <s v="INV-429"/>
    <s v="Sales"/>
    <n v="8730"/>
    <m/>
    <x v="14"/>
    <m/>
    <m/>
    <m/>
    <m/>
    <m/>
    <m/>
    <m/>
  </r>
  <r>
    <d v="2025-09-04T00:00:00"/>
    <s v="INV-430"/>
    <s v="Sales"/>
    <n v="1500"/>
    <m/>
    <x v="9"/>
    <m/>
    <m/>
    <m/>
    <m/>
    <m/>
    <m/>
    <m/>
  </r>
  <r>
    <d v="2025-09-04T00:00:00"/>
    <s v="INV-431"/>
    <s v="Sales"/>
    <n v="2250"/>
    <m/>
    <x v="17"/>
    <m/>
    <m/>
    <m/>
    <m/>
    <m/>
    <m/>
    <m/>
  </r>
  <r>
    <d v="2025-09-04T00:00:00"/>
    <s v="INV-432"/>
    <s v="Sales"/>
    <n v="1650"/>
    <m/>
    <x v="18"/>
    <m/>
    <m/>
    <m/>
    <m/>
    <m/>
    <m/>
    <m/>
  </r>
  <r>
    <d v="2025-09-04T00:00:00"/>
    <s v="INV-433"/>
    <s v="Sales"/>
    <n v="320"/>
    <m/>
    <x v="2"/>
    <m/>
    <m/>
    <m/>
    <m/>
    <m/>
    <m/>
    <m/>
  </r>
  <r>
    <d v="2025-09-04T00:00:00"/>
    <s v="INV-434"/>
    <s v="Sales"/>
    <n v="600"/>
    <m/>
    <x v="7"/>
    <m/>
    <m/>
    <m/>
    <m/>
    <m/>
    <m/>
    <m/>
  </r>
  <r>
    <d v="2025-09-04T00:00:00"/>
    <s v="INV-435"/>
    <s v="Sales"/>
    <n v="540"/>
    <m/>
    <x v="16"/>
    <m/>
    <m/>
    <m/>
    <m/>
    <m/>
    <m/>
    <m/>
  </r>
  <r>
    <d v="2025-09-04T00:00:00"/>
    <s v="INV-436"/>
    <s v="Sales"/>
    <n v="1500"/>
    <m/>
    <x v="8"/>
    <m/>
    <m/>
    <m/>
    <m/>
    <m/>
    <m/>
    <m/>
  </r>
  <r>
    <d v="2025-09-04T00:00:00"/>
    <s v="INV-437"/>
    <s v="Sales"/>
    <n v="1040"/>
    <m/>
    <x v="1"/>
    <m/>
    <m/>
    <m/>
    <m/>
    <m/>
    <m/>
    <m/>
  </r>
  <r>
    <d v="2025-09-04T00:00:00"/>
    <s v="INV-438"/>
    <s v="Sales"/>
    <n v="5250"/>
    <m/>
    <x v="10"/>
    <m/>
    <m/>
    <m/>
    <m/>
    <m/>
    <m/>
    <m/>
  </r>
  <r>
    <d v="2025-09-04T00:00:00"/>
    <s v="INV-439"/>
    <s v="Sales"/>
    <n v="3600"/>
    <m/>
    <x v="11"/>
    <m/>
    <m/>
    <m/>
    <m/>
    <m/>
    <m/>
    <m/>
  </r>
  <r>
    <d v="2025-09-04T00:00:00"/>
    <s v="INV-440"/>
    <s v="Sales"/>
    <n v="600"/>
    <m/>
    <x v="19"/>
    <m/>
    <m/>
    <m/>
    <m/>
    <m/>
    <m/>
    <m/>
  </r>
  <r>
    <d v="2025-09-04T00:00:00"/>
    <m/>
    <s v="Staff Salary"/>
    <m/>
    <n v="400"/>
    <x v="0"/>
    <m/>
    <m/>
    <m/>
    <m/>
    <m/>
    <m/>
    <m/>
  </r>
  <r>
    <d v="2025-09-04T00:00:00"/>
    <m/>
    <s v="Water Cane"/>
    <m/>
    <n v="160"/>
    <x v="0"/>
    <m/>
    <m/>
    <m/>
    <m/>
    <m/>
    <m/>
    <m/>
  </r>
  <r>
    <d v="2025-09-04T00:00:00"/>
    <m/>
    <s v="Expences"/>
    <m/>
    <n v="60"/>
    <x v="0"/>
    <m/>
    <m/>
    <m/>
    <m/>
    <m/>
    <m/>
    <m/>
  </r>
  <r>
    <d v="2025-09-04T00:00:00"/>
    <m/>
    <s v="Delivery charge"/>
    <m/>
    <n v="200"/>
    <x v="0"/>
    <m/>
    <m/>
    <m/>
    <m/>
    <m/>
    <m/>
    <m/>
  </r>
  <r>
    <d v="2025-09-05T00:00:00"/>
    <m/>
    <s v="Ginger Purchase"/>
    <m/>
    <n v="3900"/>
    <x v="0"/>
    <s v="Old Ginger"/>
    <n v="78"/>
    <m/>
    <n v="50"/>
    <s v="Jakakodi Traders"/>
    <m/>
    <m/>
  </r>
  <r>
    <d v="2025-09-05T00:00:00"/>
    <s v="INV-441"/>
    <s v="Sales"/>
    <n v="640"/>
    <m/>
    <x v="20"/>
    <m/>
    <m/>
    <m/>
    <m/>
    <m/>
    <m/>
    <m/>
  </r>
  <r>
    <d v="2025-09-05T00:00:00"/>
    <s v="INV-442"/>
    <s v="Sales"/>
    <n v="80"/>
    <m/>
    <x v="12"/>
    <m/>
    <m/>
    <m/>
    <m/>
    <m/>
    <m/>
    <m/>
  </r>
  <r>
    <d v="2025-09-05T00:00:00"/>
    <s v="INV-443"/>
    <s v="Sales"/>
    <n v="260"/>
    <m/>
    <x v="1"/>
    <m/>
    <m/>
    <m/>
    <m/>
    <m/>
    <m/>
    <m/>
  </r>
  <r>
    <d v="2025-09-05T00:00:00"/>
    <s v="INV-444"/>
    <s v="Sales"/>
    <n v="320"/>
    <m/>
    <x v="21"/>
    <m/>
    <m/>
    <m/>
    <m/>
    <m/>
    <m/>
    <m/>
  </r>
  <r>
    <d v="2025-09-05T00:00:00"/>
    <m/>
    <s v="Expences"/>
    <m/>
    <n v="50"/>
    <x v="0"/>
    <m/>
    <m/>
    <m/>
    <m/>
    <m/>
    <m/>
    <m/>
  </r>
  <r>
    <d v="2025-09-05T00:00:00"/>
    <m/>
    <s v="Rent"/>
    <m/>
    <n v="9000"/>
    <x v="0"/>
    <m/>
    <m/>
    <m/>
    <m/>
    <m/>
    <m/>
    <m/>
  </r>
  <r>
    <d v="2025-09-05T00:00:00"/>
    <s v="INV-445"/>
    <s v="Sales"/>
    <n v="720"/>
    <m/>
    <x v="16"/>
    <m/>
    <m/>
    <m/>
    <m/>
    <m/>
    <m/>
    <m/>
  </r>
  <r>
    <d v="2025-09-06T00:00:00"/>
    <s v="INV-446"/>
    <s v="Sales"/>
    <n v="600"/>
    <m/>
    <x v="19"/>
    <m/>
    <m/>
    <m/>
    <m/>
    <m/>
    <m/>
    <m/>
  </r>
  <r>
    <d v="2025-09-06T00:00:00"/>
    <s v="INV-447"/>
    <s v="Sales"/>
    <n v="1370"/>
    <m/>
    <x v="1"/>
    <m/>
    <m/>
    <m/>
    <m/>
    <m/>
    <m/>
    <m/>
  </r>
  <r>
    <d v="2025-09-06T00:00:00"/>
    <s v="INV-448"/>
    <s v="Sales"/>
    <n v="400"/>
    <m/>
    <x v="2"/>
    <m/>
    <m/>
    <m/>
    <m/>
    <m/>
    <m/>
    <m/>
  </r>
  <r>
    <d v="2025-09-06T00:00:00"/>
    <s v="INV-449"/>
    <s v="Sales"/>
    <n v="480"/>
    <m/>
    <x v="22"/>
    <m/>
    <m/>
    <m/>
    <m/>
    <m/>
    <m/>
    <m/>
  </r>
  <r>
    <d v="2025-09-06T00:00:00"/>
    <s v="INV-450"/>
    <s v="Sales"/>
    <n v="2720"/>
    <m/>
    <x v="1"/>
    <m/>
    <m/>
    <m/>
    <m/>
    <m/>
    <m/>
    <m/>
  </r>
  <r>
    <d v="2025-09-06T00:00:00"/>
    <s v="INV-451"/>
    <s v="Sales"/>
    <n v="320"/>
    <m/>
    <x v="23"/>
    <m/>
    <m/>
    <m/>
    <m/>
    <m/>
    <m/>
    <m/>
  </r>
  <r>
    <d v="2025-09-06T00:00:00"/>
    <s v="INV-452"/>
    <s v="Sales"/>
    <n v="160"/>
    <m/>
    <x v="13"/>
    <m/>
    <m/>
    <m/>
    <m/>
    <m/>
    <m/>
    <m/>
  </r>
  <r>
    <d v="2025-09-06T00:00:00"/>
    <s v="INV-453"/>
    <s v="Sales"/>
    <n v="450"/>
    <m/>
    <x v="1"/>
    <m/>
    <m/>
    <m/>
    <m/>
    <m/>
    <m/>
    <m/>
  </r>
  <r>
    <d v="2025-09-06T00:00:00"/>
    <s v="INV-454"/>
    <s v="Sales"/>
    <n v="2250"/>
    <m/>
    <x v="24"/>
    <m/>
    <m/>
    <m/>
    <m/>
    <m/>
    <m/>
    <m/>
  </r>
  <r>
    <d v="2025-09-06T00:00:00"/>
    <s v="INV-455"/>
    <s v="Sales"/>
    <n v="1500"/>
    <m/>
    <x v="9"/>
    <m/>
    <m/>
    <m/>
    <m/>
    <m/>
    <m/>
    <m/>
  </r>
  <r>
    <d v="2025-09-06T00:00:00"/>
    <s v="INV-456"/>
    <s v="Sales"/>
    <n v="160"/>
    <m/>
    <x v="25"/>
    <m/>
    <m/>
    <m/>
    <m/>
    <m/>
    <m/>
    <m/>
  </r>
  <r>
    <d v="2025-09-06T00:00:00"/>
    <s v="INV-457"/>
    <s v="Sales"/>
    <n v="1120"/>
    <m/>
    <x v="7"/>
    <m/>
    <m/>
    <m/>
    <m/>
    <m/>
    <m/>
    <m/>
  </r>
  <r>
    <d v="2025-09-06T00:00:00"/>
    <m/>
    <s v="Staff Salary"/>
    <m/>
    <n v="300"/>
    <x v="0"/>
    <m/>
    <m/>
    <m/>
    <m/>
    <m/>
    <m/>
    <s v="Tem Staff"/>
  </r>
  <r>
    <d v="2025-09-06T00:00:00"/>
    <m/>
    <s v="Expences"/>
    <m/>
    <n v="50"/>
    <x v="0"/>
    <m/>
    <m/>
    <m/>
    <m/>
    <m/>
    <m/>
    <m/>
  </r>
  <r>
    <d v="2025-09-07T00:00:00"/>
    <s v="INV-458"/>
    <s v="Sales"/>
    <n v="750"/>
    <m/>
    <x v="10"/>
    <m/>
    <m/>
    <m/>
    <m/>
    <m/>
    <m/>
    <m/>
  </r>
  <r>
    <d v="2025-09-07T00:00:00"/>
    <s v="INV-459"/>
    <s v="Sales"/>
    <n v="640"/>
    <m/>
    <x v="26"/>
    <m/>
    <m/>
    <m/>
    <m/>
    <m/>
    <m/>
    <m/>
  </r>
  <r>
    <d v="2025-09-07T00:00:00"/>
    <s v="INV-460"/>
    <s v="Sales"/>
    <n v="240"/>
    <m/>
    <x v="5"/>
    <m/>
    <m/>
    <m/>
    <m/>
    <m/>
    <m/>
    <m/>
  </r>
  <r>
    <d v="2025-09-07T00:00:00"/>
    <m/>
    <s v="Expences"/>
    <m/>
    <n v="50"/>
    <x v="0"/>
    <m/>
    <m/>
    <m/>
    <m/>
    <m/>
    <m/>
    <m/>
  </r>
  <r>
    <d v="2025-09-08T00:00:00"/>
    <m/>
    <s v="Ginger Purchase"/>
    <m/>
    <n v="3900"/>
    <x v="0"/>
    <s v="Old Ginger"/>
    <n v="78"/>
    <m/>
    <n v="50"/>
    <s v="Jakakodi Traders"/>
    <m/>
    <m/>
  </r>
  <r>
    <d v="2025-09-08T00:00:00"/>
    <m/>
    <s v="Garlic Purchase"/>
    <m/>
    <n v="9000"/>
    <x v="0"/>
    <s v="Naatu Poondu"/>
    <n v="60"/>
    <n v="600"/>
    <n v="140"/>
    <s v="SVG Garlics"/>
    <m/>
    <m/>
  </r>
  <r>
    <d v="2025-09-08T00:00:00"/>
    <m/>
    <s v="Garlic Purchase"/>
    <m/>
    <n v="600"/>
    <x v="0"/>
    <s v="Desi Udiri"/>
    <n v="60"/>
    <m/>
    <n v="10"/>
    <s v="SVG Garlics"/>
    <m/>
    <m/>
  </r>
  <r>
    <d v="2025-09-08T00:00:00"/>
    <s v="INV-461"/>
    <s v="Sales"/>
    <n v="1200"/>
    <m/>
    <x v="20"/>
    <m/>
    <m/>
    <m/>
    <m/>
    <m/>
    <m/>
    <m/>
  </r>
  <r>
    <d v="2025-09-08T00:00:00"/>
    <s v="INV-462"/>
    <s v="Sales"/>
    <n v="450"/>
    <m/>
    <x v="10"/>
    <m/>
    <m/>
    <m/>
    <m/>
    <m/>
    <m/>
    <m/>
  </r>
  <r>
    <d v="2025-09-08T00:00:00"/>
    <s v="INV-463"/>
    <s v="Sales"/>
    <n v="1600"/>
    <m/>
    <x v="27"/>
    <m/>
    <m/>
    <m/>
    <m/>
    <m/>
    <m/>
    <m/>
  </r>
  <r>
    <d v="2025-09-08T00:00:00"/>
    <s v="INV-464"/>
    <s v="Sales"/>
    <n v="540"/>
    <m/>
    <x v="16"/>
    <m/>
    <m/>
    <m/>
    <m/>
    <m/>
    <m/>
    <m/>
  </r>
  <r>
    <d v="2025-09-08T00:00:00"/>
    <s v="INV-465"/>
    <s v="Sales"/>
    <n v="240"/>
    <m/>
    <x v="2"/>
    <m/>
    <m/>
    <m/>
    <m/>
    <m/>
    <m/>
    <m/>
  </r>
  <r>
    <d v="2025-09-08T00:00:00"/>
    <s v="INV-466"/>
    <s v="Sales"/>
    <n v="760"/>
    <m/>
    <x v="1"/>
    <m/>
    <m/>
    <m/>
    <m/>
    <m/>
    <m/>
    <m/>
  </r>
  <r>
    <d v="2025-09-08T00:00:00"/>
    <s v="INV-467"/>
    <s v="Sales"/>
    <n v="300"/>
    <m/>
    <x v="12"/>
    <m/>
    <m/>
    <m/>
    <m/>
    <m/>
    <m/>
    <m/>
  </r>
  <r>
    <d v="2025-09-08T00:00:00"/>
    <s v="INV-468"/>
    <s v="Sales"/>
    <n v="1500"/>
    <m/>
    <x v="9"/>
    <m/>
    <m/>
    <m/>
    <m/>
    <m/>
    <m/>
    <m/>
  </r>
  <r>
    <d v="2025-09-08T00:00:00"/>
    <s v="INV-469"/>
    <s v="Sales"/>
    <n v="250"/>
    <m/>
    <x v="1"/>
    <m/>
    <m/>
    <m/>
    <m/>
    <m/>
    <m/>
    <m/>
  </r>
  <r>
    <d v="2025-09-08T00:00:00"/>
    <m/>
    <s v="Petrol"/>
    <m/>
    <n v="400"/>
    <x v="0"/>
    <m/>
    <m/>
    <m/>
    <m/>
    <m/>
    <m/>
    <m/>
  </r>
  <r>
    <d v="2025-09-08T00:00:00"/>
    <m/>
    <s v="Staff Salary"/>
    <m/>
    <n v="300"/>
    <x v="0"/>
    <m/>
    <m/>
    <m/>
    <m/>
    <m/>
    <m/>
    <m/>
  </r>
  <r>
    <d v="2025-09-08T00:00:00"/>
    <m/>
    <s v="Expences"/>
    <m/>
    <n v="110"/>
    <x v="0"/>
    <m/>
    <m/>
    <m/>
    <m/>
    <m/>
    <m/>
    <m/>
  </r>
  <r>
    <d v="2025-09-08T00:00:00"/>
    <m/>
    <s v="Delivery charge"/>
    <m/>
    <n v="250"/>
    <x v="0"/>
    <m/>
    <m/>
    <m/>
    <m/>
    <m/>
    <m/>
    <m/>
  </r>
  <r>
    <d v="2025-09-09T00:00:00"/>
    <s v="INV-470"/>
    <s v="Sales"/>
    <n v="120"/>
    <m/>
    <x v="1"/>
    <m/>
    <m/>
    <m/>
    <m/>
    <m/>
    <m/>
    <m/>
  </r>
  <r>
    <d v="2025-09-09T00:00:00"/>
    <s v="INV-471"/>
    <s v="Sales"/>
    <n v="450"/>
    <m/>
    <x v="10"/>
    <m/>
    <m/>
    <m/>
    <m/>
    <m/>
    <m/>
    <m/>
  </r>
  <r>
    <d v="2025-09-09T00:00:00"/>
    <s v="INV-472"/>
    <s v="Sales"/>
    <n v="980"/>
    <m/>
    <x v="11"/>
    <m/>
    <m/>
    <m/>
    <m/>
    <m/>
    <m/>
    <m/>
  </r>
  <r>
    <d v="2025-09-09T00:00:00"/>
    <s v="INV-473"/>
    <s v="Sales"/>
    <n v="240"/>
    <m/>
    <x v="2"/>
    <m/>
    <m/>
    <m/>
    <m/>
    <m/>
    <m/>
    <m/>
  </r>
  <r>
    <d v="2025-09-09T00:00:00"/>
    <s v="INV-474"/>
    <s v="Sales"/>
    <n v="150"/>
    <m/>
    <x v="12"/>
    <m/>
    <m/>
    <m/>
    <m/>
    <m/>
    <m/>
    <m/>
  </r>
  <r>
    <d v="2025-09-09T00:00:00"/>
    <s v="INV-475"/>
    <s v="Sales"/>
    <n v="640"/>
    <m/>
    <x v="28"/>
    <m/>
    <m/>
    <m/>
    <m/>
    <m/>
    <m/>
    <m/>
  </r>
  <r>
    <d v="2025-09-09T00:00:00"/>
    <m/>
    <s v="Water Cane"/>
    <m/>
    <n v="160"/>
    <x v="0"/>
    <m/>
    <m/>
    <m/>
    <m/>
    <m/>
    <m/>
    <m/>
  </r>
  <r>
    <d v="2025-09-09T00:00:00"/>
    <m/>
    <s v="Expences"/>
    <m/>
    <n v="50"/>
    <x v="0"/>
    <m/>
    <m/>
    <m/>
    <m/>
    <m/>
    <m/>
    <m/>
  </r>
  <r>
    <d v="2025-09-09T00:00:00"/>
    <m/>
    <s v="Essential Items"/>
    <m/>
    <n v="700"/>
    <x v="0"/>
    <m/>
    <m/>
    <m/>
    <m/>
    <m/>
    <m/>
    <m/>
  </r>
  <r>
    <d v="2025-09-10T00:00:00"/>
    <s v="INV-476"/>
    <s v="Sales"/>
    <n v="480"/>
    <m/>
    <x v="21"/>
    <m/>
    <m/>
    <m/>
    <m/>
    <m/>
    <m/>
    <m/>
  </r>
  <r>
    <d v="2025-09-10T00:00:00"/>
    <s v="INV-477"/>
    <s v="Sales"/>
    <n v="240"/>
    <m/>
    <x v="2"/>
    <m/>
    <m/>
    <m/>
    <m/>
    <m/>
    <m/>
    <m/>
  </r>
  <r>
    <d v="2025-09-10T00:00:00"/>
    <s v="INV-478"/>
    <s v="Sales"/>
    <n v="360"/>
    <m/>
    <x v="16"/>
    <m/>
    <m/>
    <m/>
    <m/>
    <m/>
    <m/>
    <m/>
  </r>
  <r>
    <d v="2025-09-10T00:00:00"/>
    <s v="INV-479"/>
    <s v="Sales"/>
    <n v="7500"/>
    <m/>
    <x v="24"/>
    <m/>
    <m/>
    <m/>
    <m/>
    <m/>
    <m/>
    <m/>
  </r>
  <r>
    <d v="2025-09-10T00:00:00"/>
    <s v="INV-480"/>
    <s v="Sales"/>
    <n v="170"/>
    <m/>
    <x v="28"/>
    <m/>
    <m/>
    <m/>
    <m/>
    <m/>
    <m/>
    <m/>
  </r>
  <r>
    <d v="2025-09-10T00:00:00"/>
    <s v="INV-481"/>
    <s v="Sales"/>
    <n v="320"/>
    <m/>
    <x v="23"/>
    <m/>
    <m/>
    <m/>
    <m/>
    <m/>
    <m/>
    <m/>
  </r>
  <r>
    <d v="2025-09-10T00:00:00"/>
    <s v="INV-482"/>
    <s v="Sales"/>
    <n v="2250"/>
    <m/>
    <x v="1"/>
    <m/>
    <m/>
    <m/>
    <m/>
    <m/>
    <m/>
    <m/>
  </r>
  <r>
    <d v="2025-09-10T00:00:00"/>
    <s v="INV-483"/>
    <s v="Sales"/>
    <n v="2250"/>
    <m/>
    <x v="10"/>
    <m/>
    <m/>
    <m/>
    <m/>
    <m/>
    <m/>
    <m/>
  </r>
  <r>
    <d v="2025-09-10T00:00:00"/>
    <m/>
    <s v="Staff Salary"/>
    <m/>
    <n v="100"/>
    <x v="0"/>
    <m/>
    <m/>
    <m/>
    <m/>
    <m/>
    <m/>
    <s v="Tem Staff"/>
  </r>
  <r>
    <d v="2025-09-10T00:00:00"/>
    <m/>
    <s v="Others"/>
    <m/>
    <n v="700"/>
    <x v="0"/>
    <m/>
    <m/>
    <m/>
    <m/>
    <m/>
    <m/>
    <s v="Flip kart"/>
  </r>
  <r>
    <d v="2025-09-10T00:00:00"/>
    <m/>
    <s v="Essential Items"/>
    <m/>
    <n v="140"/>
    <x v="0"/>
    <m/>
    <m/>
    <m/>
    <m/>
    <m/>
    <m/>
    <m/>
  </r>
  <r>
    <d v="2025-09-10T00:00:00"/>
    <m/>
    <s v="Expences"/>
    <m/>
    <n v="50"/>
    <x v="0"/>
    <m/>
    <m/>
    <m/>
    <m/>
    <m/>
    <m/>
    <m/>
  </r>
  <r>
    <d v="2025-09-11T00:00:00"/>
    <m/>
    <s v="Garlic Purchase"/>
    <m/>
    <n v="27450"/>
    <x v="0"/>
    <s v="Naatu Poondu"/>
    <n v="65"/>
    <n v="2100"/>
    <n v="390"/>
    <s v="PK Garlic"/>
    <m/>
    <m/>
  </r>
  <r>
    <d v="2025-09-11T00:00:00"/>
    <m/>
    <s v="Garlic Purchase"/>
    <m/>
    <n v="6240"/>
    <x v="0"/>
    <s v="Desi 4A"/>
    <n v="80"/>
    <m/>
    <n v="78"/>
    <s v="PK Garlic"/>
    <m/>
    <m/>
  </r>
  <r>
    <d v="2025-09-11T00:00:00"/>
    <m/>
    <s v="Ginger Purchase"/>
    <m/>
    <n v="3900"/>
    <x v="0"/>
    <s v="Old Ginger"/>
    <n v="78"/>
    <m/>
    <n v="50"/>
    <s v="Jakakodi Traders"/>
    <m/>
    <m/>
  </r>
  <r>
    <d v="2025-09-11T00:00:00"/>
    <s v="INV-484"/>
    <s v="Sales"/>
    <n v="1500"/>
    <m/>
    <x v="9"/>
    <m/>
    <m/>
    <m/>
    <m/>
    <m/>
    <m/>
    <m/>
  </r>
  <r>
    <d v="2025-09-11T00:00:00"/>
    <s v="INV-485"/>
    <s v="Sales"/>
    <n v="200"/>
    <m/>
    <x v="2"/>
    <m/>
    <m/>
    <m/>
    <m/>
    <m/>
    <m/>
    <m/>
  </r>
  <r>
    <d v="2025-09-11T00:00:00"/>
    <s v="INV-486"/>
    <s v="Sales"/>
    <n v="2250"/>
    <m/>
    <x v="29"/>
    <m/>
    <m/>
    <m/>
    <m/>
    <m/>
    <m/>
    <m/>
  </r>
  <r>
    <d v="2025-09-11T00:00:00"/>
    <s v="INV-487"/>
    <s v="Sales"/>
    <n v="160"/>
    <m/>
    <x v="28"/>
    <m/>
    <m/>
    <m/>
    <m/>
    <m/>
    <m/>
    <m/>
  </r>
  <r>
    <d v="2025-09-11T00:00:00"/>
    <s v="INV-488"/>
    <s v="Sales"/>
    <n v="360"/>
    <m/>
    <x v="16"/>
    <m/>
    <m/>
    <m/>
    <m/>
    <m/>
    <m/>
    <m/>
  </r>
  <r>
    <d v="2025-09-11T00:00:00"/>
    <s v="INV-489"/>
    <s v="Sales"/>
    <n v="180"/>
    <m/>
    <x v="1"/>
    <m/>
    <m/>
    <m/>
    <m/>
    <m/>
    <m/>
    <m/>
  </r>
  <r>
    <d v="2025-09-11T00:00:00"/>
    <s v="INV-490"/>
    <s v="Sales"/>
    <n v="800"/>
    <m/>
    <x v="27"/>
    <m/>
    <m/>
    <m/>
    <m/>
    <m/>
    <m/>
    <m/>
  </r>
  <r>
    <d v="2025-09-11T00:00:00"/>
    <s v="INV-491"/>
    <s v="Sales"/>
    <n v="2250"/>
    <m/>
    <x v="10"/>
    <m/>
    <m/>
    <m/>
    <m/>
    <m/>
    <m/>
    <m/>
  </r>
  <r>
    <d v="2025-09-11T00:00:00"/>
    <s v="INV-492"/>
    <s v="Sales"/>
    <n v="1500"/>
    <m/>
    <x v="9"/>
    <m/>
    <m/>
    <m/>
    <m/>
    <m/>
    <m/>
    <m/>
  </r>
  <r>
    <d v="2025-09-11T00:00:00"/>
    <m/>
    <s v="Expences"/>
    <m/>
    <n v="100"/>
    <x v="0"/>
    <m/>
    <m/>
    <m/>
    <m/>
    <m/>
    <m/>
    <m/>
  </r>
  <r>
    <d v="2025-09-11T00:00:00"/>
    <m/>
    <s v="Essential Items"/>
    <m/>
    <n v="58"/>
    <x v="0"/>
    <m/>
    <m/>
    <m/>
    <m/>
    <m/>
    <m/>
    <m/>
  </r>
  <r>
    <d v="2025-09-12T00:00:00"/>
    <s v="INV-493"/>
    <s v="Sales"/>
    <n v="310"/>
    <m/>
    <x v="12"/>
    <m/>
    <m/>
    <m/>
    <m/>
    <m/>
    <m/>
    <m/>
  </r>
  <r>
    <d v="2025-09-12T00:00:00"/>
    <s v="INV-494"/>
    <s v="Sales"/>
    <n v="470"/>
    <m/>
    <x v="1"/>
    <m/>
    <m/>
    <m/>
    <m/>
    <m/>
    <m/>
    <m/>
  </r>
  <r>
    <d v="2025-09-12T00:00:00"/>
    <s v="INV-495"/>
    <s v="Sales"/>
    <n v="70"/>
    <m/>
    <x v="28"/>
    <m/>
    <m/>
    <m/>
    <m/>
    <m/>
    <m/>
    <m/>
  </r>
  <r>
    <d v="2025-09-12T00:00:00"/>
    <s v="INV-496"/>
    <s v="Sales"/>
    <n v="160"/>
    <m/>
    <x v="30"/>
    <m/>
    <m/>
    <m/>
    <m/>
    <m/>
    <m/>
    <m/>
  </r>
  <r>
    <d v="2025-09-12T00:00:00"/>
    <s v="INV-497"/>
    <s v="Sales"/>
    <n v="480"/>
    <m/>
    <x v="13"/>
    <m/>
    <m/>
    <m/>
    <m/>
    <m/>
    <m/>
    <m/>
  </r>
  <r>
    <d v="2025-09-12T00:00:00"/>
    <s v="INV-498"/>
    <s v="Sales"/>
    <n v="240"/>
    <m/>
    <x v="2"/>
    <m/>
    <m/>
    <m/>
    <m/>
    <m/>
    <m/>
    <m/>
  </r>
  <r>
    <d v="2025-09-12T00:00:00"/>
    <s v="INV-499"/>
    <s v="Sales"/>
    <n v="320"/>
    <m/>
    <x v="8"/>
    <m/>
    <m/>
    <m/>
    <m/>
    <m/>
    <m/>
    <m/>
  </r>
  <r>
    <d v="2025-09-12T00:00:00"/>
    <s v="INV-500"/>
    <s v="Sales"/>
    <n v="360"/>
    <m/>
    <x v="16"/>
    <m/>
    <m/>
    <m/>
    <m/>
    <m/>
    <m/>
    <m/>
  </r>
  <r>
    <d v="2025-09-12T00:00:00"/>
    <s v="INV-501"/>
    <s v="Sales"/>
    <n v="160"/>
    <m/>
    <x v="6"/>
    <m/>
    <m/>
    <m/>
    <m/>
    <m/>
    <m/>
    <m/>
  </r>
  <r>
    <d v="2025-09-12T00:00:00"/>
    <s v="INV-502"/>
    <s v="Sales"/>
    <n v="2250"/>
    <m/>
    <x v="10"/>
    <m/>
    <m/>
    <m/>
    <m/>
    <m/>
    <m/>
    <m/>
  </r>
  <r>
    <d v="2025-09-12T00:00:00"/>
    <s v="INV-503"/>
    <s v="Sales"/>
    <n v="2250"/>
    <m/>
    <x v="14"/>
    <m/>
    <m/>
    <m/>
    <m/>
    <m/>
    <m/>
    <m/>
  </r>
  <r>
    <d v="2025-09-12T00:00:00"/>
    <m/>
    <s v="Expences"/>
    <m/>
    <n v="50"/>
    <x v="0"/>
    <m/>
    <m/>
    <m/>
    <m/>
    <m/>
    <m/>
    <m/>
  </r>
  <r>
    <d v="2025-09-12T00:00:00"/>
    <m/>
    <s v="Essential Items"/>
    <m/>
    <n v="15"/>
    <x v="0"/>
    <m/>
    <m/>
    <m/>
    <m/>
    <m/>
    <m/>
    <m/>
  </r>
  <r>
    <d v="2025-09-12T00:00:00"/>
    <m/>
    <s v="Staff Salary"/>
    <m/>
    <n v="1000"/>
    <x v="0"/>
    <m/>
    <m/>
    <m/>
    <m/>
    <m/>
    <m/>
    <s v="Salary - Saranya"/>
  </r>
  <r>
    <d v="2025-09-13T00:00:00"/>
    <m/>
    <s v="Ginger Purchase"/>
    <m/>
    <n v="3700"/>
    <x v="0"/>
    <s v="Old Ginger"/>
    <n v="74"/>
    <m/>
    <n v="50"/>
    <s v="Jakakodi Traders"/>
    <m/>
    <m/>
  </r>
  <r>
    <d v="2025-09-13T00:00:00"/>
    <s v="INV-504"/>
    <s v="Sales"/>
    <n v="750"/>
    <m/>
    <x v="10"/>
    <m/>
    <m/>
    <m/>
    <m/>
    <m/>
    <m/>
    <m/>
  </r>
  <r>
    <d v="2025-09-13T00:00:00"/>
    <s v="INV-505"/>
    <s v="Sales"/>
    <n v="160"/>
    <m/>
    <x v="17"/>
    <m/>
    <m/>
    <m/>
    <m/>
    <m/>
    <m/>
    <m/>
  </r>
  <r>
    <d v="2025-09-13T00:00:00"/>
    <s v="INV-506"/>
    <s v="Sales"/>
    <n v="240"/>
    <m/>
    <x v="5"/>
    <m/>
    <m/>
    <m/>
    <m/>
    <m/>
    <m/>
    <m/>
  </r>
  <r>
    <d v="2025-09-13T00:00:00"/>
    <s v="INV-507"/>
    <s v="Sales"/>
    <n v="540"/>
    <m/>
    <x v="16"/>
    <m/>
    <m/>
    <m/>
    <m/>
    <m/>
    <m/>
    <m/>
  </r>
  <r>
    <d v="2025-09-13T00:00:00"/>
    <s v="INV-508"/>
    <s v="Sales"/>
    <n v="750"/>
    <m/>
    <x v="14"/>
    <m/>
    <m/>
    <m/>
    <m/>
    <m/>
    <m/>
    <m/>
  </r>
  <r>
    <d v="2025-09-13T00:00:00"/>
    <s v="INV-509"/>
    <s v="Sales"/>
    <n v="3000"/>
    <m/>
    <x v="31"/>
    <m/>
    <m/>
    <m/>
    <m/>
    <m/>
    <m/>
    <m/>
  </r>
  <r>
    <d v="2025-09-13T00:00:00"/>
    <s v="INV-510"/>
    <s v="Sales"/>
    <n v="90"/>
    <m/>
    <x v="1"/>
    <m/>
    <m/>
    <m/>
    <m/>
    <m/>
    <m/>
    <m/>
  </r>
  <r>
    <d v="2025-09-13T00:00:00"/>
    <s v="INV-511"/>
    <s v="Sales"/>
    <n v="640"/>
    <m/>
    <x v="2"/>
    <m/>
    <m/>
    <m/>
    <m/>
    <m/>
    <m/>
    <m/>
  </r>
  <r>
    <d v="2025-09-13T00:00:00"/>
    <s v="INV-512"/>
    <s v="Sales"/>
    <n v="340"/>
    <m/>
    <x v="28"/>
    <m/>
    <m/>
    <m/>
    <m/>
    <m/>
    <m/>
    <m/>
  </r>
  <r>
    <d v="2025-09-13T00:00:00"/>
    <s v="INV-513"/>
    <s v="Sales"/>
    <n v="200"/>
    <m/>
    <x v="3"/>
    <m/>
    <m/>
    <m/>
    <m/>
    <m/>
    <m/>
    <m/>
  </r>
  <r>
    <d v="2025-09-13T00:00:00"/>
    <s v="INV-514"/>
    <s v="Sales"/>
    <n v="1500"/>
    <m/>
    <x v="9"/>
    <m/>
    <m/>
    <m/>
    <m/>
    <m/>
    <m/>
    <m/>
  </r>
  <r>
    <d v="2025-09-13T00:00:00"/>
    <s v="INV-515"/>
    <s v="Sales"/>
    <n v="1150"/>
    <m/>
    <x v="19"/>
    <m/>
    <m/>
    <m/>
    <m/>
    <m/>
    <m/>
    <m/>
  </r>
  <r>
    <d v="2025-09-13T00:00:00"/>
    <m/>
    <s v="Staff Salary"/>
    <m/>
    <n v="2000"/>
    <x v="0"/>
    <m/>
    <m/>
    <m/>
    <m/>
    <m/>
    <m/>
    <s v="Salary - Malar"/>
  </r>
  <r>
    <d v="2025-09-14T00:00:00"/>
    <s v="INV-516"/>
    <s v="Sales"/>
    <n v="2250"/>
    <m/>
    <x v="14"/>
    <m/>
    <m/>
    <m/>
    <m/>
    <m/>
    <m/>
    <m/>
  </r>
  <r>
    <d v="2025-09-14T00:00:00"/>
    <s v="INV-517"/>
    <s v="Sales"/>
    <n v="1200"/>
    <m/>
    <x v="10"/>
    <m/>
    <m/>
    <m/>
    <m/>
    <m/>
    <m/>
    <m/>
  </r>
  <r>
    <d v="2025-09-14T00:00:00"/>
    <s v="INV-518"/>
    <s v="Sales"/>
    <n v="80"/>
    <m/>
    <x v="30"/>
    <m/>
    <m/>
    <m/>
    <m/>
    <m/>
    <m/>
    <m/>
  </r>
  <r>
    <d v="2025-09-14T00:00:00"/>
    <s v="INV-519"/>
    <s v="Sales"/>
    <n v="1500"/>
    <m/>
    <x v="9"/>
    <m/>
    <m/>
    <m/>
    <m/>
    <m/>
    <m/>
    <m/>
  </r>
  <r>
    <d v="2025-09-14T00:00:00"/>
    <s v="INV-520"/>
    <s v="Sales"/>
    <n v="750"/>
    <m/>
    <x v="12"/>
    <m/>
    <m/>
    <m/>
    <m/>
    <m/>
    <m/>
    <m/>
  </r>
  <r>
    <d v="2025-09-14T00:00:00"/>
    <s v="INV-521"/>
    <s v="Sales"/>
    <n v="360"/>
    <m/>
    <x v="16"/>
    <m/>
    <m/>
    <m/>
    <m/>
    <m/>
    <m/>
    <m/>
  </r>
  <r>
    <d v="2025-09-14T00:00:00"/>
    <s v="INV-522"/>
    <s v="Sales"/>
    <n v="180"/>
    <m/>
    <x v="25"/>
    <m/>
    <m/>
    <m/>
    <m/>
    <m/>
    <m/>
    <m/>
  </r>
  <r>
    <d v="2025-09-14T00:00:00"/>
    <s v="INV-523"/>
    <s v="Sales"/>
    <n v="1200"/>
    <m/>
    <x v="32"/>
    <m/>
    <m/>
    <m/>
    <m/>
    <m/>
    <m/>
    <m/>
  </r>
  <r>
    <d v="2025-09-15T00:00:00"/>
    <m/>
    <s v="Ginger Purchase"/>
    <m/>
    <n v="1899"/>
    <x v="0"/>
    <s v="Old Ginger"/>
    <n v="67.849999999999994"/>
    <n v="0"/>
    <n v="28"/>
    <s v="Jakakodi Traders"/>
    <m/>
    <m/>
  </r>
  <r>
    <d v="2025-09-15T00:00:00"/>
    <s v="INV-524"/>
    <s v="Sales"/>
    <n v="1120"/>
    <m/>
    <x v="1"/>
    <m/>
    <m/>
    <m/>
    <m/>
    <m/>
    <m/>
    <m/>
  </r>
  <r>
    <d v="2025-09-15T00:00:00"/>
    <s v="INV-525"/>
    <s v="Sales"/>
    <n v="160"/>
    <m/>
    <x v="2"/>
    <m/>
    <m/>
    <m/>
    <m/>
    <m/>
    <m/>
    <m/>
  </r>
  <r>
    <d v="2025-09-15T00:00:00"/>
    <s v="INV-526"/>
    <s v="Sales"/>
    <n v="340"/>
    <m/>
    <x v="16"/>
    <m/>
    <m/>
    <m/>
    <m/>
    <m/>
    <m/>
    <m/>
  </r>
  <r>
    <d v="2025-09-15T00:00:00"/>
    <s v="INV-527"/>
    <s v="Sales"/>
    <n v="300"/>
    <m/>
    <x v="7"/>
    <m/>
    <m/>
    <m/>
    <m/>
    <m/>
    <m/>
    <m/>
  </r>
  <r>
    <d v="2025-09-15T00:00:00"/>
    <s v="INV-528"/>
    <s v="Sales"/>
    <n v="270"/>
    <m/>
    <x v="28"/>
    <m/>
    <m/>
    <m/>
    <m/>
    <m/>
    <m/>
    <m/>
  </r>
  <r>
    <d v="2025-09-15T00:00:00"/>
    <s v="INV-529"/>
    <s v="Sales"/>
    <n v="100"/>
    <m/>
    <x v="3"/>
    <m/>
    <m/>
    <m/>
    <m/>
    <m/>
    <m/>
    <m/>
  </r>
  <r>
    <d v="2025-09-15T00:00:00"/>
    <s v="INV-530"/>
    <s v="Sales"/>
    <n v="320"/>
    <m/>
    <x v="26"/>
    <m/>
    <m/>
    <m/>
    <m/>
    <m/>
    <m/>
    <m/>
  </r>
  <r>
    <d v="2025-09-15T00:00:00"/>
    <m/>
    <s v="Essential Items"/>
    <m/>
    <n v="1300"/>
    <x v="0"/>
    <m/>
    <m/>
    <m/>
    <m/>
    <m/>
    <m/>
    <s v="Sealer Machine"/>
  </r>
  <r>
    <d v="2025-09-15T00:00:00"/>
    <m/>
    <s v="Expences"/>
    <m/>
    <n v="30"/>
    <x v="0"/>
    <m/>
    <m/>
    <m/>
    <m/>
    <m/>
    <m/>
    <m/>
  </r>
  <r>
    <d v="2025-09-16T00:00:00"/>
    <m/>
    <s v="Ginger Purchase"/>
    <m/>
    <n v="3700"/>
    <x v="0"/>
    <s v="Old Ginger"/>
    <n v="74"/>
    <n v="0"/>
    <n v="50"/>
    <s v="Jakakodi Traders"/>
    <m/>
    <m/>
  </r>
  <r>
    <d v="2025-09-16T00:00:00"/>
    <s v="INV-531"/>
    <s v="Sales"/>
    <n v="240"/>
    <m/>
    <x v="2"/>
    <m/>
    <m/>
    <m/>
    <m/>
    <m/>
    <m/>
    <m/>
  </r>
  <r>
    <d v="2025-09-16T00:00:00"/>
    <s v="INV-532"/>
    <s v="Sales"/>
    <n v="800"/>
    <m/>
    <x v="27"/>
    <m/>
    <m/>
    <m/>
    <m/>
    <m/>
    <m/>
    <m/>
  </r>
  <r>
    <d v="2025-09-16T00:00:00"/>
    <s v="INV-533"/>
    <s v="Sales"/>
    <n v="170"/>
    <m/>
    <x v="28"/>
    <m/>
    <m/>
    <m/>
    <m/>
    <m/>
    <m/>
    <m/>
  </r>
  <r>
    <d v="2025-09-16T00:00:00"/>
    <s v="INV-534"/>
    <s v="Sales"/>
    <n v="360"/>
    <m/>
    <x v="16"/>
    <m/>
    <m/>
    <m/>
    <m/>
    <m/>
    <m/>
    <m/>
  </r>
  <r>
    <d v="2025-09-16T00:00:00"/>
    <s v="INV-535"/>
    <s v="Sales"/>
    <n v="680"/>
    <m/>
    <x v="1"/>
    <m/>
    <m/>
    <m/>
    <m/>
    <m/>
    <m/>
    <m/>
  </r>
  <r>
    <d v="2025-09-16T00:00:00"/>
    <s v="INV-536"/>
    <s v="Sales"/>
    <n v="900"/>
    <m/>
    <x v="10"/>
    <m/>
    <m/>
    <m/>
    <m/>
    <m/>
    <m/>
    <m/>
  </r>
  <r>
    <d v="2025-09-16T00:00:00"/>
    <s v="INV-537"/>
    <s v="Sales"/>
    <n v="450"/>
    <m/>
    <x v="24"/>
    <m/>
    <m/>
    <m/>
    <m/>
    <m/>
    <m/>
    <m/>
  </r>
  <r>
    <d v="2025-09-16T00:00:00"/>
    <s v="INV-538"/>
    <s v="Sales"/>
    <n v="1800"/>
    <m/>
    <x v="11"/>
    <m/>
    <m/>
    <m/>
    <m/>
    <m/>
    <m/>
    <m/>
  </r>
  <r>
    <d v="2025-09-16T00:00:00"/>
    <m/>
    <s v="Expences"/>
    <m/>
    <n v="70"/>
    <x v="0"/>
    <m/>
    <m/>
    <m/>
    <m/>
    <m/>
    <m/>
    <m/>
  </r>
  <r>
    <d v="2025-09-17T00:00:00"/>
    <s v="INV-539"/>
    <s v="Sales"/>
    <n v="240"/>
    <m/>
    <x v="5"/>
    <m/>
    <m/>
    <m/>
    <m/>
    <m/>
    <m/>
    <m/>
  </r>
  <r>
    <d v="2025-09-17T00:00:00"/>
    <s v="INV-540"/>
    <s v="Sales"/>
    <n v="240"/>
    <m/>
    <x v="2"/>
    <m/>
    <m/>
    <m/>
    <m/>
    <m/>
    <m/>
    <m/>
  </r>
  <r>
    <d v="2025-09-17T00:00:00"/>
    <s v="INV-541"/>
    <s v="Sales"/>
    <n v="320"/>
    <m/>
    <x v="23"/>
    <m/>
    <m/>
    <m/>
    <m/>
    <m/>
    <m/>
    <m/>
  </r>
  <r>
    <d v="2025-09-17T00:00:00"/>
    <s v="INV-542"/>
    <s v="Sales"/>
    <n v="360"/>
    <m/>
    <x v="16"/>
    <m/>
    <m/>
    <m/>
    <m/>
    <m/>
    <m/>
    <m/>
  </r>
  <r>
    <d v="2025-09-17T00:00:00"/>
    <s v="INV-543"/>
    <s v="Sales"/>
    <n v="2400"/>
    <m/>
    <x v="14"/>
    <m/>
    <m/>
    <m/>
    <m/>
    <m/>
    <m/>
    <m/>
  </r>
  <r>
    <d v="2025-09-17T00:00:00"/>
    <s v="INV-544"/>
    <s v="Sales"/>
    <n v="510"/>
    <m/>
    <x v="1"/>
    <m/>
    <m/>
    <m/>
    <m/>
    <m/>
    <m/>
    <m/>
  </r>
  <r>
    <d v="2025-09-17T00:00:00"/>
    <m/>
    <s v="Expences"/>
    <m/>
    <n v="45"/>
    <x v="0"/>
    <m/>
    <m/>
    <m/>
    <m/>
    <m/>
    <m/>
    <m/>
  </r>
  <r>
    <d v="2025-09-17T00:00:00"/>
    <m/>
    <s v="Water Cane"/>
    <m/>
    <n v="120"/>
    <x v="0"/>
    <m/>
    <m/>
    <m/>
    <m/>
    <m/>
    <m/>
    <m/>
  </r>
  <r>
    <d v="2025-09-18T00:00:00"/>
    <m/>
    <s v="Bills"/>
    <m/>
    <n v="550"/>
    <x v="0"/>
    <m/>
    <m/>
    <m/>
    <m/>
    <m/>
    <m/>
    <s v="Wi-fi Bill"/>
  </r>
  <r>
    <d v="2025-09-18T00:00:00"/>
    <m/>
    <s v="Ginger Purchase"/>
    <m/>
    <n v="5510"/>
    <x v="0"/>
    <s v="Old Ginger"/>
    <n v="44.64"/>
    <n v="510"/>
    <n v="112"/>
    <s v="Mass Traders"/>
    <m/>
    <m/>
  </r>
  <r>
    <d v="2025-09-18T00:00:00"/>
    <s v="INV-545"/>
    <s v="Sales"/>
    <n v="240"/>
    <m/>
    <x v="1"/>
    <m/>
    <m/>
    <m/>
    <m/>
    <m/>
    <m/>
    <m/>
  </r>
  <r>
    <d v="2025-09-18T00:00:00"/>
    <s v="INV-546"/>
    <s v="Sales"/>
    <n v="160"/>
    <m/>
    <x v="2"/>
    <m/>
    <m/>
    <m/>
    <m/>
    <m/>
    <m/>
    <m/>
  </r>
  <r>
    <d v="2025-09-18T00:00:00"/>
    <s v="INV-547"/>
    <m/>
    <m/>
    <m/>
    <x v="0"/>
    <m/>
    <m/>
    <m/>
    <m/>
    <m/>
    <m/>
    <m/>
  </r>
  <r>
    <d v="2025-09-18T00:00:00"/>
    <s v="INV-548"/>
    <s v="Sales"/>
    <n v="750"/>
    <m/>
    <x v="10"/>
    <m/>
    <m/>
    <m/>
    <m/>
    <m/>
    <m/>
    <m/>
  </r>
  <r>
    <d v="2025-09-18T00:00:00"/>
    <s v="INV-549"/>
    <s v="Sales"/>
    <n v="540"/>
    <m/>
    <x v="16"/>
    <m/>
    <m/>
    <m/>
    <m/>
    <m/>
    <m/>
    <m/>
  </r>
  <r>
    <d v="2025-09-18T00:00:00"/>
    <s v="INV-550"/>
    <s v="Sales"/>
    <n v="100"/>
    <m/>
    <x v="33"/>
    <m/>
    <m/>
    <m/>
    <m/>
    <m/>
    <m/>
    <m/>
  </r>
  <r>
    <d v="2025-09-18T00:00:00"/>
    <s v="INV-551"/>
    <s v="Sales"/>
    <n v="80"/>
    <m/>
    <x v="30"/>
    <m/>
    <m/>
    <m/>
    <m/>
    <m/>
    <m/>
    <m/>
  </r>
  <r>
    <d v="2025-09-18T00:00:00"/>
    <s v="INV-552"/>
    <s v="Sales"/>
    <n v="2250"/>
    <m/>
    <x v="14"/>
    <m/>
    <m/>
    <m/>
    <m/>
    <m/>
    <m/>
    <m/>
  </r>
  <r>
    <d v="2025-09-18T00:00:00"/>
    <s v="INV-553"/>
    <s v="Sales"/>
    <n v="1500"/>
    <m/>
    <x v="9"/>
    <m/>
    <m/>
    <m/>
    <m/>
    <m/>
    <m/>
    <m/>
  </r>
  <r>
    <d v="2025-09-18T00:00:00"/>
    <s v="INV-554"/>
    <s v="Sales"/>
    <n v="160"/>
    <m/>
    <x v="8"/>
    <m/>
    <m/>
    <m/>
    <m/>
    <m/>
    <m/>
    <m/>
  </r>
  <r>
    <d v="2025-09-18T00:00:00"/>
    <s v="INV-555"/>
    <s v="Sales"/>
    <n v="480"/>
    <m/>
    <x v="22"/>
    <m/>
    <m/>
    <m/>
    <m/>
    <m/>
    <m/>
    <m/>
  </r>
  <r>
    <d v="2025-09-18T00:00:00"/>
    <m/>
    <s v="Expences"/>
    <m/>
    <n v="50"/>
    <x v="0"/>
    <m/>
    <m/>
    <m/>
    <m/>
    <m/>
    <m/>
    <m/>
  </r>
  <r>
    <d v="2025-09-19T00:00:00"/>
    <m/>
    <s v="Garlic Purchase"/>
    <m/>
    <n v="12265"/>
    <x v="0"/>
    <s v="Naatu Poondu"/>
    <n v="65"/>
    <n v="1150"/>
    <n v="171"/>
    <s v="SVG Garlics"/>
    <m/>
    <m/>
  </r>
  <r>
    <d v="2025-09-19T00:00:00"/>
    <s v="INV-556"/>
    <s v="Sales"/>
    <n v="2400"/>
    <m/>
    <x v="7"/>
    <m/>
    <m/>
    <m/>
    <m/>
    <m/>
    <m/>
    <m/>
  </r>
  <r>
    <d v="2025-09-19T00:00:00"/>
    <s v="INV-557"/>
    <s v="Sales"/>
    <n v="170"/>
    <m/>
    <x v="1"/>
    <m/>
    <m/>
    <m/>
    <m/>
    <m/>
    <m/>
    <m/>
  </r>
  <r>
    <d v="2025-09-19T00:00:00"/>
    <s v="INV-558"/>
    <s v="Sales"/>
    <n v="320"/>
    <m/>
    <x v="23"/>
    <m/>
    <m/>
    <m/>
    <m/>
    <m/>
    <m/>
    <m/>
  </r>
  <r>
    <d v="2025-09-19T00:00:00"/>
    <s v="INV-559"/>
    <s v="Sales"/>
    <n v="260"/>
    <m/>
    <x v="28"/>
    <m/>
    <m/>
    <m/>
    <m/>
    <m/>
    <m/>
    <m/>
  </r>
  <r>
    <d v="2025-09-19T00:00:00"/>
    <s v="INV-560"/>
    <s v="Sales"/>
    <n v="4500"/>
    <m/>
    <x v="14"/>
    <m/>
    <m/>
    <m/>
    <m/>
    <m/>
    <m/>
    <m/>
  </r>
  <r>
    <d v="2025-09-19T00:00:00"/>
    <s v="INV-561"/>
    <s v="Sales"/>
    <n v="320"/>
    <m/>
    <x v="2"/>
    <m/>
    <m/>
    <m/>
    <m/>
    <m/>
    <m/>
    <m/>
  </r>
  <r>
    <d v="2025-09-19T00:00:00"/>
    <s v="INV-562"/>
    <s v="Sales"/>
    <n v="540"/>
    <m/>
    <x v="16"/>
    <m/>
    <m/>
    <m/>
    <m/>
    <m/>
    <m/>
    <m/>
  </r>
  <r>
    <d v="2025-09-19T00:00:00"/>
    <s v="INV-563"/>
    <s v="Sales"/>
    <n v="800"/>
    <m/>
    <x v="28"/>
    <m/>
    <m/>
    <m/>
    <m/>
    <m/>
    <m/>
    <m/>
  </r>
  <r>
    <d v="2025-09-19T00:00:00"/>
    <s v="INV-564"/>
    <s v="Sales"/>
    <n v="1500"/>
    <m/>
    <x v="14"/>
    <m/>
    <m/>
    <m/>
    <m/>
    <m/>
    <m/>
    <m/>
  </r>
  <r>
    <d v="2025-09-19T00:00:00"/>
    <s v="INV-565"/>
    <s v="Sales"/>
    <n v="160"/>
    <m/>
    <x v="25"/>
    <m/>
    <m/>
    <m/>
    <m/>
    <m/>
    <m/>
    <m/>
  </r>
  <r>
    <d v="2025-09-19T00:00:00"/>
    <s v="INV-566"/>
    <s v="Sales"/>
    <n v="300"/>
    <m/>
    <x v="12"/>
    <m/>
    <m/>
    <m/>
    <m/>
    <m/>
    <m/>
    <m/>
  </r>
  <r>
    <d v="2025-09-19T00:00:00"/>
    <m/>
    <s v="Petrol"/>
    <m/>
    <n v="400"/>
    <x v="0"/>
    <m/>
    <m/>
    <m/>
    <m/>
    <m/>
    <m/>
    <m/>
  </r>
  <r>
    <d v="2025-09-19T00:00:00"/>
    <m/>
    <s v="Expences"/>
    <m/>
    <n v="50"/>
    <x v="0"/>
    <m/>
    <m/>
    <m/>
    <m/>
    <m/>
    <m/>
    <m/>
  </r>
  <r>
    <d v="2025-09-20T00:00:00"/>
    <s v="INV-567"/>
    <s v="Sales"/>
    <n v="540"/>
    <m/>
    <x v="16"/>
    <m/>
    <m/>
    <m/>
    <m/>
    <m/>
    <m/>
    <m/>
  </r>
  <r>
    <d v="2025-09-20T00:00:00"/>
    <s v="INV-568"/>
    <s v="Sales"/>
    <n v="90"/>
    <m/>
    <x v="30"/>
    <m/>
    <m/>
    <m/>
    <m/>
    <m/>
    <m/>
    <m/>
  </r>
  <r>
    <d v="2025-09-20T00:00:00"/>
    <s v="INV-569"/>
    <s v="Sales"/>
    <n v="560"/>
    <m/>
    <x v="2"/>
    <m/>
    <m/>
    <m/>
    <m/>
    <m/>
    <m/>
    <m/>
  </r>
  <r>
    <d v="2025-09-20T00:00:00"/>
    <s v="INV-570"/>
    <s v="Sales"/>
    <n v="750"/>
    <m/>
    <x v="7"/>
    <m/>
    <m/>
    <m/>
    <m/>
    <m/>
    <m/>
    <m/>
  </r>
  <r>
    <d v="2025-09-20T00:00:00"/>
    <s v="INV-571"/>
    <s v="Sales"/>
    <n v="1800"/>
    <m/>
    <x v="28"/>
    <m/>
    <m/>
    <m/>
    <m/>
    <m/>
    <m/>
    <m/>
  </r>
  <r>
    <d v="2025-09-20T00:00:00"/>
    <s v="INV-572"/>
    <s v="Sales"/>
    <n v="3000"/>
    <m/>
    <x v="14"/>
    <m/>
    <m/>
    <m/>
    <m/>
    <m/>
    <m/>
    <m/>
  </r>
  <r>
    <d v="2025-09-20T00:00:00"/>
    <m/>
    <s v="Expences"/>
    <m/>
    <n v="50"/>
    <x v="0"/>
    <m/>
    <m/>
    <m/>
    <m/>
    <m/>
    <m/>
    <m/>
  </r>
  <r>
    <d v="2025-09-21T00:00:00"/>
    <s v="INV-573"/>
    <s v="Sales"/>
    <n v="1350"/>
    <m/>
    <x v="7"/>
    <m/>
    <m/>
    <m/>
    <m/>
    <m/>
    <m/>
    <m/>
  </r>
  <r>
    <d v="2025-09-21T00:00:00"/>
    <s v="INV-574"/>
    <s v="Sales"/>
    <n v="1500"/>
    <m/>
    <x v="9"/>
    <m/>
    <m/>
    <m/>
    <m/>
    <m/>
    <m/>
    <m/>
  </r>
  <r>
    <d v="2025-09-21T00:00:00"/>
    <s v="INV-575"/>
    <s v="Sales"/>
    <n v="300"/>
    <m/>
    <x v="1"/>
    <m/>
    <m/>
    <m/>
    <m/>
    <m/>
    <m/>
    <m/>
  </r>
  <r>
    <d v="2025-09-21T00:00:00"/>
    <s v="INV-576"/>
    <s v="Sales"/>
    <n v="360"/>
    <m/>
    <x v="16"/>
    <m/>
    <m/>
    <m/>
    <m/>
    <m/>
    <m/>
    <m/>
  </r>
  <r>
    <d v="2025-09-21T00:00:00"/>
    <s v="INV-577"/>
    <s v="Sales"/>
    <n v="5250"/>
    <m/>
    <x v="10"/>
    <m/>
    <m/>
    <m/>
    <m/>
    <m/>
    <m/>
    <m/>
  </r>
  <r>
    <d v="2025-09-21T00:00:00"/>
    <m/>
    <s v="Expences"/>
    <m/>
    <n v="50"/>
    <x v="0"/>
    <m/>
    <m/>
    <m/>
    <m/>
    <m/>
    <m/>
    <m/>
  </r>
  <r>
    <d v="2025-09-22T00:00:00"/>
    <s v="INV-578"/>
    <s v="Sales"/>
    <n v="1500"/>
    <m/>
    <x v="9"/>
    <m/>
    <m/>
    <m/>
    <m/>
    <m/>
    <m/>
    <m/>
  </r>
  <r>
    <d v="2025-09-22T00:00:00"/>
    <s v="INV-579"/>
    <s v="Sales"/>
    <n v="480"/>
    <m/>
    <x v="22"/>
    <m/>
    <m/>
    <m/>
    <m/>
    <m/>
    <m/>
    <m/>
  </r>
  <r>
    <d v="2025-09-22T00:00:00"/>
    <s v="INV-580"/>
    <s v="Sales"/>
    <n v="160"/>
    <m/>
    <x v="14"/>
    <m/>
    <m/>
    <m/>
    <m/>
    <m/>
    <m/>
    <m/>
  </r>
  <r>
    <d v="2025-09-22T00:00:00"/>
    <s v="INV-581"/>
    <s v="Sales"/>
    <n v="160"/>
    <m/>
    <x v="2"/>
    <m/>
    <m/>
    <m/>
    <m/>
    <m/>
    <m/>
    <m/>
  </r>
  <r>
    <d v="2025-09-22T00:00:00"/>
    <s v="INV-582"/>
    <s v="Sales"/>
    <n v="300"/>
    <m/>
    <x v="12"/>
    <m/>
    <m/>
    <m/>
    <m/>
    <m/>
    <m/>
    <m/>
  </r>
  <r>
    <d v="2025-09-22T00:00:00"/>
    <s v="INV-583"/>
    <s v="Sales"/>
    <n v="890"/>
    <m/>
    <x v="28"/>
    <m/>
    <m/>
    <m/>
    <m/>
    <m/>
    <m/>
    <m/>
  </r>
  <r>
    <d v="2025-09-22T00:00:00"/>
    <s v="INV-584"/>
    <s v="Sales"/>
    <n v="800"/>
    <m/>
    <x v="27"/>
    <m/>
    <m/>
    <m/>
    <m/>
    <m/>
    <m/>
    <m/>
  </r>
  <r>
    <d v="2025-09-22T00:00:00"/>
    <s v="INV-585"/>
    <s v="Sales"/>
    <n v="940"/>
    <m/>
    <x v="1"/>
    <m/>
    <m/>
    <m/>
    <m/>
    <m/>
    <m/>
    <m/>
  </r>
  <r>
    <d v="2025-09-22T00:00:00"/>
    <s v="INV-586"/>
    <s v="Sales"/>
    <n v="160"/>
    <m/>
    <x v="26"/>
    <m/>
    <m/>
    <m/>
    <m/>
    <m/>
    <m/>
    <m/>
  </r>
  <r>
    <d v="2025-09-22T00:00:00"/>
    <m/>
    <s v="Expences"/>
    <m/>
    <n v="50"/>
    <x v="0"/>
    <m/>
    <m/>
    <m/>
    <m/>
    <m/>
    <m/>
    <m/>
  </r>
  <r>
    <d v="2025-09-23T00:00:00"/>
    <s v="INV-587"/>
    <s v="Sales"/>
    <n v="240"/>
    <m/>
    <x v="2"/>
    <m/>
    <m/>
    <m/>
    <m/>
    <m/>
    <m/>
    <m/>
  </r>
  <r>
    <d v="2025-09-23T00:00:00"/>
    <s v="INV-588"/>
    <s v="Sales"/>
    <n v="360"/>
    <m/>
    <x v="16"/>
    <m/>
    <m/>
    <m/>
    <m/>
    <m/>
    <m/>
    <m/>
  </r>
  <r>
    <d v="2025-09-23T00:00:00"/>
    <s v="INV-589"/>
    <s v="Sales"/>
    <n v="90"/>
    <m/>
    <x v="1"/>
    <m/>
    <m/>
    <m/>
    <m/>
    <m/>
    <m/>
    <m/>
  </r>
  <r>
    <d v="2025-09-23T00:00:00"/>
    <s v="INV-590"/>
    <s v="Sales"/>
    <n v="510"/>
    <m/>
    <x v="28"/>
    <m/>
    <m/>
    <m/>
    <m/>
    <m/>
    <m/>
    <m/>
  </r>
  <r>
    <d v="2025-09-23T00:00:00"/>
    <s v="INV-591"/>
    <s v="Sales"/>
    <n v="160"/>
    <m/>
    <x v="34"/>
    <m/>
    <m/>
    <m/>
    <m/>
    <m/>
    <m/>
    <m/>
  </r>
  <r>
    <d v="2025-09-23T00:00:00"/>
    <m/>
    <s v="Expences"/>
    <m/>
    <n v="50"/>
    <x v="0"/>
    <m/>
    <m/>
    <m/>
    <m/>
    <m/>
    <m/>
    <m/>
  </r>
  <r>
    <d v="2025-09-23T00:00:00"/>
    <m/>
    <s v="Trasport"/>
    <m/>
    <n v="700"/>
    <x v="0"/>
    <m/>
    <m/>
    <m/>
    <m/>
    <m/>
    <m/>
    <s v="For bring back Fridge from KKL"/>
  </r>
  <r>
    <d v="2025-09-24T00:00:00"/>
    <s v="INV-592"/>
    <s v="Sales"/>
    <n v="240"/>
    <m/>
    <x v="2"/>
    <m/>
    <m/>
    <m/>
    <m/>
    <m/>
    <m/>
    <m/>
  </r>
  <r>
    <d v="2025-09-24T00:00:00"/>
    <s v="INV-593"/>
    <s v="Sales"/>
    <n v="100"/>
    <m/>
    <x v="4"/>
    <m/>
    <m/>
    <m/>
    <m/>
    <m/>
    <m/>
    <m/>
  </r>
  <r>
    <d v="2025-09-24T00:00:00"/>
    <s v="INV-594"/>
    <s v="Sales"/>
    <n v="260"/>
    <m/>
    <x v="28"/>
    <m/>
    <m/>
    <m/>
    <m/>
    <m/>
    <m/>
    <m/>
  </r>
  <r>
    <d v="2025-09-24T00:00:00"/>
    <s v="INV-595"/>
    <s v="Sales"/>
    <n v="240"/>
    <m/>
    <x v="5"/>
    <m/>
    <m/>
    <m/>
    <m/>
    <m/>
    <m/>
    <m/>
  </r>
  <r>
    <d v="2025-09-24T00:00:00"/>
    <s v="INV-596"/>
    <s v="Sales"/>
    <n v="1500"/>
    <m/>
    <x v="14"/>
    <m/>
    <m/>
    <m/>
    <m/>
    <m/>
    <m/>
    <m/>
  </r>
  <r>
    <d v="2025-09-24T00:00:00"/>
    <s v="INV-597"/>
    <s v="Sales"/>
    <n v="60"/>
    <m/>
    <x v="1"/>
    <m/>
    <m/>
    <m/>
    <m/>
    <m/>
    <m/>
    <m/>
  </r>
  <r>
    <d v="2025-09-24T00:00:00"/>
    <s v="INV-598"/>
    <s v="Sales"/>
    <n v="900"/>
    <m/>
    <x v="12"/>
    <m/>
    <m/>
    <m/>
    <m/>
    <m/>
    <m/>
    <m/>
  </r>
  <r>
    <d v="2025-09-24T00:00:00"/>
    <m/>
    <s v="Expences"/>
    <m/>
    <n v="50"/>
    <x v="0"/>
    <m/>
    <m/>
    <m/>
    <m/>
    <m/>
    <m/>
    <m/>
  </r>
  <r>
    <d v="2025-09-24T00:00:00"/>
    <m/>
    <s v="Packaging Material"/>
    <m/>
    <n v="1090"/>
    <x v="0"/>
    <m/>
    <m/>
    <m/>
    <m/>
    <m/>
    <m/>
    <m/>
  </r>
  <r>
    <d v="2025-09-24T00:00:00"/>
    <m/>
    <s v="Petrol"/>
    <m/>
    <n v="400"/>
    <x v="0"/>
    <m/>
    <m/>
    <m/>
    <m/>
    <m/>
    <m/>
    <m/>
  </r>
  <r>
    <d v="2025-09-25T00:00:00"/>
    <s v="INV-599"/>
    <s v="Sales"/>
    <n v="160"/>
    <m/>
    <x v="2"/>
    <m/>
    <m/>
    <m/>
    <m/>
    <m/>
    <m/>
    <m/>
  </r>
  <r>
    <d v="2025-09-25T00:00:00"/>
    <s v="INV-600"/>
    <s v="Sales"/>
    <n v="1500"/>
    <m/>
    <x v="9"/>
    <m/>
    <m/>
    <m/>
    <m/>
    <m/>
    <m/>
    <m/>
  </r>
  <r>
    <d v="2025-09-25T00:00:00"/>
    <s v="INV-601"/>
    <s v="Sales"/>
    <n v="480"/>
    <m/>
    <x v="22"/>
    <m/>
    <m/>
    <m/>
    <m/>
    <m/>
    <m/>
    <m/>
  </r>
  <r>
    <d v="2025-09-25T00:00:00"/>
    <s v="INV-602"/>
    <s v="Sales"/>
    <n v="750"/>
    <m/>
    <x v="10"/>
    <m/>
    <m/>
    <m/>
    <m/>
    <m/>
    <m/>
    <m/>
  </r>
  <r>
    <d v="2025-09-25T00:00:00"/>
    <s v="INV-603"/>
    <s v="Sales"/>
    <n v="300"/>
    <m/>
    <x v="4"/>
    <m/>
    <m/>
    <m/>
    <m/>
    <m/>
    <m/>
    <m/>
  </r>
  <r>
    <d v="2025-09-25T00:00:00"/>
    <s v="INV-604"/>
    <s v="Sales"/>
    <n v="320"/>
    <m/>
    <x v="23"/>
    <m/>
    <m/>
    <m/>
    <m/>
    <m/>
    <m/>
    <m/>
  </r>
  <r>
    <d v="2025-09-25T00:00:00"/>
    <m/>
    <s v="Ginger Purchase"/>
    <m/>
    <n v="3600"/>
    <x v="0"/>
    <s v="Old Ginger"/>
    <n v="72"/>
    <m/>
    <n v="50"/>
    <s v="Jakakodi Traders"/>
    <m/>
    <m/>
  </r>
  <r>
    <d v="2025-09-25T00:00:00"/>
    <m/>
    <s v="Expences"/>
    <m/>
    <n v="50"/>
    <x v="0"/>
    <m/>
    <m/>
    <m/>
    <m/>
    <m/>
    <m/>
    <m/>
  </r>
  <r>
    <d v="2025-09-25T00:00:00"/>
    <m/>
    <s v="Others"/>
    <m/>
    <n v="20"/>
    <x v="0"/>
    <m/>
    <m/>
    <m/>
    <m/>
    <m/>
    <m/>
    <m/>
  </r>
  <r>
    <d v="2025-09-25T00:00:00"/>
    <m/>
    <s v="Trasport"/>
    <m/>
    <n v="300"/>
    <x v="0"/>
    <m/>
    <m/>
    <m/>
    <m/>
    <m/>
    <m/>
    <m/>
  </r>
  <r>
    <d v="2025-09-25T00:00:00"/>
    <m/>
    <s v="Packaging Material"/>
    <m/>
    <n v="400"/>
    <x v="0"/>
    <m/>
    <m/>
    <m/>
    <m/>
    <m/>
    <m/>
    <m/>
  </r>
  <r>
    <d v="2025-09-25T00:00:00"/>
    <m/>
    <s v="Water Cane"/>
    <m/>
    <n v="160"/>
    <x v="0"/>
    <m/>
    <m/>
    <m/>
    <m/>
    <m/>
    <m/>
    <m/>
  </r>
  <r>
    <d v="2025-09-26T00:00:00"/>
    <s v="INV-605"/>
    <s v="Sales"/>
    <n v="1500"/>
    <m/>
    <x v="9"/>
    <m/>
    <m/>
    <m/>
    <m/>
    <m/>
    <m/>
    <m/>
  </r>
  <r>
    <d v="2025-09-26T00:00:00"/>
    <s v="INV-606"/>
    <s v="Sales"/>
    <n v="1050"/>
    <m/>
    <x v="7"/>
    <m/>
    <m/>
    <m/>
    <m/>
    <m/>
    <m/>
    <m/>
  </r>
  <r>
    <d v="2025-09-26T00:00:00"/>
    <s v="INV-607"/>
    <s v="Sales"/>
    <n v="510"/>
    <m/>
    <x v="28"/>
    <m/>
    <m/>
    <m/>
    <m/>
    <m/>
    <m/>
    <m/>
  </r>
  <r>
    <d v="2025-09-26T00:00:00"/>
    <s v="INV-608"/>
    <s v="Sales"/>
    <n v="500"/>
    <m/>
    <x v="16"/>
    <m/>
    <m/>
    <m/>
    <m/>
    <m/>
    <m/>
    <m/>
  </r>
  <r>
    <d v="2025-09-26T00:00:00"/>
    <s v="INV-609"/>
    <s v="Sales"/>
    <n v="320"/>
    <m/>
    <x v="26"/>
    <m/>
    <m/>
    <m/>
    <m/>
    <m/>
    <m/>
    <m/>
  </r>
  <r>
    <d v="2025-09-26T00:00:00"/>
    <s v="INV-610"/>
    <s v="Sales"/>
    <n v="480"/>
    <m/>
    <x v="16"/>
    <m/>
    <m/>
    <m/>
    <m/>
    <m/>
    <m/>
    <m/>
  </r>
  <r>
    <d v="2025-09-26T00:00:00"/>
    <s v="INV-611"/>
    <s v="Sales"/>
    <n v="960"/>
    <m/>
    <x v="8"/>
    <m/>
    <m/>
    <m/>
    <m/>
    <m/>
    <m/>
    <m/>
  </r>
  <r>
    <d v="2025-09-26T00:00:00"/>
    <s v="INV-612"/>
    <s v="Sales"/>
    <n v="80"/>
    <m/>
    <x v="1"/>
    <m/>
    <m/>
    <m/>
    <m/>
    <m/>
    <m/>
    <m/>
  </r>
  <r>
    <d v="2025-09-26T00:00:00"/>
    <s v="INV-613"/>
    <s v="Sales"/>
    <n v="320"/>
    <m/>
    <x v="22"/>
    <m/>
    <m/>
    <m/>
    <m/>
    <m/>
    <m/>
    <m/>
  </r>
  <r>
    <d v="2025-09-26T00:00:00"/>
    <m/>
    <s v="Expences"/>
    <m/>
    <n v="50"/>
    <x v="0"/>
    <m/>
    <m/>
    <m/>
    <m/>
    <m/>
    <m/>
    <m/>
  </r>
  <r>
    <d v="2025-09-26T00:00:00"/>
    <m/>
    <s v="Others"/>
    <m/>
    <n v="100"/>
    <x v="0"/>
    <m/>
    <m/>
    <m/>
    <m/>
    <m/>
    <m/>
    <m/>
  </r>
  <r>
    <d v="2025-09-27T00:00:00"/>
    <s v="INV-614"/>
    <s v="Sales"/>
    <n v="560"/>
    <m/>
    <x v="2"/>
    <m/>
    <m/>
    <m/>
    <m/>
    <m/>
    <m/>
    <m/>
  </r>
  <r>
    <d v="2025-09-27T00:00:00"/>
    <s v="INV-615"/>
    <s v="Sales"/>
    <n v="480"/>
    <m/>
    <x v="10"/>
    <m/>
    <m/>
    <m/>
    <m/>
    <m/>
    <m/>
    <m/>
  </r>
  <r>
    <d v="2025-09-27T00:00:00"/>
    <s v="INV-616"/>
    <s v="Sales"/>
    <n v="480"/>
    <m/>
    <x v="16"/>
    <m/>
    <m/>
    <m/>
    <m/>
    <m/>
    <m/>
    <m/>
  </r>
  <r>
    <d v="2025-09-27T00:00:00"/>
    <s v="INV-617"/>
    <s v="Sales"/>
    <n v="480"/>
    <m/>
    <x v="22"/>
    <m/>
    <m/>
    <m/>
    <m/>
    <m/>
    <m/>
    <m/>
  </r>
  <r>
    <d v="2025-09-27T00:00:00"/>
    <s v="INV-618"/>
    <s v="Sales"/>
    <n v="1500"/>
    <m/>
    <x v="9"/>
    <m/>
    <m/>
    <m/>
    <m/>
    <m/>
    <m/>
    <m/>
  </r>
  <r>
    <d v="2025-09-27T00:00:00"/>
    <s v="INV-619"/>
    <s v="Sales"/>
    <n v="2250"/>
    <m/>
    <x v="10"/>
    <m/>
    <m/>
    <m/>
    <m/>
    <m/>
    <m/>
    <m/>
  </r>
  <r>
    <d v="2025-09-27T00:00:00"/>
    <s v="INV-620"/>
    <s v="Sales"/>
    <n v="2250"/>
    <m/>
    <x v="14"/>
    <m/>
    <m/>
    <m/>
    <m/>
    <m/>
    <m/>
    <m/>
  </r>
  <r>
    <d v="2025-09-27T00:00:00"/>
    <s v="INV-621"/>
    <s v="Sales"/>
    <n v="1500"/>
    <m/>
    <x v="35"/>
    <m/>
    <m/>
    <m/>
    <m/>
    <m/>
    <m/>
    <m/>
  </r>
  <r>
    <d v="2025-09-27T00:00:00"/>
    <s v="INV-622"/>
    <s v="Sales"/>
    <n v="300"/>
    <m/>
    <x v="12"/>
    <m/>
    <m/>
    <m/>
    <m/>
    <m/>
    <m/>
    <m/>
  </r>
  <r>
    <d v="2025-09-27T00:00:00"/>
    <m/>
    <s v="Expences"/>
    <m/>
    <n v="50"/>
    <x v="0"/>
    <m/>
    <m/>
    <m/>
    <m/>
    <m/>
    <m/>
    <m/>
  </r>
  <r>
    <d v="2025-09-28T00:00:00"/>
    <s v="INV-623"/>
    <s v="Sales"/>
    <n v="1600"/>
    <m/>
    <x v="28"/>
    <m/>
    <m/>
    <m/>
    <m/>
    <m/>
    <m/>
    <m/>
  </r>
  <r>
    <d v="2025-09-28T00:00:00"/>
    <s v="INV-624"/>
    <s v="Sales"/>
    <n v="170"/>
    <m/>
    <x v="28"/>
    <m/>
    <m/>
    <m/>
    <m/>
    <m/>
    <m/>
    <m/>
  </r>
  <r>
    <d v="2025-09-28T00:00:00"/>
    <s v="INV-625"/>
    <s v="Sales"/>
    <n v="320"/>
    <m/>
    <x v="8"/>
    <m/>
    <m/>
    <m/>
    <m/>
    <m/>
    <m/>
    <m/>
  </r>
  <r>
    <d v="2025-09-28T00:00:00"/>
    <s v="INV-626"/>
    <s v="Sales"/>
    <n v="320"/>
    <m/>
    <x v="16"/>
    <m/>
    <m/>
    <m/>
    <m/>
    <m/>
    <m/>
    <m/>
  </r>
  <r>
    <d v="2025-09-28T00:00:00"/>
    <s v="INV-627"/>
    <s v="Sales"/>
    <n v="100"/>
    <m/>
    <x v="1"/>
    <m/>
    <m/>
    <m/>
    <m/>
    <m/>
    <m/>
    <m/>
  </r>
  <r>
    <d v="2025-09-28T00:00:00"/>
    <s v="INV-628"/>
    <s v="Sales"/>
    <n v="750"/>
    <m/>
    <x v="27"/>
    <m/>
    <m/>
    <m/>
    <m/>
    <m/>
    <m/>
    <m/>
  </r>
  <r>
    <d v="2025-09-28T00:00:00"/>
    <s v="INV-629"/>
    <s v="Sales"/>
    <n v="3750"/>
    <m/>
    <x v="36"/>
    <m/>
    <m/>
    <m/>
    <m/>
    <m/>
    <m/>
    <m/>
  </r>
  <r>
    <d v="2025-09-28T00:00:00"/>
    <m/>
    <s v="Expences"/>
    <m/>
    <n v="50"/>
    <x v="0"/>
    <m/>
    <m/>
    <m/>
    <m/>
    <m/>
    <m/>
    <m/>
  </r>
  <r>
    <d v="2025-09-28T00:00:00"/>
    <m/>
    <s v="Bills"/>
    <m/>
    <n v="350"/>
    <x v="0"/>
    <m/>
    <m/>
    <m/>
    <m/>
    <m/>
    <m/>
    <s v="Phone Bill"/>
  </r>
  <r>
    <d v="2025-09-29T00:00:00"/>
    <m/>
    <s v="Ginger Purchase"/>
    <m/>
    <n v="3600"/>
    <x v="0"/>
    <s v="Old Ginger"/>
    <n v="72"/>
    <m/>
    <n v="50"/>
    <s v="Jakakodi Traders"/>
    <m/>
    <m/>
  </r>
  <r>
    <d v="2025-09-29T00:00:00"/>
    <s v="INV-630"/>
    <s v="Sales"/>
    <n v="2250"/>
    <m/>
    <x v="14"/>
    <m/>
    <m/>
    <m/>
    <m/>
    <m/>
    <m/>
    <m/>
  </r>
  <r>
    <d v="2025-09-29T00:00:00"/>
    <s v="INV-631"/>
    <s v="Sales"/>
    <n v="450"/>
    <m/>
    <x v="10"/>
    <m/>
    <m/>
    <m/>
    <m/>
    <m/>
    <m/>
    <m/>
  </r>
  <r>
    <d v="2025-09-29T00:00:00"/>
    <s v="INV-632"/>
    <s v="Sales"/>
    <n v="2340"/>
    <m/>
    <x v="28"/>
    <m/>
    <m/>
    <m/>
    <m/>
    <m/>
    <m/>
    <m/>
  </r>
  <r>
    <d v="2025-09-29T00:00:00"/>
    <s v="INV-633"/>
    <s v="Sales"/>
    <n v="100"/>
    <m/>
    <x v="4"/>
    <m/>
    <m/>
    <m/>
    <m/>
    <m/>
    <m/>
    <m/>
  </r>
  <r>
    <d v="2025-09-29T00:00:00"/>
    <s v="INV-634"/>
    <s v="Sales"/>
    <n v="320"/>
    <m/>
    <x v="23"/>
    <m/>
    <m/>
    <m/>
    <m/>
    <m/>
    <m/>
    <m/>
  </r>
  <r>
    <d v="2025-09-29T00:00:00"/>
    <s v="INV-635"/>
    <s v="Sales"/>
    <n v="160"/>
    <m/>
    <x v="30"/>
    <m/>
    <m/>
    <m/>
    <m/>
    <m/>
    <m/>
    <m/>
  </r>
  <r>
    <d v="2025-09-29T00:00:00"/>
    <s v="INV-636"/>
    <s v="Sales"/>
    <n v="80"/>
    <m/>
    <x v="2"/>
    <m/>
    <m/>
    <m/>
    <m/>
    <m/>
    <m/>
    <m/>
  </r>
  <r>
    <d v="2025-09-29T00:00:00"/>
    <s v="INV-637"/>
    <s v="Sales"/>
    <n v="320"/>
    <m/>
    <x v="16"/>
    <m/>
    <m/>
    <m/>
    <m/>
    <m/>
    <m/>
    <m/>
  </r>
  <r>
    <d v="2025-09-29T00:00:00"/>
    <s v="INV-638"/>
    <s v="Sales"/>
    <n v="320"/>
    <m/>
    <x v="22"/>
    <m/>
    <m/>
    <m/>
    <m/>
    <m/>
    <m/>
    <m/>
  </r>
  <r>
    <d v="2025-09-29T00:00:00"/>
    <s v="INV-639"/>
    <s v="Sales"/>
    <n v="320"/>
    <m/>
    <x v="25"/>
    <m/>
    <m/>
    <m/>
    <m/>
    <m/>
    <m/>
    <m/>
  </r>
  <r>
    <d v="2025-09-29T00:00:00"/>
    <s v="INV-640"/>
    <s v="Sales"/>
    <n v="2160"/>
    <m/>
    <x v="1"/>
    <m/>
    <m/>
    <m/>
    <m/>
    <m/>
    <m/>
    <m/>
  </r>
  <r>
    <d v="2025-09-29T00:00:00"/>
    <s v="INV-641"/>
    <s v="Sales"/>
    <n v="1500"/>
    <m/>
    <x v="9"/>
    <m/>
    <m/>
    <m/>
    <m/>
    <m/>
    <m/>
    <m/>
  </r>
  <r>
    <d v="2025-09-29T00:00:00"/>
    <s v="INV-642"/>
    <s v="Sales"/>
    <n v="1500"/>
    <m/>
    <x v="14"/>
    <m/>
    <m/>
    <m/>
    <m/>
    <m/>
    <m/>
    <m/>
  </r>
  <r>
    <d v="2025-09-29T00:00:00"/>
    <m/>
    <s v="Expences"/>
    <m/>
    <n v="50"/>
    <x v="0"/>
    <m/>
    <m/>
    <m/>
    <m/>
    <m/>
    <m/>
    <m/>
  </r>
  <r>
    <d v="2025-09-29T00:00:00"/>
    <m/>
    <s v="Packaging Material"/>
    <m/>
    <n v="850"/>
    <x v="0"/>
    <m/>
    <m/>
    <m/>
    <m/>
    <m/>
    <m/>
    <m/>
  </r>
  <r>
    <d v="2025-09-29T00:00:00"/>
    <m/>
    <s v="Petrol"/>
    <m/>
    <n v="395"/>
    <x v="0"/>
    <m/>
    <m/>
    <m/>
    <m/>
    <m/>
    <m/>
    <m/>
  </r>
  <r>
    <d v="2025-09-29T00:00:00"/>
    <m/>
    <s v="Essential Items"/>
    <m/>
    <n v="40"/>
    <x v="0"/>
    <m/>
    <m/>
    <m/>
    <m/>
    <m/>
    <m/>
    <s v="Bill Book"/>
  </r>
  <r>
    <d v="2025-09-30T00:00:00"/>
    <m/>
    <s v="Garlic Purchase"/>
    <m/>
    <n v="6370"/>
    <x v="0"/>
    <s v="Desi 3A"/>
    <n v="65"/>
    <n v="1170"/>
    <n v="80"/>
    <s v="SVG Garlics"/>
    <m/>
    <m/>
  </r>
  <r>
    <d v="2025-09-30T00:00:00"/>
    <m/>
    <s v="Garlic Purchase"/>
    <m/>
    <n v="9600"/>
    <x v="0"/>
    <s v="Naatu Poondu"/>
    <n v="60"/>
    <n v="0"/>
    <n v="160"/>
    <s v="SVG Garlics"/>
    <m/>
    <m/>
  </r>
  <r>
    <d v="2025-09-30T00:00:00"/>
    <s v="INV-643"/>
    <s v="Sales"/>
    <n v="240"/>
    <m/>
    <x v="2"/>
    <m/>
    <m/>
    <m/>
    <m/>
    <m/>
    <m/>
    <m/>
  </r>
  <r>
    <d v="2025-09-30T00:00:00"/>
    <s v="INV-644"/>
    <s v="Sales"/>
    <n v="160"/>
    <m/>
    <x v="30"/>
    <m/>
    <m/>
    <m/>
    <m/>
    <m/>
    <m/>
    <m/>
  </r>
  <r>
    <d v="2025-09-30T00:00:00"/>
    <s v="INV-645"/>
    <s v="Sales"/>
    <n v="160"/>
    <m/>
    <x v="37"/>
    <m/>
    <m/>
    <m/>
    <m/>
    <m/>
    <m/>
    <m/>
  </r>
  <r>
    <d v="2025-09-30T00:00:00"/>
    <s v="INV-646"/>
    <s v="Sales"/>
    <n v="320"/>
    <m/>
    <x v="26"/>
    <m/>
    <m/>
    <m/>
    <m/>
    <m/>
    <m/>
    <m/>
  </r>
  <r>
    <d v="2025-09-30T00:00:00"/>
    <s v="INV-647"/>
    <s v="Sales"/>
    <n v="320"/>
    <m/>
    <x v="16"/>
    <m/>
    <m/>
    <m/>
    <m/>
    <m/>
    <m/>
    <m/>
  </r>
  <r>
    <d v="2025-09-30T00:00:00"/>
    <s v="INV-648"/>
    <s v="Sales"/>
    <n v="160"/>
    <m/>
    <x v="28"/>
    <m/>
    <m/>
    <m/>
    <m/>
    <m/>
    <m/>
    <m/>
  </r>
  <r>
    <d v="2025-09-30T00:00:00"/>
    <s v="INV-649"/>
    <s v="Sales"/>
    <n v="170"/>
    <m/>
    <x v="1"/>
    <m/>
    <m/>
    <m/>
    <m/>
    <m/>
    <m/>
    <m/>
  </r>
  <r>
    <d v="2025-09-30T00:00:00"/>
    <s v="INV-650"/>
    <s v="Sales"/>
    <n v="1500"/>
    <m/>
    <x v="24"/>
    <m/>
    <m/>
    <m/>
    <m/>
    <m/>
    <m/>
    <m/>
  </r>
  <r>
    <d v="2025-09-30T00:00:00"/>
    <s v="INV-651"/>
    <s v="Sales"/>
    <n v="750"/>
    <m/>
    <x v="27"/>
    <m/>
    <m/>
    <m/>
    <m/>
    <m/>
    <m/>
    <m/>
  </r>
  <r>
    <d v="2025-09-30T00:00:00"/>
    <m/>
    <s v="Expences"/>
    <m/>
    <n v="65"/>
    <x v="0"/>
    <m/>
    <m/>
    <m/>
    <m/>
    <m/>
    <m/>
    <m/>
  </r>
  <r>
    <d v="2025-09-30T00:00:00"/>
    <m/>
    <s v="Staff Salary"/>
    <m/>
    <n v="150"/>
    <x v="0"/>
    <m/>
    <m/>
    <m/>
    <m/>
    <m/>
    <m/>
    <m/>
  </r>
  <r>
    <d v="2025-09-30T00:00:00"/>
    <m/>
    <s v="Staff Salary"/>
    <m/>
    <n v="5000"/>
    <x v="0"/>
    <m/>
    <m/>
    <m/>
    <m/>
    <m/>
    <m/>
    <s v="Malar"/>
  </r>
  <r>
    <d v="2025-09-30T00:00:00"/>
    <m/>
    <s v="Staff Salary"/>
    <m/>
    <n v="4850"/>
    <x v="0"/>
    <m/>
    <m/>
    <m/>
    <m/>
    <m/>
    <m/>
    <s v="Saranya"/>
  </r>
  <r>
    <d v="2025-09-30T00:00:00"/>
    <m/>
    <s v="Staff Salary"/>
    <m/>
    <n v="10000"/>
    <x v="0"/>
    <m/>
    <m/>
    <m/>
    <m/>
    <m/>
    <m/>
    <s v="Ashiq"/>
  </r>
  <r>
    <m/>
    <m/>
    <m/>
    <m/>
    <m/>
    <x v="0"/>
    <m/>
    <m/>
    <m/>
    <m/>
    <m/>
    <m/>
    <m/>
  </r>
</pivotCacheRecords>
</file>

<file path=xl/pivotCache/pivotCacheRecords15.xml><?xml version="1.0" encoding="utf-8"?>
<pivotCacheRecords xmlns="http://schemas.openxmlformats.org/spreadsheetml/2006/main" xmlns:r="http://schemas.openxmlformats.org/officeDocument/2006/relationships" count="339">
  <r>
    <m/>
    <x v="0"/>
    <n v="63725"/>
    <m/>
    <m/>
    <m/>
    <m/>
    <m/>
    <m/>
    <m/>
    <m/>
    <m/>
  </r>
  <r>
    <s v="INV-406"/>
    <x v="1"/>
    <n v="340"/>
    <m/>
    <s v="Cash"/>
    <m/>
    <m/>
    <m/>
    <m/>
    <m/>
    <m/>
    <m/>
  </r>
  <r>
    <s v="INV-407"/>
    <x v="1"/>
    <n v="80"/>
    <m/>
    <s v="Hotel Noordeen"/>
    <m/>
    <m/>
    <m/>
    <m/>
    <m/>
    <m/>
    <m/>
  </r>
  <r>
    <s v="INV-408"/>
    <x v="1"/>
    <n v="100"/>
    <m/>
    <s v="Ansari"/>
    <m/>
    <m/>
    <m/>
    <m/>
    <m/>
    <m/>
    <m/>
  </r>
  <r>
    <s v="INV-409"/>
    <x v="1"/>
    <n v="400"/>
    <m/>
    <s v="Hassan"/>
    <m/>
    <m/>
    <m/>
    <m/>
    <m/>
    <m/>
    <m/>
  </r>
  <r>
    <s v="INV-410"/>
    <x v="1"/>
    <n v="240"/>
    <m/>
    <s v="Maraikar Shop"/>
    <m/>
    <m/>
    <m/>
    <m/>
    <m/>
    <m/>
    <m/>
  </r>
  <r>
    <s v="INV-411"/>
    <x v="1"/>
    <n v="240"/>
    <m/>
    <s v="REAL SUPER MARKET"/>
    <m/>
    <m/>
    <m/>
    <m/>
    <m/>
    <m/>
    <m/>
  </r>
  <r>
    <s v="INV-412"/>
    <x v="1"/>
    <n v="1800"/>
    <m/>
    <s v="BILAL COOK"/>
    <m/>
    <m/>
    <m/>
    <m/>
    <m/>
    <m/>
    <m/>
  </r>
  <r>
    <m/>
    <x v="2"/>
    <m/>
    <n v="50"/>
    <m/>
    <m/>
    <m/>
    <m/>
    <m/>
    <m/>
    <m/>
    <m/>
  </r>
  <r>
    <m/>
    <x v="3"/>
    <m/>
    <n v="400"/>
    <m/>
    <m/>
    <m/>
    <m/>
    <m/>
    <m/>
    <m/>
    <m/>
  </r>
  <r>
    <m/>
    <x v="4"/>
    <m/>
    <n v="3900"/>
    <m/>
    <s v="Old Ginger"/>
    <n v="78"/>
    <m/>
    <n v="50"/>
    <s v="Jakakodi Traders"/>
    <m/>
    <m/>
  </r>
  <r>
    <s v="INV-413"/>
    <x v="1"/>
    <n v="1200"/>
    <m/>
    <s v="DARBAR CATERING"/>
    <m/>
    <m/>
    <m/>
    <m/>
    <m/>
    <m/>
    <m/>
  </r>
  <r>
    <s v="INV-414"/>
    <x v="1"/>
    <n v="1500"/>
    <m/>
    <s v="AL AZEEM CATERS &amp; RESTAURANT"/>
    <m/>
    <m/>
    <m/>
    <m/>
    <m/>
    <m/>
    <m/>
  </r>
  <r>
    <s v="INV-415"/>
    <x v="1"/>
    <n v="160"/>
    <m/>
    <s v="Hotel Noordeen"/>
    <m/>
    <m/>
    <m/>
    <m/>
    <m/>
    <m/>
    <m/>
  </r>
  <r>
    <s v="INV-416"/>
    <x v="1"/>
    <n v="90"/>
    <m/>
    <s v="Cash"/>
    <m/>
    <m/>
    <m/>
    <m/>
    <m/>
    <m/>
    <m/>
  </r>
  <r>
    <s v="INV-417"/>
    <x v="1"/>
    <n v="3000"/>
    <m/>
    <s v="AMEEN MASTER CHEF"/>
    <m/>
    <m/>
    <m/>
    <m/>
    <m/>
    <m/>
    <m/>
  </r>
  <r>
    <m/>
    <x v="5"/>
    <m/>
    <n v="160"/>
    <m/>
    <m/>
    <m/>
    <m/>
    <m/>
    <m/>
    <m/>
    <m/>
  </r>
  <r>
    <m/>
    <x v="2"/>
    <m/>
    <n v="100"/>
    <m/>
    <m/>
    <m/>
    <m/>
    <m/>
    <m/>
    <m/>
    <m/>
  </r>
  <r>
    <s v="INV-418"/>
    <x v="1"/>
    <n v="1200"/>
    <m/>
    <s v="HABIL SAHIB"/>
    <m/>
    <m/>
    <m/>
    <m/>
    <m/>
    <m/>
    <m/>
  </r>
  <r>
    <m/>
    <x v="6"/>
    <m/>
    <n v="9825"/>
    <m/>
    <s v="Naatu Poondu"/>
    <n v="75"/>
    <n v="450"/>
    <n v="125"/>
    <s v="SVG Garlics"/>
    <m/>
    <m/>
  </r>
  <r>
    <m/>
    <x v="4"/>
    <m/>
    <n v="8000"/>
    <m/>
    <s v="Old Ginger"/>
    <n v="80"/>
    <m/>
    <n v="100"/>
    <s v="Jakakodi Traders"/>
    <m/>
    <m/>
  </r>
  <r>
    <s v="INV-419"/>
    <x v="1"/>
    <n v="825"/>
    <m/>
    <s v="ARAFATH"/>
    <m/>
    <m/>
    <m/>
    <m/>
    <m/>
    <m/>
    <m/>
  </r>
  <r>
    <s v="INV-420"/>
    <x v="1"/>
    <n v="600"/>
    <m/>
    <s v="VANJUR SHOP MARKET VASAL"/>
    <m/>
    <m/>
    <m/>
    <m/>
    <m/>
    <m/>
    <m/>
  </r>
  <r>
    <s v="INV-421"/>
    <x v="1"/>
    <n v="2040"/>
    <m/>
    <s v="Cash"/>
    <m/>
    <m/>
    <m/>
    <m/>
    <m/>
    <m/>
    <m/>
  </r>
  <r>
    <s v="INV-422"/>
    <x v="1"/>
    <n v="240"/>
    <m/>
    <s v="Hotel Noordeen"/>
    <m/>
    <m/>
    <m/>
    <m/>
    <m/>
    <m/>
    <m/>
  </r>
  <r>
    <s v="INV-423"/>
    <x v="1"/>
    <n v="2700"/>
    <m/>
    <s v="AL AZEEM CATERS &amp; RESTAURANT"/>
    <m/>
    <m/>
    <m/>
    <m/>
    <m/>
    <m/>
    <m/>
  </r>
  <r>
    <s v="INV-424"/>
    <x v="1"/>
    <n v="2250"/>
    <m/>
    <s v="HASSIM CATERING"/>
    <m/>
    <m/>
    <m/>
    <m/>
    <m/>
    <m/>
    <m/>
  </r>
  <r>
    <s v="INV-425"/>
    <x v="1"/>
    <n v="3900"/>
    <m/>
    <s v="ARAFATH"/>
    <m/>
    <m/>
    <m/>
    <m/>
    <m/>
    <m/>
    <m/>
  </r>
  <r>
    <s v="INV-426"/>
    <x v="1"/>
    <n v="5120"/>
    <m/>
    <s v="ISMAIL BANDARI (THARANGAPADI )"/>
    <m/>
    <m/>
    <m/>
    <m/>
    <m/>
    <m/>
    <m/>
  </r>
  <r>
    <s v="INV-427"/>
    <x v="1"/>
    <n v="360"/>
    <m/>
    <s v="HOTEL BISMI"/>
    <m/>
    <m/>
    <m/>
    <m/>
    <m/>
    <m/>
    <m/>
  </r>
  <r>
    <m/>
    <x v="2"/>
    <m/>
    <n v="200"/>
    <m/>
    <m/>
    <m/>
    <m/>
    <m/>
    <m/>
    <m/>
    <s v="Maligai Kadai"/>
  </r>
  <r>
    <m/>
    <x v="3"/>
    <m/>
    <n v="638"/>
    <m/>
    <m/>
    <m/>
    <m/>
    <m/>
    <m/>
    <m/>
    <s v="Ungal Kadai"/>
  </r>
  <r>
    <m/>
    <x v="7"/>
    <m/>
    <n v="400"/>
    <m/>
    <m/>
    <m/>
    <m/>
    <m/>
    <m/>
    <m/>
    <m/>
  </r>
  <r>
    <m/>
    <x v="8"/>
    <m/>
    <n v="300"/>
    <m/>
    <m/>
    <m/>
    <m/>
    <m/>
    <m/>
    <m/>
    <s v="Tem Staff"/>
  </r>
  <r>
    <m/>
    <x v="9"/>
    <m/>
    <n v="250"/>
    <m/>
    <m/>
    <m/>
    <m/>
    <m/>
    <m/>
    <m/>
    <s v="Auto"/>
  </r>
  <r>
    <m/>
    <x v="2"/>
    <m/>
    <n v="40"/>
    <m/>
    <m/>
    <m/>
    <m/>
    <m/>
    <m/>
    <m/>
    <m/>
  </r>
  <r>
    <s v="INV-428"/>
    <x v="1"/>
    <n v="5700"/>
    <m/>
    <s v="Cash"/>
    <m/>
    <m/>
    <m/>
    <m/>
    <m/>
    <m/>
    <m/>
  </r>
  <r>
    <s v="INV-429"/>
    <x v="1"/>
    <n v="8730"/>
    <m/>
    <s v="HASSIM CATERING"/>
    <m/>
    <m/>
    <m/>
    <m/>
    <m/>
    <m/>
    <m/>
  </r>
  <r>
    <s v="INV-430"/>
    <x v="1"/>
    <n v="1500"/>
    <m/>
    <s v="AL AZEEM CATERS &amp; RESTAURANT"/>
    <m/>
    <m/>
    <m/>
    <m/>
    <m/>
    <m/>
    <m/>
  </r>
  <r>
    <s v="INV-431"/>
    <x v="1"/>
    <n v="2250"/>
    <m/>
    <s v="SAHABUDEEN"/>
    <m/>
    <m/>
    <m/>
    <m/>
    <m/>
    <m/>
    <m/>
  </r>
  <r>
    <s v="INV-432"/>
    <x v="1"/>
    <n v="1650"/>
    <m/>
    <s v="HABEEB"/>
    <m/>
    <m/>
    <m/>
    <m/>
    <m/>
    <m/>
    <m/>
  </r>
  <r>
    <s v="INV-433"/>
    <x v="1"/>
    <n v="320"/>
    <m/>
    <s v="Hotel Noordeen"/>
    <m/>
    <m/>
    <m/>
    <m/>
    <m/>
    <m/>
    <m/>
  </r>
  <r>
    <s v="INV-434"/>
    <x v="1"/>
    <n v="600"/>
    <m/>
    <s v="BILAL COOK"/>
    <m/>
    <m/>
    <m/>
    <m/>
    <m/>
    <m/>
    <m/>
  </r>
  <r>
    <s v="INV-435"/>
    <x v="1"/>
    <n v="540"/>
    <m/>
    <s v="HOTEL BISMI"/>
    <m/>
    <m/>
    <m/>
    <m/>
    <m/>
    <m/>
    <m/>
  </r>
  <r>
    <s v="INV-436"/>
    <x v="1"/>
    <n v="1500"/>
    <m/>
    <s v="DARBAR CATERING"/>
    <m/>
    <m/>
    <m/>
    <m/>
    <m/>
    <m/>
    <m/>
  </r>
  <r>
    <s v="INV-437"/>
    <x v="1"/>
    <n v="1040"/>
    <m/>
    <s v="Cash"/>
    <m/>
    <m/>
    <m/>
    <m/>
    <m/>
    <m/>
    <m/>
  </r>
  <r>
    <s v="INV-438"/>
    <x v="1"/>
    <n v="5250"/>
    <m/>
    <s v="AMEEN MASTER CHEF"/>
    <m/>
    <m/>
    <m/>
    <m/>
    <m/>
    <m/>
    <m/>
  </r>
  <r>
    <s v="INV-439"/>
    <x v="1"/>
    <n v="3600"/>
    <m/>
    <s v="HABIL SAHIB"/>
    <m/>
    <m/>
    <m/>
    <m/>
    <m/>
    <m/>
    <m/>
  </r>
  <r>
    <s v="INV-440"/>
    <x v="1"/>
    <n v="600"/>
    <m/>
    <s v="RIYAS BANDARI"/>
    <m/>
    <m/>
    <m/>
    <m/>
    <m/>
    <m/>
    <m/>
  </r>
  <r>
    <m/>
    <x v="8"/>
    <m/>
    <n v="400"/>
    <m/>
    <m/>
    <m/>
    <m/>
    <m/>
    <m/>
    <m/>
    <m/>
  </r>
  <r>
    <m/>
    <x v="5"/>
    <m/>
    <n v="160"/>
    <m/>
    <m/>
    <m/>
    <m/>
    <m/>
    <m/>
    <m/>
    <m/>
  </r>
  <r>
    <m/>
    <x v="2"/>
    <m/>
    <n v="60"/>
    <m/>
    <m/>
    <m/>
    <m/>
    <m/>
    <m/>
    <m/>
    <m/>
  </r>
  <r>
    <m/>
    <x v="10"/>
    <m/>
    <n v="200"/>
    <m/>
    <m/>
    <m/>
    <m/>
    <m/>
    <m/>
    <m/>
    <m/>
  </r>
  <r>
    <m/>
    <x v="4"/>
    <m/>
    <n v="3900"/>
    <m/>
    <s v="Old Ginger"/>
    <n v="78"/>
    <m/>
    <n v="50"/>
    <s v="Jakakodi Traders"/>
    <m/>
    <m/>
  </r>
  <r>
    <s v="INV-441"/>
    <x v="1"/>
    <n v="640"/>
    <m/>
    <s v="Mansoor"/>
    <m/>
    <m/>
    <m/>
    <m/>
    <m/>
    <m/>
    <m/>
  </r>
  <r>
    <s v="INV-442"/>
    <x v="1"/>
    <n v="80"/>
    <m/>
    <s v="ARAFATH"/>
    <m/>
    <m/>
    <m/>
    <m/>
    <m/>
    <m/>
    <m/>
  </r>
  <r>
    <s v="INV-443"/>
    <x v="1"/>
    <n v="260"/>
    <m/>
    <s v="Cash"/>
    <m/>
    <m/>
    <m/>
    <m/>
    <m/>
    <m/>
    <m/>
  </r>
  <r>
    <s v="INV-444"/>
    <x v="1"/>
    <n v="320"/>
    <m/>
    <s v="YOUSUF BANDARI"/>
    <m/>
    <m/>
    <m/>
    <m/>
    <m/>
    <m/>
    <m/>
  </r>
  <r>
    <m/>
    <x v="2"/>
    <m/>
    <n v="50"/>
    <m/>
    <m/>
    <m/>
    <m/>
    <m/>
    <m/>
    <m/>
    <m/>
  </r>
  <r>
    <m/>
    <x v="11"/>
    <m/>
    <n v="9000"/>
    <m/>
    <m/>
    <m/>
    <m/>
    <m/>
    <m/>
    <m/>
    <m/>
  </r>
  <r>
    <s v="INV-445"/>
    <x v="1"/>
    <n v="720"/>
    <m/>
    <s v="HOTEL BISMI"/>
    <m/>
    <m/>
    <m/>
    <m/>
    <m/>
    <m/>
    <m/>
  </r>
  <r>
    <s v="INV-446"/>
    <x v="1"/>
    <n v="600"/>
    <m/>
    <s v="RIYAS BANDARI"/>
    <m/>
    <m/>
    <m/>
    <m/>
    <m/>
    <m/>
    <m/>
  </r>
  <r>
    <s v="INV-447"/>
    <x v="1"/>
    <n v="1370"/>
    <m/>
    <s v="Cash"/>
    <m/>
    <m/>
    <m/>
    <m/>
    <m/>
    <m/>
    <m/>
  </r>
  <r>
    <s v="INV-448"/>
    <x v="1"/>
    <n v="400"/>
    <m/>
    <s v="Hotel Noordeen"/>
    <m/>
    <m/>
    <m/>
    <m/>
    <m/>
    <m/>
    <m/>
  </r>
  <r>
    <s v="INV-449"/>
    <x v="1"/>
    <n v="480"/>
    <m/>
    <s v="ARAFA RESTAURANT"/>
    <m/>
    <m/>
    <m/>
    <m/>
    <m/>
    <m/>
    <m/>
  </r>
  <r>
    <s v="INV-450"/>
    <x v="1"/>
    <n v="2720"/>
    <m/>
    <s v="Cash"/>
    <m/>
    <m/>
    <m/>
    <m/>
    <m/>
    <m/>
    <m/>
  </r>
  <r>
    <s v="INV-451"/>
    <x v="1"/>
    <n v="320"/>
    <m/>
    <s v="MALAYSIAN FAST FOOD"/>
    <m/>
    <m/>
    <m/>
    <m/>
    <m/>
    <m/>
    <m/>
  </r>
  <r>
    <s v="INV-452"/>
    <x v="1"/>
    <n v="160"/>
    <m/>
    <s v="VANJUR SHOP MARKET VASAL"/>
    <m/>
    <m/>
    <m/>
    <m/>
    <m/>
    <m/>
    <m/>
  </r>
  <r>
    <s v="INV-453"/>
    <x v="1"/>
    <n v="450"/>
    <m/>
    <s v="Cash"/>
    <m/>
    <m/>
    <m/>
    <m/>
    <m/>
    <m/>
    <m/>
  </r>
  <r>
    <s v="INV-454"/>
    <x v="1"/>
    <n v="2250"/>
    <m/>
    <s v="halidh cook"/>
    <m/>
    <m/>
    <m/>
    <m/>
    <m/>
    <m/>
    <m/>
  </r>
  <r>
    <s v="INV-455"/>
    <x v="1"/>
    <n v="1500"/>
    <m/>
    <s v="AL AZEEM CATERS &amp; RESTAURANT"/>
    <m/>
    <m/>
    <m/>
    <m/>
    <m/>
    <m/>
    <m/>
  </r>
  <r>
    <s v="INV-456"/>
    <x v="1"/>
    <n v="160"/>
    <m/>
    <s v="SANDWICH SHOP"/>
    <m/>
    <m/>
    <m/>
    <m/>
    <m/>
    <m/>
    <m/>
  </r>
  <r>
    <s v="INV-457"/>
    <x v="1"/>
    <n v="1120"/>
    <m/>
    <s v="BILAL COOK"/>
    <m/>
    <m/>
    <m/>
    <m/>
    <m/>
    <m/>
    <m/>
  </r>
  <r>
    <m/>
    <x v="8"/>
    <m/>
    <n v="300"/>
    <m/>
    <m/>
    <m/>
    <m/>
    <m/>
    <m/>
    <m/>
    <s v="Tem Staff"/>
  </r>
  <r>
    <m/>
    <x v="2"/>
    <m/>
    <n v="50"/>
    <m/>
    <m/>
    <m/>
    <m/>
    <m/>
    <m/>
    <m/>
    <m/>
  </r>
  <r>
    <s v="INV-458"/>
    <x v="1"/>
    <n v="750"/>
    <m/>
    <s v="AMEEN MASTER CHEF"/>
    <m/>
    <m/>
    <m/>
    <m/>
    <m/>
    <m/>
    <m/>
  </r>
  <r>
    <s v="INV-459"/>
    <x v="1"/>
    <n v="640"/>
    <m/>
    <s v="RR Mini Mart"/>
    <m/>
    <m/>
    <m/>
    <m/>
    <m/>
    <m/>
    <m/>
  </r>
  <r>
    <s v="INV-460"/>
    <x v="1"/>
    <n v="240"/>
    <m/>
    <s v="Maraikar Shop"/>
    <m/>
    <m/>
    <m/>
    <m/>
    <m/>
    <m/>
    <m/>
  </r>
  <r>
    <m/>
    <x v="2"/>
    <m/>
    <n v="50"/>
    <m/>
    <m/>
    <m/>
    <m/>
    <m/>
    <m/>
    <m/>
    <m/>
  </r>
  <r>
    <m/>
    <x v="4"/>
    <m/>
    <n v="3900"/>
    <m/>
    <s v="Old Ginger"/>
    <n v="78"/>
    <m/>
    <n v="50"/>
    <s v="Jakakodi Traders"/>
    <m/>
    <m/>
  </r>
  <r>
    <m/>
    <x v="6"/>
    <m/>
    <n v="9000"/>
    <m/>
    <s v="Naatu Poondu"/>
    <n v="60"/>
    <n v="600"/>
    <n v="140"/>
    <s v="SVG Garlics"/>
    <m/>
    <m/>
  </r>
  <r>
    <m/>
    <x v="6"/>
    <m/>
    <n v="600"/>
    <m/>
    <s v="Desi Udiri"/>
    <n v="60"/>
    <m/>
    <n v="10"/>
    <s v="SVG Garlics"/>
    <m/>
    <m/>
  </r>
  <r>
    <s v="INV-461"/>
    <x v="1"/>
    <n v="1200"/>
    <m/>
    <s v="Mansoor"/>
    <m/>
    <m/>
    <m/>
    <m/>
    <m/>
    <m/>
    <m/>
  </r>
  <r>
    <s v="INV-462"/>
    <x v="1"/>
    <n v="450"/>
    <m/>
    <s v="AMEEN MASTER CHEF"/>
    <m/>
    <m/>
    <m/>
    <m/>
    <m/>
    <m/>
    <m/>
  </r>
  <r>
    <s v="INV-463"/>
    <x v="1"/>
    <n v="1600"/>
    <m/>
    <s v="AR RAHIM HOTEL"/>
    <m/>
    <m/>
    <m/>
    <m/>
    <m/>
    <m/>
    <m/>
  </r>
  <r>
    <s v="INV-464"/>
    <x v="1"/>
    <n v="540"/>
    <m/>
    <s v="HOTEL BISMI"/>
    <m/>
    <m/>
    <m/>
    <m/>
    <m/>
    <m/>
    <m/>
  </r>
  <r>
    <s v="INV-465"/>
    <x v="1"/>
    <n v="240"/>
    <m/>
    <s v="Hotel Noordeen"/>
    <m/>
    <m/>
    <m/>
    <m/>
    <m/>
    <m/>
    <m/>
  </r>
  <r>
    <s v="INV-466"/>
    <x v="1"/>
    <n v="760"/>
    <m/>
    <s v="Cash"/>
    <m/>
    <m/>
    <m/>
    <m/>
    <m/>
    <m/>
    <m/>
  </r>
  <r>
    <s v="INV-467"/>
    <x v="1"/>
    <n v="300"/>
    <m/>
    <s v="ARAFATH"/>
    <m/>
    <m/>
    <m/>
    <m/>
    <m/>
    <m/>
    <m/>
  </r>
  <r>
    <s v="INV-468"/>
    <x v="1"/>
    <n v="1500"/>
    <m/>
    <s v="AL AZEEM CATERS &amp; RESTAURANT"/>
    <m/>
    <m/>
    <m/>
    <m/>
    <m/>
    <m/>
    <m/>
  </r>
  <r>
    <s v="INV-469"/>
    <x v="1"/>
    <n v="250"/>
    <m/>
    <s v="Cash"/>
    <m/>
    <m/>
    <m/>
    <m/>
    <m/>
    <m/>
    <m/>
  </r>
  <r>
    <m/>
    <x v="7"/>
    <m/>
    <n v="400"/>
    <m/>
    <m/>
    <m/>
    <m/>
    <m/>
    <m/>
    <m/>
    <m/>
  </r>
  <r>
    <m/>
    <x v="8"/>
    <m/>
    <n v="300"/>
    <m/>
    <m/>
    <m/>
    <m/>
    <m/>
    <m/>
    <m/>
    <m/>
  </r>
  <r>
    <m/>
    <x v="2"/>
    <m/>
    <n v="110"/>
    <m/>
    <m/>
    <m/>
    <m/>
    <m/>
    <m/>
    <m/>
    <m/>
  </r>
  <r>
    <m/>
    <x v="10"/>
    <m/>
    <n v="250"/>
    <m/>
    <m/>
    <m/>
    <m/>
    <m/>
    <m/>
    <m/>
    <m/>
  </r>
  <r>
    <s v="INV-470"/>
    <x v="1"/>
    <n v="120"/>
    <m/>
    <s v="Cash"/>
    <m/>
    <m/>
    <m/>
    <m/>
    <m/>
    <m/>
    <m/>
  </r>
  <r>
    <s v="INV-471"/>
    <x v="1"/>
    <n v="450"/>
    <m/>
    <s v="AMEEN MASTER CHEF"/>
    <m/>
    <m/>
    <m/>
    <m/>
    <m/>
    <m/>
    <m/>
  </r>
  <r>
    <s v="INV-472"/>
    <x v="1"/>
    <n v="980"/>
    <m/>
    <s v="HABIL SAHIB"/>
    <m/>
    <m/>
    <m/>
    <m/>
    <m/>
    <m/>
    <m/>
  </r>
  <r>
    <s v="INV-473"/>
    <x v="1"/>
    <n v="240"/>
    <m/>
    <s v="Hotel Noordeen"/>
    <m/>
    <m/>
    <m/>
    <m/>
    <m/>
    <m/>
    <m/>
  </r>
  <r>
    <s v="INV-474"/>
    <x v="1"/>
    <n v="150"/>
    <m/>
    <s v="ARAFATH"/>
    <m/>
    <m/>
    <m/>
    <m/>
    <m/>
    <m/>
    <m/>
  </r>
  <r>
    <s v="INV-475"/>
    <x v="1"/>
    <n v="640"/>
    <m/>
    <s v="NFS DELIVERY"/>
    <m/>
    <m/>
    <m/>
    <m/>
    <m/>
    <m/>
    <m/>
  </r>
  <r>
    <m/>
    <x v="5"/>
    <m/>
    <n v="160"/>
    <m/>
    <m/>
    <m/>
    <m/>
    <m/>
    <m/>
    <m/>
    <m/>
  </r>
  <r>
    <m/>
    <x v="2"/>
    <m/>
    <n v="50"/>
    <m/>
    <m/>
    <m/>
    <m/>
    <m/>
    <m/>
    <m/>
    <m/>
  </r>
  <r>
    <m/>
    <x v="12"/>
    <m/>
    <n v="700"/>
    <m/>
    <m/>
    <m/>
    <m/>
    <m/>
    <m/>
    <m/>
    <m/>
  </r>
  <r>
    <s v="INV-476"/>
    <x v="1"/>
    <n v="480"/>
    <m/>
    <s v="YOUSUF BANDARI"/>
    <m/>
    <m/>
    <m/>
    <m/>
    <m/>
    <m/>
    <m/>
  </r>
  <r>
    <s v="INV-477"/>
    <x v="1"/>
    <n v="240"/>
    <m/>
    <s v="Hotel Noordeen"/>
    <m/>
    <m/>
    <m/>
    <m/>
    <m/>
    <m/>
    <m/>
  </r>
  <r>
    <s v="INV-478"/>
    <x v="1"/>
    <n v="360"/>
    <m/>
    <s v="HOTEL BISMI"/>
    <m/>
    <m/>
    <m/>
    <m/>
    <m/>
    <m/>
    <m/>
  </r>
  <r>
    <s v="INV-479"/>
    <x v="1"/>
    <n v="7500"/>
    <m/>
    <s v="halidh cook"/>
    <m/>
    <m/>
    <m/>
    <m/>
    <m/>
    <m/>
    <m/>
  </r>
  <r>
    <s v="INV-480"/>
    <x v="1"/>
    <n v="170"/>
    <m/>
    <s v="NFS DELIVERY"/>
    <m/>
    <m/>
    <m/>
    <m/>
    <m/>
    <m/>
    <m/>
  </r>
  <r>
    <s v="INV-481"/>
    <x v="1"/>
    <n v="320"/>
    <m/>
    <s v="MALAYSIAN FAST FOOD"/>
    <m/>
    <m/>
    <m/>
    <m/>
    <m/>
    <m/>
    <m/>
  </r>
  <r>
    <s v="INV-482"/>
    <x v="1"/>
    <n v="2250"/>
    <m/>
    <s v="Cash"/>
    <m/>
    <m/>
    <m/>
    <m/>
    <m/>
    <m/>
    <m/>
  </r>
  <r>
    <s v="INV-483"/>
    <x v="1"/>
    <n v="2250"/>
    <m/>
    <s v="AMEEN MASTER CHEF"/>
    <m/>
    <m/>
    <m/>
    <m/>
    <m/>
    <m/>
    <m/>
  </r>
  <r>
    <m/>
    <x v="8"/>
    <m/>
    <n v="100"/>
    <m/>
    <m/>
    <m/>
    <m/>
    <m/>
    <m/>
    <m/>
    <s v="Tem Staff"/>
  </r>
  <r>
    <m/>
    <x v="13"/>
    <m/>
    <n v="700"/>
    <m/>
    <m/>
    <m/>
    <m/>
    <m/>
    <m/>
    <m/>
    <s v="Flip kart"/>
  </r>
  <r>
    <m/>
    <x v="12"/>
    <m/>
    <n v="140"/>
    <m/>
    <m/>
    <m/>
    <m/>
    <m/>
    <m/>
    <m/>
    <m/>
  </r>
  <r>
    <m/>
    <x v="2"/>
    <m/>
    <n v="50"/>
    <m/>
    <m/>
    <m/>
    <m/>
    <m/>
    <m/>
    <m/>
    <m/>
  </r>
  <r>
    <m/>
    <x v="6"/>
    <m/>
    <n v="27450"/>
    <m/>
    <s v="Naatu Poondu"/>
    <n v="65"/>
    <n v="2100"/>
    <n v="390"/>
    <s v="PK Garlic"/>
    <m/>
    <m/>
  </r>
  <r>
    <m/>
    <x v="6"/>
    <m/>
    <n v="6240"/>
    <m/>
    <s v="Desi 4A"/>
    <n v="80"/>
    <m/>
    <n v="78"/>
    <s v="PK Garlic"/>
    <m/>
    <m/>
  </r>
  <r>
    <m/>
    <x v="4"/>
    <m/>
    <n v="3900"/>
    <m/>
    <s v="Old Ginger"/>
    <n v="78"/>
    <m/>
    <n v="50"/>
    <s v="Jakakodi Traders"/>
    <m/>
    <m/>
  </r>
  <r>
    <s v="INV-484"/>
    <x v="1"/>
    <n v="1500"/>
    <m/>
    <s v="AL AZEEM CATERS &amp; RESTAURANT"/>
    <m/>
    <m/>
    <m/>
    <m/>
    <m/>
    <m/>
    <m/>
  </r>
  <r>
    <s v="INV-485"/>
    <x v="1"/>
    <n v="200"/>
    <m/>
    <s v="Hotel Noordeen"/>
    <m/>
    <m/>
    <m/>
    <m/>
    <m/>
    <m/>
    <m/>
  </r>
  <r>
    <s v="INV-486"/>
    <x v="1"/>
    <n v="2250"/>
    <m/>
    <s v="AL BAIK MANDI"/>
    <m/>
    <m/>
    <m/>
    <m/>
    <m/>
    <m/>
    <m/>
  </r>
  <r>
    <s v="INV-487"/>
    <x v="1"/>
    <n v="160"/>
    <m/>
    <s v="NFS DELIVERY"/>
    <m/>
    <m/>
    <m/>
    <m/>
    <m/>
    <m/>
    <m/>
  </r>
  <r>
    <s v="INV-488"/>
    <x v="1"/>
    <n v="360"/>
    <m/>
    <s v="HOTEL BISMI"/>
    <m/>
    <m/>
    <m/>
    <m/>
    <m/>
    <m/>
    <m/>
  </r>
  <r>
    <s v="INV-489"/>
    <x v="1"/>
    <n v="180"/>
    <m/>
    <s v="Cash"/>
    <m/>
    <m/>
    <m/>
    <m/>
    <m/>
    <m/>
    <m/>
  </r>
  <r>
    <s v="INV-490"/>
    <x v="1"/>
    <n v="800"/>
    <m/>
    <s v="AR RAHIM HOTEL"/>
    <m/>
    <m/>
    <m/>
    <m/>
    <m/>
    <m/>
    <m/>
  </r>
  <r>
    <s v="INV-491"/>
    <x v="1"/>
    <n v="2250"/>
    <m/>
    <s v="AMEEN MASTER CHEF"/>
    <m/>
    <m/>
    <m/>
    <m/>
    <m/>
    <m/>
    <m/>
  </r>
  <r>
    <s v="INV-492"/>
    <x v="1"/>
    <n v="1500"/>
    <m/>
    <s v="AL AZEEM CATERS &amp; RESTAURANT"/>
    <m/>
    <m/>
    <m/>
    <m/>
    <m/>
    <m/>
    <m/>
  </r>
  <r>
    <m/>
    <x v="2"/>
    <m/>
    <n v="100"/>
    <m/>
    <m/>
    <m/>
    <m/>
    <m/>
    <m/>
    <m/>
    <m/>
  </r>
  <r>
    <m/>
    <x v="12"/>
    <m/>
    <n v="58"/>
    <m/>
    <m/>
    <m/>
    <m/>
    <m/>
    <m/>
    <m/>
    <m/>
  </r>
  <r>
    <s v="INV-493"/>
    <x v="1"/>
    <n v="310"/>
    <m/>
    <s v="ARAFATH"/>
    <m/>
    <m/>
    <m/>
    <m/>
    <m/>
    <m/>
    <m/>
  </r>
  <r>
    <s v="INV-494"/>
    <x v="1"/>
    <n v="470"/>
    <m/>
    <s v="Cash"/>
    <m/>
    <m/>
    <m/>
    <m/>
    <m/>
    <m/>
    <m/>
  </r>
  <r>
    <s v="INV-495"/>
    <x v="1"/>
    <n v="70"/>
    <m/>
    <s v="NFS DELIVERY"/>
    <m/>
    <m/>
    <m/>
    <m/>
    <m/>
    <m/>
    <m/>
  </r>
  <r>
    <s v="INV-496"/>
    <x v="1"/>
    <n v="160"/>
    <m/>
    <s v="SUPPLAYKART"/>
    <m/>
    <m/>
    <m/>
    <m/>
    <m/>
    <m/>
    <m/>
  </r>
  <r>
    <s v="INV-497"/>
    <x v="1"/>
    <n v="480"/>
    <m/>
    <s v="VANJUR SHOP MARKET VASAL"/>
    <m/>
    <m/>
    <m/>
    <m/>
    <m/>
    <m/>
    <m/>
  </r>
  <r>
    <s v="INV-498"/>
    <x v="1"/>
    <n v="240"/>
    <m/>
    <s v="Hotel Noordeen"/>
    <m/>
    <m/>
    <m/>
    <m/>
    <m/>
    <m/>
    <m/>
  </r>
  <r>
    <s v="INV-499"/>
    <x v="1"/>
    <n v="320"/>
    <m/>
    <s v="DARBAR CATERING"/>
    <m/>
    <m/>
    <m/>
    <m/>
    <m/>
    <m/>
    <m/>
  </r>
  <r>
    <s v="INV-500"/>
    <x v="1"/>
    <n v="360"/>
    <m/>
    <s v="HOTEL BISMI"/>
    <m/>
    <m/>
    <m/>
    <m/>
    <m/>
    <m/>
    <m/>
  </r>
  <r>
    <s v="INV-501"/>
    <x v="1"/>
    <n v="160"/>
    <m/>
    <s v="REAL SUPER MARKET"/>
    <m/>
    <m/>
    <m/>
    <m/>
    <m/>
    <m/>
    <m/>
  </r>
  <r>
    <s v="INV-502"/>
    <x v="1"/>
    <n v="2250"/>
    <m/>
    <s v="AMEEN MASTER CHEF"/>
    <m/>
    <m/>
    <m/>
    <m/>
    <m/>
    <m/>
    <m/>
  </r>
  <r>
    <s v="INV-503"/>
    <x v="1"/>
    <n v="2250"/>
    <m/>
    <s v="HASSIM CATERING"/>
    <m/>
    <m/>
    <m/>
    <m/>
    <m/>
    <m/>
    <m/>
  </r>
  <r>
    <m/>
    <x v="2"/>
    <m/>
    <n v="50"/>
    <m/>
    <m/>
    <m/>
    <m/>
    <m/>
    <m/>
    <m/>
    <m/>
  </r>
  <r>
    <m/>
    <x v="12"/>
    <m/>
    <n v="15"/>
    <m/>
    <m/>
    <m/>
    <m/>
    <m/>
    <m/>
    <m/>
    <m/>
  </r>
  <r>
    <m/>
    <x v="8"/>
    <m/>
    <n v="1000"/>
    <m/>
    <m/>
    <m/>
    <m/>
    <m/>
    <m/>
    <m/>
    <s v="Salary - Saranya"/>
  </r>
  <r>
    <m/>
    <x v="4"/>
    <m/>
    <n v="3700"/>
    <m/>
    <s v="Old Ginger"/>
    <n v="74"/>
    <m/>
    <n v="50"/>
    <s v="Jakakodi Traders"/>
    <m/>
    <m/>
  </r>
  <r>
    <s v="INV-504"/>
    <x v="1"/>
    <n v="750"/>
    <m/>
    <s v="AMEEN MASTER CHEF"/>
    <m/>
    <m/>
    <m/>
    <m/>
    <m/>
    <m/>
    <m/>
  </r>
  <r>
    <s v="INV-505"/>
    <x v="1"/>
    <n v="160"/>
    <m/>
    <s v="SAHABUDEEN"/>
    <m/>
    <m/>
    <m/>
    <m/>
    <m/>
    <m/>
    <m/>
  </r>
  <r>
    <s v="INV-506"/>
    <x v="1"/>
    <n v="240"/>
    <m/>
    <s v="Maraikar Shop"/>
    <m/>
    <m/>
    <m/>
    <m/>
    <m/>
    <m/>
    <m/>
  </r>
  <r>
    <s v="INV-507"/>
    <x v="1"/>
    <n v="540"/>
    <m/>
    <s v="HOTEL BISMI"/>
    <m/>
    <m/>
    <m/>
    <m/>
    <m/>
    <m/>
    <m/>
  </r>
  <r>
    <s v="INV-508"/>
    <x v="1"/>
    <n v="750"/>
    <m/>
    <s v="HASSIM CATERING"/>
    <m/>
    <m/>
    <m/>
    <m/>
    <m/>
    <m/>
    <m/>
  </r>
  <r>
    <s v="INV-509"/>
    <x v="1"/>
    <n v="3000"/>
    <m/>
    <s v="bava chef"/>
    <m/>
    <m/>
    <m/>
    <m/>
    <m/>
    <m/>
    <m/>
  </r>
  <r>
    <s v="INV-510"/>
    <x v="1"/>
    <n v="90"/>
    <m/>
    <s v="Cash"/>
    <m/>
    <m/>
    <m/>
    <m/>
    <m/>
    <m/>
    <m/>
  </r>
  <r>
    <s v="INV-511"/>
    <x v="1"/>
    <n v="640"/>
    <m/>
    <s v="Hotel Noordeen"/>
    <m/>
    <m/>
    <m/>
    <m/>
    <m/>
    <m/>
    <m/>
  </r>
  <r>
    <s v="INV-512"/>
    <x v="1"/>
    <n v="340"/>
    <m/>
    <s v="NFS DELIVERY"/>
    <m/>
    <m/>
    <m/>
    <m/>
    <m/>
    <m/>
    <m/>
  </r>
  <r>
    <s v="INV-513"/>
    <x v="1"/>
    <n v="200"/>
    <m/>
    <s v="Ansari"/>
    <m/>
    <m/>
    <m/>
    <m/>
    <m/>
    <m/>
    <m/>
  </r>
  <r>
    <s v="INV-514"/>
    <x v="1"/>
    <n v="1500"/>
    <m/>
    <s v="AL AZEEM CATERS &amp; RESTAURANT"/>
    <m/>
    <m/>
    <m/>
    <m/>
    <m/>
    <m/>
    <m/>
  </r>
  <r>
    <s v="INV-515"/>
    <x v="1"/>
    <n v="1150"/>
    <m/>
    <s v="RIYAS BANDARI"/>
    <m/>
    <m/>
    <m/>
    <m/>
    <m/>
    <m/>
    <m/>
  </r>
  <r>
    <m/>
    <x v="8"/>
    <m/>
    <n v="2000"/>
    <m/>
    <m/>
    <m/>
    <m/>
    <m/>
    <m/>
    <m/>
    <s v="Salary - Malar"/>
  </r>
  <r>
    <s v="INV-516"/>
    <x v="1"/>
    <n v="2250"/>
    <m/>
    <s v="HASSIM CATERING"/>
    <m/>
    <m/>
    <m/>
    <m/>
    <m/>
    <m/>
    <m/>
  </r>
  <r>
    <s v="INV-517"/>
    <x v="1"/>
    <n v="1200"/>
    <m/>
    <s v="AMEEN MASTER CHEF"/>
    <m/>
    <m/>
    <m/>
    <m/>
    <m/>
    <m/>
    <m/>
  </r>
  <r>
    <s v="INV-518"/>
    <x v="1"/>
    <n v="80"/>
    <m/>
    <s v="SUPPLAYKART"/>
    <m/>
    <m/>
    <m/>
    <m/>
    <m/>
    <m/>
    <m/>
  </r>
  <r>
    <s v="INV-519"/>
    <x v="1"/>
    <n v="1500"/>
    <m/>
    <s v="AL AZEEM CATERS &amp; RESTAURANT"/>
    <m/>
    <m/>
    <m/>
    <m/>
    <m/>
    <m/>
    <m/>
  </r>
  <r>
    <s v="INV-520"/>
    <x v="1"/>
    <n v="750"/>
    <m/>
    <s v="arafath"/>
    <m/>
    <m/>
    <m/>
    <m/>
    <m/>
    <m/>
    <m/>
  </r>
  <r>
    <s v="INV-521"/>
    <x v="1"/>
    <n v="360"/>
    <m/>
    <s v="HOTEL BISMI"/>
    <m/>
    <m/>
    <m/>
    <m/>
    <m/>
    <m/>
    <m/>
  </r>
  <r>
    <s v="INV-522"/>
    <x v="1"/>
    <n v="180"/>
    <m/>
    <s v="SANDWICH SHOP"/>
    <m/>
    <m/>
    <m/>
    <m/>
    <m/>
    <m/>
    <m/>
  </r>
  <r>
    <s v="INV-523"/>
    <x v="1"/>
    <n v="1200"/>
    <m/>
    <s v="Andrew Cook"/>
    <m/>
    <m/>
    <m/>
    <m/>
    <m/>
    <m/>
    <m/>
  </r>
  <r>
    <m/>
    <x v="4"/>
    <m/>
    <n v="1899"/>
    <m/>
    <s v="Old Ginger"/>
    <n v="67.849999999999994"/>
    <n v="0"/>
    <n v="28"/>
    <s v="Jakakodi Traders"/>
    <m/>
    <m/>
  </r>
  <r>
    <s v="INV-524"/>
    <x v="1"/>
    <n v="1120"/>
    <m/>
    <s v="Cash"/>
    <m/>
    <m/>
    <m/>
    <m/>
    <m/>
    <m/>
    <m/>
  </r>
  <r>
    <s v="INV-525"/>
    <x v="1"/>
    <n v="160"/>
    <m/>
    <s v="Hotel Noordeen"/>
    <m/>
    <m/>
    <m/>
    <m/>
    <m/>
    <m/>
    <m/>
  </r>
  <r>
    <s v="INV-526"/>
    <x v="1"/>
    <n v="340"/>
    <m/>
    <s v="HOTEL BISMI"/>
    <m/>
    <m/>
    <m/>
    <m/>
    <m/>
    <m/>
    <m/>
  </r>
  <r>
    <s v="INV-527"/>
    <x v="1"/>
    <n v="300"/>
    <m/>
    <s v="BILAL COOK"/>
    <m/>
    <m/>
    <m/>
    <m/>
    <m/>
    <m/>
    <m/>
  </r>
  <r>
    <s v="INV-528"/>
    <x v="1"/>
    <n v="270"/>
    <m/>
    <s v="NFS DELIVERY"/>
    <m/>
    <m/>
    <m/>
    <m/>
    <m/>
    <m/>
    <m/>
  </r>
  <r>
    <s v="INV-529"/>
    <x v="1"/>
    <n v="100"/>
    <m/>
    <s v="Ansari"/>
    <m/>
    <m/>
    <m/>
    <m/>
    <m/>
    <m/>
    <m/>
  </r>
  <r>
    <s v="INV-530"/>
    <x v="1"/>
    <n v="320"/>
    <m/>
    <s v="RR Mini Mart"/>
    <m/>
    <m/>
    <m/>
    <m/>
    <m/>
    <m/>
    <m/>
  </r>
  <r>
    <m/>
    <x v="12"/>
    <m/>
    <n v="1300"/>
    <m/>
    <m/>
    <m/>
    <m/>
    <m/>
    <m/>
    <m/>
    <s v="Sealer Machine"/>
  </r>
  <r>
    <m/>
    <x v="2"/>
    <m/>
    <n v="30"/>
    <m/>
    <m/>
    <m/>
    <m/>
    <m/>
    <m/>
    <m/>
    <m/>
  </r>
  <r>
    <m/>
    <x v="4"/>
    <m/>
    <n v="3700"/>
    <m/>
    <s v="Old Ginger"/>
    <n v="74"/>
    <n v="0"/>
    <n v="50"/>
    <s v="Jakakodi Traders"/>
    <m/>
    <m/>
  </r>
  <r>
    <s v="INV-531"/>
    <x v="1"/>
    <n v="240"/>
    <m/>
    <s v="Hotel Noordeen"/>
    <m/>
    <m/>
    <m/>
    <m/>
    <m/>
    <m/>
    <m/>
  </r>
  <r>
    <s v="INV-532"/>
    <x v="1"/>
    <n v="800"/>
    <m/>
    <s v="AR RAHIM HOTEL"/>
    <m/>
    <m/>
    <m/>
    <m/>
    <m/>
    <m/>
    <m/>
  </r>
  <r>
    <s v="INV-533"/>
    <x v="1"/>
    <n v="170"/>
    <m/>
    <s v="NFS DELIVERY"/>
    <m/>
    <m/>
    <m/>
    <m/>
    <m/>
    <m/>
    <m/>
  </r>
  <r>
    <s v="INV-534"/>
    <x v="1"/>
    <n v="360"/>
    <m/>
    <s v="HOTEL BISMI"/>
    <m/>
    <m/>
    <m/>
    <m/>
    <m/>
    <m/>
    <m/>
  </r>
  <r>
    <s v="INV-535"/>
    <x v="1"/>
    <n v="680"/>
    <m/>
    <s v="Cash"/>
    <m/>
    <m/>
    <m/>
    <m/>
    <m/>
    <m/>
    <m/>
  </r>
  <r>
    <s v="INV-536"/>
    <x v="1"/>
    <n v="900"/>
    <m/>
    <s v="AMEEN MASTER CHEF"/>
    <m/>
    <m/>
    <m/>
    <m/>
    <m/>
    <m/>
    <m/>
  </r>
  <r>
    <s v="INV-537"/>
    <x v="1"/>
    <n v="450"/>
    <m/>
    <s v="halidh cook"/>
    <m/>
    <m/>
    <m/>
    <m/>
    <m/>
    <m/>
    <m/>
  </r>
  <r>
    <s v="INV-538"/>
    <x v="1"/>
    <n v="1800"/>
    <m/>
    <s v="HABIL SAHIB"/>
    <m/>
    <m/>
    <m/>
    <m/>
    <m/>
    <m/>
    <m/>
  </r>
  <r>
    <m/>
    <x v="2"/>
    <m/>
    <n v="70"/>
    <m/>
    <m/>
    <m/>
    <m/>
    <m/>
    <m/>
    <m/>
    <m/>
  </r>
  <r>
    <s v="INV-539"/>
    <x v="1"/>
    <n v="240"/>
    <m/>
    <s v="Maraikar Shop"/>
    <m/>
    <m/>
    <m/>
    <m/>
    <m/>
    <m/>
    <m/>
  </r>
  <r>
    <s v="INV-540"/>
    <x v="1"/>
    <n v="240"/>
    <m/>
    <s v="Hotel Noordeen"/>
    <m/>
    <m/>
    <m/>
    <m/>
    <m/>
    <m/>
    <m/>
  </r>
  <r>
    <s v="INV-541"/>
    <x v="1"/>
    <n v="320"/>
    <m/>
    <s v="MALAYSIAN FAST FOOD"/>
    <m/>
    <m/>
    <m/>
    <m/>
    <m/>
    <m/>
    <m/>
  </r>
  <r>
    <s v="INV-542"/>
    <x v="1"/>
    <n v="360"/>
    <m/>
    <s v="HOTEL BISMI"/>
    <m/>
    <m/>
    <m/>
    <m/>
    <m/>
    <m/>
    <m/>
  </r>
  <r>
    <s v="INV-543"/>
    <x v="1"/>
    <n v="2400"/>
    <m/>
    <s v="HASSIM CATERING"/>
    <m/>
    <m/>
    <m/>
    <m/>
    <m/>
    <m/>
    <m/>
  </r>
  <r>
    <s v="INV-544"/>
    <x v="1"/>
    <n v="510"/>
    <m/>
    <s v="Cash"/>
    <m/>
    <m/>
    <m/>
    <m/>
    <m/>
    <m/>
    <m/>
  </r>
  <r>
    <m/>
    <x v="2"/>
    <m/>
    <n v="45"/>
    <m/>
    <m/>
    <m/>
    <m/>
    <m/>
    <m/>
    <m/>
    <m/>
  </r>
  <r>
    <m/>
    <x v="5"/>
    <m/>
    <n v="120"/>
    <m/>
    <m/>
    <m/>
    <m/>
    <m/>
    <m/>
    <m/>
    <m/>
  </r>
  <r>
    <m/>
    <x v="14"/>
    <m/>
    <n v="550"/>
    <m/>
    <m/>
    <m/>
    <m/>
    <m/>
    <m/>
    <m/>
    <s v="Wi-fi Bill"/>
  </r>
  <r>
    <m/>
    <x v="4"/>
    <m/>
    <n v="5510"/>
    <m/>
    <s v="Old Ginger"/>
    <n v="44.64"/>
    <n v="510"/>
    <n v="112"/>
    <s v="Mass Traders"/>
    <m/>
    <m/>
  </r>
  <r>
    <s v="INV-545"/>
    <x v="1"/>
    <n v="240"/>
    <m/>
    <s v="Cash"/>
    <m/>
    <m/>
    <m/>
    <m/>
    <m/>
    <m/>
    <m/>
  </r>
  <r>
    <s v="INV-546"/>
    <x v="1"/>
    <n v="160"/>
    <m/>
    <s v="Hotel Noordeen"/>
    <m/>
    <m/>
    <m/>
    <m/>
    <m/>
    <m/>
    <m/>
  </r>
  <r>
    <s v="INV-547"/>
    <x v="15"/>
    <m/>
    <m/>
    <m/>
    <m/>
    <m/>
    <m/>
    <m/>
    <m/>
    <m/>
    <m/>
  </r>
  <r>
    <s v="INV-548"/>
    <x v="1"/>
    <n v="750"/>
    <m/>
    <s v="AMEEN MASTER CHEF"/>
    <m/>
    <m/>
    <m/>
    <m/>
    <m/>
    <m/>
    <m/>
  </r>
  <r>
    <s v="INV-549"/>
    <x v="1"/>
    <n v="540"/>
    <m/>
    <s v="HOTEL BISMI"/>
    <m/>
    <m/>
    <m/>
    <m/>
    <m/>
    <m/>
    <m/>
  </r>
  <r>
    <s v="INV-550"/>
    <x v="1"/>
    <n v="100"/>
    <m/>
    <s v="Nasar"/>
    <m/>
    <m/>
    <m/>
    <m/>
    <m/>
    <m/>
    <m/>
  </r>
  <r>
    <s v="INV-551"/>
    <x v="1"/>
    <n v="80"/>
    <m/>
    <s v="SUPPLAYKART"/>
    <m/>
    <m/>
    <m/>
    <m/>
    <m/>
    <m/>
    <m/>
  </r>
  <r>
    <s v="INV-552"/>
    <x v="1"/>
    <n v="2250"/>
    <m/>
    <s v="HASSIM CATERING"/>
    <m/>
    <m/>
    <m/>
    <m/>
    <m/>
    <m/>
    <m/>
  </r>
  <r>
    <s v="INV-553"/>
    <x v="1"/>
    <n v="1500"/>
    <m/>
    <s v="AL AZEEM CATERS &amp; RESTAURANT"/>
    <m/>
    <m/>
    <m/>
    <m/>
    <m/>
    <m/>
    <m/>
  </r>
  <r>
    <s v="INV-554"/>
    <x v="1"/>
    <n v="160"/>
    <m/>
    <s v="DARBAR CATERING"/>
    <m/>
    <m/>
    <m/>
    <m/>
    <m/>
    <m/>
    <m/>
  </r>
  <r>
    <s v="INV-555"/>
    <x v="1"/>
    <n v="480"/>
    <m/>
    <s v="ARAFA RESTAURANT"/>
    <m/>
    <m/>
    <m/>
    <m/>
    <m/>
    <m/>
    <m/>
  </r>
  <r>
    <m/>
    <x v="2"/>
    <m/>
    <n v="50"/>
    <m/>
    <m/>
    <m/>
    <m/>
    <m/>
    <m/>
    <m/>
    <m/>
  </r>
  <r>
    <m/>
    <x v="6"/>
    <m/>
    <n v="12265"/>
    <m/>
    <s v="Naatu Poondu"/>
    <n v="65"/>
    <n v="1150"/>
    <n v="171"/>
    <s v="SVG Garlics"/>
    <m/>
    <m/>
  </r>
  <r>
    <s v="INV-556"/>
    <x v="1"/>
    <n v="2400"/>
    <m/>
    <s v="BILAL COOK"/>
    <m/>
    <m/>
    <m/>
    <m/>
    <m/>
    <m/>
    <m/>
  </r>
  <r>
    <s v="INV-557"/>
    <x v="1"/>
    <n v="170"/>
    <m/>
    <s v="Cash"/>
    <m/>
    <m/>
    <m/>
    <m/>
    <m/>
    <m/>
    <m/>
  </r>
  <r>
    <s v="INV-558"/>
    <x v="1"/>
    <n v="320"/>
    <m/>
    <s v="MALAYSIAN FAST FOOD"/>
    <m/>
    <m/>
    <m/>
    <m/>
    <m/>
    <m/>
    <m/>
  </r>
  <r>
    <s v="INV-559"/>
    <x v="1"/>
    <n v="260"/>
    <m/>
    <s v="NFS DELIVERY"/>
    <m/>
    <m/>
    <m/>
    <m/>
    <m/>
    <m/>
    <m/>
  </r>
  <r>
    <s v="INV-560"/>
    <x v="1"/>
    <n v="4500"/>
    <m/>
    <s v="HASSIM CATERING"/>
    <m/>
    <m/>
    <m/>
    <m/>
    <m/>
    <m/>
    <m/>
  </r>
  <r>
    <s v="INV-561"/>
    <x v="1"/>
    <n v="320"/>
    <m/>
    <s v="Hotel Noordeen"/>
    <m/>
    <m/>
    <m/>
    <m/>
    <m/>
    <m/>
    <m/>
  </r>
  <r>
    <s v="INV-562"/>
    <x v="1"/>
    <n v="540"/>
    <m/>
    <s v="HOTEL BISMI"/>
    <m/>
    <m/>
    <m/>
    <m/>
    <m/>
    <m/>
    <m/>
  </r>
  <r>
    <s v="INV-563"/>
    <x v="1"/>
    <n v="800"/>
    <m/>
    <s v="NFS DELIVERY"/>
    <m/>
    <m/>
    <m/>
    <m/>
    <m/>
    <m/>
    <m/>
  </r>
  <r>
    <s v="INV-564"/>
    <x v="1"/>
    <n v="1500"/>
    <m/>
    <s v="HASSIM CATERING"/>
    <m/>
    <m/>
    <m/>
    <m/>
    <m/>
    <m/>
    <m/>
  </r>
  <r>
    <s v="INV-565"/>
    <x v="1"/>
    <n v="160"/>
    <m/>
    <s v="SANDWICH SHOP"/>
    <m/>
    <m/>
    <m/>
    <m/>
    <m/>
    <m/>
    <m/>
  </r>
  <r>
    <s v="INV-566"/>
    <x v="1"/>
    <n v="300"/>
    <m/>
    <s v="arafath"/>
    <m/>
    <m/>
    <m/>
    <m/>
    <m/>
    <m/>
    <m/>
  </r>
  <r>
    <m/>
    <x v="7"/>
    <m/>
    <n v="400"/>
    <m/>
    <m/>
    <m/>
    <m/>
    <m/>
    <m/>
    <m/>
    <m/>
  </r>
  <r>
    <m/>
    <x v="2"/>
    <m/>
    <n v="50"/>
    <m/>
    <m/>
    <m/>
    <m/>
    <m/>
    <m/>
    <m/>
    <m/>
  </r>
  <r>
    <s v="INV-567"/>
    <x v="1"/>
    <n v="540"/>
    <m/>
    <s v="HOTEL BISMI"/>
    <m/>
    <m/>
    <m/>
    <m/>
    <m/>
    <m/>
    <m/>
  </r>
  <r>
    <s v="INV-568"/>
    <x v="1"/>
    <n v="90"/>
    <m/>
    <s v="SUPPLAYKART"/>
    <m/>
    <m/>
    <m/>
    <m/>
    <m/>
    <m/>
    <m/>
  </r>
  <r>
    <s v="INV-569"/>
    <x v="1"/>
    <n v="560"/>
    <m/>
    <s v="Hotel Noordeen"/>
    <m/>
    <m/>
    <m/>
    <m/>
    <m/>
    <m/>
    <m/>
  </r>
  <r>
    <s v="INV-570"/>
    <x v="1"/>
    <n v="750"/>
    <m/>
    <s v="BILAL COOK"/>
    <m/>
    <m/>
    <m/>
    <m/>
    <m/>
    <m/>
    <m/>
  </r>
  <r>
    <s v="INV-571"/>
    <x v="1"/>
    <n v="1800"/>
    <m/>
    <s v="NFS DELIVERY"/>
    <m/>
    <m/>
    <m/>
    <m/>
    <m/>
    <m/>
    <m/>
  </r>
  <r>
    <s v="INV-572"/>
    <x v="1"/>
    <n v="3000"/>
    <m/>
    <s v="HASSIM CATERING"/>
    <m/>
    <m/>
    <m/>
    <m/>
    <m/>
    <m/>
    <m/>
  </r>
  <r>
    <m/>
    <x v="2"/>
    <m/>
    <n v="50"/>
    <m/>
    <m/>
    <m/>
    <m/>
    <m/>
    <m/>
    <m/>
    <m/>
  </r>
  <r>
    <s v="INV-573"/>
    <x v="1"/>
    <n v="1350"/>
    <m/>
    <s v="BILAL COOK"/>
    <m/>
    <m/>
    <m/>
    <m/>
    <m/>
    <m/>
    <m/>
  </r>
  <r>
    <s v="INV-574"/>
    <x v="1"/>
    <n v="1500"/>
    <m/>
    <s v="AL AZEEM CATERS &amp; RESTAURANT"/>
    <m/>
    <m/>
    <m/>
    <m/>
    <m/>
    <m/>
    <m/>
  </r>
  <r>
    <s v="INV-575"/>
    <x v="1"/>
    <n v="300"/>
    <m/>
    <s v="Cash"/>
    <m/>
    <m/>
    <m/>
    <m/>
    <m/>
    <m/>
    <m/>
  </r>
  <r>
    <s v="INV-576"/>
    <x v="1"/>
    <n v="360"/>
    <m/>
    <s v="HOTEL BISMI"/>
    <m/>
    <m/>
    <m/>
    <m/>
    <m/>
    <m/>
    <m/>
  </r>
  <r>
    <s v="INV-577"/>
    <x v="1"/>
    <n v="5250"/>
    <m/>
    <s v="AMEEN MASTER CHEF"/>
    <m/>
    <m/>
    <m/>
    <m/>
    <m/>
    <m/>
    <m/>
  </r>
  <r>
    <m/>
    <x v="2"/>
    <m/>
    <n v="50"/>
    <m/>
    <m/>
    <m/>
    <m/>
    <m/>
    <m/>
    <m/>
    <m/>
  </r>
  <r>
    <s v="INV-578"/>
    <x v="1"/>
    <n v="1500"/>
    <m/>
    <s v="AL AZEEM CATERS &amp; RESTAURANT"/>
    <m/>
    <m/>
    <m/>
    <m/>
    <m/>
    <m/>
    <m/>
  </r>
  <r>
    <s v="INV-579"/>
    <x v="1"/>
    <n v="480"/>
    <m/>
    <s v="ARAFA RESTAURANT"/>
    <m/>
    <m/>
    <m/>
    <m/>
    <m/>
    <m/>
    <m/>
  </r>
  <r>
    <s v="INV-580"/>
    <x v="1"/>
    <n v="160"/>
    <m/>
    <s v="HASSIM CATERING"/>
    <m/>
    <m/>
    <m/>
    <m/>
    <m/>
    <m/>
    <m/>
  </r>
  <r>
    <s v="INV-581"/>
    <x v="1"/>
    <n v="160"/>
    <m/>
    <s v="Hotel Noordeen"/>
    <m/>
    <m/>
    <m/>
    <m/>
    <m/>
    <m/>
    <m/>
  </r>
  <r>
    <s v="INV-582"/>
    <x v="1"/>
    <n v="300"/>
    <m/>
    <s v="arafath"/>
    <m/>
    <m/>
    <m/>
    <m/>
    <m/>
    <m/>
    <m/>
  </r>
  <r>
    <s v="INV-583"/>
    <x v="1"/>
    <n v="890"/>
    <m/>
    <s v="NFS DELIVERY"/>
    <m/>
    <m/>
    <m/>
    <m/>
    <m/>
    <m/>
    <m/>
  </r>
  <r>
    <s v="INV-584"/>
    <x v="1"/>
    <n v="800"/>
    <m/>
    <s v="AR RAHIM HOTEL"/>
    <m/>
    <m/>
    <m/>
    <m/>
    <m/>
    <m/>
    <m/>
  </r>
  <r>
    <s v="INV-585"/>
    <x v="1"/>
    <n v="940"/>
    <m/>
    <s v="Cash"/>
    <m/>
    <m/>
    <m/>
    <m/>
    <m/>
    <m/>
    <m/>
  </r>
  <r>
    <s v="INV-586"/>
    <x v="1"/>
    <n v="160"/>
    <m/>
    <s v="RR Mini Mart"/>
    <m/>
    <m/>
    <m/>
    <m/>
    <m/>
    <m/>
    <m/>
  </r>
  <r>
    <m/>
    <x v="2"/>
    <m/>
    <n v="50"/>
    <m/>
    <m/>
    <m/>
    <m/>
    <m/>
    <m/>
    <m/>
    <m/>
  </r>
  <r>
    <s v="INV-587"/>
    <x v="1"/>
    <n v="240"/>
    <m/>
    <s v="Hotel Noordeen"/>
    <m/>
    <m/>
    <m/>
    <m/>
    <m/>
    <m/>
    <m/>
  </r>
  <r>
    <s v="INV-588"/>
    <x v="1"/>
    <n v="360"/>
    <m/>
    <s v="HOTEL BISMI"/>
    <m/>
    <m/>
    <m/>
    <m/>
    <m/>
    <m/>
    <m/>
  </r>
  <r>
    <s v="INV-589"/>
    <x v="1"/>
    <n v="90"/>
    <m/>
    <s v="Cash"/>
    <m/>
    <m/>
    <m/>
    <m/>
    <m/>
    <m/>
    <m/>
  </r>
  <r>
    <s v="INV-590"/>
    <x v="1"/>
    <n v="510"/>
    <m/>
    <s v="NFS DELIVERY"/>
    <m/>
    <m/>
    <m/>
    <m/>
    <m/>
    <m/>
    <m/>
  </r>
  <r>
    <s v="INV-591"/>
    <x v="1"/>
    <n v="160"/>
    <m/>
    <s v="Burhaan"/>
    <m/>
    <m/>
    <m/>
    <m/>
    <m/>
    <m/>
    <m/>
  </r>
  <r>
    <m/>
    <x v="2"/>
    <m/>
    <n v="50"/>
    <m/>
    <m/>
    <m/>
    <m/>
    <m/>
    <m/>
    <m/>
    <m/>
  </r>
  <r>
    <m/>
    <x v="9"/>
    <m/>
    <n v="700"/>
    <m/>
    <m/>
    <m/>
    <m/>
    <m/>
    <m/>
    <m/>
    <s v="For bring back Fridge from KKL"/>
  </r>
  <r>
    <s v="INV-592"/>
    <x v="1"/>
    <n v="240"/>
    <m/>
    <s v="Hotel Noordeen"/>
    <m/>
    <m/>
    <m/>
    <m/>
    <m/>
    <m/>
    <m/>
  </r>
  <r>
    <s v="INV-593"/>
    <x v="1"/>
    <n v="100"/>
    <m/>
    <s v="Hassan"/>
    <m/>
    <m/>
    <m/>
    <m/>
    <m/>
    <m/>
    <m/>
  </r>
  <r>
    <s v="INV-594"/>
    <x v="1"/>
    <n v="260"/>
    <m/>
    <s v="NFS DELIVERY"/>
    <m/>
    <m/>
    <m/>
    <m/>
    <m/>
    <m/>
    <m/>
  </r>
  <r>
    <s v="INV-595"/>
    <x v="1"/>
    <n v="240"/>
    <m/>
    <s v="Maraikar Shop"/>
    <m/>
    <m/>
    <m/>
    <m/>
    <m/>
    <m/>
    <m/>
  </r>
  <r>
    <s v="INV-596"/>
    <x v="1"/>
    <n v="1500"/>
    <m/>
    <s v="HASSIM CATERING"/>
    <m/>
    <m/>
    <m/>
    <m/>
    <m/>
    <m/>
    <m/>
  </r>
  <r>
    <s v="INV-597"/>
    <x v="1"/>
    <n v="60"/>
    <m/>
    <s v="Cash"/>
    <m/>
    <m/>
    <m/>
    <m/>
    <m/>
    <m/>
    <m/>
  </r>
  <r>
    <s v="INV-598"/>
    <x v="1"/>
    <n v="900"/>
    <m/>
    <s v="arafath"/>
    <m/>
    <m/>
    <m/>
    <m/>
    <m/>
    <m/>
    <m/>
  </r>
  <r>
    <m/>
    <x v="2"/>
    <m/>
    <n v="50"/>
    <m/>
    <m/>
    <m/>
    <m/>
    <m/>
    <m/>
    <m/>
    <m/>
  </r>
  <r>
    <m/>
    <x v="3"/>
    <m/>
    <n v="1090"/>
    <m/>
    <m/>
    <m/>
    <m/>
    <m/>
    <m/>
    <m/>
    <m/>
  </r>
  <r>
    <m/>
    <x v="7"/>
    <m/>
    <n v="400"/>
    <m/>
    <m/>
    <m/>
    <m/>
    <m/>
    <m/>
    <m/>
    <m/>
  </r>
  <r>
    <s v="INV-599"/>
    <x v="1"/>
    <n v="160"/>
    <m/>
    <s v="Hotel Noordeen"/>
    <m/>
    <m/>
    <m/>
    <m/>
    <m/>
    <m/>
    <m/>
  </r>
  <r>
    <s v="INV-600"/>
    <x v="1"/>
    <n v="1500"/>
    <m/>
    <s v="AL AZEEM CATERS &amp; RESTAURANT"/>
    <m/>
    <m/>
    <m/>
    <m/>
    <m/>
    <m/>
    <m/>
  </r>
  <r>
    <s v="INV-601"/>
    <x v="1"/>
    <n v="480"/>
    <m/>
    <s v="ARAFA RESTAURANT"/>
    <m/>
    <m/>
    <m/>
    <m/>
    <m/>
    <m/>
    <m/>
  </r>
  <r>
    <s v="INV-602"/>
    <x v="1"/>
    <n v="750"/>
    <m/>
    <s v="AMEEN MASTER CHEF"/>
    <m/>
    <m/>
    <m/>
    <m/>
    <m/>
    <m/>
    <m/>
  </r>
  <r>
    <s v="INV-603"/>
    <x v="1"/>
    <n v="300"/>
    <m/>
    <s v="Hassan"/>
    <m/>
    <m/>
    <m/>
    <m/>
    <m/>
    <m/>
    <m/>
  </r>
  <r>
    <s v="INV-604"/>
    <x v="1"/>
    <n v="320"/>
    <m/>
    <s v="MALAYSIAN FAST FOOD"/>
    <m/>
    <m/>
    <m/>
    <m/>
    <m/>
    <m/>
    <m/>
  </r>
  <r>
    <m/>
    <x v="4"/>
    <m/>
    <n v="3600"/>
    <m/>
    <s v="Old Ginger"/>
    <n v="72"/>
    <m/>
    <n v="50"/>
    <s v="Jakakodi Traders"/>
    <m/>
    <m/>
  </r>
  <r>
    <m/>
    <x v="2"/>
    <m/>
    <n v="50"/>
    <m/>
    <m/>
    <m/>
    <m/>
    <m/>
    <m/>
    <m/>
    <m/>
  </r>
  <r>
    <m/>
    <x v="13"/>
    <m/>
    <n v="20"/>
    <m/>
    <m/>
    <m/>
    <m/>
    <m/>
    <m/>
    <m/>
    <m/>
  </r>
  <r>
    <m/>
    <x v="9"/>
    <m/>
    <n v="300"/>
    <m/>
    <m/>
    <m/>
    <m/>
    <m/>
    <m/>
    <m/>
    <m/>
  </r>
  <r>
    <m/>
    <x v="3"/>
    <m/>
    <n v="400"/>
    <m/>
    <m/>
    <m/>
    <m/>
    <m/>
    <m/>
    <m/>
    <m/>
  </r>
  <r>
    <m/>
    <x v="5"/>
    <m/>
    <n v="160"/>
    <m/>
    <m/>
    <m/>
    <m/>
    <m/>
    <m/>
    <m/>
    <m/>
  </r>
  <r>
    <s v="INV-605"/>
    <x v="1"/>
    <n v="1500"/>
    <m/>
    <s v="AL AZEEM CATERS &amp; RESTAURANT"/>
    <m/>
    <m/>
    <m/>
    <m/>
    <m/>
    <m/>
    <m/>
  </r>
  <r>
    <s v="INV-606"/>
    <x v="1"/>
    <n v="1050"/>
    <m/>
    <s v="BILAL COOK"/>
    <m/>
    <m/>
    <m/>
    <m/>
    <m/>
    <m/>
    <m/>
  </r>
  <r>
    <s v="INV-607"/>
    <x v="1"/>
    <n v="510"/>
    <m/>
    <s v="NFS DELIVERY"/>
    <m/>
    <m/>
    <m/>
    <m/>
    <m/>
    <m/>
    <m/>
  </r>
  <r>
    <s v="INV-608"/>
    <x v="1"/>
    <n v="500"/>
    <m/>
    <s v="HOTEL BISMI"/>
    <m/>
    <m/>
    <m/>
    <m/>
    <m/>
    <m/>
    <m/>
  </r>
  <r>
    <s v="INV-609"/>
    <x v="1"/>
    <n v="320"/>
    <m/>
    <s v="RR Mini Mart"/>
    <m/>
    <m/>
    <m/>
    <m/>
    <m/>
    <m/>
    <m/>
  </r>
  <r>
    <s v="INV-610"/>
    <x v="1"/>
    <n v="480"/>
    <m/>
    <s v="HOTEL BISMI"/>
    <m/>
    <m/>
    <m/>
    <m/>
    <m/>
    <m/>
    <m/>
  </r>
  <r>
    <s v="INV-611"/>
    <x v="1"/>
    <n v="960"/>
    <m/>
    <s v="DARBAR CATERING"/>
    <m/>
    <m/>
    <m/>
    <m/>
    <m/>
    <m/>
    <m/>
  </r>
  <r>
    <s v="INV-612"/>
    <x v="1"/>
    <n v="80"/>
    <m/>
    <s v="Cash"/>
    <m/>
    <m/>
    <m/>
    <m/>
    <m/>
    <m/>
    <m/>
  </r>
  <r>
    <s v="INV-613"/>
    <x v="1"/>
    <n v="320"/>
    <m/>
    <s v="ARAFA RESTAURANT"/>
    <m/>
    <m/>
    <m/>
    <m/>
    <m/>
    <m/>
    <m/>
  </r>
  <r>
    <m/>
    <x v="2"/>
    <m/>
    <n v="50"/>
    <m/>
    <m/>
    <m/>
    <m/>
    <m/>
    <m/>
    <m/>
    <m/>
  </r>
  <r>
    <m/>
    <x v="13"/>
    <m/>
    <n v="100"/>
    <m/>
    <m/>
    <m/>
    <m/>
    <m/>
    <m/>
    <m/>
    <m/>
  </r>
  <r>
    <s v="INV-614"/>
    <x v="1"/>
    <n v="560"/>
    <m/>
    <s v="Hotel Noordeen"/>
    <m/>
    <m/>
    <m/>
    <m/>
    <m/>
    <m/>
    <m/>
  </r>
  <r>
    <s v="INV-615"/>
    <x v="1"/>
    <n v="480"/>
    <m/>
    <s v="AMEEN MASTER CHEF"/>
    <m/>
    <m/>
    <m/>
    <m/>
    <m/>
    <m/>
    <m/>
  </r>
  <r>
    <s v="INV-616"/>
    <x v="1"/>
    <n v="480"/>
    <m/>
    <s v="HOTEL BISMI"/>
    <m/>
    <m/>
    <m/>
    <m/>
    <m/>
    <m/>
    <m/>
  </r>
  <r>
    <s v="INV-617"/>
    <x v="1"/>
    <n v="480"/>
    <m/>
    <s v="ARAFA RESTAURANT"/>
    <m/>
    <m/>
    <m/>
    <m/>
    <m/>
    <m/>
    <m/>
  </r>
  <r>
    <s v="INV-618"/>
    <x v="1"/>
    <n v="1500"/>
    <m/>
    <s v="AL AZEEM CATERS &amp; RESTAURANT"/>
    <m/>
    <m/>
    <m/>
    <m/>
    <m/>
    <m/>
    <m/>
  </r>
  <r>
    <s v="INV-619"/>
    <x v="1"/>
    <n v="2250"/>
    <m/>
    <s v="AMEEN MASTER CHEF"/>
    <m/>
    <m/>
    <m/>
    <m/>
    <m/>
    <m/>
    <m/>
  </r>
  <r>
    <s v="INV-620"/>
    <x v="1"/>
    <n v="2250"/>
    <m/>
    <s v="HASSIM CATERING"/>
    <m/>
    <m/>
    <m/>
    <m/>
    <m/>
    <m/>
    <m/>
  </r>
  <r>
    <s v="INV-621"/>
    <x v="1"/>
    <n v="1500"/>
    <m/>
    <s v="UMAR BRIYANI"/>
    <m/>
    <m/>
    <m/>
    <m/>
    <m/>
    <m/>
    <m/>
  </r>
  <r>
    <s v="INV-622"/>
    <x v="1"/>
    <n v="300"/>
    <m/>
    <s v="arafath"/>
    <m/>
    <m/>
    <m/>
    <m/>
    <m/>
    <m/>
    <m/>
  </r>
  <r>
    <m/>
    <x v="2"/>
    <m/>
    <n v="50"/>
    <m/>
    <m/>
    <m/>
    <m/>
    <m/>
    <m/>
    <m/>
    <m/>
  </r>
  <r>
    <s v="INV-623"/>
    <x v="1"/>
    <n v="1600"/>
    <m/>
    <s v="NFS DELIVERY"/>
    <m/>
    <m/>
    <m/>
    <m/>
    <m/>
    <m/>
    <m/>
  </r>
  <r>
    <s v="INV-624"/>
    <x v="1"/>
    <n v="170"/>
    <m/>
    <s v="NFS DELIVERY"/>
    <m/>
    <m/>
    <m/>
    <m/>
    <m/>
    <m/>
    <m/>
  </r>
  <r>
    <s v="INV-625"/>
    <x v="1"/>
    <n v="320"/>
    <m/>
    <s v="DARBAR CATERING"/>
    <m/>
    <m/>
    <m/>
    <m/>
    <m/>
    <m/>
    <m/>
  </r>
  <r>
    <s v="INV-626"/>
    <x v="1"/>
    <n v="320"/>
    <m/>
    <s v="HOTEL BISMI"/>
    <m/>
    <m/>
    <m/>
    <m/>
    <m/>
    <m/>
    <m/>
  </r>
  <r>
    <s v="INV-627"/>
    <x v="1"/>
    <n v="100"/>
    <m/>
    <s v="Cash"/>
    <m/>
    <m/>
    <m/>
    <m/>
    <m/>
    <m/>
    <m/>
  </r>
  <r>
    <s v="INV-628"/>
    <x v="1"/>
    <n v="750"/>
    <m/>
    <s v="AR RAHIM HOTEL"/>
    <m/>
    <m/>
    <m/>
    <m/>
    <m/>
    <m/>
    <m/>
  </r>
  <r>
    <s v="INV-629"/>
    <x v="1"/>
    <n v="3750"/>
    <m/>
    <s v="AHEE BANDARI"/>
    <m/>
    <m/>
    <m/>
    <m/>
    <m/>
    <m/>
    <m/>
  </r>
  <r>
    <m/>
    <x v="2"/>
    <m/>
    <n v="50"/>
    <m/>
    <m/>
    <m/>
    <m/>
    <m/>
    <m/>
    <m/>
    <m/>
  </r>
  <r>
    <m/>
    <x v="14"/>
    <m/>
    <n v="350"/>
    <m/>
    <m/>
    <m/>
    <m/>
    <m/>
    <m/>
    <m/>
    <s v="Phone Bill"/>
  </r>
  <r>
    <m/>
    <x v="4"/>
    <m/>
    <n v="3600"/>
    <m/>
    <s v="Old Ginger"/>
    <n v="72"/>
    <m/>
    <n v="50"/>
    <s v="Jakakodi Traders"/>
    <m/>
    <m/>
  </r>
  <r>
    <s v="INV-630"/>
    <x v="1"/>
    <n v="2250"/>
    <m/>
    <s v="HASSIM CATERING"/>
    <m/>
    <m/>
    <m/>
    <m/>
    <m/>
    <m/>
    <m/>
  </r>
  <r>
    <s v="INV-631"/>
    <x v="1"/>
    <n v="450"/>
    <m/>
    <s v="AMEEN MASTER CHEF"/>
    <m/>
    <m/>
    <m/>
    <m/>
    <m/>
    <m/>
    <m/>
  </r>
  <r>
    <s v="INV-632"/>
    <x v="1"/>
    <n v="2340"/>
    <m/>
    <s v="NFS DELIVERY"/>
    <m/>
    <m/>
    <m/>
    <m/>
    <m/>
    <m/>
    <m/>
  </r>
  <r>
    <s v="INV-633"/>
    <x v="1"/>
    <n v="100"/>
    <m/>
    <s v="hassan"/>
    <m/>
    <m/>
    <m/>
    <m/>
    <m/>
    <m/>
    <m/>
  </r>
  <r>
    <s v="INV-634"/>
    <x v="1"/>
    <n v="320"/>
    <m/>
    <s v="MALAYSIAN FAST FOOD"/>
    <m/>
    <m/>
    <m/>
    <m/>
    <m/>
    <m/>
    <m/>
  </r>
  <r>
    <s v="INV-635"/>
    <x v="1"/>
    <n v="160"/>
    <m/>
    <s v="SUPPLAYKART"/>
    <m/>
    <m/>
    <m/>
    <m/>
    <m/>
    <m/>
    <m/>
  </r>
  <r>
    <s v="INV-636"/>
    <x v="1"/>
    <n v="80"/>
    <m/>
    <s v="Hotel Noordeen"/>
    <m/>
    <m/>
    <m/>
    <m/>
    <m/>
    <m/>
    <m/>
  </r>
  <r>
    <s v="INV-637"/>
    <x v="1"/>
    <n v="320"/>
    <m/>
    <s v="HOTEL BISMI"/>
    <m/>
    <m/>
    <m/>
    <m/>
    <m/>
    <m/>
    <m/>
  </r>
  <r>
    <s v="INV-638"/>
    <x v="1"/>
    <n v="320"/>
    <m/>
    <s v="ARAFA RESTAURANT"/>
    <m/>
    <m/>
    <m/>
    <m/>
    <m/>
    <m/>
    <m/>
  </r>
  <r>
    <s v="INV-639"/>
    <x v="1"/>
    <n v="320"/>
    <m/>
    <s v="SANDWICH SHOP"/>
    <m/>
    <m/>
    <m/>
    <m/>
    <m/>
    <m/>
    <m/>
  </r>
  <r>
    <s v="INV-640"/>
    <x v="1"/>
    <n v="2160"/>
    <m/>
    <s v="Cash"/>
    <m/>
    <m/>
    <m/>
    <m/>
    <m/>
    <m/>
    <m/>
  </r>
  <r>
    <s v="INV-641"/>
    <x v="1"/>
    <n v="1500"/>
    <m/>
    <s v="AL AZEEM CATERS &amp; RESTAURANT"/>
    <m/>
    <m/>
    <m/>
    <m/>
    <m/>
    <m/>
    <m/>
  </r>
  <r>
    <s v="INV-642"/>
    <x v="1"/>
    <n v="1500"/>
    <m/>
    <s v="HASSIM CATERING"/>
    <m/>
    <m/>
    <m/>
    <m/>
    <m/>
    <m/>
    <m/>
  </r>
  <r>
    <m/>
    <x v="2"/>
    <m/>
    <n v="50"/>
    <m/>
    <m/>
    <m/>
    <m/>
    <m/>
    <m/>
    <m/>
    <m/>
  </r>
  <r>
    <m/>
    <x v="3"/>
    <m/>
    <n v="850"/>
    <m/>
    <m/>
    <m/>
    <m/>
    <m/>
    <m/>
    <m/>
    <m/>
  </r>
  <r>
    <m/>
    <x v="7"/>
    <m/>
    <n v="395"/>
    <m/>
    <m/>
    <m/>
    <m/>
    <m/>
    <m/>
    <m/>
    <m/>
  </r>
  <r>
    <m/>
    <x v="12"/>
    <m/>
    <n v="40"/>
    <m/>
    <m/>
    <m/>
    <m/>
    <m/>
    <m/>
    <m/>
    <s v="Bill Book"/>
  </r>
  <r>
    <m/>
    <x v="6"/>
    <m/>
    <n v="6370"/>
    <m/>
    <s v="Desi 3A"/>
    <n v="65"/>
    <n v="1170"/>
    <n v="80"/>
    <s v="SVG Garlics"/>
    <m/>
    <m/>
  </r>
  <r>
    <m/>
    <x v="6"/>
    <m/>
    <n v="9600"/>
    <m/>
    <s v="Naatu Poondu"/>
    <n v="60"/>
    <n v="0"/>
    <n v="160"/>
    <s v="SVG Garlics"/>
    <m/>
    <m/>
  </r>
  <r>
    <s v="INV-643"/>
    <x v="1"/>
    <n v="240"/>
    <m/>
    <s v="Hotel Noordeen"/>
    <m/>
    <m/>
    <m/>
    <m/>
    <m/>
    <m/>
    <m/>
  </r>
  <r>
    <s v="INV-644"/>
    <x v="1"/>
    <n v="160"/>
    <m/>
    <s v="SUPPLAYKART"/>
    <m/>
    <m/>
    <m/>
    <m/>
    <m/>
    <m/>
    <m/>
  </r>
  <r>
    <s v="INV-645"/>
    <x v="1"/>
    <n v="160"/>
    <m/>
    <s v="RILWAN"/>
    <m/>
    <m/>
    <m/>
    <m/>
    <m/>
    <m/>
    <m/>
  </r>
  <r>
    <s v="INV-646"/>
    <x v="1"/>
    <n v="320"/>
    <m/>
    <s v="RR Mini Mart"/>
    <m/>
    <m/>
    <m/>
    <m/>
    <m/>
    <m/>
    <m/>
  </r>
  <r>
    <s v="INV-647"/>
    <x v="1"/>
    <n v="320"/>
    <m/>
    <s v="HOTEL BISMI"/>
    <m/>
    <m/>
    <m/>
    <m/>
    <m/>
    <m/>
    <m/>
  </r>
  <r>
    <s v="INV-648"/>
    <x v="1"/>
    <n v="160"/>
    <m/>
    <s v="NFS DELIVERY"/>
    <m/>
    <m/>
    <m/>
    <m/>
    <m/>
    <m/>
    <m/>
  </r>
  <r>
    <s v="INV-649"/>
    <x v="1"/>
    <n v="170"/>
    <m/>
    <s v="Cash"/>
    <m/>
    <m/>
    <m/>
    <m/>
    <m/>
    <m/>
    <m/>
  </r>
  <r>
    <s v="INV-650"/>
    <x v="1"/>
    <n v="1500"/>
    <m/>
    <s v="halidh cook"/>
    <m/>
    <m/>
    <m/>
    <m/>
    <m/>
    <m/>
    <m/>
  </r>
  <r>
    <s v="INV-651"/>
    <x v="1"/>
    <n v="750"/>
    <m/>
    <s v="AR RAHIM HOTEL"/>
    <m/>
    <m/>
    <m/>
    <m/>
    <m/>
    <m/>
    <m/>
  </r>
  <r>
    <m/>
    <x v="2"/>
    <m/>
    <n v="65"/>
    <m/>
    <m/>
    <m/>
    <m/>
    <m/>
    <m/>
    <m/>
    <m/>
  </r>
  <r>
    <m/>
    <x v="8"/>
    <m/>
    <n v="150"/>
    <m/>
    <m/>
    <m/>
    <m/>
    <m/>
    <m/>
    <m/>
    <m/>
  </r>
  <r>
    <m/>
    <x v="8"/>
    <m/>
    <n v="5000"/>
    <m/>
    <m/>
    <m/>
    <m/>
    <m/>
    <m/>
    <m/>
    <s v="Malar"/>
  </r>
  <r>
    <m/>
    <x v="8"/>
    <m/>
    <n v="4850"/>
    <m/>
    <m/>
    <m/>
    <m/>
    <m/>
    <m/>
    <m/>
    <s v="Saranya"/>
  </r>
  <r>
    <m/>
    <x v="8"/>
    <m/>
    <n v="10000"/>
    <m/>
    <m/>
    <m/>
    <m/>
    <m/>
    <m/>
    <m/>
    <s v="Ashiq"/>
  </r>
  <r>
    <m/>
    <x v="15"/>
    <m/>
    <m/>
    <m/>
    <m/>
    <m/>
    <m/>
    <m/>
    <m/>
    <m/>
    <m/>
  </r>
</pivotCacheRecords>
</file>

<file path=xl/pivotCache/pivotCacheRecords16.xml><?xml version="1.0" encoding="utf-8"?>
<pivotCacheRecords xmlns="http://schemas.openxmlformats.org/spreadsheetml/2006/main" xmlns:r="http://schemas.openxmlformats.org/officeDocument/2006/relationships" count="347">
  <r>
    <m/>
    <m/>
    <s v="Opening Balance"/>
    <n v="0"/>
    <m/>
    <x v="0"/>
    <m/>
    <m/>
    <m/>
    <m/>
    <m/>
  </r>
  <r>
    <d v="2025-10-01T00:00:00"/>
    <m/>
    <s v="Ginger Purchase"/>
    <m/>
    <n v="3700"/>
    <x v="0"/>
    <s v="Old Ginger"/>
    <n v="74"/>
    <m/>
    <n v="50"/>
    <s v="Jakakodi Traders"/>
  </r>
  <r>
    <d v="2025-10-01T00:00:00"/>
    <s v="INV-652"/>
    <s v="Sales"/>
    <n v="510"/>
    <m/>
    <x v="1"/>
    <m/>
    <m/>
    <m/>
    <m/>
    <m/>
  </r>
  <r>
    <d v="2025-10-01T00:00:00"/>
    <s v="INV-653"/>
    <s v="Sales"/>
    <n v="240"/>
    <m/>
    <x v="2"/>
    <m/>
    <m/>
    <m/>
    <m/>
    <m/>
  </r>
  <r>
    <d v="2025-10-01T00:00:00"/>
    <s v="INV-654"/>
    <s v="Sales"/>
    <n v="170"/>
    <m/>
    <x v="3"/>
    <m/>
    <m/>
    <m/>
    <m/>
    <m/>
  </r>
  <r>
    <d v="2025-10-01T00:00:00"/>
    <s v="INV-655"/>
    <s v="Sales"/>
    <n v="320"/>
    <m/>
    <x v="4"/>
    <m/>
    <m/>
    <m/>
    <m/>
    <m/>
  </r>
  <r>
    <d v="2025-10-01T00:00:00"/>
    <s v="INV-656"/>
    <s v="Sales"/>
    <n v="340"/>
    <m/>
    <x v="1"/>
    <m/>
    <m/>
    <m/>
    <m/>
    <m/>
  </r>
  <r>
    <d v="2025-10-01T00:00:00"/>
    <s v="INV-657"/>
    <s v="Sales"/>
    <n v="240"/>
    <m/>
    <x v="5"/>
    <m/>
    <m/>
    <m/>
    <m/>
    <m/>
  </r>
  <r>
    <d v="2025-10-01T00:00:00"/>
    <s v="INV-658"/>
    <s v="Sales"/>
    <n v="320"/>
    <m/>
    <x v="6"/>
    <m/>
    <m/>
    <m/>
    <m/>
    <m/>
  </r>
  <r>
    <d v="2025-10-01T00:00:00"/>
    <s v="INV-659"/>
    <s v="Sales"/>
    <n v="750"/>
    <m/>
    <x v="7"/>
    <m/>
    <m/>
    <m/>
    <m/>
    <m/>
  </r>
  <r>
    <d v="2025-10-01T00:00:00"/>
    <s v="INV-660"/>
    <s v="Sales"/>
    <n v="320"/>
    <m/>
    <x v="1"/>
    <m/>
    <m/>
    <m/>
    <m/>
    <m/>
  </r>
  <r>
    <d v="2025-10-01T00:00:00"/>
    <m/>
    <s v="Expences"/>
    <m/>
    <n v="50"/>
    <x v="0"/>
    <m/>
    <m/>
    <m/>
    <m/>
    <m/>
  </r>
  <r>
    <d v="2025-10-01T00:00:00"/>
    <m/>
    <s v="Packaging Material"/>
    <m/>
    <n v="80"/>
    <x v="0"/>
    <m/>
    <m/>
    <m/>
    <m/>
    <m/>
  </r>
  <r>
    <d v="2025-10-01T00:00:00"/>
    <m/>
    <s v="Others"/>
    <m/>
    <n v="5400"/>
    <x v="0"/>
    <m/>
    <m/>
    <m/>
    <m/>
    <m/>
  </r>
  <r>
    <d v="2025-10-02T00:00:00"/>
    <s v="INV-661"/>
    <s v="Sales"/>
    <n v="510"/>
    <m/>
    <x v="1"/>
    <m/>
    <m/>
    <m/>
    <m/>
    <m/>
  </r>
  <r>
    <d v="2025-10-02T00:00:00"/>
    <s v="INV-662"/>
    <s v="Sales"/>
    <n v="480"/>
    <m/>
    <x v="4"/>
    <m/>
    <m/>
    <m/>
    <m/>
    <m/>
  </r>
  <r>
    <d v="2025-10-02T00:00:00"/>
    <s v="INV-663"/>
    <s v="Sales"/>
    <n v="170"/>
    <m/>
    <x v="3"/>
    <m/>
    <m/>
    <m/>
    <m/>
    <m/>
  </r>
  <r>
    <d v="2025-10-02T00:00:00"/>
    <s v="INV-664"/>
    <s v="Sales"/>
    <n v="320"/>
    <m/>
    <x v="8"/>
    <m/>
    <m/>
    <m/>
    <m/>
    <m/>
  </r>
  <r>
    <d v="2025-10-02T00:00:00"/>
    <s v="INV-665"/>
    <s v="Sales"/>
    <n v="3000"/>
    <m/>
    <x v="9"/>
    <m/>
    <m/>
    <m/>
    <m/>
    <m/>
  </r>
  <r>
    <d v="2025-10-02T00:00:00"/>
    <s v="INV-666"/>
    <s v="Sales"/>
    <n v="160"/>
    <m/>
    <x v="6"/>
    <m/>
    <m/>
    <m/>
    <m/>
    <m/>
  </r>
  <r>
    <d v="2025-10-02T00:00:00"/>
    <m/>
    <s v="Expences"/>
    <m/>
    <n v="50"/>
    <x v="0"/>
    <m/>
    <m/>
    <m/>
    <m/>
    <m/>
  </r>
  <r>
    <d v="2025-10-02T00:00:00"/>
    <m/>
    <s v="Delivery charge"/>
    <m/>
    <n v="100"/>
    <x v="0"/>
    <m/>
    <m/>
    <m/>
    <m/>
    <m/>
  </r>
  <r>
    <d v="2025-10-03T00:00:00"/>
    <s v="INV-667"/>
    <s v="Sales"/>
    <n v="320"/>
    <m/>
    <x v="6"/>
    <m/>
    <m/>
    <m/>
    <m/>
    <m/>
  </r>
  <r>
    <d v="2025-10-03T00:00:00"/>
    <s v="INV-668"/>
    <s v="Sales"/>
    <n v="1500"/>
    <m/>
    <x v="10"/>
    <m/>
    <m/>
    <m/>
    <m/>
    <m/>
  </r>
  <r>
    <d v="2025-10-03T00:00:00"/>
    <s v="INV-669"/>
    <s v="Sales"/>
    <n v="170"/>
    <m/>
    <x v="1"/>
    <m/>
    <m/>
    <m/>
    <m/>
    <m/>
  </r>
  <r>
    <d v="2025-10-03T00:00:00"/>
    <s v="INV-670"/>
    <s v="Sales"/>
    <n v="600"/>
    <m/>
    <x v="11"/>
    <m/>
    <m/>
    <m/>
    <m/>
    <m/>
  </r>
  <r>
    <d v="2025-10-03T00:00:00"/>
    <s v="INV-671"/>
    <s v="Sales"/>
    <n v="480"/>
    <m/>
    <x v="4"/>
    <m/>
    <m/>
    <m/>
    <m/>
    <m/>
  </r>
  <r>
    <d v="2025-10-03T00:00:00"/>
    <s v="INV-672"/>
    <s v="Sales"/>
    <n v="750"/>
    <m/>
    <x v="12"/>
    <m/>
    <m/>
    <m/>
    <m/>
    <m/>
  </r>
  <r>
    <d v="2025-10-03T00:00:00"/>
    <s v="INV-673"/>
    <s v="Sales"/>
    <n v="440"/>
    <m/>
    <x v="2"/>
    <m/>
    <m/>
    <m/>
    <m/>
    <m/>
  </r>
  <r>
    <d v="2025-10-03T00:00:00"/>
    <s v="INV-674"/>
    <s v="Sales"/>
    <n v="600"/>
    <m/>
    <x v="13"/>
    <m/>
    <m/>
    <m/>
    <m/>
    <m/>
  </r>
  <r>
    <d v="2025-10-03T00:00:00"/>
    <s v="INV-675"/>
    <s v="Sales"/>
    <n v="240"/>
    <m/>
    <x v="14"/>
    <m/>
    <m/>
    <m/>
    <m/>
    <m/>
  </r>
  <r>
    <d v="2025-10-03T00:00:00"/>
    <s v="INV-676"/>
    <s v="Sales"/>
    <n v="260"/>
    <m/>
    <x v="3"/>
    <m/>
    <m/>
    <m/>
    <m/>
    <m/>
  </r>
  <r>
    <d v="2025-10-03T00:00:00"/>
    <s v="INV-677"/>
    <s v="Sales"/>
    <n v="2250"/>
    <m/>
    <x v="9"/>
    <m/>
    <m/>
    <m/>
    <m/>
    <m/>
  </r>
  <r>
    <d v="2025-10-03T00:00:00"/>
    <s v="INV-678"/>
    <s v="Sales"/>
    <n v="510"/>
    <m/>
    <x v="1"/>
    <m/>
    <m/>
    <m/>
    <m/>
    <m/>
  </r>
  <r>
    <d v="2025-10-03T00:00:00"/>
    <m/>
    <s v="Expences"/>
    <m/>
    <n v="50"/>
    <x v="0"/>
    <m/>
    <m/>
    <m/>
    <m/>
    <m/>
  </r>
  <r>
    <d v="2025-10-04T00:00:00"/>
    <s v="INV-679"/>
    <s v="Sales"/>
    <n v="480"/>
    <m/>
    <x v="15"/>
    <m/>
    <m/>
    <m/>
    <m/>
    <m/>
  </r>
  <r>
    <d v="2025-10-04T00:00:00"/>
    <s v="INV-680"/>
    <s v="Sales"/>
    <n v="770"/>
    <m/>
    <x v="3"/>
    <m/>
    <m/>
    <m/>
    <m/>
    <m/>
  </r>
  <r>
    <d v="2025-10-04T00:00:00"/>
    <s v="INV-681"/>
    <s v="Sales"/>
    <n v="1500"/>
    <m/>
    <x v="10"/>
    <m/>
    <m/>
    <m/>
    <m/>
    <m/>
  </r>
  <r>
    <d v="2025-10-04T00:00:00"/>
    <s v="INV-682"/>
    <s v="Sales"/>
    <n v="4200"/>
    <m/>
    <x v="12"/>
    <m/>
    <m/>
    <m/>
    <m/>
    <m/>
  </r>
  <r>
    <d v="2025-10-04T00:00:00"/>
    <s v="INV-683"/>
    <s v="Sales"/>
    <n v="640"/>
    <m/>
    <x v="2"/>
    <m/>
    <m/>
    <m/>
    <m/>
    <m/>
  </r>
  <r>
    <d v="2025-10-04T00:00:00"/>
    <s v="INV-684"/>
    <s v="Sales"/>
    <n v="160"/>
    <m/>
    <x v="9"/>
    <m/>
    <m/>
    <m/>
    <m/>
    <m/>
  </r>
  <r>
    <d v="2025-10-04T00:00:00"/>
    <s v="INV-685"/>
    <s v="Sales"/>
    <n v="320"/>
    <m/>
    <x v="16"/>
    <m/>
    <m/>
    <m/>
    <m/>
    <m/>
  </r>
  <r>
    <d v="2025-10-04T00:00:00"/>
    <s v="INV-686"/>
    <s v="Sales"/>
    <n v="480"/>
    <m/>
    <x v="4"/>
    <m/>
    <m/>
    <m/>
    <m/>
    <m/>
  </r>
  <r>
    <d v="2025-10-04T00:00:00"/>
    <s v="INV-687"/>
    <s v="Sales"/>
    <n v="300"/>
    <m/>
    <x v="7"/>
    <m/>
    <m/>
    <m/>
    <m/>
    <m/>
  </r>
  <r>
    <d v="2025-10-04T00:00:00"/>
    <s v="INV-688"/>
    <s v="Sales"/>
    <n v="460"/>
    <m/>
    <x v="17"/>
    <m/>
    <m/>
    <m/>
    <m/>
    <m/>
  </r>
  <r>
    <d v="2025-10-04T00:00:00"/>
    <m/>
    <s v="Staff Salary"/>
    <m/>
    <n v="200"/>
    <x v="0"/>
    <m/>
    <m/>
    <m/>
    <m/>
    <m/>
  </r>
  <r>
    <d v="2025-10-04T00:00:00"/>
    <m/>
    <s v="Water Cane"/>
    <m/>
    <n v="160"/>
    <x v="0"/>
    <m/>
    <m/>
    <m/>
    <m/>
    <m/>
  </r>
  <r>
    <d v="2025-10-04T00:00:00"/>
    <m/>
    <s v="Petrol"/>
    <m/>
    <n v="400"/>
    <x v="0"/>
    <m/>
    <m/>
    <m/>
    <m/>
    <m/>
  </r>
  <r>
    <d v="2025-10-04T00:00:00"/>
    <m/>
    <s v="Expences"/>
    <m/>
    <n v="50"/>
    <x v="0"/>
    <m/>
    <m/>
    <m/>
    <m/>
    <m/>
  </r>
  <r>
    <d v="2025-10-05T00:00:00"/>
    <s v="INV-689"/>
    <s v="Sales"/>
    <n v="120"/>
    <m/>
    <x v="1"/>
    <m/>
    <m/>
    <m/>
    <m/>
    <m/>
  </r>
  <r>
    <d v="2025-10-05T00:00:00"/>
    <s v="INV-690"/>
    <s v="Sales"/>
    <n v="320"/>
    <m/>
    <x v="3"/>
    <m/>
    <m/>
    <m/>
    <m/>
    <m/>
  </r>
  <r>
    <d v="2025-10-05T00:00:00"/>
    <s v="INV-691"/>
    <s v="Sales"/>
    <n v="240"/>
    <m/>
    <x v="15"/>
    <m/>
    <m/>
    <m/>
    <m/>
    <m/>
  </r>
  <r>
    <d v="2025-10-05T00:00:00"/>
    <s v="INV-692"/>
    <s v="Sales"/>
    <n v="3450"/>
    <m/>
    <x v="18"/>
    <m/>
    <m/>
    <m/>
    <m/>
    <m/>
  </r>
  <r>
    <d v="2025-10-05T00:00:00"/>
    <s v="INV-693"/>
    <s v="Sales"/>
    <n v="1500"/>
    <m/>
    <x v="10"/>
    <m/>
    <m/>
    <m/>
    <m/>
    <m/>
  </r>
  <r>
    <d v="2025-10-05T00:00:00"/>
    <m/>
    <s v="Rent"/>
    <m/>
    <n v="9000"/>
    <x v="0"/>
    <m/>
    <m/>
    <m/>
    <m/>
    <m/>
  </r>
  <r>
    <d v="2025-10-06T00:00:00"/>
    <s v="INV-694"/>
    <s v="Sales"/>
    <n v="240"/>
    <m/>
    <x v="2"/>
    <m/>
    <m/>
    <m/>
    <m/>
    <m/>
  </r>
  <r>
    <d v="2025-10-06T00:00:00"/>
    <s v="INV-695"/>
    <s v="Sales"/>
    <n v="260"/>
    <m/>
    <x v="3"/>
    <m/>
    <m/>
    <m/>
    <m/>
    <m/>
  </r>
  <r>
    <d v="2025-10-06T00:00:00"/>
    <s v="INV-696"/>
    <s v="Sales"/>
    <n v="320"/>
    <m/>
    <x v="15"/>
    <m/>
    <m/>
    <m/>
    <m/>
    <m/>
  </r>
  <r>
    <d v="2025-10-06T00:00:00"/>
    <s v="INV-697"/>
    <s v="Sales"/>
    <n v="320"/>
    <m/>
    <x v="4"/>
    <m/>
    <m/>
    <m/>
    <m/>
    <m/>
  </r>
  <r>
    <d v="2025-10-06T00:00:00"/>
    <s v="INV-698"/>
    <s v="Sales"/>
    <n v="240"/>
    <m/>
    <x v="5"/>
    <m/>
    <m/>
    <m/>
    <m/>
    <m/>
  </r>
  <r>
    <d v="2025-10-06T00:00:00"/>
    <s v="INV-699"/>
    <s v="Sales"/>
    <n v="90"/>
    <m/>
    <x v="1"/>
    <m/>
    <m/>
    <m/>
    <m/>
    <m/>
  </r>
  <r>
    <d v="2025-10-06T00:00:00"/>
    <s v="INV-700"/>
    <s v="Sales"/>
    <n v="480"/>
    <m/>
    <x v="6"/>
    <m/>
    <m/>
    <m/>
    <m/>
    <m/>
  </r>
  <r>
    <d v="2025-10-06T00:00:00"/>
    <m/>
    <s v="Ginger Purchase"/>
    <m/>
    <n v="5200"/>
    <x v="0"/>
    <s v="Old Ginger"/>
    <n v="104"/>
    <m/>
    <n v="50"/>
    <s v="Jakakodi Traders"/>
  </r>
  <r>
    <d v="2025-10-06T00:00:00"/>
    <m/>
    <s v="Expences"/>
    <m/>
    <n v="56"/>
    <x v="0"/>
    <m/>
    <m/>
    <m/>
    <m/>
    <m/>
  </r>
  <r>
    <d v="2025-10-07T00:00:00"/>
    <m/>
    <s v="Ginger Purchase"/>
    <m/>
    <n v="3300"/>
    <x v="0"/>
    <s v="Old Ginger"/>
    <n v="66"/>
    <m/>
    <n v="50"/>
    <s v="Jakakodi Traders"/>
  </r>
  <r>
    <d v="2025-10-07T00:00:00"/>
    <s v="INV-701"/>
    <s v="Sales"/>
    <n v="3000"/>
    <m/>
    <x v="9"/>
    <m/>
    <m/>
    <m/>
    <m/>
    <m/>
  </r>
  <r>
    <d v="2025-10-07T00:00:00"/>
    <s v="INV-702"/>
    <s v="Sales"/>
    <n v="90"/>
    <m/>
    <x v="1"/>
    <m/>
    <m/>
    <m/>
    <m/>
    <m/>
  </r>
  <r>
    <d v="2025-10-07T00:00:00"/>
    <s v="INV-703"/>
    <s v="Sales"/>
    <n v="270"/>
    <m/>
    <x v="3"/>
    <m/>
    <m/>
    <m/>
    <m/>
    <m/>
  </r>
  <r>
    <d v="2025-10-07T00:00:00"/>
    <s v="INV-704"/>
    <s v="Sales"/>
    <n v="170"/>
    <m/>
    <x v="19"/>
    <m/>
    <m/>
    <m/>
    <m/>
    <m/>
  </r>
  <r>
    <d v="2025-10-07T00:00:00"/>
    <s v="INV-705"/>
    <s v="Sales"/>
    <n v="160"/>
    <m/>
    <x v="2"/>
    <m/>
    <m/>
    <m/>
    <m/>
    <m/>
  </r>
  <r>
    <d v="2025-10-07T00:00:00"/>
    <s v="INV-706"/>
    <s v="Sales"/>
    <n v="320"/>
    <m/>
    <x v="6"/>
    <m/>
    <m/>
    <m/>
    <m/>
    <m/>
  </r>
  <r>
    <d v="2025-10-07T00:00:00"/>
    <m/>
    <s v="Expences"/>
    <m/>
    <n v="50"/>
    <x v="0"/>
    <m/>
    <m/>
    <m/>
    <m/>
    <m/>
  </r>
  <r>
    <d v="2025-10-08T00:00:00"/>
    <s v="INV-707"/>
    <s v="Sales"/>
    <n v="430"/>
    <m/>
    <x v="1"/>
    <m/>
    <m/>
    <m/>
    <m/>
    <m/>
  </r>
  <r>
    <d v="2025-10-08T00:00:00"/>
    <s v="INV-708"/>
    <s v="Sales"/>
    <n v="240"/>
    <m/>
    <x v="20"/>
    <m/>
    <m/>
    <m/>
    <m/>
    <m/>
  </r>
  <r>
    <d v="2025-10-08T00:00:00"/>
    <s v="INV-709"/>
    <s v="Sales"/>
    <n v="90"/>
    <m/>
    <x v="3"/>
    <m/>
    <m/>
    <m/>
    <m/>
    <m/>
  </r>
  <r>
    <d v="2025-10-08T00:00:00"/>
    <s v="INV-710"/>
    <s v="Sales"/>
    <n v="80"/>
    <m/>
    <x v="2"/>
    <m/>
    <m/>
    <m/>
    <m/>
    <m/>
  </r>
  <r>
    <d v="2025-10-08T00:00:00"/>
    <s v="INV-711"/>
    <s v="Sales"/>
    <n v="320"/>
    <m/>
    <x v="8"/>
    <m/>
    <m/>
    <m/>
    <m/>
    <m/>
  </r>
  <r>
    <d v="2025-10-08T00:00:00"/>
    <s v="INV-712"/>
    <s v="Sales"/>
    <n v="320"/>
    <m/>
    <x v="4"/>
    <m/>
    <m/>
    <m/>
    <m/>
    <m/>
  </r>
  <r>
    <d v="2025-10-08T00:00:00"/>
    <s v="INV-713"/>
    <s v="Sales"/>
    <n v="480"/>
    <m/>
    <x v="21"/>
    <m/>
    <m/>
    <m/>
    <m/>
    <m/>
  </r>
  <r>
    <d v="2025-10-08T00:00:00"/>
    <s v="INV-714"/>
    <s v="Sales"/>
    <n v="1500"/>
    <m/>
    <x v="10"/>
    <m/>
    <m/>
    <m/>
    <m/>
    <m/>
  </r>
  <r>
    <d v="2025-10-08T00:00:00"/>
    <m/>
    <s v="Petrol"/>
    <m/>
    <n v="380"/>
    <x v="0"/>
    <m/>
    <m/>
    <m/>
    <m/>
    <m/>
  </r>
  <r>
    <d v="2025-10-08T00:00:00"/>
    <m/>
    <s v="Expences"/>
    <m/>
    <n v="50"/>
    <x v="0"/>
    <m/>
    <m/>
    <m/>
    <m/>
    <m/>
  </r>
  <r>
    <d v="2025-10-09T00:00:00"/>
    <s v="INV-715"/>
    <s v="Sales"/>
    <n v="160"/>
    <m/>
    <x v="2"/>
    <m/>
    <m/>
    <m/>
    <m/>
    <m/>
  </r>
  <r>
    <d v="2025-10-09T00:00:00"/>
    <s v="INV-716"/>
    <s v="Sales"/>
    <n v="480"/>
    <m/>
    <x v="4"/>
    <m/>
    <m/>
    <m/>
    <m/>
    <m/>
  </r>
  <r>
    <d v="2025-10-09T00:00:00"/>
    <s v="INV-717"/>
    <s v="Sales"/>
    <n v="170"/>
    <s v=" "/>
    <x v="3"/>
    <m/>
    <m/>
    <m/>
    <m/>
    <m/>
  </r>
  <r>
    <d v="2025-10-09T00:00:00"/>
    <s v="INV-718"/>
    <s v="Sales"/>
    <n v="160"/>
    <m/>
    <x v="16"/>
    <m/>
    <m/>
    <m/>
    <m/>
    <m/>
  </r>
  <r>
    <d v="2025-10-09T00:00:00"/>
    <s v="INV-719"/>
    <s v="Sales"/>
    <n v="3000"/>
    <m/>
    <x v="11"/>
    <m/>
    <m/>
    <m/>
    <m/>
    <m/>
  </r>
  <r>
    <d v="2025-10-09T00:00:00"/>
    <s v="INV-720"/>
    <s v="Sales"/>
    <n v="750"/>
    <m/>
    <x v="22"/>
    <m/>
    <m/>
    <m/>
    <m/>
    <m/>
  </r>
  <r>
    <d v="2025-10-09T00:00:00"/>
    <s v="INV-721"/>
    <s v="Sales"/>
    <n v="450"/>
    <m/>
    <x v="12"/>
    <m/>
    <m/>
    <m/>
    <m/>
    <m/>
  </r>
  <r>
    <d v="2025-10-09T00:00:00"/>
    <s v="INV-722"/>
    <s v="Sales"/>
    <n v="300"/>
    <m/>
    <x v="23"/>
    <m/>
    <m/>
    <m/>
    <m/>
    <m/>
  </r>
  <r>
    <d v="2025-10-09T00:00:00"/>
    <s v="INV-723"/>
    <s v="Sales"/>
    <n v="3000"/>
    <m/>
    <x v="9"/>
    <m/>
    <m/>
    <m/>
    <m/>
    <m/>
  </r>
  <r>
    <d v="2025-10-09T00:00:00"/>
    <m/>
    <s v="Others"/>
    <m/>
    <n v="500"/>
    <x v="0"/>
    <m/>
    <m/>
    <m/>
    <m/>
    <m/>
  </r>
  <r>
    <d v="2025-10-09T00:00:00"/>
    <m/>
    <s v="Essential Items"/>
    <m/>
    <n v="620"/>
    <x v="0"/>
    <m/>
    <m/>
    <m/>
    <m/>
    <m/>
  </r>
  <r>
    <d v="2025-10-09T00:00:00"/>
    <m/>
    <s v="Expences"/>
    <m/>
    <n v="50"/>
    <x v="0"/>
    <m/>
    <m/>
    <m/>
    <m/>
    <m/>
  </r>
  <r>
    <d v="2025-10-10T00:00:00"/>
    <m/>
    <s v="Garlic Purchase"/>
    <m/>
    <n v="17431"/>
    <x v="0"/>
    <s v="Naatu Poondu"/>
    <n v="60"/>
    <n v="1051"/>
    <n v="273"/>
    <s v="SVG Garlics"/>
  </r>
  <r>
    <d v="2025-10-10T00:00:00"/>
    <s v="INV-724"/>
    <s v="Sales"/>
    <n v="1500"/>
    <m/>
    <x v="9"/>
    <m/>
    <m/>
    <m/>
    <m/>
    <m/>
  </r>
  <r>
    <d v="2025-10-10T00:00:00"/>
    <s v="INV-725"/>
    <s v="Sales"/>
    <n v="320"/>
    <m/>
    <x v="24"/>
    <m/>
    <m/>
    <m/>
    <m/>
    <m/>
  </r>
  <r>
    <d v="2025-10-10T00:00:00"/>
    <s v="INV-726"/>
    <s v="Sales"/>
    <n v="160"/>
    <m/>
    <x v="2"/>
    <m/>
    <m/>
    <m/>
    <m/>
    <m/>
  </r>
  <r>
    <d v="2025-10-10T00:00:00"/>
    <s v="INV-727"/>
    <s v="Sales"/>
    <n v="480"/>
    <m/>
    <x v="4"/>
    <m/>
    <m/>
    <m/>
    <m/>
    <m/>
  </r>
  <r>
    <d v="2025-10-10T00:00:00"/>
    <s v="INV-728"/>
    <s v="Sales"/>
    <n v="1500"/>
    <m/>
    <x v="10"/>
    <m/>
    <m/>
    <m/>
    <m/>
    <m/>
  </r>
  <r>
    <d v="2025-10-10T00:00:00"/>
    <s v="INV-729"/>
    <s v="Sales"/>
    <n v="160"/>
    <m/>
    <x v="15"/>
    <m/>
    <m/>
    <m/>
    <m/>
    <m/>
  </r>
  <r>
    <d v="2025-10-10T00:00:00"/>
    <s v="INV-730"/>
    <s v="Sales"/>
    <n v="750"/>
    <m/>
    <x v="9"/>
    <m/>
    <m/>
    <m/>
    <m/>
    <m/>
  </r>
  <r>
    <d v="2025-10-10T00:00:00"/>
    <m/>
    <s v="Expences"/>
    <m/>
    <n v="50"/>
    <x v="0"/>
    <m/>
    <m/>
    <m/>
    <m/>
    <m/>
  </r>
  <r>
    <d v="2025-10-11T00:00:00"/>
    <m/>
    <s v="Ginger Purchase"/>
    <m/>
    <n v="1600"/>
    <x v="0"/>
    <s v="Old Ginger"/>
    <n v="64"/>
    <m/>
    <n v="25"/>
    <s v="Jakakodi Traders"/>
  </r>
  <r>
    <d v="2025-10-11T00:00:00"/>
    <s v="INV-731"/>
    <s v="Sales"/>
    <n v="480"/>
    <m/>
    <x v="6"/>
    <m/>
    <m/>
    <m/>
    <m/>
    <m/>
  </r>
  <r>
    <d v="2025-10-11T00:00:00"/>
    <s v="INV-732"/>
    <s v="Sales"/>
    <n v="560"/>
    <m/>
    <x v="2"/>
    <m/>
    <m/>
    <m/>
    <m/>
    <m/>
  </r>
  <r>
    <d v="2025-10-11T00:00:00"/>
    <s v="INV-733"/>
    <s v="Sales"/>
    <n v="480"/>
    <m/>
    <x v="4"/>
    <m/>
    <m/>
    <m/>
    <m/>
    <m/>
  </r>
  <r>
    <d v="2025-10-11T00:00:00"/>
    <s v="INV-734"/>
    <s v="Sales"/>
    <n v="3000"/>
    <m/>
    <x v="12"/>
    <m/>
    <m/>
    <m/>
    <m/>
    <m/>
  </r>
  <r>
    <d v="2025-10-11T00:00:00"/>
    <m/>
    <s v="Packaging Material"/>
    <m/>
    <n v="800"/>
    <x v="0"/>
    <m/>
    <m/>
    <m/>
    <m/>
    <m/>
  </r>
  <r>
    <d v="2025-10-11T00:00:00"/>
    <m/>
    <s v="Expences"/>
    <m/>
    <n v="50"/>
    <x v="0"/>
    <m/>
    <m/>
    <m/>
    <m/>
    <m/>
  </r>
  <r>
    <d v="2025-10-11T00:00:00"/>
    <m/>
    <s v="Delivery charge"/>
    <m/>
    <n v="250"/>
    <x v="0"/>
    <m/>
    <m/>
    <m/>
    <m/>
    <m/>
  </r>
  <r>
    <d v="2025-10-11T00:00:00"/>
    <m/>
    <s v="Packaging Material"/>
    <m/>
    <n v="430"/>
    <x v="0"/>
    <m/>
    <m/>
    <m/>
    <m/>
    <m/>
  </r>
  <r>
    <d v="2025-10-11T00:00:00"/>
    <s v="INV-735"/>
    <s v="Sales"/>
    <n v="500"/>
    <m/>
    <x v="1"/>
    <m/>
    <m/>
    <m/>
    <m/>
    <m/>
  </r>
  <r>
    <d v="2025-10-11T00:00:00"/>
    <s v="INV-736"/>
    <s v="Sales"/>
    <n v="340"/>
    <m/>
    <x v="25"/>
    <m/>
    <m/>
    <m/>
    <m/>
    <m/>
  </r>
  <r>
    <d v="2025-10-12T00:00:00"/>
    <s v="INV-737"/>
    <s v="Sales"/>
    <n v="350"/>
    <m/>
    <x v="1"/>
    <m/>
    <m/>
    <m/>
    <m/>
    <m/>
  </r>
  <r>
    <d v="2025-10-12T00:00:00"/>
    <s v="INV-738"/>
    <s v="Sales"/>
    <n v="320"/>
    <m/>
    <x v="8"/>
    <m/>
    <m/>
    <m/>
    <m/>
    <m/>
  </r>
  <r>
    <d v="2025-10-12T00:00:00"/>
    <s v="INV-739"/>
    <s v="Sales"/>
    <n v="160"/>
    <m/>
    <x v="15"/>
    <m/>
    <m/>
    <m/>
    <m/>
    <m/>
  </r>
  <r>
    <d v="2025-10-13T00:00:00"/>
    <s v="INV-740"/>
    <s v="Sales"/>
    <n v="750"/>
    <m/>
    <x v="9"/>
    <m/>
    <m/>
    <m/>
    <m/>
    <m/>
  </r>
  <r>
    <d v="2025-10-13T00:00:00"/>
    <s v="INV-741"/>
    <s v="Sales"/>
    <n v="100"/>
    <m/>
    <x v="26"/>
    <m/>
    <m/>
    <m/>
    <m/>
    <m/>
  </r>
  <r>
    <d v="2025-10-13T00:00:00"/>
    <s v="INV-742"/>
    <s v="Sales"/>
    <n v="160"/>
    <m/>
    <x v="27"/>
    <m/>
    <m/>
    <m/>
    <m/>
    <m/>
  </r>
  <r>
    <d v="2025-10-13T00:00:00"/>
    <s v="INV-743"/>
    <s v="Sales"/>
    <n v="160"/>
    <m/>
    <x v="2"/>
    <m/>
    <m/>
    <m/>
    <m/>
    <m/>
  </r>
  <r>
    <d v="2025-10-13T00:00:00"/>
    <s v="INV-744"/>
    <s v="Sales"/>
    <n v="320"/>
    <m/>
    <x v="4"/>
    <m/>
    <m/>
    <m/>
    <m/>
    <m/>
  </r>
  <r>
    <d v="2025-10-13T00:00:00"/>
    <s v="INV-745"/>
    <s v="Sales"/>
    <n v="240"/>
    <m/>
    <x v="5"/>
    <m/>
    <m/>
    <m/>
    <m/>
    <m/>
  </r>
  <r>
    <d v="2025-10-13T00:00:00"/>
    <s v="INV-746"/>
    <s v="Sales"/>
    <n v="320"/>
    <m/>
    <x v="14"/>
    <m/>
    <m/>
    <m/>
    <m/>
    <m/>
  </r>
  <r>
    <d v="2025-10-13T00:00:00"/>
    <s v="INV-747"/>
    <s v="Sales"/>
    <n v="1500"/>
    <m/>
    <x v="10"/>
    <m/>
    <m/>
    <m/>
    <m/>
    <m/>
  </r>
  <r>
    <d v="2025-10-13T00:00:00"/>
    <s v="INV-748"/>
    <s v="Sales"/>
    <n v="60"/>
    <m/>
    <x v="3"/>
    <m/>
    <m/>
    <m/>
    <m/>
    <m/>
  </r>
  <r>
    <d v="2025-10-13T00:00:00"/>
    <s v="INV-749"/>
    <s v="Sales"/>
    <n v="160"/>
    <m/>
    <x v="17"/>
    <m/>
    <m/>
    <m/>
    <m/>
    <m/>
  </r>
  <r>
    <d v="2025-10-13T00:00:00"/>
    <m/>
    <s v="Expences"/>
    <m/>
    <n v="50"/>
    <x v="0"/>
    <m/>
    <m/>
    <m/>
    <m/>
    <m/>
  </r>
  <r>
    <d v="2025-10-14T00:00:00"/>
    <m/>
    <s v="Ginger Purchase"/>
    <m/>
    <n v="2500"/>
    <x v="0"/>
    <s v="Old Ginger"/>
    <n v="62.5"/>
    <m/>
    <n v="40"/>
    <s v="Jakakodi Traders"/>
  </r>
  <r>
    <d v="2025-10-14T00:00:00"/>
    <s v="INV-750"/>
    <s v="Sales"/>
    <n v="1500"/>
    <m/>
    <x v="9"/>
    <m/>
    <m/>
    <m/>
    <m/>
    <m/>
  </r>
  <r>
    <d v="2025-10-14T00:00:00"/>
    <s v="INV-751"/>
    <s v="Sales"/>
    <n v="160"/>
    <m/>
    <x v="6"/>
    <m/>
    <m/>
    <m/>
    <m/>
    <m/>
  </r>
  <r>
    <d v="2025-10-14T00:00:00"/>
    <s v="INV-752"/>
    <s v="Sales"/>
    <n v="240"/>
    <m/>
    <x v="2"/>
    <m/>
    <m/>
    <m/>
    <m/>
    <m/>
  </r>
  <r>
    <d v="2025-10-14T00:00:00"/>
    <s v="INV-753"/>
    <s v="Sales"/>
    <n v="320"/>
    <m/>
    <x v="4"/>
    <m/>
    <m/>
    <m/>
    <m/>
    <m/>
  </r>
  <r>
    <d v="2025-10-14T00:00:00"/>
    <s v="INV-754"/>
    <s v="Sales"/>
    <n v="510"/>
    <m/>
    <x v="1"/>
    <m/>
    <m/>
    <m/>
    <m/>
    <m/>
  </r>
  <r>
    <d v="2025-10-14T00:00:00"/>
    <m/>
    <s v="Expences"/>
    <m/>
    <n v="50"/>
    <x v="0"/>
    <m/>
    <m/>
    <m/>
    <m/>
    <m/>
  </r>
  <r>
    <d v="2025-10-14T00:00:00"/>
    <m/>
    <s v="Water Cane"/>
    <m/>
    <n v="160"/>
    <x v="0"/>
    <m/>
    <m/>
    <m/>
    <m/>
    <m/>
  </r>
  <r>
    <d v="2025-10-15T00:00:00"/>
    <s v="INV-755"/>
    <s v="Sales"/>
    <n v="750"/>
    <m/>
    <x v="22"/>
    <m/>
    <m/>
    <m/>
    <m/>
    <m/>
  </r>
  <r>
    <d v="2025-10-15T00:00:00"/>
    <s v="INV-756"/>
    <s v="Sales"/>
    <n v="300"/>
    <m/>
    <x v="28"/>
    <m/>
    <m/>
    <m/>
    <m/>
    <m/>
  </r>
  <r>
    <d v="2025-10-15T00:00:00"/>
    <s v="INV-757"/>
    <s v="Sales"/>
    <n v="320"/>
    <m/>
    <x v="12"/>
    <m/>
    <m/>
    <m/>
    <m/>
    <m/>
  </r>
  <r>
    <d v="2025-10-15T00:00:00"/>
    <s v="INV-758"/>
    <s v="Sales"/>
    <n v="160"/>
    <m/>
    <x v="18"/>
    <m/>
    <m/>
    <m/>
    <m/>
    <m/>
  </r>
  <r>
    <d v="2025-10-15T00:00:00"/>
    <s v="INV-759"/>
    <s v="Sales"/>
    <n v="600"/>
    <m/>
    <x v="1"/>
    <m/>
    <m/>
    <m/>
    <m/>
    <m/>
  </r>
  <r>
    <d v="2025-10-15T00:00:00"/>
    <s v="INV-760"/>
    <s v="Sales"/>
    <n v="240"/>
    <m/>
    <x v="2"/>
    <m/>
    <m/>
    <m/>
    <m/>
    <m/>
  </r>
  <r>
    <d v="2025-10-15T00:00:00"/>
    <s v="INV-761"/>
    <s v="Sales"/>
    <n v="320"/>
    <m/>
    <x v="4"/>
    <m/>
    <m/>
    <m/>
    <m/>
    <m/>
  </r>
  <r>
    <d v="2025-10-15T00:00:00"/>
    <s v="INV-762"/>
    <s v="Sales"/>
    <n v="90"/>
    <m/>
    <x v="3"/>
    <m/>
    <m/>
    <m/>
    <m/>
    <m/>
  </r>
  <r>
    <d v="2025-10-15T00:00:00"/>
    <s v="INV-763"/>
    <s v="Sales"/>
    <n v="640"/>
    <m/>
    <x v="6"/>
    <m/>
    <m/>
    <m/>
    <m/>
    <m/>
  </r>
  <r>
    <d v="2025-10-15T00:00:00"/>
    <s v="INV-764"/>
    <s v="Sales"/>
    <n v="1800"/>
    <m/>
    <x v="12"/>
    <m/>
    <m/>
    <m/>
    <m/>
    <m/>
  </r>
  <r>
    <d v="2025-10-15T00:00:00"/>
    <m/>
    <s v="Petrol"/>
    <m/>
    <n v="400"/>
    <x v="0"/>
    <m/>
    <m/>
    <m/>
    <m/>
    <m/>
  </r>
  <r>
    <d v="2025-10-15T00:00:00"/>
    <m/>
    <s v="Essential Items"/>
    <m/>
    <n v="80"/>
    <x v="0"/>
    <m/>
    <m/>
    <m/>
    <m/>
    <m/>
  </r>
  <r>
    <d v="2025-10-15T00:00:00"/>
    <m/>
    <s v="Expences"/>
    <m/>
    <n v="50"/>
    <x v="0"/>
    <m/>
    <m/>
    <m/>
    <m/>
    <m/>
  </r>
  <r>
    <d v="2025-10-16T00:00:00"/>
    <s v="INV-765"/>
    <s v="Sales"/>
    <n v="420"/>
    <m/>
    <x v="1"/>
    <m/>
    <m/>
    <m/>
    <m/>
    <m/>
  </r>
  <r>
    <d v="2025-10-16T00:00:00"/>
    <s v="INV-766"/>
    <s v="Sales"/>
    <n v="320"/>
    <m/>
    <x v="29"/>
    <m/>
    <m/>
    <m/>
    <m/>
    <m/>
  </r>
  <r>
    <d v="2025-10-16T00:00:00"/>
    <s v="INV-767"/>
    <s v="Sales"/>
    <n v="480"/>
    <m/>
    <x v="4"/>
    <m/>
    <m/>
    <m/>
    <m/>
    <m/>
  </r>
  <r>
    <d v="2025-10-16T00:00:00"/>
    <s v="INV-768"/>
    <s v="Sales"/>
    <n v="2250"/>
    <m/>
    <x v="9"/>
    <m/>
    <m/>
    <m/>
    <m/>
    <m/>
  </r>
  <r>
    <d v="2025-10-16T00:00:00"/>
    <s v="INV-769"/>
    <s v="Sales"/>
    <n v="750"/>
    <s v=" "/>
    <x v="30"/>
    <m/>
    <m/>
    <m/>
    <m/>
    <m/>
  </r>
  <r>
    <d v="2025-10-16T00:00:00"/>
    <m/>
    <s v="Expences"/>
    <m/>
    <n v="65"/>
    <x v="0"/>
    <m/>
    <m/>
    <m/>
    <m/>
    <m/>
  </r>
  <r>
    <d v="2025-10-17T00:00:00"/>
    <s v="INV-770"/>
    <s v="Sales"/>
    <n v="305"/>
    <m/>
    <x v="7"/>
    <m/>
    <m/>
    <m/>
    <m/>
    <m/>
  </r>
  <r>
    <d v="2025-10-17T00:00:00"/>
    <s v="INV-771"/>
    <s v="Sales"/>
    <n v="640"/>
    <m/>
    <x v="31"/>
    <m/>
    <m/>
    <m/>
    <m/>
    <m/>
  </r>
  <r>
    <d v="2025-10-17T00:00:00"/>
    <s v="INV-772"/>
    <s v="Sales"/>
    <n v="320"/>
    <m/>
    <x v="19"/>
    <m/>
    <m/>
    <m/>
    <m/>
    <m/>
  </r>
  <r>
    <d v="2025-10-17T00:00:00"/>
    <s v="INV-773"/>
    <s v="Sales"/>
    <n v="300"/>
    <m/>
    <x v="32"/>
    <m/>
    <m/>
    <m/>
    <m/>
    <m/>
  </r>
  <r>
    <d v="2025-10-17T00:00:00"/>
    <s v="INV-774"/>
    <s v="Sales"/>
    <n v="640"/>
    <m/>
    <x v="2"/>
    <m/>
    <m/>
    <m/>
    <m/>
    <m/>
  </r>
  <r>
    <d v="2025-10-17T00:00:00"/>
    <s v="INV-775"/>
    <s v="Sales"/>
    <n v="160"/>
    <m/>
    <x v="29"/>
    <m/>
    <m/>
    <m/>
    <m/>
    <m/>
  </r>
  <r>
    <d v="2025-10-17T00:00:00"/>
    <s v="INV-776"/>
    <s v="Sales"/>
    <n v="400"/>
    <m/>
    <x v="26"/>
    <m/>
    <m/>
    <m/>
    <m/>
    <m/>
  </r>
  <r>
    <d v="2025-10-17T00:00:00"/>
    <s v="INV-777"/>
    <s v="Sales"/>
    <n v="1500"/>
    <m/>
    <x v="10"/>
    <m/>
    <m/>
    <m/>
    <m/>
    <m/>
  </r>
  <r>
    <d v="2025-10-17T00:00:00"/>
    <s v="INV-778"/>
    <s v="Sales"/>
    <n v="3750"/>
    <m/>
    <x v="9"/>
    <m/>
    <m/>
    <m/>
    <m/>
    <m/>
  </r>
  <r>
    <d v="2025-10-17T00:00:00"/>
    <s v="INV-779"/>
    <s v="Sales"/>
    <n v="320"/>
    <m/>
    <x v="30"/>
    <m/>
    <m/>
    <m/>
    <m/>
    <m/>
  </r>
  <r>
    <d v="2025-10-17T00:00:00"/>
    <m/>
    <s v="Staff Salary"/>
    <m/>
    <n v="2000"/>
    <x v="0"/>
    <m/>
    <m/>
    <m/>
    <m/>
    <m/>
  </r>
  <r>
    <d v="2025-10-17T00:00:00"/>
    <m/>
    <s v="Bills"/>
    <m/>
    <n v="550"/>
    <x v="0"/>
    <m/>
    <m/>
    <m/>
    <m/>
    <m/>
  </r>
  <r>
    <d v="2025-10-17T00:00:00"/>
    <m/>
    <s v="Expences"/>
    <m/>
    <n v="50"/>
    <x v="0"/>
    <m/>
    <m/>
    <m/>
    <m/>
    <m/>
  </r>
  <r>
    <d v="2025-10-18T00:00:00"/>
    <m/>
    <s v="Ginger Purchase"/>
    <m/>
    <n v="3350"/>
    <x v="0"/>
    <s v="Old Ginger"/>
    <n v="67"/>
    <m/>
    <n v="50"/>
    <s v="Jakakodi Traders"/>
  </r>
  <r>
    <d v="2025-10-18T00:00:00"/>
    <s v="INV-780"/>
    <s v="Sales"/>
    <n v="900"/>
    <m/>
    <x v="12"/>
    <m/>
    <m/>
    <m/>
    <m/>
    <m/>
  </r>
  <r>
    <d v="2025-10-18T00:00:00"/>
    <s v="INV-781"/>
    <s v="Sales"/>
    <n v="640"/>
    <m/>
    <x v="9"/>
    <m/>
    <m/>
    <m/>
    <m/>
    <m/>
  </r>
  <r>
    <d v="2025-10-18T00:00:00"/>
    <s v="INV-782"/>
    <s v="Sales"/>
    <n v="320"/>
    <m/>
    <x v="29"/>
    <m/>
    <m/>
    <m/>
    <m/>
    <m/>
  </r>
  <r>
    <d v="2025-10-18T00:00:00"/>
    <s v="INV-783"/>
    <s v="Sales"/>
    <n v="90"/>
    <m/>
    <x v="3"/>
    <m/>
    <m/>
    <m/>
    <m/>
    <m/>
  </r>
  <r>
    <d v="2025-10-18T00:00:00"/>
    <s v="INV-784"/>
    <s v="Sales"/>
    <n v="320"/>
    <m/>
    <x v="1"/>
    <m/>
    <m/>
    <m/>
    <m/>
    <m/>
  </r>
  <r>
    <d v="2025-10-18T00:00:00"/>
    <s v="INV-785"/>
    <s v="Sales"/>
    <n v="320"/>
    <m/>
    <x v="4"/>
    <m/>
    <m/>
    <m/>
    <m/>
    <m/>
  </r>
  <r>
    <d v="2025-10-18T00:00:00"/>
    <s v="INV-786"/>
    <s v="Sales"/>
    <n v="320"/>
    <m/>
    <x v="8"/>
    <m/>
    <m/>
    <m/>
    <m/>
    <m/>
  </r>
  <r>
    <d v="2025-10-18T00:00:00"/>
    <s v="INV-787"/>
    <s v="Sales"/>
    <n v="160"/>
    <m/>
    <x v="17"/>
    <m/>
    <m/>
    <m/>
    <m/>
    <m/>
  </r>
  <r>
    <d v="2025-10-18T00:00:00"/>
    <s v="INV-788"/>
    <s v="Sales"/>
    <n v="900"/>
    <m/>
    <x v="11"/>
    <m/>
    <m/>
    <m/>
    <m/>
    <m/>
  </r>
  <r>
    <d v="2025-10-18T00:00:00"/>
    <s v="INV-789"/>
    <s v="Sales"/>
    <n v="320"/>
    <m/>
    <x v="30"/>
    <m/>
    <m/>
    <m/>
    <m/>
    <m/>
  </r>
  <r>
    <d v="2025-10-18T00:00:00"/>
    <s v="INV-790"/>
    <s v="Sales"/>
    <n v="160"/>
    <m/>
    <x v="14"/>
    <m/>
    <m/>
    <m/>
    <m/>
    <m/>
  </r>
  <r>
    <d v="2025-10-18T00:00:00"/>
    <s v="INV-791"/>
    <s v="Sales"/>
    <n v="2700"/>
    <m/>
    <x v="10"/>
    <m/>
    <m/>
    <m/>
    <m/>
    <m/>
  </r>
  <r>
    <d v="2025-10-18T00:00:00"/>
    <m/>
    <s v="Essential Items"/>
    <m/>
    <n v="207"/>
    <x v="0"/>
    <m/>
    <m/>
    <m/>
    <m/>
    <m/>
  </r>
  <r>
    <d v="2025-10-18T00:00:00"/>
    <m/>
    <s v="Expences"/>
    <m/>
    <n v="50"/>
    <x v="0"/>
    <m/>
    <m/>
    <m/>
    <m/>
    <m/>
  </r>
  <r>
    <d v="2025-10-19T00:00:00"/>
    <s v="INV-792"/>
    <s v="Sales"/>
    <n v="1500"/>
    <m/>
    <x v="22"/>
    <m/>
    <m/>
    <m/>
    <m/>
    <m/>
  </r>
  <r>
    <d v="2025-10-19T00:00:00"/>
    <s v="INV-793"/>
    <s v="Sales"/>
    <n v="640"/>
    <m/>
    <x v="4"/>
    <m/>
    <m/>
    <m/>
    <m/>
    <m/>
  </r>
  <r>
    <d v="2025-10-19T00:00:00"/>
    <s v="INV-794"/>
    <s v="Sales"/>
    <n v="480"/>
    <m/>
    <x v="29"/>
    <m/>
    <m/>
    <m/>
    <m/>
    <m/>
  </r>
  <r>
    <d v="2025-10-19T00:00:00"/>
    <s v="INV-795"/>
    <s v="Sales"/>
    <n v="320"/>
    <m/>
    <x v="2"/>
    <m/>
    <m/>
    <m/>
    <m/>
    <m/>
  </r>
  <r>
    <d v="2025-10-19T00:00:00"/>
    <s v="INV-796"/>
    <s v="Sales"/>
    <n v="200"/>
    <m/>
    <x v="3"/>
    <m/>
    <m/>
    <m/>
    <m/>
    <m/>
  </r>
  <r>
    <d v="2025-10-19T00:00:00"/>
    <m/>
    <s v="Expences"/>
    <m/>
    <n v="50"/>
    <x v="0"/>
    <m/>
    <m/>
    <m/>
    <m/>
    <m/>
  </r>
  <r>
    <d v="2025-10-20T00:00:00"/>
    <s v="INV-797"/>
    <s v="Sales"/>
    <n v="1500"/>
    <m/>
    <x v="10"/>
    <m/>
    <m/>
    <m/>
    <m/>
    <m/>
  </r>
  <r>
    <d v="2025-10-20T00:00:00"/>
    <s v="INV-798"/>
    <s v="Sales"/>
    <n v="2250"/>
    <m/>
    <x v="9"/>
    <m/>
    <m/>
    <m/>
    <m/>
    <m/>
  </r>
  <r>
    <d v="2025-10-20T00:00:00"/>
    <s v="INV-799"/>
    <s v="Sales"/>
    <n v="800"/>
    <m/>
    <x v="2"/>
    <m/>
    <m/>
    <m/>
    <m/>
    <m/>
  </r>
  <r>
    <d v="2025-10-20T00:00:00"/>
    <s v="INV-800"/>
    <s v="Sales"/>
    <n v="400"/>
    <m/>
    <x v="6"/>
    <m/>
    <m/>
    <m/>
    <m/>
    <m/>
  </r>
  <r>
    <d v="2025-10-20T00:00:00"/>
    <s v="INV-801"/>
    <s v="Sales"/>
    <n v="750"/>
    <m/>
    <x v="3"/>
    <m/>
    <m/>
    <m/>
    <m/>
    <m/>
  </r>
  <r>
    <d v="2025-10-20T00:00:00"/>
    <s v="INV-802"/>
    <s v="Sales"/>
    <n v="320"/>
    <m/>
    <x v="8"/>
    <m/>
    <m/>
    <m/>
    <m/>
    <m/>
  </r>
  <r>
    <d v="2025-10-20T00:00:00"/>
    <s v="INV-803"/>
    <s v="Sales"/>
    <n v="1370"/>
    <m/>
    <x v="1"/>
    <m/>
    <m/>
    <m/>
    <m/>
    <m/>
  </r>
  <r>
    <d v="2025-10-20T00:00:00"/>
    <s v="INV-804"/>
    <s v="Sales"/>
    <n v="240"/>
    <m/>
    <x v="5"/>
    <m/>
    <m/>
    <m/>
    <m/>
    <m/>
  </r>
  <r>
    <d v="2025-10-20T00:00:00"/>
    <s v="INV-805"/>
    <s v="Sales"/>
    <n v="160"/>
    <m/>
    <x v="32"/>
    <m/>
    <m/>
    <m/>
    <m/>
    <m/>
  </r>
  <r>
    <d v="2025-10-20T00:00:00"/>
    <s v="INV-806"/>
    <s v="Sales"/>
    <n v="160"/>
    <m/>
    <x v="29"/>
    <m/>
    <m/>
    <m/>
    <m/>
    <m/>
  </r>
  <r>
    <d v="2025-10-20T00:00:00"/>
    <s v="INV-807"/>
    <s v="Sales"/>
    <n v="80"/>
    <m/>
    <x v="15"/>
    <m/>
    <m/>
    <m/>
    <m/>
    <m/>
  </r>
  <r>
    <d v="2025-10-20T00:00:00"/>
    <s v="INV-808"/>
    <s v="Sales"/>
    <n v="80"/>
    <m/>
    <x v="27"/>
    <m/>
    <m/>
    <m/>
    <m/>
    <m/>
  </r>
  <r>
    <d v="2025-10-20T00:00:00"/>
    <m/>
    <s v="Essential Items"/>
    <m/>
    <n v="100"/>
    <x v="0"/>
    <m/>
    <m/>
    <m/>
    <m/>
    <m/>
  </r>
  <r>
    <d v="2025-10-21T00:00:00"/>
    <s v="INV-809"/>
    <s v="Sales"/>
    <n v="160"/>
    <m/>
    <x v="32"/>
    <m/>
    <m/>
    <m/>
    <m/>
    <m/>
  </r>
  <r>
    <d v="2025-10-21T00:00:00"/>
    <s v="INV-810"/>
    <s v="Sales"/>
    <n v="320"/>
    <m/>
    <x v="29"/>
    <m/>
    <m/>
    <m/>
    <m/>
    <m/>
  </r>
  <r>
    <d v="2025-10-21T00:00:00"/>
    <s v="INV-811"/>
    <s v="Sales"/>
    <n v="480"/>
    <m/>
    <x v="1"/>
    <m/>
    <m/>
    <m/>
    <m/>
    <m/>
  </r>
  <r>
    <d v="2025-10-21T00:00:00"/>
    <s v="INV-812"/>
    <s v="Sales"/>
    <n v="450"/>
    <m/>
    <x v="12"/>
    <m/>
    <m/>
    <m/>
    <m/>
    <m/>
  </r>
  <r>
    <d v="2025-10-21T00:00:00"/>
    <s v="INV-813"/>
    <s v="Sales"/>
    <n v="160"/>
    <m/>
    <x v="17"/>
    <m/>
    <m/>
    <m/>
    <m/>
    <m/>
  </r>
  <r>
    <d v="2025-10-21T00:00:00"/>
    <s v="INV-814"/>
    <s v="Sales"/>
    <n v="160"/>
    <m/>
    <x v="14"/>
    <m/>
    <m/>
    <m/>
    <m/>
    <m/>
  </r>
  <r>
    <d v="2025-10-21T00:00:00"/>
    <m/>
    <s v="Bills"/>
    <m/>
    <n v="15572"/>
    <x v="0"/>
    <m/>
    <m/>
    <m/>
    <m/>
    <m/>
  </r>
  <r>
    <d v="2025-10-21T00:00:00"/>
    <m/>
    <s v="Expences"/>
    <m/>
    <n v="22"/>
    <x v="0"/>
    <m/>
    <m/>
    <m/>
    <m/>
    <m/>
  </r>
  <r>
    <d v="2025-10-22T00:00:00"/>
    <s v="INV-815"/>
    <s v="Sales"/>
    <n v="400"/>
    <m/>
    <x v="29"/>
    <m/>
    <m/>
    <m/>
    <m/>
    <m/>
  </r>
  <r>
    <d v="2025-10-22T00:00:00"/>
    <s v="INV-816"/>
    <s v="Sales"/>
    <n v="160"/>
    <m/>
    <x v="32"/>
    <m/>
    <m/>
    <m/>
    <m/>
    <m/>
  </r>
  <r>
    <d v="2025-10-22T00:00:00"/>
    <s v="INV-817"/>
    <s v="Sales"/>
    <n v="320"/>
    <m/>
    <x v="12"/>
    <m/>
    <m/>
    <m/>
    <m/>
    <m/>
  </r>
  <r>
    <d v="2025-10-22T00:00:00"/>
    <s v="INV-818"/>
    <s v="Sales"/>
    <n v="240"/>
    <m/>
    <x v="2"/>
    <m/>
    <m/>
    <m/>
    <m/>
    <m/>
  </r>
  <r>
    <d v="2025-10-22T00:00:00"/>
    <s v="INV-819"/>
    <s v="Sales"/>
    <n v="170"/>
    <m/>
    <x v="3"/>
    <m/>
    <m/>
    <m/>
    <m/>
    <m/>
  </r>
  <r>
    <d v="2025-10-22T00:00:00"/>
    <s v="INV-820"/>
    <s v="Sales"/>
    <n v="170"/>
    <m/>
    <x v="1"/>
    <m/>
    <m/>
    <m/>
    <m/>
    <m/>
  </r>
  <r>
    <d v="2025-10-22T00:00:00"/>
    <s v="INV-821"/>
    <s v="Sales"/>
    <n v="900"/>
    <m/>
    <x v="11"/>
    <m/>
    <m/>
    <m/>
    <m/>
    <m/>
  </r>
  <r>
    <d v="2025-10-22T00:00:00"/>
    <s v="INV-822"/>
    <s v="Sales"/>
    <n v="320"/>
    <m/>
    <x v="4"/>
    <m/>
    <m/>
    <m/>
    <m/>
    <m/>
  </r>
  <r>
    <d v="2025-10-22T00:00:00"/>
    <s v="INV-823"/>
    <s v="Sales"/>
    <n v="750"/>
    <m/>
    <x v="22"/>
    <m/>
    <m/>
    <m/>
    <m/>
    <m/>
  </r>
  <r>
    <d v="2025-10-22T00:00:00"/>
    <s v="INV-824"/>
    <s v="Sales"/>
    <n v="200"/>
    <m/>
    <x v="28"/>
    <m/>
    <m/>
    <m/>
    <m/>
    <m/>
  </r>
  <r>
    <d v="2025-10-22T00:00:00"/>
    <s v="INV-825"/>
    <s v="Sales"/>
    <n v="1500"/>
    <m/>
    <x v="9"/>
    <m/>
    <m/>
    <m/>
    <m/>
    <m/>
  </r>
  <r>
    <d v="2025-10-22T00:00:00"/>
    <s v="INV-826"/>
    <s v="Sales"/>
    <n v="480"/>
    <m/>
    <x v="0"/>
    <m/>
    <m/>
    <m/>
    <m/>
    <m/>
  </r>
  <r>
    <d v="2025-10-22T00:00:00"/>
    <m/>
    <s v="Petrol"/>
    <m/>
    <n v="400"/>
    <x v="0"/>
    <m/>
    <m/>
    <m/>
    <m/>
    <m/>
  </r>
  <r>
    <d v="2025-10-22T00:00:00"/>
    <m/>
    <s v="Expences"/>
    <m/>
    <n v="75"/>
    <x v="0"/>
    <m/>
    <m/>
    <m/>
    <m/>
    <m/>
  </r>
  <r>
    <d v="2025-10-23T00:00:00"/>
    <m/>
    <s v="Ginger Purchase"/>
    <m/>
    <n v="3700"/>
    <x v="0"/>
    <s v="Old Ginger"/>
    <n v="74"/>
    <m/>
    <n v="50"/>
    <s v="Jakakodi Traders"/>
  </r>
  <r>
    <d v="2025-10-23T00:00:00"/>
    <s v="INV-827"/>
    <s v="Sales"/>
    <n v="300"/>
    <m/>
    <x v="7"/>
    <m/>
    <m/>
    <m/>
    <m/>
    <m/>
  </r>
  <r>
    <d v="2025-10-23T00:00:00"/>
    <s v="INV-828"/>
    <s v="Sales"/>
    <n v="320"/>
    <m/>
    <x v="2"/>
    <m/>
    <m/>
    <m/>
    <m/>
    <m/>
  </r>
  <r>
    <d v="2025-10-23T00:00:00"/>
    <s v="INV-829"/>
    <s v="Sales"/>
    <n v="320"/>
    <m/>
    <x v="4"/>
    <m/>
    <m/>
    <m/>
    <m/>
    <m/>
  </r>
  <r>
    <d v="2025-10-23T00:00:00"/>
    <s v="INV-830"/>
    <s v="Sales"/>
    <n v="60"/>
    <m/>
    <x v="3"/>
    <m/>
    <m/>
    <m/>
    <m/>
    <m/>
  </r>
  <r>
    <d v="2025-10-23T00:00:00"/>
    <s v="INV-831"/>
    <s v="Sales"/>
    <n v="160"/>
    <m/>
    <x v="29"/>
    <m/>
    <m/>
    <m/>
    <m/>
    <m/>
  </r>
  <r>
    <d v="2025-10-23T00:00:00"/>
    <s v="INV-832"/>
    <s v="Sales"/>
    <n v="4800"/>
    <m/>
    <x v="33"/>
    <m/>
    <m/>
    <m/>
    <m/>
    <m/>
  </r>
  <r>
    <d v="2025-10-23T00:00:00"/>
    <s v="INV-833"/>
    <s v="Sales"/>
    <n v="1500"/>
    <m/>
    <x v="9"/>
    <m/>
    <m/>
    <m/>
    <m/>
    <m/>
  </r>
  <r>
    <d v="2025-10-23T00:00:00"/>
    <s v="INV-834"/>
    <s v="Sales"/>
    <n v="750"/>
    <m/>
    <x v="22"/>
    <m/>
    <m/>
    <m/>
    <m/>
    <m/>
  </r>
  <r>
    <d v="2025-10-23T00:00:00"/>
    <m/>
    <s v="Water Cane"/>
    <m/>
    <n v="160"/>
    <x v="0"/>
    <m/>
    <m/>
    <m/>
    <m/>
    <m/>
  </r>
  <r>
    <d v="2025-10-23T00:00:00"/>
    <m/>
    <s v="Packaging Material"/>
    <m/>
    <n v="860"/>
    <x v="0"/>
    <m/>
    <m/>
    <m/>
    <m/>
    <m/>
  </r>
  <r>
    <d v="2025-10-23T00:00:00"/>
    <m/>
    <s v="Expences"/>
    <m/>
    <n v="145"/>
    <x v="0"/>
    <m/>
    <m/>
    <m/>
    <m/>
    <m/>
  </r>
  <r>
    <d v="2025-10-24T00:00:00"/>
    <m/>
    <s v="Garlic Purchase"/>
    <m/>
    <n v="25321"/>
    <x v="0"/>
    <s v="Naatu Poondu"/>
    <n v="60"/>
    <n v="1501"/>
    <n v="397"/>
    <s v="PK Garlic"/>
  </r>
  <r>
    <d v="2025-10-24T00:00:00"/>
    <s v="INV-835"/>
    <s v="Sales"/>
    <n v="180"/>
    <m/>
    <x v="3"/>
    <m/>
    <m/>
    <m/>
    <m/>
    <m/>
  </r>
  <r>
    <d v="2025-10-24T00:00:00"/>
    <s v="INV-836"/>
    <s v="Sales"/>
    <n v="350"/>
    <m/>
    <x v="1"/>
    <m/>
    <m/>
    <m/>
    <m/>
    <m/>
  </r>
  <r>
    <d v="2025-10-24T00:00:00"/>
    <s v="INV-837"/>
    <s v="Sales"/>
    <n v="320"/>
    <m/>
    <x v="2"/>
    <m/>
    <m/>
    <m/>
    <m/>
    <m/>
  </r>
  <r>
    <d v="2025-10-24T00:00:00"/>
    <s v="INV-838"/>
    <s v="Sales"/>
    <n v="40"/>
    <m/>
    <x v="15"/>
    <m/>
    <m/>
    <m/>
    <m/>
    <m/>
  </r>
  <r>
    <d v="2025-10-24T00:00:00"/>
    <s v="INV-839"/>
    <s v="Sales"/>
    <n v="480"/>
    <m/>
    <x v="4"/>
    <m/>
    <m/>
    <m/>
    <m/>
    <m/>
  </r>
  <r>
    <d v="2025-10-24T00:00:00"/>
    <s v="INV-840"/>
    <s v="Sales"/>
    <n v="320"/>
    <m/>
    <x v="29"/>
    <m/>
    <m/>
    <m/>
    <m/>
    <m/>
  </r>
  <r>
    <d v="2025-10-24T00:00:00"/>
    <s v="INV-841"/>
    <s v="Sales"/>
    <n v="2380"/>
    <m/>
    <x v="1"/>
    <m/>
    <m/>
    <m/>
    <m/>
    <m/>
  </r>
  <r>
    <d v="2025-10-24T00:00:00"/>
    <s v="INV-842"/>
    <s v="Sales"/>
    <n v="560"/>
    <m/>
    <x v="16"/>
    <m/>
    <m/>
    <m/>
    <m/>
    <m/>
  </r>
  <r>
    <d v="2025-10-24T00:00:00"/>
    <s v="INV-843"/>
    <s v="Sales"/>
    <n v="3000"/>
    <m/>
    <x v="10"/>
    <m/>
    <m/>
    <m/>
    <m/>
    <m/>
  </r>
  <r>
    <d v="2025-10-24T00:00:00"/>
    <m/>
    <s v="Expences"/>
    <m/>
    <n v="25"/>
    <x v="0"/>
    <m/>
    <m/>
    <m/>
    <m/>
    <m/>
  </r>
  <r>
    <d v="2025-10-24T00:00:00"/>
    <m/>
    <s v="Staff Salary"/>
    <m/>
    <n v="200"/>
    <x v="0"/>
    <m/>
    <m/>
    <m/>
    <m/>
    <m/>
  </r>
  <r>
    <d v="2025-10-25T00:00:00"/>
    <s v="INV-844"/>
    <s v="Sales"/>
    <n v="300"/>
    <m/>
    <x v="7"/>
    <m/>
    <m/>
    <m/>
    <m/>
    <m/>
  </r>
  <r>
    <d v="2025-10-25T00:00:00"/>
    <s v="INV-845"/>
    <s v="Sales"/>
    <n v="640"/>
    <m/>
    <x v="29"/>
    <m/>
    <m/>
    <m/>
    <m/>
    <m/>
  </r>
  <r>
    <d v="2025-10-25T00:00:00"/>
    <s v="INV-846"/>
    <s v="Sales"/>
    <n v="480"/>
    <m/>
    <x v="4"/>
    <m/>
    <m/>
    <m/>
    <m/>
    <m/>
  </r>
  <r>
    <d v="2025-10-25T00:00:00"/>
    <s v="INV-847"/>
    <s v="Sales"/>
    <n v="750"/>
    <m/>
    <x v="22"/>
    <m/>
    <m/>
    <m/>
    <m/>
    <m/>
  </r>
  <r>
    <d v="2025-10-25T00:00:00"/>
    <s v="INV-848"/>
    <s v="Sales"/>
    <n v="800"/>
    <m/>
    <x v="31"/>
    <m/>
    <m/>
    <m/>
    <m/>
    <m/>
  </r>
  <r>
    <d v="2025-10-25T00:00:00"/>
    <s v="INV-849"/>
    <s v="Sales"/>
    <n v="800"/>
    <m/>
    <x v="2"/>
    <m/>
    <m/>
    <m/>
    <m/>
    <m/>
  </r>
  <r>
    <d v="2025-10-25T00:00:00"/>
    <s v="INV-850"/>
    <s v="Sales"/>
    <n v="150"/>
    <m/>
    <x v="32"/>
    <m/>
    <m/>
    <m/>
    <m/>
    <m/>
  </r>
  <r>
    <d v="2025-10-25T00:00:00"/>
    <s v="INV-851"/>
    <s v="Sales"/>
    <n v="1470"/>
    <m/>
    <x v="3"/>
    <m/>
    <m/>
    <m/>
    <m/>
    <m/>
  </r>
  <r>
    <d v="2025-10-25T00:00:00"/>
    <s v="INV-852"/>
    <s v="Sales"/>
    <n v="2250"/>
    <m/>
    <x v="34"/>
    <m/>
    <m/>
    <m/>
    <m/>
    <m/>
  </r>
  <r>
    <d v="2025-10-25T00:00:00"/>
    <s v="INV-853"/>
    <s v="Sales"/>
    <n v="320"/>
    <m/>
    <x v="35"/>
    <m/>
    <m/>
    <m/>
    <m/>
    <m/>
  </r>
  <r>
    <d v="2025-10-25T00:00:00"/>
    <s v="INV-854"/>
    <s v="Sales"/>
    <n v="160"/>
    <m/>
    <x v="36"/>
    <m/>
    <m/>
    <m/>
    <m/>
    <m/>
  </r>
  <r>
    <d v="2025-10-25T00:00:00"/>
    <s v="INV-855"/>
    <s v="Sales"/>
    <n v="160"/>
    <m/>
    <x v="14"/>
    <m/>
    <m/>
    <m/>
    <m/>
    <m/>
  </r>
  <r>
    <d v="2025-10-25T00:00:00"/>
    <s v="INV-856"/>
    <s v="Sales"/>
    <n v="3180"/>
    <m/>
    <x v="11"/>
    <m/>
    <m/>
    <m/>
    <m/>
    <m/>
  </r>
  <r>
    <d v="2025-10-25T00:00:00"/>
    <s v="INV-857"/>
    <s v="Sales"/>
    <n v="240"/>
    <m/>
    <x v="5"/>
    <m/>
    <m/>
    <m/>
    <m/>
    <m/>
  </r>
  <r>
    <d v="2025-10-25T00:00:00"/>
    <s v="INV-858"/>
    <s v="Sales"/>
    <n v="840"/>
    <m/>
    <x v="1"/>
    <m/>
    <m/>
    <m/>
    <m/>
    <m/>
  </r>
  <r>
    <d v="2025-10-25T00:00:00"/>
    <m/>
    <s v="Staff Salary"/>
    <m/>
    <n v="100"/>
    <x v="0"/>
    <m/>
    <m/>
    <m/>
    <m/>
    <m/>
  </r>
  <r>
    <d v="2025-10-25T00:00:00"/>
    <m/>
    <s v="Essential Items"/>
    <m/>
    <n v="680"/>
    <x v="0"/>
    <m/>
    <m/>
    <m/>
    <m/>
    <m/>
  </r>
  <r>
    <d v="2025-10-25T00:00:00"/>
    <m/>
    <s v="Expences"/>
    <m/>
    <n v="50"/>
    <x v="0"/>
    <m/>
    <m/>
    <m/>
    <m/>
    <m/>
  </r>
  <r>
    <d v="2025-10-26T00:00:00"/>
    <m/>
    <s v="Ginger Purchase"/>
    <m/>
    <n v="2170"/>
    <x v="0"/>
    <s v="Old Ginger"/>
    <n v="63.8"/>
    <m/>
    <n v="34"/>
    <s v="Jakakodi Traders"/>
  </r>
  <r>
    <d v="2025-10-25T00:00:00"/>
    <s v="INV-859"/>
    <s v="Sales"/>
    <n v="1500"/>
    <m/>
    <x v="10"/>
    <m/>
    <m/>
    <m/>
    <m/>
    <m/>
  </r>
  <r>
    <d v="2025-10-26T00:00:00"/>
    <s v="INV-860"/>
    <s v="Sales"/>
    <n v="750"/>
    <m/>
    <x v="30"/>
    <m/>
    <m/>
    <m/>
    <m/>
    <m/>
  </r>
  <r>
    <d v="2025-10-26T00:00:00"/>
    <s v="INV-861"/>
    <s v="Sales"/>
    <n v="480"/>
    <m/>
    <x v="12"/>
    <m/>
    <m/>
    <m/>
    <m/>
    <m/>
  </r>
  <r>
    <d v="2025-10-26T00:00:00"/>
    <s v="INV-862"/>
    <s v="Sales"/>
    <n v="90"/>
    <m/>
    <x v="1"/>
    <m/>
    <m/>
    <m/>
    <m/>
    <m/>
  </r>
  <r>
    <d v="2025-10-26T00:00:00"/>
    <s v="INV-863"/>
    <s v="Sales"/>
    <n v="300"/>
    <m/>
    <x v="32"/>
    <m/>
    <m/>
    <m/>
    <m/>
    <m/>
  </r>
  <r>
    <d v="2025-10-26T00:00:00"/>
    <s v="INV-864"/>
    <s v="Sales"/>
    <n v="320"/>
    <m/>
    <x v="4"/>
    <m/>
    <m/>
    <m/>
    <m/>
    <m/>
  </r>
  <r>
    <d v="2025-10-26T00:00:00"/>
    <s v="INV-865"/>
    <s v="Sales"/>
    <n v="4500"/>
    <m/>
    <x v="37"/>
    <m/>
    <m/>
    <m/>
    <m/>
    <m/>
  </r>
  <r>
    <d v="2025-10-26T00:00:00"/>
    <s v="INV-866"/>
    <s v="Sales"/>
    <n v="680"/>
    <m/>
    <x v="1"/>
    <m/>
    <m/>
    <m/>
    <m/>
    <m/>
  </r>
  <r>
    <d v="2025-10-26T00:00:00"/>
    <s v="INV-867"/>
    <s v="Sales"/>
    <n v="160"/>
    <m/>
    <x v="6"/>
    <m/>
    <m/>
    <m/>
    <m/>
    <m/>
  </r>
  <r>
    <d v="2025-10-26T00:00:00"/>
    <s v="INV-868"/>
    <s v="Sales"/>
    <n v="1200"/>
    <m/>
    <x v="12"/>
    <m/>
    <m/>
    <m/>
    <m/>
    <m/>
  </r>
  <r>
    <d v="2025-10-26T00:00:00"/>
    <s v="INV-869"/>
    <s v="Sales"/>
    <n v="240"/>
    <m/>
    <x v="30"/>
    <m/>
    <m/>
    <m/>
    <m/>
    <m/>
  </r>
  <r>
    <d v="2025-10-26T00:00:00"/>
    <s v="INV-870"/>
    <s v="Sales"/>
    <n v="3000"/>
    <m/>
    <x v="9"/>
    <m/>
    <m/>
    <m/>
    <m/>
    <m/>
  </r>
  <r>
    <d v="2025-10-26T00:00:00"/>
    <m/>
    <s v="Expences"/>
    <m/>
    <n v="10"/>
    <x v="0"/>
    <m/>
    <m/>
    <m/>
    <m/>
    <m/>
  </r>
  <r>
    <d v="2025-10-27T00:00:00"/>
    <s v="INV-871"/>
    <s v="Sales"/>
    <n v="240"/>
    <m/>
    <x v="29"/>
    <m/>
    <m/>
    <m/>
    <m/>
    <m/>
  </r>
  <r>
    <d v="2025-10-27T00:00:00"/>
    <s v="INV-872"/>
    <s v="Sales"/>
    <n v="720"/>
    <m/>
    <x v="13"/>
    <m/>
    <m/>
    <m/>
    <m/>
    <m/>
  </r>
  <r>
    <d v="2025-10-27T00:00:00"/>
    <s v="INV-873"/>
    <s v="Sales"/>
    <n v="240"/>
    <m/>
    <x v="2"/>
    <m/>
    <m/>
    <m/>
    <m/>
    <m/>
  </r>
  <r>
    <d v="2025-10-27T00:00:00"/>
    <s v="INV-874"/>
    <s v="Sales"/>
    <n v="90"/>
    <m/>
    <x v="1"/>
    <m/>
    <m/>
    <m/>
    <m/>
    <m/>
  </r>
  <r>
    <d v="2025-10-27T00:00:00"/>
    <s v="INV-875"/>
    <s v="Sales"/>
    <n v="320"/>
    <m/>
    <x v="4"/>
    <m/>
    <m/>
    <m/>
    <m/>
    <m/>
  </r>
  <r>
    <d v="2025-10-27T00:00:00"/>
    <s v="INV-876"/>
    <s v="Sales"/>
    <n v="160"/>
    <m/>
    <x v="32"/>
    <m/>
    <m/>
    <m/>
    <m/>
    <m/>
  </r>
  <r>
    <d v="2025-10-27T00:00:00"/>
    <s v="INV-877"/>
    <s v="Sales"/>
    <n v="1500"/>
    <m/>
    <x v="9"/>
    <m/>
    <m/>
    <m/>
    <m/>
    <m/>
  </r>
  <r>
    <d v="2025-10-27T00:00:00"/>
    <s v="INV-878"/>
    <s v="Sales"/>
    <n v="60"/>
    <m/>
    <x v="3"/>
    <m/>
    <m/>
    <m/>
    <m/>
    <m/>
  </r>
  <r>
    <d v="2025-10-27T00:00:00"/>
    <m/>
    <s v="Trasport"/>
    <m/>
    <n v="300"/>
    <x v="0"/>
    <m/>
    <m/>
    <m/>
    <m/>
    <m/>
  </r>
  <r>
    <d v="2025-10-27T00:00:00"/>
    <m/>
    <s v="Staff Salary"/>
    <m/>
    <n v="100"/>
    <x v="0"/>
    <m/>
    <m/>
    <m/>
    <m/>
    <m/>
  </r>
  <r>
    <d v="2025-10-27T00:00:00"/>
    <m/>
    <s v="Expences"/>
    <m/>
    <n v="47"/>
    <x v="0"/>
    <m/>
    <m/>
    <m/>
    <m/>
    <m/>
  </r>
  <r>
    <d v="2025-10-27T00:00:00"/>
    <m/>
    <s v="Packaging Material"/>
    <m/>
    <n v="180"/>
    <x v="0"/>
    <m/>
    <m/>
    <m/>
    <m/>
    <m/>
  </r>
  <r>
    <d v="2025-10-27T00:00:00"/>
    <m/>
    <s v="Customer deposit refund"/>
    <m/>
    <n v="150"/>
    <x v="0"/>
    <m/>
    <m/>
    <m/>
    <m/>
    <m/>
  </r>
  <r>
    <d v="2025-10-28T00:00:00"/>
    <m/>
    <s v="Ginger Purchase"/>
    <m/>
    <n v="3300"/>
    <x v="0"/>
    <s v="Old Ginger"/>
    <n v="66"/>
    <m/>
    <n v="50"/>
    <s v="Jakakodi Traders"/>
  </r>
  <r>
    <d v="2025-10-28T00:00:00"/>
    <s v="INV-879"/>
    <s v="Sales"/>
    <n v="480"/>
    <m/>
    <x v="37"/>
    <m/>
    <m/>
    <m/>
    <m/>
    <m/>
  </r>
  <r>
    <d v="2025-10-28T00:00:00"/>
    <s v="INV-880"/>
    <s v="Sales"/>
    <n v="240"/>
    <m/>
    <x v="2"/>
    <m/>
    <m/>
    <m/>
    <m/>
    <m/>
  </r>
  <r>
    <d v="2025-10-28T00:00:00"/>
    <s v="INV-881"/>
    <s v="Sales"/>
    <n v="160"/>
    <m/>
    <x v="29"/>
    <m/>
    <m/>
    <m/>
    <m/>
    <m/>
  </r>
  <r>
    <d v="2025-10-28T00:00:00"/>
    <s v="INV-882"/>
    <s v="Sales"/>
    <n v="320"/>
    <m/>
    <x v="8"/>
    <m/>
    <m/>
    <m/>
    <m/>
    <m/>
  </r>
  <r>
    <d v="2025-10-28T00:00:00"/>
    <s v="INV-883"/>
    <s v="Sales"/>
    <n v="160"/>
    <m/>
    <x v="32"/>
    <m/>
    <m/>
    <m/>
    <m/>
    <m/>
  </r>
  <r>
    <d v="2025-10-28T00:00:00"/>
    <s v="INV-884"/>
    <s v="Sales"/>
    <n v="170"/>
    <m/>
    <x v="1"/>
    <m/>
    <m/>
    <m/>
    <m/>
    <m/>
  </r>
  <r>
    <d v="2025-10-28T00:00:00"/>
    <s v="INV-885"/>
    <s v="Sales"/>
    <n v="1050"/>
    <m/>
    <x v="12"/>
    <m/>
    <m/>
    <m/>
    <m/>
    <m/>
  </r>
  <r>
    <d v="2025-10-28T00:00:00"/>
    <s v="INV-886"/>
    <s v="Sales"/>
    <n v="320"/>
    <m/>
    <x v="30"/>
    <m/>
    <m/>
    <m/>
    <m/>
    <m/>
  </r>
  <r>
    <d v="2025-10-28T00:00:00"/>
    <s v="INV-887"/>
    <s v="Sales"/>
    <n v="160"/>
    <m/>
    <x v="27"/>
    <m/>
    <m/>
    <m/>
    <m/>
    <m/>
  </r>
  <r>
    <d v="2025-10-28T00:00:00"/>
    <s v="INV-888"/>
    <s v="Sales"/>
    <n v="160"/>
    <m/>
    <x v="15"/>
    <m/>
    <m/>
    <m/>
    <m/>
    <m/>
  </r>
  <r>
    <d v="2025-10-28T00:00:00"/>
    <s v="INV-889"/>
    <s v="Sales"/>
    <n v="160"/>
    <m/>
    <x v="7"/>
    <m/>
    <m/>
    <m/>
    <m/>
    <m/>
  </r>
  <r>
    <d v="2025-10-28T00:00:00"/>
    <m/>
    <s v="Expences"/>
    <m/>
    <n v="50"/>
    <x v="0"/>
    <m/>
    <m/>
    <m/>
    <m/>
    <m/>
  </r>
  <r>
    <d v="2025-10-29T00:00:00"/>
    <s v="INV-890"/>
    <s v="Sales"/>
    <n v="240"/>
    <m/>
    <x v="29"/>
    <m/>
    <m/>
    <m/>
    <m/>
    <m/>
  </r>
  <r>
    <d v="2025-10-29T00:00:00"/>
    <s v="INV-891"/>
    <s v="Sales"/>
    <n v="240"/>
    <m/>
    <x v="2"/>
    <m/>
    <m/>
    <m/>
    <m/>
    <m/>
  </r>
  <r>
    <d v="2025-10-29T00:00:00"/>
    <s v="INV-892"/>
    <s v="Sales"/>
    <n v="170"/>
    <m/>
    <x v="3"/>
    <m/>
    <m/>
    <m/>
    <m/>
    <m/>
  </r>
  <r>
    <d v="2025-10-29T00:00:00"/>
    <s v="INV-893"/>
    <s v="Sales"/>
    <n v="170"/>
    <m/>
    <x v="1"/>
    <m/>
    <m/>
    <m/>
    <m/>
    <m/>
  </r>
  <r>
    <d v="2025-10-29T00:00:00"/>
    <s v="INV-894"/>
    <s v="Sales"/>
    <n v="160"/>
    <m/>
    <x v="32"/>
    <m/>
    <m/>
    <m/>
    <m/>
    <m/>
  </r>
  <r>
    <d v="2025-10-29T00:00:00"/>
    <s v="INV-895"/>
    <s v="Sales"/>
    <n v="320"/>
    <m/>
    <x v="4"/>
    <m/>
    <m/>
    <m/>
    <m/>
    <m/>
  </r>
  <r>
    <d v="2025-10-29T00:00:00"/>
    <s v="INV-896"/>
    <s v="Sales"/>
    <n v="320"/>
    <m/>
    <x v="8"/>
    <m/>
    <m/>
    <m/>
    <m/>
    <m/>
  </r>
  <r>
    <d v="2025-10-29T00:00:00"/>
    <s v="INV-897"/>
    <s v="Sales"/>
    <n v="160"/>
    <m/>
    <x v="15"/>
    <m/>
    <m/>
    <m/>
    <m/>
    <m/>
  </r>
  <r>
    <d v="2025-10-29T00:00:00"/>
    <s v="INV-898"/>
    <s v="Sales"/>
    <n v="75"/>
    <m/>
    <x v="7"/>
    <m/>
    <m/>
    <m/>
    <m/>
    <m/>
  </r>
  <r>
    <d v="2025-10-29T00:00:00"/>
    <s v="INV-899"/>
    <s v="Sales"/>
    <n v="1500"/>
    <m/>
    <x v="10"/>
    <m/>
    <m/>
    <m/>
    <m/>
    <m/>
  </r>
  <r>
    <d v="2025-10-29T00:00:00"/>
    <m/>
    <s v="Petrol"/>
    <m/>
    <n v="400"/>
    <x v="0"/>
    <m/>
    <m/>
    <m/>
    <m/>
    <m/>
  </r>
  <r>
    <d v="2025-10-29T00:00:00"/>
    <m/>
    <s v="Expences"/>
    <m/>
    <n v="50"/>
    <x v="0"/>
    <m/>
    <m/>
    <m/>
    <m/>
    <m/>
  </r>
  <r>
    <d v="2025-10-30T00:00:00"/>
    <s v="INV-900"/>
    <s v="Sales"/>
    <n v="40"/>
    <m/>
    <x v="3"/>
    <m/>
    <m/>
    <m/>
    <m/>
    <m/>
  </r>
  <r>
    <d v="2025-10-30T00:00:00"/>
    <s v="INV-901"/>
    <s v="Sales"/>
    <n v="240"/>
    <m/>
    <x v="2"/>
    <m/>
    <m/>
    <m/>
    <m/>
    <m/>
  </r>
  <r>
    <d v="2025-10-30T00:00:00"/>
    <s v="INV-902"/>
    <s v="Sales"/>
    <n v="100"/>
    <m/>
    <x v="26"/>
    <m/>
    <m/>
    <m/>
    <m/>
    <m/>
  </r>
  <r>
    <d v="2025-10-30T00:00:00"/>
    <s v="INV-903"/>
    <s v="Sales"/>
    <n v="480"/>
    <m/>
    <x v="4"/>
    <m/>
    <m/>
    <m/>
    <m/>
    <m/>
  </r>
  <r>
    <d v="2025-10-30T00:00:00"/>
    <s v="INV-904"/>
    <s v="Sales"/>
    <n v="80"/>
    <m/>
    <x v="15"/>
    <m/>
    <m/>
    <m/>
    <m/>
    <m/>
  </r>
  <r>
    <d v="2025-10-30T00:00:00"/>
    <s v="INV-905"/>
    <s v="Sales"/>
    <n v="240"/>
    <m/>
    <x v="29"/>
    <m/>
    <m/>
    <m/>
    <m/>
    <m/>
  </r>
  <r>
    <d v="2025-10-30T00:00:00"/>
    <s v="INV-906"/>
    <s v="Sales"/>
    <n v="90"/>
    <m/>
    <x v="1"/>
    <m/>
    <m/>
    <m/>
    <m/>
    <m/>
  </r>
  <r>
    <d v="2025-10-30T00:00:00"/>
    <s v="INV-907"/>
    <s v="Sales"/>
    <n v="3000"/>
    <m/>
    <x v="12"/>
    <m/>
    <m/>
    <m/>
    <m/>
    <m/>
  </r>
  <r>
    <d v="2025-10-30T00:00:00"/>
    <s v="INV-908"/>
    <s v="Sales"/>
    <n v="260"/>
    <m/>
    <x v="3"/>
    <m/>
    <m/>
    <m/>
    <m/>
    <m/>
  </r>
  <r>
    <d v="2025-10-30T00:00:00"/>
    <s v="INV-909"/>
    <s v="Sales"/>
    <n v="160"/>
    <m/>
    <x v="27"/>
    <m/>
    <m/>
    <m/>
    <m/>
    <m/>
  </r>
  <r>
    <d v="2025-10-30T00:00:00"/>
    <s v="INV-910"/>
    <s v="Sales"/>
    <n v="600"/>
    <m/>
    <x v="11"/>
    <m/>
    <m/>
    <m/>
    <m/>
    <m/>
  </r>
  <r>
    <d v="2025-10-30T00:00:00"/>
    <s v="INV-911"/>
    <s v="Sales"/>
    <n v="75"/>
    <m/>
    <x v="7"/>
    <m/>
    <m/>
    <m/>
    <m/>
    <m/>
  </r>
  <r>
    <d v="2025-10-30T00:00:00"/>
    <m/>
    <s v="Expences"/>
    <m/>
    <n v="50"/>
    <x v="0"/>
    <m/>
    <m/>
    <m/>
    <m/>
    <m/>
  </r>
  <r>
    <d v="2025-10-31T00:00:00"/>
    <s v="INV-912"/>
    <s v="Sales"/>
    <n v="1020"/>
    <m/>
    <x v="3"/>
    <m/>
    <m/>
    <m/>
    <m/>
    <m/>
  </r>
  <r>
    <d v="2025-10-31T00:00:00"/>
    <s v="INV-913"/>
    <s v="Sales"/>
    <n v="170"/>
    <m/>
    <x v="1"/>
    <m/>
    <m/>
    <m/>
    <m/>
    <m/>
  </r>
  <r>
    <d v="2025-10-31T00:00:00"/>
    <s v="INV-914"/>
    <s v="Sales"/>
    <n v="320"/>
    <m/>
    <x v="29"/>
    <m/>
    <m/>
    <m/>
    <m/>
    <m/>
  </r>
  <r>
    <d v="2025-10-31T00:00:00"/>
    <s v="INV-915"/>
    <s v="Sales"/>
    <n v="160"/>
    <m/>
    <x v="2"/>
    <m/>
    <m/>
    <m/>
    <m/>
    <m/>
  </r>
  <r>
    <d v="2025-10-31T00:00:00"/>
    <s v="INV-916"/>
    <s v="Sales"/>
    <n v="160"/>
    <m/>
    <x v="6"/>
    <m/>
    <m/>
    <m/>
    <m/>
    <m/>
  </r>
  <r>
    <d v="2025-10-31T00:00:00"/>
    <s v="INV-917"/>
    <s v="Sales"/>
    <n v="320"/>
    <m/>
    <x v="4"/>
    <m/>
    <m/>
    <m/>
    <m/>
    <m/>
  </r>
  <r>
    <d v="2025-10-31T00:00:00"/>
    <s v="INV-918"/>
    <s v="Sales"/>
    <n v="1500"/>
    <m/>
    <x v="34"/>
    <m/>
    <m/>
    <m/>
    <m/>
    <m/>
  </r>
  <r>
    <d v="2025-10-31T00:00:00"/>
    <s v="INV-919"/>
    <s v="Sales"/>
    <n v="100"/>
    <m/>
    <x v="38"/>
    <m/>
    <m/>
    <m/>
    <m/>
    <m/>
  </r>
  <r>
    <d v="2025-10-31T00:00:00"/>
    <s v="INV-920"/>
    <s v="Sales"/>
    <n v="240"/>
    <m/>
    <x v="17"/>
    <m/>
    <m/>
    <m/>
    <m/>
    <m/>
  </r>
  <r>
    <d v="2025-10-31T00:00:00"/>
    <s v="INV-921"/>
    <s v="Sales"/>
    <n v="100"/>
    <m/>
    <x v="26"/>
    <m/>
    <m/>
    <m/>
    <m/>
    <m/>
  </r>
  <r>
    <d v="2025-10-31T00:00:00"/>
    <s v="INV-922"/>
    <s v="Sales"/>
    <n v="160"/>
    <m/>
    <x v="14"/>
    <m/>
    <m/>
    <m/>
    <m/>
    <m/>
  </r>
  <r>
    <d v="2025-10-31T00:00:00"/>
    <m/>
    <s v="Expences"/>
    <m/>
    <n v="50"/>
    <x v="0"/>
    <m/>
    <m/>
    <m/>
    <m/>
    <m/>
  </r>
  <r>
    <d v="2025-10-31T00:00:00"/>
    <m/>
    <s v="Machinary Maintenance"/>
    <m/>
    <n v="1000"/>
    <x v="0"/>
    <m/>
    <m/>
    <m/>
    <m/>
    <m/>
  </r>
  <r>
    <d v="2025-10-31T00:00:00"/>
    <m/>
    <s v="Staff Salary"/>
    <m/>
    <n v="2170"/>
    <x v="0"/>
    <m/>
    <m/>
    <m/>
    <m/>
    <m/>
  </r>
  <r>
    <d v="2025-10-31T00:00:00"/>
    <m/>
    <s v="Staff Salary"/>
    <m/>
    <n v="4880"/>
    <x v="0"/>
    <m/>
    <m/>
    <m/>
    <m/>
    <m/>
  </r>
  <r>
    <d v="2025-10-31T00:00:00"/>
    <m/>
    <s v="Staff Salary"/>
    <m/>
    <n v="10000"/>
    <x v="0"/>
    <m/>
    <m/>
    <m/>
    <m/>
    <m/>
  </r>
</pivotCacheRecords>
</file>

<file path=xl/pivotCache/pivotCacheRecords17.xml><?xml version="1.0" encoding="utf-8"?>
<pivotCacheRecords xmlns="http://schemas.openxmlformats.org/spreadsheetml/2006/main" xmlns:r="http://schemas.openxmlformats.org/officeDocument/2006/relationships" count="347">
  <r>
    <m/>
    <m/>
    <x v="0"/>
    <n v="0"/>
    <m/>
    <m/>
    <m/>
    <m/>
    <m/>
    <m/>
    <m/>
    <m/>
    <m/>
  </r>
  <r>
    <d v="2025-10-01T00:00:00"/>
    <m/>
    <x v="1"/>
    <m/>
    <n v="3700"/>
    <m/>
    <s v="Old Ginger"/>
    <n v="74"/>
    <m/>
    <n v="50"/>
    <s v="Jakakodi Traders"/>
    <m/>
    <m/>
  </r>
  <r>
    <d v="2025-10-01T00:00:00"/>
    <s v="INV-652"/>
    <x v="2"/>
    <n v="510"/>
    <m/>
    <s v="NFS Delivery"/>
    <m/>
    <m/>
    <m/>
    <m/>
    <m/>
    <m/>
    <m/>
  </r>
  <r>
    <d v="2025-10-01T00:00:00"/>
    <s v="INV-653"/>
    <x v="2"/>
    <n v="240"/>
    <m/>
    <s v="Hotel Noordeen"/>
    <m/>
    <m/>
    <m/>
    <m/>
    <m/>
    <m/>
    <m/>
  </r>
  <r>
    <d v="2025-10-01T00:00:00"/>
    <s v="INV-654"/>
    <x v="2"/>
    <n v="170"/>
    <m/>
    <s v="Cash"/>
    <m/>
    <m/>
    <m/>
    <m/>
    <m/>
    <m/>
    <m/>
  </r>
  <r>
    <d v="2025-10-01T00:00:00"/>
    <s v="INV-655"/>
    <x v="2"/>
    <n v="320"/>
    <m/>
    <s v="Hotel Bismi"/>
    <m/>
    <m/>
    <m/>
    <m/>
    <m/>
    <m/>
    <m/>
  </r>
  <r>
    <d v="2025-10-01T00:00:00"/>
    <s v="INV-656"/>
    <x v="2"/>
    <n v="340"/>
    <m/>
    <s v="NFS Delivery"/>
    <m/>
    <m/>
    <m/>
    <m/>
    <m/>
    <m/>
    <m/>
  </r>
  <r>
    <d v="2025-10-01T00:00:00"/>
    <s v="INV-657"/>
    <x v="2"/>
    <n v="240"/>
    <m/>
    <s v="Maraikar Shop"/>
    <m/>
    <m/>
    <m/>
    <m/>
    <m/>
    <m/>
    <m/>
  </r>
  <r>
    <d v="2025-10-01T00:00:00"/>
    <s v="INV-658"/>
    <x v="2"/>
    <n v="320"/>
    <m/>
    <s v="Darbar Catering"/>
    <m/>
    <m/>
    <m/>
    <m/>
    <m/>
    <m/>
    <m/>
  </r>
  <r>
    <d v="2025-10-01T00:00:00"/>
    <s v="INV-659"/>
    <x v="2"/>
    <n v="750"/>
    <m/>
    <s v="Arafath"/>
    <m/>
    <m/>
    <m/>
    <m/>
    <m/>
    <m/>
    <m/>
  </r>
  <r>
    <d v="2025-10-01T00:00:00"/>
    <s v="INV-660"/>
    <x v="2"/>
    <n v="320"/>
    <m/>
    <s v="NFS Delivery"/>
    <m/>
    <m/>
    <m/>
    <m/>
    <m/>
    <m/>
    <m/>
  </r>
  <r>
    <d v="2025-10-01T00:00:00"/>
    <m/>
    <x v="3"/>
    <m/>
    <n v="50"/>
    <m/>
    <m/>
    <m/>
    <m/>
    <m/>
    <m/>
    <m/>
    <m/>
  </r>
  <r>
    <d v="2025-10-01T00:00:00"/>
    <m/>
    <x v="4"/>
    <m/>
    <n v="80"/>
    <m/>
    <m/>
    <m/>
    <m/>
    <m/>
    <m/>
    <m/>
    <m/>
  </r>
  <r>
    <d v="2025-10-01T00:00:00"/>
    <m/>
    <x v="5"/>
    <m/>
    <n v="5400"/>
    <m/>
    <m/>
    <m/>
    <m/>
    <m/>
    <m/>
    <m/>
    <m/>
  </r>
  <r>
    <d v="2025-10-02T00:00:00"/>
    <s v="INV-661"/>
    <x v="2"/>
    <n v="510"/>
    <m/>
    <s v="NFS Delivery"/>
    <m/>
    <m/>
    <m/>
    <m/>
    <m/>
    <m/>
    <m/>
  </r>
  <r>
    <d v="2025-10-02T00:00:00"/>
    <s v="INV-662"/>
    <x v="2"/>
    <n v="480"/>
    <m/>
    <s v="Hotel Bismi"/>
    <m/>
    <m/>
    <m/>
    <m/>
    <m/>
    <m/>
    <m/>
  </r>
  <r>
    <d v="2025-10-02T00:00:00"/>
    <s v="INV-663"/>
    <x v="2"/>
    <n v="170"/>
    <m/>
    <s v="Cash"/>
    <m/>
    <m/>
    <m/>
    <m/>
    <m/>
    <m/>
    <m/>
  </r>
  <r>
    <d v="2025-10-02T00:00:00"/>
    <s v="INV-664"/>
    <x v="2"/>
    <n v="320"/>
    <m/>
    <s v="Malaysian Fast Food"/>
    <m/>
    <m/>
    <m/>
    <m/>
    <m/>
    <m/>
    <m/>
  </r>
  <r>
    <d v="2025-10-02T00:00:00"/>
    <s v="INV-665"/>
    <x v="2"/>
    <n v="3000"/>
    <m/>
    <s v="Hassim Catering"/>
    <m/>
    <m/>
    <m/>
    <m/>
    <m/>
    <m/>
    <m/>
  </r>
  <r>
    <d v="2025-10-02T00:00:00"/>
    <s v="INV-666"/>
    <x v="2"/>
    <n v="160"/>
    <m/>
    <s v="Darbar Catering"/>
    <m/>
    <m/>
    <m/>
    <m/>
    <m/>
    <m/>
    <m/>
  </r>
  <r>
    <d v="2025-10-02T00:00:00"/>
    <m/>
    <x v="3"/>
    <m/>
    <n v="50"/>
    <m/>
    <m/>
    <m/>
    <m/>
    <m/>
    <m/>
    <m/>
    <m/>
  </r>
  <r>
    <d v="2025-10-02T00:00:00"/>
    <m/>
    <x v="6"/>
    <m/>
    <n v="100"/>
    <m/>
    <m/>
    <m/>
    <m/>
    <m/>
    <m/>
    <m/>
    <m/>
  </r>
  <r>
    <d v="2025-10-03T00:00:00"/>
    <s v="INV-667"/>
    <x v="2"/>
    <n v="320"/>
    <m/>
    <s v="Darbar Catering"/>
    <m/>
    <m/>
    <m/>
    <m/>
    <m/>
    <m/>
    <m/>
  </r>
  <r>
    <d v="2025-10-03T00:00:00"/>
    <s v="INV-668"/>
    <x v="2"/>
    <n v="1500"/>
    <m/>
    <s v="AL AZEEM CATERS &amp; RESTAURANT"/>
    <m/>
    <m/>
    <m/>
    <m/>
    <m/>
    <m/>
    <m/>
  </r>
  <r>
    <d v="2025-10-03T00:00:00"/>
    <s v="INV-669"/>
    <x v="2"/>
    <n v="170"/>
    <m/>
    <s v="NFS Delivery"/>
    <m/>
    <m/>
    <m/>
    <m/>
    <m/>
    <m/>
    <m/>
  </r>
  <r>
    <d v="2025-10-03T00:00:00"/>
    <s v="INV-670"/>
    <x v="2"/>
    <n v="600"/>
    <m/>
    <s v="Halidh Cook"/>
    <m/>
    <m/>
    <m/>
    <m/>
    <m/>
    <m/>
    <m/>
  </r>
  <r>
    <d v="2025-10-03T00:00:00"/>
    <s v="INV-671"/>
    <x v="2"/>
    <n v="480"/>
    <m/>
    <s v="Hotel Bismi"/>
    <m/>
    <m/>
    <m/>
    <m/>
    <m/>
    <m/>
    <m/>
  </r>
  <r>
    <d v="2025-10-03T00:00:00"/>
    <s v="INV-672"/>
    <x v="2"/>
    <n v="750"/>
    <m/>
    <s v="Ameen Master Chef"/>
    <m/>
    <m/>
    <m/>
    <m/>
    <m/>
    <m/>
    <m/>
  </r>
  <r>
    <d v="2025-10-03T00:00:00"/>
    <s v="INV-673"/>
    <x v="2"/>
    <n v="440"/>
    <m/>
    <s v="Hotel Noordeen"/>
    <m/>
    <m/>
    <m/>
    <m/>
    <m/>
    <m/>
    <m/>
  </r>
  <r>
    <d v="2025-10-03T00:00:00"/>
    <s v="INV-674"/>
    <x v="2"/>
    <n v="600"/>
    <m/>
    <s v="Habil Sahib"/>
    <m/>
    <m/>
    <m/>
    <m/>
    <m/>
    <m/>
    <m/>
  </r>
  <r>
    <d v="2025-10-03T00:00:00"/>
    <s v="INV-675"/>
    <x v="2"/>
    <n v="240"/>
    <m/>
    <s v="RR mini Mart"/>
    <m/>
    <m/>
    <m/>
    <m/>
    <m/>
    <m/>
    <m/>
  </r>
  <r>
    <d v="2025-10-03T00:00:00"/>
    <s v="INV-676"/>
    <x v="2"/>
    <n v="260"/>
    <m/>
    <s v="Cash"/>
    <m/>
    <m/>
    <m/>
    <m/>
    <m/>
    <m/>
    <m/>
  </r>
  <r>
    <d v="2025-10-03T00:00:00"/>
    <s v="INV-677"/>
    <x v="2"/>
    <n v="2250"/>
    <m/>
    <s v="Hassim Catering"/>
    <m/>
    <m/>
    <m/>
    <m/>
    <m/>
    <m/>
    <m/>
  </r>
  <r>
    <d v="2025-10-03T00:00:00"/>
    <s v="INV-678"/>
    <x v="2"/>
    <n v="510"/>
    <m/>
    <s v="NFS Delivery"/>
    <m/>
    <m/>
    <m/>
    <m/>
    <m/>
    <m/>
    <m/>
  </r>
  <r>
    <d v="2025-10-03T00:00:00"/>
    <m/>
    <x v="3"/>
    <m/>
    <n v="50"/>
    <m/>
    <m/>
    <m/>
    <m/>
    <m/>
    <m/>
    <m/>
    <m/>
  </r>
  <r>
    <d v="2025-10-04T00:00:00"/>
    <s v="INV-679"/>
    <x v="2"/>
    <n v="480"/>
    <m/>
    <s v="Supplaykart"/>
    <m/>
    <m/>
    <m/>
    <m/>
    <m/>
    <m/>
    <m/>
  </r>
  <r>
    <d v="2025-10-04T00:00:00"/>
    <s v="INV-680"/>
    <x v="2"/>
    <n v="770"/>
    <m/>
    <s v="Cash"/>
    <m/>
    <m/>
    <m/>
    <m/>
    <m/>
    <m/>
    <m/>
  </r>
  <r>
    <d v="2025-10-04T00:00:00"/>
    <s v="INV-681"/>
    <x v="2"/>
    <n v="1500"/>
    <m/>
    <s v="AL AZEEM CATERS &amp; RESTAURANT"/>
    <m/>
    <m/>
    <m/>
    <m/>
    <m/>
    <m/>
    <m/>
  </r>
  <r>
    <d v="2025-10-04T00:00:00"/>
    <s v="INV-682"/>
    <x v="2"/>
    <n v="4200"/>
    <m/>
    <s v="Ameen Master Chef"/>
    <m/>
    <m/>
    <m/>
    <m/>
    <m/>
    <m/>
    <m/>
  </r>
  <r>
    <d v="2025-10-04T00:00:00"/>
    <s v="INV-683"/>
    <x v="2"/>
    <n v="640"/>
    <m/>
    <s v="Hotel Noordeen"/>
    <m/>
    <m/>
    <m/>
    <m/>
    <m/>
    <m/>
    <m/>
  </r>
  <r>
    <d v="2025-10-04T00:00:00"/>
    <s v="INV-684"/>
    <x v="2"/>
    <n v="160"/>
    <m/>
    <s v="Hassim Catering"/>
    <m/>
    <m/>
    <m/>
    <m/>
    <m/>
    <m/>
    <m/>
  </r>
  <r>
    <d v="2025-10-04T00:00:00"/>
    <s v="INV-685"/>
    <x v="2"/>
    <n v="320"/>
    <m/>
    <s v="Andrew Cook"/>
    <m/>
    <m/>
    <m/>
    <m/>
    <m/>
    <m/>
    <m/>
  </r>
  <r>
    <d v="2025-10-04T00:00:00"/>
    <s v="INV-686"/>
    <x v="2"/>
    <n v="480"/>
    <m/>
    <s v="Hotel Bismi"/>
    <m/>
    <m/>
    <m/>
    <m/>
    <m/>
    <m/>
    <m/>
  </r>
  <r>
    <d v="2025-10-04T00:00:00"/>
    <s v="INV-687"/>
    <x v="2"/>
    <n v="300"/>
    <m/>
    <s v="Arafath"/>
    <m/>
    <m/>
    <m/>
    <m/>
    <m/>
    <m/>
    <m/>
  </r>
  <r>
    <d v="2025-10-04T00:00:00"/>
    <s v="INV-688"/>
    <x v="2"/>
    <n v="460"/>
    <m/>
    <s v="Burhaan"/>
    <m/>
    <m/>
    <m/>
    <m/>
    <m/>
    <m/>
    <m/>
  </r>
  <r>
    <d v="2025-10-04T00:00:00"/>
    <m/>
    <x v="7"/>
    <m/>
    <n v="200"/>
    <m/>
    <m/>
    <m/>
    <m/>
    <m/>
    <m/>
    <m/>
    <m/>
  </r>
  <r>
    <d v="2025-10-04T00:00:00"/>
    <m/>
    <x v="8"/>
    <m/>
    <n v="160"/>
    <m/>
    <m/>
    <m/>
    <m/>
    <m/>
    <m/>
    <m/>
    <m/>
  </r>
  <r>
    <d v="2025-10-04T00:00:00"/>
    <m/>
    <x v="9"/>
    <m/>
    <n v="400"/>
    <m/>
    <m/>
    <m/>
    <m/>
    <m/>
    <m/>
    <m/>
    <m/>
  </r>
  <r>
    <d v="2025-10-04T00:00:00"/>
    <m/>
    <x v="3"/>
    <m/>
    <n v="50"/>
    <m/>
    <m/>
    <m/>
    <m/>
    <m/>
    <m/>
    <m/>
    <m/>
  </r>
  <r>
    <d v="2025-10-05T00:00:00"/>
    <s v="INV-689"/>
    <x v="2"/>
    <n v="120"/>
    <m/>
    <s v="NFS Delivery"/>
    <m/>
    <m/>
    <m/>
    <m/>
    <m/>
    <m/>
    <m/>
  </r>
  <r>
    <d v="2025-10-05T00:00:00"/>
    <s v="INV-690"/>
    <x v="2"/>
    <n v="320"/>
    <m/>
    <s v="Cash"/>
    <m/>
    <m/>
    <m/>
    <m/>
    <m/>
    <m/>
    <m/>
  </r>
  <r>
    <d v="2025-10-05T00:00:00"/>
    <s v="INV-691"/>
    <x v="2"/>
    <n v="240"/>
    <m/>
    <s v="Supplaykart"/>
    <m/>
    <m/>
    <m/>
    <m/>
    <m/>
    <m/>
    <m/>
  </r>
  <r>
    <d v="2025-10-05T00:00:00"/>
    <s v="INV-692"/>
    <x v="2"/>
    <n v="3450"/>
    <m/>
    <s v="Ya Salaam"/>
    <m/>
    <m/>
    <m/>
    <m/>
    <m/>
    <m/>
    <m/>
  </r>
  <r>
    <d v="2025-10-05T00:00:00"/>
    <s v="INV-693"/>
    <x v="2"/>
    <n v="1500"/>
    <m/>
    <s v="AL AZEEM CATERS &amp; RESTAURANT"/>
    <m/>
    <m/>
    <m/>
    <m/>
    <m/>
    <m/>
    <m/>
  </r>
  <r>
    <d v="2025-10-05T00:00:00"/>
    <m/>
    <x v="10"/>
    <m/>
    <n v="9000"/>
    <m/>
    <m/>
    <m/>
    <m/>
    <m/>
    <m/>
    <m/>
    <m/>
  </r>
  <r>
    <d v="2025-10-06T00:00:00"/>
    <s v="INV-694"/>
    <x v="2"/>
    <n v="240"/>
    <m/>
    <s v="Hotel Noordeen"/>
    <m/>
    <m/>
    <m/>
    <m/>
    <m/>
    <m/>
    <m/>
  </r>
  <r>
    <d v="2025-10-06T00:00:00"/>
    <s v="INV-695"/>
    <x v="2"/>
    <n v="260"/>
    <m/>
    <s v="Cash"/>
    <m/>
    <m/>
    <m/>
    <m/>
    <m/>
    <m/>
    <m/>
  </r>
  <r>
    <d v="2025-10-06T00:00:00"/>
    <s v="INV-696"/>
    <x v="2"/>
    <n v="320"/>
    <m/>
    <s v="Supplaykart"/>
    <m/>
    <m/>
    <m/>
    <m/>
    <m/>
    <m/>
    <m/>
  </r>
  <r>
    <d v="2025-10-06T00:00:00"/>
    <s v="INV-697"/>
    <x v="2"/>
    <n v="320"/>
    <m/>
    <s v="Hotel Bismi"/>
    <m/>
    <m/>
    <m/>
    <m/>
    <m/>
    <m/>
    <m/>
  </r>
  <r>
    <d v="2025-10-06T00:00:00"/>
    <s v="INV-698"/>
    <x v="2"/>
    <n v="240"/>
    <m/>
    <s v="Maraikar Shop"/>
    <m/>
    <m/>
    <m/>
    <m/>
    <m/>
    <m/>
    <m/>
  </r>
  <r>
    <d v="2025-10-06T00:00:00"/>
    <s v="INV-699"/>
    <x v="2"/>
    <n v="90"/>
    <m/>
    <s v="NFS Delivery"/>
    <m/>
    <m/>
    <m/>
    <m/>
    <m/>
    <m/>
    <m/>
  </r>
  <r>
    <d v="2025-10-06T00:00:00"/>
    <s v="INV-700"/>
    <x v="2"/>
    <n v="480"/>
    <m/>
    <s v="Darbar Catering"/>
    <m/>
    <m/>
    <m/>
    <m/>
    <m/>
    <m/>
    <m/>
  </r>
  <r>
    <d v="2025-10-06T00:00:00"/>
    <m/>
    <x v="1"/>
    <m/>
    <n v="5200"/>
    <m/>
    <s v="Old Ginger"/>
    <n v="104"/>
    <m/>
    <n v="50"/>
    <s v="Jakakodi Traders"/>
    <m/>
    <m/>
  </r>
  <r>
    <d v="2025-10-06T00:00:00"/>
    <m/>
    <x v="3"/>
    <m/>
    <n v="56"/>
    <m/>
    <m/>
    <m/>
    <m/>
    <m/>
    <m/>
    <m/>
    <m/>
  </r>
  <r>
    <d v="2025-10-07T00:00:00"/>
    <m/>
    <x v="1"/>
    <m/>
    <n v="3300"/>
    <m/>
    <s v="Old Ginger"/>
    <n v="66"/>
    <m/>
    <n v="50"/>
    <s v="Jakakodi Traders"/>
    <m/>
    <m/>
  </r>
  <r>
    <d v="2025-10-07T00:00:00"/>
    <s v="INV-701"/>
    <x v="2"/>
    <n v="3000"/>
    <m/>
    <s v="Hassim Catering"/>
    <m/>
    <m/>
    <m/>
    <m/>
    <m/>
    <m/>
    <m/>
  </r>
  <r>
    <d v="2025-10-07T00:00:00"/>
    <s v="INV-702"/>
    <x v="2"/>
    <n v="90"/>
    <m/>
    <s v="NFS Delivery"/>
    <m/>
    <m/>
    <m/>
    <m/>
    <m/>
    <m/>
    <m/>
  </r>
  <r>
    <d v="2025-10-07T00:00:00"/>
    <s v="INV-703"/>
    <x v="2"/>
    <n v="270"/>
    <m/>
    <s v="Cash"/>
    <m/>
    <m/>
    <m/>
    <m/>
    <m/>
    <m/>
    <m/>
  </r>
  <r>
    <d v="2025-10-07T00:00:00"/>
    <s v="INV-704"/>
    <x v="2"/>
    <n v="170"/>
    <m/>
    <s v="Mansoor"/>
    <m/>
    <m/>
    <m/>
    <m/>
    <m/>
    <m/>
    <m/>
  </r>
  <r>
    <d v="2025-10-07T00:00:00"/>
    <s v="INV-705"/>
    <x v="2"/>
    <n v="160"/>
    <m/>
    <s v="Hotel Noordeen"/>
    <m/>
    <m/>
    <m/>
    <m/>
    <m/>
    <m/>
    <m/>
  </r>
  <r>
    <d v="2025-10-07T00:00:00"/>
    <s v="INV-706"/>
    <x v="2"/>
    <n v="320"/>
    <m/>
    <s v="Darbar Catering"/>
    <m/>
    <m/>
    <m/>
    <m/>
    <m/>
    <m/>
    <m/>
  </r>
  <r>
    <d v="2025-10-07T00:00:00"/>
    <m/>
    <x v="3"/>
    <m/>
    <n v="50"/>
    <m/>
    <m/>
    <m/>
    <m/>
    <m/>
    <m/>
    <m/>
    <m/>
  </r>
  <r>
    <d v="2025-10-08T00:00:00"/>
    <s v="INV-707"/>
    <x v="2"/>
    <n v="430"/>
    <m/>
    <s v="NFS Delivery"/>
    <m/>
    <m/>
    <m/>
    <m/>
    <m/>
    <m/>
    <m/>
  </r>
  <r>
    <d v="2025-10-08T00:00:00"/>
    <s v="INV-708"/>
    <x v="2"/>
    <n v="240"/>
    <m/>
    <s v="Market Shop"/>
    <m/>
    <m/>
    <m/>
    <m/>
    <m/>
    <m/>
    <m/>
  </r>
  <r>
    <d v="2025-10-08T00:00:00"/>
    <s v="INV-709"/>
    <x v="2"/>
    <n v="90"/>
    <m/>
    <s v="Cash"/>
    <m/>
    <m/>
    <m/>
    <m/>
    <m/>
    <m/>
    <m/>
  </r>
  <r>
    <d v="2025-10-08T00:00:00"/>
    <s v="INV-710"/>
    <x v="2"/>
    <n v="80"/>
    <m/>
    <s v="Hotel Noordeen"/>
    <m/>
    <m/>
    <m/>
    <m/>
    <m/>
    <m/>
    <m/>
  </r>
  <r>
    <d v="2025-10-08T00:00:00"/>
    <s v="INV-711"/>
    <x v="2"/>
    <n v="320"/>
    <m/>
    <s v="Malaysian Fast Food"/>
    <m/>
    <m/>
    <m/>
    <m/>
    <m/>
    <m/>
    <m/>
  </r>
  <r>
    <d v="2025-10-08T00:00:00"/>
    <s v="INV-712"/>
    <x v="2"/>
    <n v="320"/>
    <m/>
    <s v="Hotel Bismi"/>
    <m/>
    <m/>
    <m/>
    <m/>
    <m/>
    <m/>
    <m/>
  </r>
  <r>
    <d v="2025-10-08T00:00:00"/>
    <s v="INV-713"/>
    <x v="2"/>
    <n v="480"/>
    <m/>
    <s v="AL RAYAAN MANDI"/>
    <m/>
    <m/>
    <m/>
    <m/>
    <m/>
    <m/>
    <m/>
  </r>
  <r>
    <d v="2025-10-08T00:00:00"/>
    <s v="INV-714"/>
    <x v="2"/>
    <n v="1500"/>
    <m/>
    <s v="AL AZEEM CATERS &amp; RESTAURANT"/>
    <m/>
    <m/>
    <m/>
    <m/>
    <m/>
    <m/>
    <m/>
  </r>
  <r>
    <d v="2025-10-08T00:00:00"/>
    <m/>
    <x v="9"/>
    <m/>
    <n v="380"/>
    <m/>
    <m/>
    <m/>
    <m/>
    <m/>
    <m/>
    <m/>
    <m/>
  </r>
  <r>
    <d v="2025-10-08T00:00:00"/>
    <m/>
    <x v="3"/>
    <m/>
    <n v="50"/>
    <m/>
    <m/>
    <m/>
    <m/>
    <m/>
    <m/>
    <m/>
    <m/>
  </r>
  <r>
    <d v="2025-10-09T00:00:00"/>
    <s v="INV-715"/>
    <x v="2"/>
    <n v="160"/>
    <m/>
    <s v="Hotel Noordeen"/>
    <m/>
    <m/>
    <m/>
    <m/>
    <m/>
    <m/>
    <m/>
  </r>
  <r>
    <d v="2025-10-09T00:00:00"/>
    <s v="INV-716"/>
    <x v="2"/>
    <n v="480"/>
    <m/>
    <s v="Hotel Bismi"/>
    <m/>
    <m/>
    <m/>
    <m/>
    <m/>
    <m/>
    <m/>
  </r>
  <r>
    <d v="2025-10-09T00:00:00"/>
    <s v="INV-717"/>
    <x v="2"/>
    <n v="170"/>
    <s v=" "/>
    <s v="Cash"/>
    <m/>
    <m/>
    <m/>
    <m/>
    <m/>
    <m/>
    <m/>
  </r>
  <r>
    <d v="2025-10-09T00:00:00"/>
    <s v="INV-718"/>
    <x v="2"/>
    <n v="160"/>
    <m/>
    <s v="Andrew Cook"/>
    <m/>
    <m/>
    <m/>
    <m/>
    <m/>
    <m/>
    <m/>
  </r>
  <r>
    <d v="2025-10-09T00:00:00"/>
    <s v="INV-719"/>
    <x v="2"/>
    <n v="3000"/>
    <m/>
    <s v="Halidh Cook"/>
    <m/>
    <m/>
    <m/>
    <m/>
    <m/>
    <m/>
    <m/>
  </r>
  <r>
    <d v="2025-10-09T00:00:00"/>
    <s v="INV-720"/>
    <x v="2"/>
    <n v="750"/>
    <m/>
    <s v="Ar rahim hotel"/>
    <m/>
    <m/>
    <m/>
    <m/>
    <m/>
    <m/>
    <m/>
  </r>
  <r>
    <d v="2025-10-09T00:00:00"/>
    <s v="INV-721"/>
    <x v="2"/>
    <n v="450"/>
    <m/>
    <s v="Ameen Master Chef"/>
    <m/>
    <m/>
    <m/>
    <m/>
    <m/>
    <m/>
    <m/>
  </r>
  <r>
    <d v="2025-10-09T00:00:00"/>
    <s v="INV-722"/>
    <x v="2"/>
    <n v="300"/>
    <m/>
    <s v="Faizal Nagai"/>
    <m/>
    <m/>
    <m/>
    <m/>
    <m/>
    <m/>
    <m/>
  </r>
  <r>
    <d v="2025-10-09T00:00:00"/>
    <s v="INV-723"/>
    <x v="2"/>
    <n v="3000"/>
    <m/>
    <s v="Hassim Catering"/>
    <m/>
    <m/>
    <m/>
    <m/>
    <m/>
    <m/>
    <m/>
  </r>
  <r>
    <d v="2025-10-09T00:00:00"/>
    <m/>
    <x v="5"/>
    <m/>
    <n v="500"/>
    <m/>
    <m/>
    <m/>
    <m/>
    <m/>
    <m/>
    <m/>
    <s v="Electrician wage"/>
  </r>
  <r>
    <d v="2025-10-09T00:00:00"/>
    <m/>
    <x v="11"/>
    <m/>
    <n v="620"/>
    <m/>
    <m/>
    <m/>
    <m/>
    <m/>
    <m/>
    <m/>
    <s v="Hardwares"/>
  </r>
  <r>
    <d v="2025-10-09T00:00:00"/>
    <m/>
    <x v="3"/>
    <m/>
    <n v="50"/>
    <m/>
    <m/>
    <m/>
    <m/>
    <m/>
    <m/>
    <m/>
    <m/>
  </r>
  <r>
    <d v="2025-10-10T00:00:00"/>
    <m/>
    <x v="12"/>
    <m/>
    <n v="17431"/>
    <m/>
    <s v="Naatu Poondu"/>
    <n v="60"/>
    <n v="1051"/>
    <n v="273"/>
    <s v="SVG Garlics"/>
    <m/>
    <m/>
  </r>
  <r>
    <d v="2025-10-10T00:00:00"/>
    <s v="INV-724"/>
    <x v="2"/>
    <n v="1500"/>
    <m/>
    <s v="Hassim Catering"/>
    <m/>
    <m/>
    <m/>
    <m/>
    <m/>
    <m/>
    <m/>
  </r>
  <r>
    <d v="2025-10-10T00:00:00"/>
    <s v="INV-725"/>
    <x v="2"/>
    <n v="320"/>
    <m/>
    <s v="VANJUR SHOP MARKET VASAL"/>
    <m/>
    <m/>
    <m/>
    <m/>
    <m/>
    <m/>
    <m/>
  </r>
  <r>
    <d v="2025-10-10T00:00:00"/>
    <s v="INV-726"/>
    <x v="2"/>
    <n v="160"/>
    <m/>
    <s v="Hotel Noordeen"/>
    <m/>
    <m/>
    <m/>
    <m/>
    <m/>
    <m/>
    <m/>
  </r>
  <r>
    <d v="2025-10-10T00:00:00"/>
    <s v="INV-727"/>
    <x v="2"/>
    <n v="480"/>
    <m/>
    <s v="Hotel Bismi"/>
    <m/>
    <m/>
    <m/>
    <m/>
    <m/>
    <m/>
    <m/>
  </r>
  <r>
    <d v="2025-10-10T00:00:00"/>
    <s v="INV-728"/>
    <x v="2"/>
    <n v="1500"/>
    <m/>
    <s v="AL AZEEM CATERS &amp; RESTAURANT"/>
    <m/>
    <m/>
    <m/>
    <m/>
    <m/>
    <m/>
    <m/>
  </r>
  <r>
    <d v="2025-10-10T00:00:00"/>
    <s v="INV-729"/>
    <x v="2"/>
    <n v="160"/>
    <m/>
    <s v="Supplaykart"/>
    <m/>
    <m/>
    <m/>
    <m/>
    <m/>
    <m/>
    <m/>
  </r>
  <r>
    <d v="2025-10-10T00:00:00"/>
    <s v="INV-730"/>
    <x v="2"/>
    <n v="750"/>
    <m/>
    <s v="Hassim Catering"/>
    <m/>
    <m/>
    <m/>
    <m/>
    <m/>
    <m/>
    <m/>
  </r>
  <r>
    <d v="2025-10-10T00:00:00"/>
    <m/>
    <x v="3"/>
    <m/>
    <n v="50"/>
    <m/>
    <m/>
    <m/>
    <m/>
    <m/>
    <m/>
    <m/>
    <m/>
  </r>
  <r>
    <d v="2025-10-11T00:00:00"/>
    <m/>
    <x v="1"/>
    <m/>
    <n v="1600"/>
    <m/>
    <s v="Old Ginger"/>
    <n v="64"/>
    <m/>
    <n v="25"/>
    <s v="Jakakodi Traders"/>
    <m/>
    <m/>
  </r>
  <r>
    <d v="2025-10-11T00:00:00"/>
    <s v="INV-731"/>
    <x v="2"/>
    <n v="480"/>
    <m/>
    <s v="Darbar Catering"/>
    <m/>
    <m/>
    <m/>
    <m/>
    <m/>
    <m/>
    <m/>
  </r>
  <r>
    <d v="2025-10-11T00:00:00"/>
    <s v="INV-732"/>
    <x v="2"/>
    <n v="560"/>
    <m/>
    <s v="Hotel Noordeen"/>
    <m/>
    <m/>
    <m/>
    <m/>
    <m/>
    <m/>
    <m/>
  </r>
  <r>
    <d v="2025-10-11T00:00:00"/>
    <s v="INV-733"/>
    <x v="2"/>
    <n v="480"/>
    <m/>
    <s v="Hotel Bismi"/>
    <m/>
    <m/>
    <m/>
    <m/>
    <m/>
    <m/>
    <m/>
  </r>
  <r>
    <d v="2025-10-11T00:00:00"/>
    <s v="INV-734"/>
    <x v="2"/>
    <n v="3000"/>
    <m/>
    <s v="Ameen Master Chef"/>
    <m/>
    <m/>
    <m/>
    <m/>
    <m/>
    <m/>
    <m/>
  </r>
  <r>
    <d v="2025-10-11T00:00:00"/>
    <m/>
    <x v="4"/>
    <m/>
    <n v="800"/>
    <m/>
    <m/>
    <m/>
    <m/>
    <m/>
    <m/>
    <m/>
    <s v="Stickers"/>
  </r>
  <r>
    <d v="2025-10-11T00:00:00"/>
    <m/>
    <x v="3"/>
    <m/>
    <n v="50"/>
    <m/>
    <m/>
    <m/>
    <m/>
    <m/>
    <m/>
    <m/>
    <m/>
  </r>
  <r>
    <d v="2025-10-11T00:00:00"/>
    <m/>
    <x v="6"/>
    <m/>
    <n v="250"/>
    <m/>
    <m/>
    <m/>
    <m/>
    <m/>
    <m/>
    <m/>
    <m/>
  </r>
  <r>
    <d v="2025-10-11T00:00:00"/>
    <m/>
    <x v="4"/>
    <m/>
    <n v="430"/>
    <m/>
    <m/>
    <m/>
    <m/>
    <m/>
    <m/>
    <m/>
    <s v="Pouches"/>
  </r>
  <r>
    <d v="2025-10-11T00:00:00"/>
    <s v="INV-735"/>
    <x v="2"/>
    <n v="500"/>
    <m/>
    <s v="NFS Delivery"/>
    <m/>
    <m/>
    <m/>
    <m/>
    <m/>
    <m/>
    <m/>
  </r>
  <r>
    <d v="2025-10-11T00:00:00"/>
    <s v="INV-736"/>
    <x v="2"/>
    <n v="340"/>
    <m/>
    <s v="habeeb"/>
    <m/>
    <m/>
    <m/>
    <m/>
    <m/>
    <m/>
    <m/>
  </r>
  <r>
    <d v="2025-10-12T00:00:00"/>
    <s v="INV-737"/>
    <x v="2"/>
    <n v="350"/>
    <m/>
    <s v="NFS Delivery"/>
    <m/>
    <m/>
    <m/>
    <m/>
    <m/>
    <m/>
    <m/>
  </r>
  <r>
    <d v="2025-10-12T00:00:00"/>
    <s v="INV-738"/>
    <x v="2"/>
    <n v="320"/>
    <m/>
    <s v="Malaysian Fast Food"/>
    <m/>
    <m/>
    <m/>
    <m/>
    <m/>
    <m/>
    <m/>
  </r>
  <r>
    <d v="2025-10-12T00:00:00"/>
    <s v="INV-739"/>
    <x v="2"/>
    <n v="160"/>
    <m/>
    <s v="Supplaykart"/>
    <m/>
    <m/>
    <m/>
    <m/>
    <m/>
    <m/>
    <m/>
  </r>
  <r>
    <d v="2025-10-13T00:00:00"/>
    <s v="INV-740"/>
    <x v="2"/>
    <n v="750"/>
    <m/>
    <s v="Hassim Catering"/>
    <m/>
    <m/>
    <m/>
    <m/>
    <m/>
    <m/>
    <m/>
  </r>
  <r>
    <d v="2025-10-13T00:00:00"/>
    <s v="INV-741"/>
    <x v="2"/>
    <n v="100"/>
    <m/>
    <s v="Hassan"/>
    <m/>
    <m/>
    <m/>
    <m/>
    <m/>
    <m/>
    <m/>
  </r>
  <r>
    <d v="2025-10-13T00:00:00"/>
    <s v="INV-742"/>
    <x v="2"/>
    <n v="160"/>
    <m/>
    <s v="sandwich shop"/>
    <m/>
    <m/>
    <m/>
    <m/>
    <m/>
    <m/>
    <m/>
  </r>
  <r>
    <d v="2025-10-13T00:00:00"/>
    <s v="INV-743"/>
    <x v="2"/>
    <n v="160"/>
    <m/>
    <s v="Hotel Noordeen"/>
    <m/>
    <m/>
    <m/>
    <m/>
    <m/>
    <m/>
    <m/>
  </r>
  <r>
    <d v="2025-10-13T00:00:00"/>
    <s v="INV-744"/>
    <x v="2"/>
    <n v="320"/>
    <m/>
    <s v="Hotel Bismi"/>
    <m/>
    <m/>
    <m/>
    <m/>
    <m/>
    <m/>
    <m/>
  </r>
  <r>
    <d v="2025-10-13T00:00:00"/>
    <s v="INV-745"/>
    <x v="2"/>
    <n v="240"/>
    <m/>
    <s v="Maraikar Shop"/>
    <m/>
    <m/>
    <m/>
    <m/>
    <m/>
    <m/>
    <m/>
  </r>
  <r>
    <d v="2025-10-13T00:00:00"/>
    <s v="INV-746"/>
    <x v="2"/>
    <n v="320"/>
    <m/>
    <s v="RR mini Mart"/>
    <m/>
    <m/>
    <m/>
    <m/>
    <m/>
    <m/>
    <m/>
  </r>
  <r>
    <d v="2025-10-13T00:00:00"/>
    <s v="INV-747"/>
    <x v="2"/>
    <n v="1500"/>
    <m/>
    <s v="AL AZEEM CATERS &amp; RESTAURANT"/>
    <m/>
    <m/>
    <m/>
    <m/>
    <m/>
    <m/>
    <m/>
  </r>
  <r>
    <d v="2025-10-13T00:00:00"/>
    <s v="INV-748"/>
    <x v="2"/>
    <n v="60"/>
    <m/>
    <s v="Cash"/>
    <m/>
    <m/>
    <m/>
    <m/>
    <m/>
    <m/>
    <m/>
  </r>
  <r>
    <d v="2025-10-13T00:00:00"/>
    <s v="INV-749"/>
    <x v="2"/>
    <n v="160"/>
    <m/>
    <s v="Burhaan"/>
    <m/>
    <m/>
    <m/>
    <m/>
    <m/>
    <m/>
    <m/>
  </r>
  <r>
    <d v="2025-10-13T00:00:00"/>
    <m/>
    <x v="3"/>
    <m/>
    <n v="50"/>
    <m/>
    <m/>
    <m/>
    <m/>
    <m/>
    <m/>
    <m/>
    <m/>
  </r>
  <r>
    <d v="2025-10-14T00:00:00"/>
    <m/>
    <x v="1"/>
    <m/>
    <n v="2500"/>
    <m/>
    <s v="Old Ginger"/>
    <n v="62.5"/>
    <m/>
    <n v="40"/>
    <s v="Jakakodi Traders"/>
    <m/>
    <m/>
  </r>
  <r>
    <d v="2025-10-14T00:00:00"/>
    <s v="INV-750"/>
    <x v="2"/>
    <n v="1500"/>
    <m/>
    <s v="Hassim Catering"/>
    <m/>
    <m/>
    <m/>
    <m/>
    <m/>
    <m/>
    <m/>
  </r>
  <r>
    <d v="2025-10-14T00:00:00"/>
    <s v="INV-751"/>
    <x v="2"/>
    <n v="160"/>
    <m/>
    <s v="Darbar Catering"/>
    <m/>
    <m/>
    <m/>
    <m/>
    <m/>
    <m/>
    <m/>
  </r>
  <r>
    <d v="2025-10-14T00:00:00"/>
    <s v="INV-752"/>
    <x v="2"/>
    <n v="240"/>
    <m/>
    <s v="Hotel Noordeen"/>
    <m/>
    <m/>
    <m/>
    <m/>
    <m/>
    <m/>
    <m/>
  </r>
  <r>
    <d v="2025-10-14T00:00:00"/>
    <s v="INV-753"/>
    <x v="2"/>
    <n v="320"/>
    <m/>
    <s v="Hotel Bismi"/>
    <m/>
    <m/>
    <m/>
    <m/>
    <m/>
    <m/>
    <m/>
  </r>
  <r>
    <d v="2025-10-14T00:00:00"/>
    <s v="INV-754"/>
    <x v="2"/>
    <n v="510"/>
    <m/>
    <s v="NFS Delivery"/>
    <m/>
    <m/>
    <m/>
    <m/>
    <m/>
    <m/>
    <m/>
  </r>
  <r>
    <d v="2025-10-14T00:00:00"/>
    <m/>
    <x v="3"/>
    <m/>
    <n v="50"/>
    <m/>
    <m/>
    <m/>
    <m/>
    <m/>
    <m/>
    <m/>
    <m/>
  </r>
  <r>
    <d v="2025-10-14T00:00:00"/>
    <m/>
    <x v="8"/>
    <m/>
    <n v="160"/>
    <m/>
    <m/>
    <m/>
    <m/>
    <m/>
    <m/>
    <m/>
    <m/>
  </r>
  <r>
    <d v="2025-10-15T00:00:00"/>
    <s v="INV-755"/>
    <x v="2"/>
    <n v="750"/>
    <m/>
    <s v="Ar rahim hotel"/>
    <m/>
    <m/>
    <m/>
    <m/>
    <m/>
    <m/>
    <m/>
  </r>
  <r>
    <d v="2025-10-15T00:00:00"/>
    <s v="INV-756"/>
    <x v="2"/>
    <n v="300"/>
    <m/>
    <s v="ansari"/>
    <m/>
    <m/>
    <m/>
    <m/>
    <m/>
    <m/>
    <m/>
  </r>
  <r>
    <d v="2025-10-15T00:00:00"/>
    <s v="INV-757"/>
    <x v="2"/>
    <n v="320"/>
    <m/>
    <s v="Ameen Master Chef"/>
    <m/>
    <m/>
    <m/>
    <m/>
    <m/>
    <m/>
    <m/>
  </r>
  <r>
    <d v="2025-10-15T00:00:00"/>
    <s v="INV-758"/>
    <x v="2"/>
    <n v="160"/>
    <m/>
    <s v="Ya Salaam"/>
    <m/>
    <m/>
    <m/>
    <m/>
    <m/>
    <m/>
    <m/>
  </r>
  <r>
    <d v="2025-10-15T00:00:00"/>
    <s v="INV-759"/>
    <x v="2"/>
    <n v="600"/>
    <m/>
    <s v="NFS Delivery"/>
    <m/>
    <m/>
    <m/>
    <m/>
    <m/>
    <m/>
    <m/>
  </r>
  <r>
    <d v="2025-10-15T00:00:00"/>
    <s v="INV-760"/>
    <x v="2"/>
    <n v="240"/>
    <m/>
    <s v="Hotel Noordeen"/>
    <m/>
    <m/>
    <m/>
    <m/>
    <m/>
    <m/>
    <m/>
  </r>
  <r>
    <d v="2025-10-15T00:00:00"/>
    <s v="INV-761"/>
    <x v="2"/>
    <n v="320"/>
    <m/>
    <s v="Hotel Bismi"/>
    <m/>
    <m/>
    <m/>
    <m/>
    <m/>
    <m/>
    <m/>
  </r>
  <r>
    <d v="2025-10-15T00:00:00"/>
    <s v="INV-762"/>
    <x v="2"/>
    <n v="90"/>
    <m/>
    <s v="Cash"/>
    <m/>
    <m/>
    <m/>
    <m/>
    <m/>
    <m/>
    <m/>
  </r>
  <r>
    <d v="2025-10-15T00:00:00"/>
    <s v="INV-763"/>
    <x v="2"/>
    <n v="640"/>
    <m/>
    <s v="Darbar Catering"/>
    <m/>
    <m/>
    <m/>
    <m/>
    <m/>
    <m/>
    <m/>
  </r>
  <r>
    <d v="2025-10-15T00:00:00"/>
    <s v="INV-764"/>
    <x v="2"/>
    <n v="1800"/>
    <m/>
    <s v="Ameen Master Chef"/>
    <m/>
    <m/>
    <m/>
    <m/>
    <m/>
    <m/>
    <m/>
  </r>
  <r>
    <d v="2025-10-15T00:00:00"/>
    <m/>
    <x v="9"/>
    <m/>
    <n v="400"/>
    <m/>
    <m/>
    <m/>
    <m/>
    <m/>
    <m/>
    <m/>
    <m/>
  </r>
  <r>
    <d v="2025-10-15T00:00:00"/>
    <m/>
    <x v="11"/>
    <m/>
    <n v="80"/>
    <m/>
    <m/>
    <m/>
    <m/>
    <m/>
    <m/>
    <m/>
    <m/>
  </r>
  <r>
    <d v="2025-10-15T00:00:00"/>
    <m/>
    <x v="3"/>
    <m/>
    <n v="50"/>
    <m/>
    <m/>
    <m/>
    <m/>
    <m/>
    <m/>
    <m/>
    <m/>
  </r>
  <r>
    <d v="2025-10-16T00:00:00"/>
    <s v="INV-765"/>
    <x v="2"/>
    <n v="420"/>
    <m/>
    <s v="NFS Delivery"/>
    <m/>
    <m/>
    <m/>
    <m/>
    <m/>
    <m/>
    <m/>
  </r>
  <r>
    <d v="2025-10-16T00:00:00"/>
    <s v="INV-766"/>
    <x v="2"/>
    <n v="320"/>
    <m/>
    <s v="Chennai Tawa Beef"/>
    <m/>
    <m/>
    <m/>
    <m/>
    <m/>
    <m/>
    <m/>
  </r>
  <r>
    <d v="2025-10-16T00:00:00"/>
    <s v="INV-767"/>
    <x v="2"/>
    <n v="480"/>
    <m/>
    <s v="Hotel Bismi"/>
    <m/>
    <m/>
    <m/>
    <m/>
    <m/>
    <m/>
    <m/>
  </r>
  <r>
    <d v="2025-10-16T00:00:00"/>
    <s v="INV-768"/>
    <x v="2"/>
    <n v="2250"/>
    <m/>
    <s v="Hassim Catering"/>
    <m/>
    <m/>
    <m/>
    <m/>
    <m/>
    <m/>
    <m/>
  </r>
  <r>
    <d v="2025-10-16T00:00:00"/>
    <s v="INV-769"/>
    <x v="2"/>
    <n v="750"/>
    <s v=" "/>
    <s v="Riyas Bandari"/>
    <m/>
    <m/>
    <m/>
    <m/>
    <m/>
    <m/>
    <m/>
  </r>
  <r>
    <d v="2025-10-16T00:00:00"/>
    <m/>
    <x v="3"/>
    <m/>
    <n v="65"/>
    <m/>
    <m/>
    <m/>
    <m/>
    <m/>
    <m/>
    <m/>
    <m/>
  </r>
  <r>
    <d v="2025-10-17T00:00:00"/>
    <s v="INV-770"/>
    <x v="2"/>
    <n v="305"/>
    <m/>
    <s v="Arafath"/>
    <m/>
    <m/>
    <m/>
    <m/>
    <m/>
    <m/>
    <m/>
  </r>
  <r>
    <d v="2025-10-17T00:00:00"/>
    <s v="INV-771"/>
    <x v="2"/>
    <n v="640"/>
    <m/>
    <s v="Bilal Cook"/>
    <m/>
    <m/>
    <m/>
    <m/>
    <m/>
    <m/>
    <m/>
  </r>
  <r>
    <d v="2025-10-17T00:00:00"/>
    <s v="INV-772"/>
    <x v="2"/>
    <n v="320"/>
    <m/>
    <s v="Mansoor"/>
    <m/>
    <m/>
    <m/>
    <m/>
    <m/>
    <m/>
    <m/>
  </r>
  <r>
    <d v="2025-10-17T00:00:00"/>
    <s v="INV-773"/>
    <x v="2"/>
    <n v="300"/>
    <m/>
    <s v="Hotel Anas"/>
    <m/>
    <m/>
    <m/>
    <m/>
    <m/>
    <m/>
    <m/>
  </r>
  <r>
    <d v="2025-10-17T00:00:00"/>
    <s v="INV-774"/>
    <x v="2"/>
    <n v="640"/>
    <m/>
    <s v="Hotel Noordeen"/>
    <m/>
    <m/>
    <m/>
    <m/>
    <m/>
    <m/>
    <m/>
  </r>
  <r>
    <d v="2025-10-17T00:00:00"/>
    <s v="INV-775"/>
    <x v="2"/>
    <n v="160"/>
    <m/>
    <s v="Chennai Tawa Beef"/>
    <m/>
    <m/>
    <m/>
    <m/>
    <m/>
    <m/>
    <m/>
  </r>
  <r>
    <d v="2025-10-17T00:00:00"/>
    <s v="INV-776"/>
    <x v="2"/>
    <n v="400"/>
    <m/>
    <s v="Hassan"/>
    <m/>
    <m/>
    <m/>
    <m/>
    <m/>
    <m/>
    <m/>
  </r>
  <r>
    <d v="2025-10-17T00:00:00"/>
    <s v="INV-777"/>
    <x v="2"/>
    <n v="1500"/>
    <m/>
    <s v="AL AZEEM CATERS &amp; RESTAURANT"/>
    <m/>
    <m/>
    <m/>
    <m/>
    <m/>
    <m/>
    <m/>
  </r>
  <r>
    <d v="2025-10-17T00:00:00"/>
    <s v="INV-778"/>
    <x v="2"/>
    <n v="3750"/>
    <m/>
    <s v="Hassim Catering"/>
    <m/>
    <m/>
    <m/>
    <m/>
    <m/>
    <m/>
    <m/>
  </r>
  <r>
    <d v="2025-10-17T00:00:00"/>
    <s v="INV-779"/>
    <x v="2"/>
    <n v="320"/>
    <m/>
    <s v="Riyas Bandari"/>
    <m/>
    <m/>
    <m/>
    <m/>
    <m/>
    <m/>
    <m/>
  </r>
  <r>
    <d v="2025-10-17T00:00:00"/>
    <m/>
    <x v="7"/>
    <m/>
    <n v="2000"/>
    <m/>
    <m/>
    <m/>
    <m/>
    <m/>
    <m/>
    <m/>
    <s v="Diwali Bonus"/>
  </r>
  <r>
    <d v="2025-10-17T00:00:00"/>
    <m/>
    <x v="13"/>
    <m/>
    <n v="550"/>
    <m/>
    <m/>
    <m/>
    <m/>
    <m/>
    <m/>
    <m/>
    <m/>
  </r>
  <r>
    <d v="2025-10-17T00:00:00"/>
    <m/>
    <x v="3"/>
    <m/>
    <n v="50"/>
    <m/>
    <m/>
    <m/>
    <m/>
    <m/>
    <m/>
    <m/>
    <m/>
  </r>
  <r>
    <d v="2025-10-18T00:00:00"/>
    <m/>
    <x v="1"/>
    <m/>
    <n v="3350"/>
    <m/>
    <s v="Old Ginger"/>
    <n v="67"/>
    <m/>
    <n v="50"/>
    <s v="Jakakodi Traders"/>
    <m/>
    <m/>
  </r>
  <r>
    <d v="2025-10-18T00:00:00"/>
    <s v="INV-780"/>
    <x v="2"/>
    <n v="900"/>
    <m/>
    <s v="Ameen Master Chef"/>
    <m/>
    <m/>
    <m/>
    <m/>
    <m/>
    <m/>
    <m/>
  </r>
  <r>
    <d v="2025-10-18T00:00:00"/>
    <s v="INV-781"/>
    <x v="2"/>
    <n v="640"/>
    <m/>
    <s v="Hassim Catering"/>
    <m/>
    <m/>
    <m/>
    <m/>
    <m/>
    <m/>
    <m/>
  </r>
  <r>
    <d v="2025-10-18T00:00:00"/>
    <s v="INV-782"/>
    <x v="2"/>
    <n v="320"/>
    <m/>
    <s v="Chennai Tawa Beef"/>
    <m/>
    <m/>
    <m/>
    <m/>
    <m/>
    <m/>
    <m/>
  </r>
  <r>
    <d v="2025-10-18T00:00:00"/>
    <s v="INV-783"/>
    <x v="2"/>
    <n v="90"/>
    <m/>
    <s v="Cash"/>
    <m/>
    <m/>
    <m/>
    <m/>
    <m/>
    <m/>
    <m/>
  </r>
  <r>
    <d v="2025-10-18T00:00:00"/>
    <s v="INV-784"/>
    <x v="2"/>
    <n v="320"/>
    <m/>
    <s v="NFS Delivery"/>
    <m/>
    <m/>
    <m/>
    <m/>
    <m/>
    <m/>
    <m/>
  </r>
  <r>
    <d v="2025-10-18T00:00:00"/>
    <s v="INV-785"/>
    <x v="2"/>
    <n v="320"/>
    <m/>
    <s v="Hotel Bismi"/>
    <m/>
    <m/>
    <m/>
    <m/>
    <m/>
    <m/>
    <m/>
  </r>
  <r>
    <d v="2025-10-18T00:00:00"/>
    <s v="INV-786"/>
    <x v="2"/>
    <n v="320"/>
    <m/>
    <s v="Malaysian Fast Food"/>
    <m/>
    <m/>
    <m/>
    <m/>
    <m/>
    <m/>
    <m/>
  </r>
  <r>
    <d v="2025-10-18T00:00:00"/>
    <s v="INV-787"/>
    <x v="2"/>
    <n v="160"/>
    <m/>
    <s v="Burhaan"/>
    <m/>
    <m/>
    <m/>
    <m/>
    <m/>
    <m/>
    <m/>
  </r>
  <r>
    <d v="2025-10-18T00:00:00"/>
    <s v="INV-788"/>
    <x v="2"/>
    <n v="900"/>
    <m/>
    <s v="Halidh Cook"/>
    <m/>
    <m/>
    <m/>
    <m/>
    <m/>
    <m/>
    <m/>
  </r>
  <r>
    <d v="2025-10-18T00:00:00"/>
    <s v="INV-789"/>
    <x v="2"/>
    <n v="320"/>
    <m/>
    <s v="Riyas Bandari"/>
    <m/>
    <m/>
    <m/>
    <m/>
    <m/>
    <m/>
    <m/>
  </r>
  <r>
    <d v="2025-10-18T00:00:00"/>
    <s v="INV-790"/>
    <x v="2"/>
    <n v="160"/>
    <m/>
    <s v="RR mini Mart"/>
    <m/>
    <m/>
    <m/>
    <m/>
    <m/>
    <m/>
    <m/>
  </r>
  <r>
    <d v="2025-10-18T00:00:00"/>
    <s v="INV-791"/>
    <x v="2"/>
    <n v="2700"/>
    <m/>
    <s v="AL AZEEM CATERS &amp; RESTAURANT"/>
    <m/>
    <m/>
    <m/>
    <m/>
    <m/>
    <m/>
    <m/>
  </r>
  <r>
    <d v="2025-10-18T00:00:00"/>
    <m/>
    <x v="11"/>
    <m/>
    <n v="207"/>
    <m/>
    <m/>
    <m/>
    <m/>
    <m/>
    <m/>
    <m/>
    <m/>
  </r>
  <r>
    <d v="2025-10-18T00:00:00"/>
    <m/>
    <x v="3"/>
    <m/>
    <n v="50"/>
    <m/>
    <m/>
    <m/>
    <m/>
    <m/>
    <m/>
    <m/>
    <m/>
  </r>
  <r>
    <d v="2025-10-19T00:00:00"/>
    <s v="INV-792"/>
    <x v="2"/>
    <n v="1500"/>
    <m/>
    <s v="Ar rahim hotel"/>
    <m/>
    <m/>
    <m/>
    <m/>
    <m/>
    <m/>
    <m/>
  </r>
  <r>
    <d v="2025-10-19T00:00:00"/>
    <s v="INV-793"/>
    <x v="2"/>
    <n v="640"/>
    <m/>
    <s v="Hotel Bismi"/>
    <m/>
    <m/>
    <m/>
    <m/>
    <m/>
    <m/>
    <m/>
  </r>
  <r>
    <d v="2025-10-19T00:00:00"/>
    <s v="INV-794"/>
    <x v="2"/>
    <n v="480"/>
    <m/>
    <s v="Chennai Tawa Beef"/>
    <m/>
    <m/>
    <m/>
    <m/>
    <m/>
    <m/>
    <m/>
  </r>
  <r>
    <d v="2025-10-19T00:00:00"/>
    <s v="INV-795"/>
    <x v="2"/>
    <n v="320"/>
    <m/>
    <s v="Hotel Noordeen"/>
    <m/>
    <m/>
    <m/>
    <m/>
    <m/>
    <m/>
    <m/>
  </r>
  <r>
    <d v="2025-10-19T00:00:00"/>
    <s v="INV-796"/>
    <x v="2"/>
    <n v="200"/>
    <m/>
    <s v="Cash"/>
    <m/>
    <m/>
    <m/>
    <m/>
    <m/>
    <m/>
    <m/>
  </r>
  <r>
    <d v="2025-10-19T00:00:00"/>
    <m/>
    <x v="3"/>
    <m/>
    <n v="50"/>
    <m/>
    <m/>
    <m/>
    <m/>
    <m/>
    <m/>
    <m/>
    <m/>
  </r>
  <r>
    <d v="2025-10-20T00:00:00"/>
    <s v="INV-797"/>
    <x v="2"/>
    <n v="1500"/>
    <m/>
    <s v="AL AZEEM CATERS &amp; RESTAURANT"/>
    <m/>
    <m/>
    <m/>
    <m/>
    <m/>
    <m/>
    <m/>
  </r>
  <r>
    <d v="2025-10-20T00:00:00"/>
    <s v="INV-798"/>
    <x v="2"/>
    <n v="2250"/>
    <m/>
    <s v="Hassim Catering"/>
    <m/>
    <m/>
    <m/>
    <m/>
    <m/>
    <m/>
    <m/>
  </r>
  <r>
    <d v="2025-10-20T00:00:00"/>
    <s v="INV-799"/>
    <x v="2"/>
    <n v="800"/>
    <m/>
    <s v="Hotel Noordeen"/>
    <m/>
    <m/>
    <m/>
    <m/>
    <m/>
    <m/>
    <m/>
  </r>
  <r>
    <d v="2025-10-20T00:00:00"/>
    <s v="INV-800"/>
    <x v="2"/>
    <n v="400"/>
    <m/>
    <s v="Darbar Catering"/>
    <m/>
    <m/>
    <m/>
    <m/>
    <m/>
    <m/>
    <m/>
  </r>
  <r>
    <d v="2025-10-20T00:00:00"/>
    <s v="INV-801"/>
    <x v="2"/>
    <n v="750"/>
    <m/>
    <s v="Cash"/>
    <m/>
    <m/>
    <m/>
    <m/>
    <m/>
    <m/>
    <m/>
  </r>
  <r>
    <d v="2025-10-20T00:00:00"/>
    <s v="INV-802"/>
    <x v="2"/>
    <n v="320"/>
    <m/>
    <s v="Malaysian Fast Food"/>
    <m/>
    <m/>
    <m/>
    <m/>
    <m/>
    <m/>
    <m/>
  </r>
  <r>
    <d v="2025-10-20T00:00:00"/>
    <s v="INV-803"/>
    <x v="2"/>
    <n v="1370"/>
    <m/>
    <s v="NFS Delivery"/>
    <m/>
    <m/>
    <m/>
    <m/>
    <m/>
    <m/>
    <m/>
  </r>
  <r>
    <d v="2025-10-20T00:00:00"/>
    <s v="INV-804"/>
    <x v="2"/>
    <n v="240"/>
    <m/>
    <s v="Maraikar Shop"/>
    <m/>
    <m/>
    <m/>
    <m/>
    <m/>
    <m/>
    <m/>
  </r>
  <r>
    <d v="2025-10-20T00:00:00"/>
    <s v="INV-805"/>
    <x v="2"/>
    <n v="160"/>
    <m/>
    <s v="Hotel Anas"/>
    <m/>
    <m/>
    <m/>
    <m/>
    <m/>
    <m/>
    <m/>
  </r>
  <r>
    <d v="2025-10-20T00:00:00"/>
    <s v="INV-806"/>
    <x v="2"/>
    <n v="160"/>
    <m/>
    <s v="Chennai Tawa Beef"/>
    <m/>
    <m/>
    <m/>
    <m/>
    <m/>
    <m/>
    <m/>
  </r>
  <r>
    <d v="2025-10-20T00:00:00"/>
    <s v="INV-807"/>
    <x v="2"/>
    <n v="80"/>
    <m/>
    <s v="Supplaykart"/>
    <m/>
    <m/>
    <m/>
    <m/>
    <m/>
    <m/>
    <m/>
  </r>
  <r>
    <d v="2025-10-20T00:00:00"/>
    <s v="INV-808"/>
    <x v="2"/>
    <n v="80"/>
    <m/>
    <s v="sandwich shop"/>
    <m/>
    <m/>
    <m/>
    <m/>
    <m/>
    <m/>
    <m/>
  </r>
  <r>
    <d v="2025-10-20T00:00:00"/>
    <m/>
    <x v="11"/>
    <m/>
    <n v="100"/>
    <m/>
    <m/>
    <m/>
    <m/>
    <m/>
    <m/>
    <m/>
    <m/>
  </r>
  <r>
    <d v="2025-10-21T00:00:00"/>
    <s v="INV-809"/>
    <x v="2"/>
    <n v="160"/>
    <m/>
    <s v="Hotel Anas"/>
    <m/>
    <m/>
    <m/>
    <m/>
    <m/>
    <m/>
    <m/>
  </r>
  <r>
    <d v="2025-10-21T00:00:00"/>
    <s v="INV-810"/>
    <x v="2"/>
    <n v="320"/>
    <m/>
    <s v="Chennai Tawa Beef"/>
    <m/>
    <m/>
    <m/>
    <m/>
    <m/>
    <m/>
    <m/>
  </r>
  <r>
    <d v="2025-10-21T00:00:00"/>
    <s v="INV-811"/>
    <x v="2"/>
    <n v="480"/>
    <m/>
    <s v="NFS Delivery"/>
    <m/>
    <m/>
    <m/>
    <m/>
    <m/>
    <m/>
    <m/>
  </r>
  <r>
    <d v="2025-10-21T00:00:00"/>
    <s v="INV-812"/>
    <x v="2"/>
    <n v="450"/>
    <m/>
    <s v="Ameen Master Chef"/>
    <m/>
    <m/>
    <m/>
    <m/>
    <m/>
    <m/>
    <m/>
  </r>
  <r>
    <d v="2025-10-21T00:00:00"/>
    <s v="INV-813"/>
    <x v="2"/>
    <n v="160"/>
    <m/>
    <s v="Burhaan"/>
    <m/>
    <m/>
    <m/>
    <m/>
    <m/>
    <m/>
    <m/>
  </r>
  <r>
    <d v="2025-10-21T00:00:00"/>
    <s v="INV-814"/>
    <x v="2"/>
    <n v="160"/>
    <m/>
    <s v="RR mini Mart"/>
    <m/>
    <m/>
    <m/>
    <m/>
    <m/>
    <m/>
    <m/>
  </r>
  <r>
    <d v="2025-10-21T00:00:00"/>
    <m/>
    <x v="13"/>
    <m/>
    <n v="15572"/>
    <m/>
    <m/>
    <m/>
    <m/>
    <m/>
    <m/>
    <m/>
    <m/>
  </r>
  <r>
    <d v="2025-10-21T00:00:00"/>
    <m/>
    <x v="3"/>
    <m/>
    <n v="22"/>
    <m/>
    <m/>
    <m/>
    <m/>
    <m/>
    <m/>
    <m/>
    <m/>
  </r>
  <r>
    <d v="2025-10-22T00:00:00"/>
    <s v="INV-815"/>
    <x v="2"/>
    <n v="400"/>
    <m/>
    <s v="Chennai Tawa Beef"/>
    <m/>
    <m/>
    <m/>
    <m/>
    <m/>
    <m/>
    <m/>
  </r>
  <r>
    <d v="2025-10-22T00:00:00"/>
    <s v="INV-816"/>
    <x v="2"/>
    <n v="160"/>
    <m/>
    <s v="Hotel Anas"/>
    <m/>
    <m/>
    <m/>
    <m/>
    <m/>
    <m/>
    <m/>
  </r>
  <r>
    <d v="2025-10-22T00:00:00"/>
    <s v="INV-817"/>
    <x v="2"/>
    <n v="320"/>
    <m/>
    <s v="Ameen Master Chef"/>
    <m/>
    <m/>
    <m/>
    <m/>
    <m/>
    <m/>
    <m/>
  </r>
  <r>
    <d v="2025-10-22T00:00:00"/>
    <s v="INV-818"/>
    <x v="2"/>
    <n v="240"/>
    <m/>
    <s v="Hotel Noordeen"/>
    <m/>
    <m/>
    <m/>
    <m/>
    <m/>
    <m/>
    <m/>
  </r>
  <r>
    <d v="2025-10-22T00:00:00"/>
    <s v="INV-819"/>
    <x v="2"/>
    <n v="170"/>
    <m/>
    <s v="Cash"/>
    <m/>
    <m/>
    <m/>
    <m/>
    <m/>
    <m/>
    <m/>
  </r>
  <r>
    <d v="2025-10-22T00:00:00"/>
    <s v="INV-820"/>
    <x v="2"/>
    <n v="170"/>
    <m/>
    <s v="NFS Delivery"/>
    <m/>
    <m/>
    <m/>
    <m/>
    <m/>
    <m/>
    <m/>
  </r>
  <r>
    <d v="2025-10-22T00:00:00"/>
    <s v="INV-821"/>
    <x v="2"/>
    <n v="900"/>
    <m/>
    <s v="Halidh Cook"/>
    <m/>
    <m/>
    <m/>
    <m/>
    <m/>
    <m/>
    <m/>
  </r>
  <r>
    <d v="2025-10-22T00:00:00"/>
    <s v="INV-822"/>
    <x v="2"/>
    <n v="320"/>
    <m/>
    <s v="Hotel Bismi"/>
    <m/>
    <m/>
    <m/>
    <m/>
    <m/>
    <m/>
    <m/>
  </r>
  <r>
    <d v="2025-10-22T00:00:00"/>
    <s v="INV-823"/>
    <x v="2"/>
    <n v="750"/>
    <m/>
    <s v="Ar rahim hotel"/>
    <m/>
    <m/>
    <m/>
    <m/>
    <m/>
    <m/>
    <m/>
  </r>
  <r>
    <d v="2025-10-22T00:00:00"/>
    <s v="INV-824"/>
    <x v="2"/>
    <n v="200"/>
    <m/>
    <s v="ansari"/>
    <m/>
    <m/>
    <m/>
    <m/>
    <m/>
    <m/>
    <m/>
  </r>
  <r>
    <d v="2025-10-22T00:00:00"/>
    <s v="INV-825"/>
    <x v="2"/>
    <n v="1500"/>
    <m/>
    <s v="Hassim Catering"/>
    <m/>
    <m/>
    <m/>
    <m/>
    <m/>
    <m/>
    <m/>
  </r>
  <r>
    <d v="2025-10-22T00:00:00"/>
    <s v="INV-826"/>
    <x v="2"/>
    <n v="480"/>
    <m/>
    <m/>
    <m/>
    <m/>
    <m/>
    <m/>
    <m/>
    <m/>
    <m/>
  </r>
  <r>
    <d v="2025-10-22T00:00:00"/>
    <m/>
    <x v="9"/>
    <m/>
    <n v="400"/>
    <m/>
    <m/>
    <m/>
    <m/>
    <m/>
    <m/>
    <m/>
    <m/>
  </r>
  <r>
    <d v="2025-10-22T00:00:00"/>
    <m/>
    <x v="3"/>
    <m/>
    <n v="75"/>
    <m/>
    <m/>
    <m/>
    <m/>
    <m/>
    <m/>
    <m/>
    <m/>
  </r>
  <r>
    <d v="2025-10-23T00:00:00"/>
    <m/>
    <x v="1"/>
    <m/>
    <n v="3700"/>
    <m/>
    <s v="Old Ginger"/>
    <n v="74"/>
    <m/>
    <n v="50"/>
    <s v="Jakakodi Traders"/>
    <m/>
    <m/>
  </r>
  <r>
    <d v="2025-10-23T00:00:00"/>
    <s v="INV-827"/>
    <x v="2"/>
    <n v="300"/>
    <m/>
    <s v="Arafath"/>
    <m/>
    <m/>
    <m/>
    <m/>
    <m/>
    <m/>
    <m/>
  </r>
  <r>
    <d v="2025-10-23T00:00:00"/>
    <s v="INV-828"/>
    <x v="2"/>
    <n v="320"/>
    <m/>
    <s v="Hotel Noordeen"/>
    <m/>
    <m/>
    <m/>
    <m/>
    <m/>
    <m/>
    <m/>
  </r>
  <r>
    <d v="2025-10-23T00:00:00"/>
    <s v="INV-829"/>
    <x v="2"/>
    <n v="320"/>
    <m/>
    <s v="Hotel Bismi"/>
    <m/>
    <m/>
    <m/>
    <m/>
    <m/>
    <m/>
    <m/>
  </r>
  <r>
    <d v="2025-10-23T00:00:00"/>
    <s v="INV-830"/>
    <x v="2"/>
    <n v="60"/>
    <m/>
    <s v="cash"/>
    <m/>
    <m/>
    <m/>
    <m/>
    <m/>
    <m/>
    <m/>
  </r>
  <r>
    <d v="2025-10-23T00:00:00"/>
    <s v="INV-831"/>
    <x v="2"/>
    <n v="160"/>
    <m/>
    <s v="Chennai Tawa Beef"/>
    <m/>
    <m/>
    <m/>
    <m/>
    <m/>
    <m/>
    <m/>
  </r>
  <r>
    <d v="2025-10-23T00:00:00"/>
    <s v="INV-832"/>
    <x v="2"/>
    <n v="4800"/>
    <m/>
    <s v="ISMAIL BANDARI (THARANGAPADI )"/>
    <m/>
    <m/>
    <m/>
    <m/>
    <m/>
    <m/>
    <m/>
  </r>
  <r>
    <d v="2025-10-23T00:00:00"/>
    <s v="INV-833"/>
    <x v="2"/>
    <n v="1500"/>
    <m/>
    <s v="Hassim Catering"/>
    <m/>
    <m/>
    <m/>
    <m/>
    <m/>
    <m/>
    <m/>
  </r>
  <r>
    <d v="2025-10-23T00:00:00"/>
    <s v="INV-834"/>
    <x v="2"/>
    <n v="750"/>
    <m/>
    <s v="Ar rahim hotel"/>
    <m/>
    <m/>
    <m/>
    <m/>
    <m/>
    <m/>
    <m/>
  </r>
  <r>
    <d v="2025-10-23T00:00:00"/>
    <m/>
    <x v="8"/>
    <m/>
    <n v="160"/>
    <m/>
    <m/>
    <m/>
    <m/>
    <m/>
    <m/>
    <m/>
    <m/>
  </r>
  <r>
    <d v="2025-10-23T00:00:00"/>
    <m/>
    <x v="4"/>
    <m/>
    <n v="860"/>
    <m/>
    <m/>
    <m/>
    <m/>
    <m/>
    <m/>
    <m/>
    <m/>
  </r>
  <r>
    <d v="2025-10-23T00:00:00"/>
    <m/>
    <x v="3"/>
    <m/>
    <n v="145"/>
    <m/>
    <m/>
    <m/>
    <m/>
    <m/>
    <m/>
    <m/>
    <m/>
  </r>
  <r>
    <d v="2025-10-24T00:00:00"/>
    <m/>
    <x v="12"/>
    <m/>
    <n v="25321"/>
    <m/>
    <s v="Naatu Poondu"/>
    <n v="60"/>
    <n v="1501"/>
    <n v="397"/>
    <s v="PK Garlic"/>
    <m/>
    <m/>
  </r>
  <r>
    <d v="2025-10-24T00:00:00"/>
    <s v="INV-835"/>
    <x v="2"/>
    <n v="180"/>
    <m/>
    <s v="Cash"/>
    <m/>
    <m/>
    <m/>
    <m/>
    <m/>
    <m/>
    <m/>
  </r>
  <r>
    <d v="2025-10-24T00:00:00"/>
    <s v="INV-836"/>
    <x v="2"/>
    <n v="350"/>
    <m/>
    <s v="NFS Delivery"/>
    <m/>
    <m/>
    <m/>
    <m/>
    <m/>
    <m/>
    <m/>
  </r>
  <r>
    <d v="2025-10-24T00:00:00"/>
    <s v="INV-837"/>
    <x v="2"/>
    <n v="320"/>
    <m/>
    <s v="Hotel Noordeen"/>
    <m/>
    <m/>
    <m/>
    <m/>
    <m/>
    <m/>
    <m/>
  </r>
  <r>
    <d v="2025-10-24T00:00:00"/>
    <s v="INV-838"/>
    <x v="2"/>
    <n v="40"/>
    <m/>
    <s v="Supplaykart"/>
    <m/>
    <m/>
    <m/>
    <m/>
    <m/>
    <m/>
    <m/>
  </r>
  <r>
    <d v="2025-10-24T00:00:00"/>
    <s v="INV-839"/>
    <x v="2"/>
    <n v="480"/>
    <m/>
    <s v="Hotel Bismi"/>
    <m/>
    <m/>
    <m/>
    <m/>
    <m/>
    <m/>
    <m/>
  </r>
  <r>
    <d v="2025-10-24T00:00:00"/>
    <s v="INV-840"/>
    <x v="2"/>
    <n v="320"/>
    <m/>
    <s v="Chennai Tawa Beef"/>
    <m/>
    <m/>
    <m/>
    <m/>
    <m/>
    <m/>
    <m/>
  </r>
  <r>
    <d v="2025-10-24T00:00:00"/>
    <s v="INV-841"/>
    <x v="2"/>
    <n v="2380"/>
    <m/>
    <s v="NFS Delivery"/>
    <m/>
    <m/>
    <m/>
    <m/>
    <m/>
    <m/>
    <m/>
  </r>
  <r>
    <d v="2025-10-24T00:00:00"/>
    <s v="INV-842"/>
    <x v="2"/>
    <n v="560"/>
    <m/>
    <s v="Andrew Cook"/>
    <m/>
    <m/>
    <m/>
    <m/>
    <m/>
    <m/>
    <m/>
  </r>
  <r>
    <d v="2025-10-24T00:00:00"/>
    <s v="INV-843"/>
    <x v="2"/>
    <n v="3000"/>
    <m/>
    <s v="AL AZEEM CATERS &amp; RESTAURANT"/>
    <m/>
    <m/>
    <m/>
    <m/>
    <m/>
    <m/>
    <m/>
  </r>
  <r>
    <d v="2025-10-24T00:00:00"/>
    <m/>
    <x v="3"/>
    <m/>
    <n v="25"/>
    <m/>
    <m/>
    <m/>
    <m/>
    <m/>
    <m/>
    <m/>
    <m/>
  </r>
  <r>
    <d v="2025-10-24T00:00:00"/>
    <m/>
    <x v="7"/>
    <m/>
    <n v="200"/>
    <m/>
    <m/>
    <m/>
    <m/>
    <m/>
    <m/>
    <m/>
    <m/>
  </r>
  <r>
    <d v="2025-10-25T00:00:00"/>
    <s v="INV-844"/>
    <x v="2"/>
    <n v="300"/>
    <m/>
    <s v="Arafath"/>
    <m/>
    <m/>
    <m/>
    <m/>
    <m/>
    <m/>
    <m/>
  </r>
  <r>
    <d v="2025-10-25T00:00:00"/>
    <s v="INV-845"/>
    <x v="2"/>
    <n v="640"/>
    <m/>
    <s v="Chennai Tawa Beef"/>
    <m/>
    <m/>
    <m/>
    <m/>
    <m/>
    <m/>
    <m/>
  </r>
  <r>
    <d v="2025-10-25T00:00:00"/>
    <s v="INV-846"/>
    <x v="2"/>
    <n v="480"/>
    <m/>
    <s v="Hotel Bismi"/>
    <m/>
    <m/>
    <m/>
    <m/>
    <m/>
    <m/>
    <m/>
  </r>
  <r>
    <d v="2025-10-25T00:00:00"/>
    <s v="INV-847"/>
    <x v="2"/>
    <n v="750"/>
    <m/>
    <s v="Ar rahim hotel"/>
    <m/>
    <m/>
    <m/>
    <m/>
    <m/>
    <m/>
    <m/>
  </r>
  <r>
    <d v="2025-10-25T00:00:00"/>
    <s v="INV-848"/>
    <x v="2"/>
    <n v="800"/>
    <m/>
    <s v="Bilal Cook"/>
    <m/>
    <m/>
    <m/>
    <m/>
    <m/>
    <m/>
    <m/>
  </r>
  <r>
    <d v="2025-10-25T00:00:00"/>
    <s v="INV-849"/>
    <x v="2"/>
    <n v="800"/>
    <m/>
    <s v="Hotel Noordeen"/>
    <m/>
    <m/>
    <m/>
    <m/>
    <m/>
    <m/>
    <m/>
  </r>
  <r>
    <d v="2025-10-25T00:00:00"/>
    <s v="INV-850"/>
    <x v="2"/>
    <n v="150"/>
    <m/>
    <s v="Hotel Anas"/>
    <m/>
    <m/>
    <m/>
    <m/>
    <m/>
    <m/>
    <m/>
  </r>
  <r>
    <d v="2025-10-25T00:00:00"/>
    <s v="INV-851"/>
    <x v="2"/>
    <n v="1470"/>
    <m/>
    <s v="Cash"/>
    <m/>
    <m/>
    <m/>
    <m/>
    <m/>
    <m/>
    <m/>
  </r>
  <r>
    <d v="2025-10-25T00:00:00"/>
    <s v="INV-852"/>
    <x v="2"/>
    <n v="2250"/>
    <m/>
    <s v="LE ROYAL MANDI"/>
    <m/>
    <m/>
    <m/>
    <m/>
    <m/>
    <m/>
    <m/>
  </r>
  <r>
    <d v="2025-10-25T00:00:00"/>
    <s v="INV-853"/>
    <x v="2"/>
    <n v="320"/>
    <m/>
    <s v="HOTEL LEBBAI"/>
    <m/>
    <m/>
    <m/>
    <m/>
    <m/>
    <m/>
    <m/>
  </r>
  <r>
    <d v="2025-10-25T00:00:00"/>
    <s v="INV-854"/>
    <x v="2"/>
    <n v="160"/>
    <m/>
    <s v="Sahabudeen"/>
    <m/>
    <m/>
    <m/>
    <m/>
    <m/>
    <m/>
    <m/>
  </r>
  <r>
    <d v="2025-10-25T00:00:00"/>
    <s v="INV-855"/>
    <x v="2"/>
    <n v="160"/>
    <m/>
    <s v="RR mini Mart"/>
    <m/>
    <m/>
    <m/>
    <m/>
    <m/>
    <m/>
    <m/>
  </r>
  <r>
    <d v="2025-10-25T00:00:00"/>
    <s v="INV-856"/>
    <x v="2"/>
    <n v="3180"/>
    <m/>
    <s v="Halidh Cook"/>
    <m/>
    <m/>
    <m/>
    <m/>
    <m/>
    <m/>
    <m/>
  </r>
  <r>
    <d v="2025-10-25T00:00:00"/>
    <s v="INV-857"/>
    <x v="2"/>
    <n v="240"/>
    <m/>
    <s v="Maraikar Shop"/>
    <m/>
    <m/>
    <m/>
    <m/>
    <m/>
    <m/>
    <m/>
  </r>
  <r>
    <d v="2025-10-25T00:00:00"/>
    <s v="INV-858"/>
    <x v="2"/>
    <n v="840"/>
    <m/>
    <s v="NFS Delivery"/>
    <m/>
    <m/>
    <m/>
    <m/>
    <m/>
    <m/>
    <m/>
  </r>
  <r>
    <d v="2025-10-25T00:00:00"/>
    <m/>
    <x v="7"/>
    <m/>
    <n v="100"/>
    <m/>
    <m/>
    <m/>
    <m/>
    <m/>
    <m/>
    <m/>
    <m/>
  </r>
  <r>
    <d v="2025-10-25T00:00:00"/>
    <m/>
    <x v="11"/>
    <m/>
    <n v="680"/>
    <m/>
    <m/>
    <m/>
    <m/>
    <m/>
    <m/>
    <m/>
    <m/>
  </r>
  <r>
    <d v="2025-10-25T00:00:00"/>
    <m/>
    <x v="3"/>
    <m/>
    <n v="50"/>
    <m/>
    <m/>
    <m/>
    <m/>
    <m/>
    <m/>
    <m/>
    <m/>
  </r>
  <r>
    <d v="2025-10-26T00:00:00"/>
    <m/>
    <x v="1"/>
    <m/>
    <n v="2170"/>
    <m/>
    <s v="Old Ginger"/>
    <n v="63.8"/>
    <m/>
    <n v="34"/>
    <s v="Jakakodi Traders"/>
    <m/>
    <m/>
  </r>
  <r>
    <d v="2025-10-25T00:00:00"/>
    <s v="INV-859"/>
    <x v="2"/>
    <n v="1500"/>
    <m/>
    <s v="AL AZEEM CATERS &amp; RESTAURANT"/>
    <m/>
    <m/>
    <m/>
    <m/>
    <m/>
    <m/>
    <m/>
  </r>
  <r>
    <d v="2025-10-26T00:00:00"/>
    <s v="INV-860"/>
    <x v="2"/>
    <n v="750"/>
    <m/>
    <s v="Riyas Bandari"/>
    <m/>
    <m/>
    <m/>
    <m/>
    <m/>
    <m/>
    <m/>
  </r>
  <r>
    <d v="2025-10-26T00:00:00"/>
    <s v="INV-861"/>
    <x v="2"/>
    <n v="480"/>
    <m/>
    <s v="Ameen Master Chef"/>
    <m/>
    <m/>
    <m/>
    <m/>
    <m/>
    <m/>
    <m/>
  </r>
  <r>
    <d v="2025-10-26T00:00:00"/>
    <s v="INV-862"/>
    <x v="2"/>
    <n v="90"/>
    <m/>
    <s v="NFS Delivery"/>
    <m/>
    <m/>
    <m/>
    <m/>
    <m/>
    <m/>
    <m/>
  </r>
  <r>
    <d v="2025-10-26T00:00:00"/>
    <s v="INV-863"/>
    <x v="2"/>
    <n v="300"/>
    <m/>
    <s v="Hotel Anas"/>
    <m/>
    <m/>
    <m/>
    <m/>
    <m/>
    <m/>
    <m/>
  </r>
  <r>
    <d v="2025-10-26T00:00:00"/>
    <s v="INV-864"/>
    <x v="2"/>
    <n v="320"/>
    <m/>
    <s v="Hotel Bismi"/>
    <m/>
    <m/>
    <m/>
    <m/>
    <m/>
    <m/>
    <m/>
  </r>
  <r>
    <d v="2025-10-26T00:00:00"/>
    <s v="INV-865"/>
    <x v="2"/>
    <n v="4500"/>
    <m/>
    <s v="RILWAN CATERING"/>
    <m/>
    <m/>
    <m/>
    <m/>
    <m/>
    <m/>
    <m/>
  </r>
  <r>
    <d v="2025-10-26T00:00:00"/>
    <s v="INV-866"/>
    <x v="2"/>
    <n v="680"/>
    <m/>
    <s v="NFS Delivery"/>
    <m/>
    <m/>
    <m/>
    <m/>
    <m/>
    <m/>
    <m/>
  </r>
  <r>
    <d v="2025-10-26T00:00:00"/>
    <s v="INV-867"/>
    <x v="2"/>
    <n v="160"/>
    <m/>
    <s v="Darbar Catering"/>
    <m/>
    <m/>
    <m/>
    <m/>
    <m/>
    <m/>
    <m/>
  </r>
  <r>
    <d v="2025-10-26T00:00:00"/>
    <s v="INV-868"/>
    <x v="2"/>
    <n v="1200"/>
    <m/>
    <s v="Ameen Master Chef"/>
    <m/>
    <m/>
    <m/>
    <m/>
    <m/>
    <m/>
    <m/>
  </r>
  <r>
    <d v="2025-10-26T00:00:00"/>
    <s v="INV-869"/>
    <x v="2"/>
    <n v="240"/>
    <m/>
    <s v="Riyas Bandari"/>
    <m/>
    <m/>
    <m/>
    <m/>
    <m/>
    <m/>
    <m/>
  </r>
  <r>
    <d v="2025-10-26T00:00:00"/>
    <s v="INV-870"/>
    <x v="2"/>
    <n v="3000"/>
    <m/>
    <s v="Hassim Catering"/>
    <m/>
    <m/>
    <m/>
    <m/>
    <m/>
    <m/>
    <m/>
  </r>
  <r>
    <d v="2025-10-26T00:00:00"/>
    <m/>
    <x v="3"/>
    <m/>
    <n v="10"/>
    <m/>
    <m/>
    <m/>
    <m/>
    <m/>
    <m/>
    <m/>
    <m/>
  </r>
  <r>
    <d v="2025-10-27T00:00:00"/>
    <s v="INV-871"/>
    <x v="2"/>
    <n v="240"/>
    <m/>
    <s v="Chennai Tawa Beef"/>
    <m/>
    <m/>
    <m/>
    <m/>
    <m/>
    <m/>
    <m/>
  </r>
  <r>
    <d v="2025-10-27T00:00:00"/>
    <s v="INV-872"/>
    <x v="2"/>
    <n v="720"/>
    <m/>
    <s v="Habil Sahib"/>
    <m/>
    <m/>
    <m/>
    <m/>
    <m/>
    <m/>
    <m/>
  </r>
  <r>
    <d v="2025-10-27T00:00:00"/>
    <s v="INV-873"/>
    <x v="2"/>
    <n v="240"/>
    <m/>
    <s v="Hotel Noordeen"/>
    <m/>
    <m/>
    <m/>
    <m/>
    <m/>
    <m/>
    <m/>
  </r>
  <r>
    <d v="2025-10-27T00:00:00"/>
    <s v="INV-874"/>
    <x v="2"/>
    <n v="90"/>
    <m/>
    <s v="NFS Delivery"/>
    <m/>
    <m/>
    <m/>
    <m/>
    <m/>
    <m/>
    <m/>
  </r>
  <r>
    <d v="2025-10-27T00:00:00"/>
    <s v="INV-875"/>
    <x v="2"/>
    <n v="320"/>
    <m/>
    <s v="Hotel Bismi"/>
    <m/>
    <m/>
    <m/>
    <m/>
    <m/>
    <m/>
    <m/>
  </r>
  <r>
    <d v="2025-10-27T00:00:00"/>
    <s v="INV-876"/>
    <x v="2"/>
    <n v="160"/>
    <m/>
    <s v="Hotel Anas"/>
    <m/>
    <m/>
    <m/>
    <m/>
    <m/>
    <m/>
    <m/>
  </r>
  <r>
    <d v="2025-10-27T00:00:00"/>
    <s v="INV-877"/>
    <x v="2"/>
    <n v="1500"/>
    <m/>
    <s v="Hassim Catering"/>
    <m/>
    <m/>
    <m/>
    <m/>
    <m/>
    <m/>
    <m/>
  </r>
  <r>
    <d v="2025-10-27T00:00:00"/>
    <s v="INV-878"/>
    <x v="2"/>
    <n v="60"/>
    <m/>
    <s v="Cash"/>
    <m/>
    <m/>
    <m/>
    <m/>
    <m/>
    <m/>
    <m/>
  </r>
  <r>
    <d v="2025-10-27T00:00:00"/>
    <m/>
    <x v="14"/>
    <m/>
    <n v="300"/>
    <m/>
    <m/>
    <m/>
    <m/>
    <m/>
    <m/>
    <m/>
    <m/>
  </r>
  <r>
    <d v="2025-10-27T00:00:00"/>
    <m/>
    <x v="7"/>
    <m/>
    <n v="100"/>
    <m/>
    <m/>
    <m/>
    <m/>
    <m/>
    <m/>
    <m/>
    <m/>
  </r>
  <r>
    <d v="2025-10-27T00:00:00"/>
    <m/>
    <x v="3"/>
    <m/>
    <n v="47"/>
    <m/>
    <m/>
    <m/>
    <m/>
    <m/>
    <m/>
    <m/>
    <m/>
  </r>
  <r>
    <d v="2025-10-27T00:00:00"/>
    <m/>
    <x v="4"/>
    <m/>
    <n v="180"/>
    <m/>
    <m/>
    <m/>
    <m/>
    <m/>
    <m/>
    <m/>
    <m/>
  </r>
  <r>
    <d v="2025-10-27T00:00:00"/>
    <m/>
    <x v="15"/>
    <m/>
    <n v="150"/>
    <m/>
    <m/>
    <m/>
    <m/>
    <m/>
    <m/>
    <m/>
    <m/>
  </r>
  <r>
    <d v="2025-10-28T00:00:00"/>
    <m/>
    <x v="1"/>
    <m/>
    <n v="3300"/>
    <m/>
    <s v="Old Ginger"/>
    <n v="66"/>
    <m/>
    <n v="50"/>
    <s v="Jakakodi Traders"/>
    <m/>
    <m/>
  </r>
  <r>
    <d v="2025-10-28T00:00:00"/>
    <s v="INV-879"/>
    <x v="2"/>
    <n v="480"/>
    <m/>
    <s v="RILWAN CATERING"/>
    <m/>
    <m/>
    <m/>
    <m/>
    <m/>
    <m/>
    <m/>
  </r>
  <r>
    <d v="2025-10-28T00:00:00"/>
    <s v="INV-880"/>
    <x v="2"/>
    <n v="240"/>
    <m/>
    <s v="Hotel Noordeen"/>
    <m/>
    <m/>
    <m/>
    <m/>
    <m/>
    <m/>
    <m/>
  </r>
  <r>
    <d v="2025-10-28T00:00:00"/>
    <s v="INV-881"/>
    <x v="2"/>
    <n v="160"/>
    <m/>
    <s v="Chennai Tawa Beef"/>
    <m/>
    <m/>
    <m/>
    <m/>
    <m/>
    <m/>
    <m/>
  </r>
  <r>
    <d v="2025-10-28T00:00:00"/>
    <s v="INV-882"/>
    <x v="2"/>
    <n v="320"/>
    <m/>
    <s v="Malaysian Fast Food"/>
    <m/>
    <m/>
    <m/>
    <m/>
    <m/>
    <m/>
    <m/>
  </r>
  <r>
    <d v="2025-10-28T00:00:00"/>
    <s v="INV-883"/>
    <x v="2"/>
    <n v="160"/>
    <m/>
    <s v="Hotel Anas"/>
    <m/>
    <m/>
    <m/>
    <m/>
    <m/>
    <m/>
    <m/>
  </r>
  <r>
    <d v="2025-10-28T00:00:00"/>
    <s v="INV-884"/>
    <x v="2"/>
    <n v="170"/>
    <m/>
    <s v="NFS Delivery"/>
    <m/>
    <m/>
    <m/>
    <m/>
    <m/>
    <m/>
    <m/>
  </r>
  <r>
    <d v="2025-10-28T00:00:00"/>
    <s v="INV-885"/>
    <x v="2"/>
    <n v="1050"/>
    <m/>
    <s v="Ameen Master Chef"/>
    <m/>
    <m/>
    <m/>
    <m/>
    <m/>
    <m/>
    <m/>
  </r>
  <r>
    <d v="2025-10-28T00:00:00"/>
    <s v="INV-886"/>
    <x v="2"/>
    <n v="320"/>
    <m/>
    <s v="Riyas Bandari"/>
    <m/>
    <m/>
    <m/>
    <m/>
    <m/>
    <m/>
    <m/>
  </r>
  <r>
    <d v="2025-10-28T00:00:00"/>
    <s v="INV-887"/>
    <x v="2"/>
    <n v="160"/>
    <m/>
    <s v="sandwich shop"/>
    <m/>
    <m/>
    <m/>
    <m/>
    <m/>
    <m/>
    <m/>
  </r>
  <r>
    <d v="2025-10-28T00:00:00"/>
    <s v="INV-888"/>
    <x v="2"/>
    <n v="160"/>
    <m/>
    <s v="Supplaykart"/>
    <m/>
    <m/>
    <m/>
    <m/>
    <m/>
    <m/>
    <m/>
  </r>
  <r>
    <d v="2025-10-28T00:00:00"/>
    <s v="INV-889"/>
    <x v="2"/>
    <n v="160"/>
    <m/>
    <s v="Arafath"/>
    <m/>
    <m/>
    <m/>
    <m/>
    <m/>
    <m/>
    <m/>
  </r>
  <r>
    <d v="2025-10-28T00:00:00"/>
    <m/>
    <x v="3"/>
    <m/>
    <n v="50"/>
    <m/>
    <m/>
    <m/>
    <m/>
    <m/>
    <m/>
    <m/>
    <m/>
  </r>
  <r>
    <d v="2025-10-29T00:00:00"/>
    <s v="INV-890"/>
    <x v="2"/>
    <n v="240"/>
    <m/>
    <s v="Chennai Tawa Beef"/>
    <m/>
    <m/>
    <m/>
    <m/>
    <m/>
    <m/>
    <m/>
  </r>
  <r>
    <d v="2025-10-29T00:00:00"/>
    <s v="INV-891"/>
    <x v="2"/>
    <n v="240"/>
    <m/>
    <s v="Hotel Noordeen"/>
    <m/>
    <m/>
    <m/>
    <m/>
    <m/>
    <m/>
    <m/>
  </r>
  <r>
    <d v="2025-10-29T00:00:00"/>
    <s v="INV-892"/>
    <x v="2"/>
    <n v="170"/>
    <m/>
    <s v="Cash"/>
    <m/>
    <m/>
    <m/>
    <m/>
    <m/>
    <m/>
    <m/>
  </r>
  <r>
    <d v="2025-10-29T00:00:00"/>
    <s v="INV-893"/>
    <x v="2"/>
    <n v="170"/>
    <m/>
    <s v="NFS Delivery"/>
    <m/>
    <m/>
    <m/>
    <m/>
    <m/>
    <m/>
    <m/>
  </r>
  <r>
    <d v="2025-10-29T00:00:00"/>
    <s v="INV-894"/>
    <x v="2"/>
    <n v="160"/>
    <m/>
    <s v="Hotel Anas"/>
    <m/>
    <m/>
    <m/>
    <m/>
    <m/>
    <m/>
    <m/>
  </r>
  <r>
    <d v="2025-10-29T00:00:00"/>
    <s v="INV-895"/>
    <x v="2"/>
    <n v="320"/>
    <m/>
    <s v="Hotel Bismi"/>
    <m/>
    <m/>
    <m/>
    <m/>
    <m/>
    <m/>
    <m/>
  </r>
  <r>
    <d v="2025-10-29T00:00:00"/>
    <s v="INV-896"/>
    <x v="2"/>
    <n v="320"/>
    <m/>
    <s v="Malaysian Fast Food"/>
    <m/>
    <m/>
    <m/>
    <m/>
    <m/>
    <m/>
    <m/>
  </r>
  <r>
    <d v="2025-10-29T00:00:00"/>
    <s v="INV-897"/>
    <x v="2"/>
    <n v="160"/>
    <m/>
    <s v="Supplaykart"/>
    <m/>
    <m/>
    <m/>
    <m/>
    <m/>
    <m/>
    <m/>
  </r>
  <r>
    <d v="2025-10-29T00:00:00"/>
    <s v="INV-898"/>
    <x v="2"/>
    <n v="75"/>
    <m/>
    <s v="Arafath"/>
    <m/>
    <m/>
    <m/>
    <m/>
    <m/>
    <m/>
    <m/>
  </r>
  <r>
    <d v="2025-10-29T00:00:00"/>
    <s v="INV-899"/>
    <x v="2"/>
    <n v="1500"/>
    <m/>
    <s v="AL AZEEM CATERS &amp; RESTAURANT"/>
    <m/>
    <m/>
    <m/>
    <m/>
    <m/>
    <m/>
    <m/>
  </r>
  <r>
    <d v="2025-10-29T00:00:00"/>
    <m/>
    <x v="9"/>
    <m/>
    <n v="400"/>
    <m/>
    <m/>
    <m/>
    <m/>
    <m/>
    <m/>
    <m/>
    <m/>
  </r>
  <r>
    <d v="2025-10-29T00:00:00"/>
    <m/>
    <x v="3"/>
    <m/>
    <n v="50"/>
    <m/>
    <m/>
    <m/>
    <m/>
    <m/>
    <m/>
    <m/>
    <m/>
  </r>
  <r>
    <d v="2025-10-30T00:00:00"/>
    <s v="INV-900"/>
    <x v="2"/>
    <n v="40"/>
    <m/>
    <s v="Cash"/>
    <m/>
    <m/>
    <m/>
    <m/>
    <m/>
    <m/>
    <m/>
  </r>
  <r>
    <d v="2025-10-30T00:00:00"/>
    <s v="INV-901"/>
    <x v="2"/>
    <n v="240"/>
    <m/>
    <s v="Hotel Noordeen"/>
    <m/>
    <m/>
    <m/>
    <m/>
    <m/>
    <m/>
    <m/>
  </r>
  <r>
    <d v="2025-10-30T00:00:00"/>
    <s v="INV-902"/>
    <x v="2"/>
    <n v="100"/>
    <m/>
    <s v="Hassan"/>
    <m/>
    <m/>
    <m/>
    <m/>
    <m/>
    <m/>
    <m/>
  </r>
  <r>
    <d v="2025-10-30T00:00:00"/>
    <s v="INV-903"/>
    <x v="2"/>
    <n v="480"/>
    <m/>
    <s v="Hotel Bismi"/>
    <m/>
    <m/>
    <m/>
    <m/>
    <m/>
    <m/>
    <m/>
  </r>
  <r>
    <d v="2025-10-30T00:00:00"/>
    <s v="INV-904"/>
    <x v="2"/>
    <n v="80"/>
    <m/>
    <s v="Supplaykart"/>
    <m/>
    <m/>
    <m/>
    <m/>
    <m/>
    <m/>
    <m/>
  </r>
  <r>
    <d v="2025-10-30T00:00:00"/>
    <s v="INV-905"/>
    <x v="2"/>
    <n v="240"/>
    <m/>
    <s v="Chennai Tawa Beef"/>
    <m/>
    <m/>
    <m/>
    <m/>
    <m/>
    <m/>
    <m/>
  </r>
  <r>
    <d v="2025-10-30T00:00:00"/>
    <s v="INV-906"/>
    <x v="2"/>
    <n v="90"/>
    <m/>
    <s v="NFS Delivery"/>
    <m/>
    <m/>
    <m/>
    <m/>
    <m/>
    <m/>
    <m/>
  </r>
  <r>
    <d v="2025-10-30T00:00:00"/>
    <s v="INV-907"/>
    <x v="2"/>
    <n v="3000"/>
    <m/>
    <s v="Ameen Master Chef"/>
    <m/>
    <m/>
    <m/>
    <m/>
    <m/>
    <m/>
    <m/>
  </r>
  <r>
    <d v="2025-10-30T00:00:00"/>
    <s v="INV-908"/>
    <x v="2"/>
    <n v="260"/>
    <m/>
    <s v="Cash"/>
    <m/>
    <m/>
    <m/>
    <m/>
    <m/>
    <m/>
    <m/>
  </r>
  <r>
    <d v="2025-10-30T00:00:00"/>
    <s v="INV-909"/>
    <x v="2"/>
    <n v="160"/>
    <m/>
    <s v="sandwich shop"/>
    <m/>
    <m/>
    <m/>
    <m/>
    <m/>
    <m/>
    <m/>
  </r>
  <r>
    <d v="2025-10-30T00:00:00"/>
    <s v="INV-910"/>
    <x v="2"/>
    <n v="600"/>
    <m/>
    <s v="Halidh Cook"/>
    <m/>
    <m/>
    <m/>
    <m/>
    <m/>
    <m/>
    <m/>
  </r>
  <r>
    <d v="2025-10-30T00:00:00"/>
    <s v="INV-911"/>
    <x v="2"/>
    <n v="75"/>
    <m/>
    <s v="Arafath"/>
    <m/>
    <m/>
    <m/>
    <m/>
    <m/>
    <m/>
    <m/>
  </r>
  <r>
    <d v="2025-10-30T00:00:00"/>
    <m/>
    <x v="3"/>
    <m/>
    <n v="50"/>
    <m/>
    <m/>
    <m/>
    <m/>
    <m/>
    <m/>
    <m/>
    <m/>
  </r>
  <r>
    <d v="2025-10-31T00:00:00"/>
    <s v="INV-912"/>
    <x v="2"/>
    <n v="1020"/>
    <m/>
    <s v="Cash"/>
    <m/>
    <m/>
    <m/>
    <m/>
    <m/>
    <m/>
    <m/>
  </r>
  <r>
    <d v="2025-10-31T00:00:00"/>
    <s v="INV-913"/>
    <x v="2"/>
    <n v="170"/>
    <m/>
    <s v="NFS Delivery"/>
    <m/>
    <m/>
    <m/>
    <m/>
    <m/>
    <m/>
    <m/>
  </r>
  <r>
    <d v="2025-10-31T00:00:00"/>
    <s v="INV-914"/>
    <x v="2"/>
    <n v="320"/>
    <m/>
    <s v="Chennai Tawa Beef"/>
    <m/>
    <m/>
    <m/>
    <m/>
    <m/>
    <m/>
    <m/>
  </r>
  <r>
    <d v="2025-10-31T00:00:00"/>
    <s v="INV-915"/>
    <x v="2"/>
    <n v="160"/>
    <m/>
    <s v="Hotel Noordeen"/>
    <m/>
    <m/>
    <m/>
    <m/>
    <m/>
    <m/>
    <m/>
  </r>
  <r>
    <d v="2025-10-31T00:00:00"/>
    <s v="INV-916"/>
    <x v="2"/>
    <n v="160"/>
    <m/>
    <s v="Darbar Catering"/>
    <m/>
    <m/>
    <m/>
    <m/>
    <m/>
    <m/>
    <m/>
  </r>
  <r>
    <d v="2025-10-31T00:00:00"/>
    <s v="INV-917"/>
    <x v="2"/>
    <n v="320"/>
    <m/>
    <s v="Hotel Bismi"/>
    <m/>
    <m/>
    <m/>
    <m/>
    <m/>
    <m/>
    <m/>
  </r>
  <r>
    <d v="2025-10-31T00:00:00"/>
    <s v="INV-918"/>
    <x v="2"/>
    <n v="1500"/>
    <m/>
    <s v="LE ROYAL MANDI"/>
    <m/>
    <m/>
    <m/>
    <m/>
    <m/>
    <m/>
    <m/>
  </r>
  <r>
    <d v="2025-10-31T00:00:00"/>
    <s v="INV-919"/>
    <x v="2"/>
    <n v="100"/>
    <m/>
    <s v="nasar"/>
    <m/>
    <m/>
    <m/>
    <m/>
    <m/>
    <m/>
    <m/>
  </r>
  <r>
    <d v="2025-10-31T00:00:00"/>
    <s v="INV-920"/>
    <x v="2"/>
    <n v="240"/>
    <m/>
    <s v="Burhaan"/>
    <m/>
    <m/>
    <m/>
    <m/>
    <m/>
    <m/>
    <m/>
  </r>
  <r>
    <d v="2025-10-31T00:00:00"/>
    <s v="INV-921"/>
    <x v="2"/>
    <n v="100"/>
    <m/>
    <s v="Hassan"/>
    <m/>
    <m/>
    <m/>
    <m/>
    <m/>
    <m/>
    <m/>
  </r>
  <r>
    <d v="2025-10-31T00:00:00"/>
    <s v="INV-922"/>
    <x v="2"/>
    <n v="160"/>
    <m/>
    <s v="RR mini Mart"/>
    <m/>
    <m/>
    <m/>
    <m/>
    <m/>
    <m/>
    <m/>
  </r>
  <r>
    <d v="2025-10-31T00:00:00"/>
    <m/>
    <x v="3"/>
    <m/>
    <n v="50"/>
    <m/>
    <m/>
    <m/>
    <m/>
    <m/>
    <m/>
    <m/>
    <m/>
  </r>
  <r>
    <d v="2025-10-31T00:00:00"/>
    <m/>
    <x v="16"/>
    <m/>
    <n v="1000"/>
    <m/>
    <m/>
    <m/>
    <m/>
    <m/>
    <m/>
    <m/>
    <m/>
  </r>
  <r>
    <d v="2025-10-31T00:00:00"/>
    <m/>
    <x v="7"/>
    <m/>
    <n v="2170"/>
    <m/>
    <m/>
    <m/>
    <m/>
    <m/>
    <m/>
    <m/>
    <s v="Malar Salary"/>
  </r>
  <r>
    <d v="2025-10-31T00:00:00"/>
    <m/>
    <x v="7"/>
    <m/>
    <n v="4880"/>
    <m/>
    <m/>
    <m/>
    <m/>
    <m/>
    <m/>
    <m/>
    <s v="Saranya Salary"/>
  </r>
  <r>
    <d v="2025-10-31T00:00:00"/>
    <m/>
    <x v="7"/>
    <m/>
    <n v="10000"/>
    <m/>
    <m/>
    <m/>
    <m/>
    <m/>
    <m/>
    <m/>
    <s v="Ashiq Salary"/>
  </r>
</pivotCacheRecords>
</file>

<file path=xl/pivotCache/pivotCacheRecords18.xml><?xml version="1.0" encoding="utf-8"?>
<pivotCacheRecords xmlns="http://schemas.openxmlformats.org/spreadsheetml/2006/main" xmlns:r="http://schemas.openxmlformats.org/officeDocument/2006/relationships" count="316">
  <r>
    <m/>
    <m/>
    <s v="Opening Balance"/>
    <n v="39169"/>
    <m/>
    <x v="0"/>
    <m/>
    <m/>
    <m/>
    <m/>
    <m/>
  </r>
  <r>
    <d v="2025-11-01T00:00:00"/>
    <m/>
    <s v="Ginger Purchase"/>
    <m/>
    <n v="3300"/>
    <x v="0"/>
    <s v="Old Ginger"/>
    <n v="66"/>
    <m/>
    <n v="50"/>
    <s v="Jakakodi Traders"/>
  </r>
  <r>
    <d v="2025-11-01T00:00:00"/>
    <s v="INV-923"/>
    <s v="Sales"/>
    <n v="1350"/>
    <m/>
    <x v="1"/>
    <m/>
    <m/>
    <m/>
    <m/>
    <m/>
  </r>
  <r>
    <d v="2025-11-01T00:00:00"/>
    <s v="INV-924"/>
    <s v="Sales"/>
    <n v="240"/>
    <m/>
    <x v="2"/>
    <m/>
    <m/>
    <m/>
    <m/>
    <m/>
  </r>
  <r>
    <d v="2025-11-01T00:00:00"/>
    <s v="INV-925"/>
    <s v="Sales"/>
    <n v="400"/>
    <m/>
    <x v="3"/>
    <m/>
    <m/>
    <m/>
    <m/>
    <m/>
  </r>
  <r>
    <d v="2025-11-01T00:00:00"/>
    <s v="INV-926"/>
    <s v="Sales"/>
    <n v="160"/>
    <m/>
    <x v="4"/>
    <m/>
    <m/>
    <m/>
    <m/>
    <m/>
  </r>
  <r>
    <d v="2025-11-01T00:00:00"/>
    <s v="INV-927"/>
    <s v="Sales"/>
    <n v="320"/>
    <m/>
    <x v="5"/>
    <m/>
    <m/>
    <m/>
    <m/>
    <m/>
  </r>
  <r>
    <d v="2025-11-01T00:00:00"/>
    <s v="INV-928"/>
    <s v="Sales"/>
    <n v="240"/>
    <m/>
    <x v="6"/>
    <m/>
    <m/>
    <m/>
    <m/>
    <m/>
  </r>
  <r>
    <d v="2025-11-01T00:00:00"/>
    <s v="INV-929"/>
    <s v="Sales"/>
    <n v="80"/>
    <m/>
    <x v="7"/>
    <m/>
    <m/>
    <m/>
    <m/>
    <m/>
  </r>
  <r>
    <d v="2025-11-01T00:00:00"/>
    <s v="INV-930"/>
    <s v="Sales"/>
    <n v="1500"/>
    <m/>
    <x v="8"/>
    <m/>
    <m/>
    <m/>
    <m/>
    <m/>
  </r>
  <r>
    <d v="2025-11-01T00:00:00"/>
    <s v="INV-931"/>
    <s v="Sales"/>
    <n v="2250"/>
    <m/>
    <x v="9"/>
    <m/>
    <m/>
    <m/>
    <m/>
    <m/>
  </r>
  <r>
    <d v="2025-11-01T00:00:00"/>
    <s v="INV-932"/>
    <s v="Sales"/>
    <n v="480"/>
    <m/>
    <x v="1"/>
    <m/>
    <m/>
    <m/>
    <m/>
    <m/>
  </r>
  <r>
    <d v="2025-11-01T00:00:00"/>
    <s v="INV-933"/>
    <s v="Sales"/>
    <n v="640"/>
    <m/>
    <x v="10"/>
    <m/>
    <m/>
    <m/>
    <m/>
    <m/>
  </r>
  <r>
    <d v="2025-11-01T00:00:00"/>
    <s v="INV-934"/>
    <s v="Sales"/>
    <n v="320"/>
    <m/>
    <x v="2"/>
    <m/>
    <m/>
    <m/>
    <m/>
    <m/>
  </r>
  <r>
    <d v="2025-11-01T00:00:00"/>
    <s v="INV-935"/>
    <s v="Sales"/>
    <n v="160"/>
    <m/>
    <x v="11"/>
    <m/>
    <m/>
    <m/>
    <m/>
    <m/>
  </r>
  <r>
    <d v="2025-11-01T00:00:00"/>
    <s v="INV-936"/>
    <s v="Sales"/>
    <n v="1500"/>
    <m/>
    <x v="12"/>
    <m/>
    <m/>
    <m/>
    <m/>
    <m/>
  </r>
  <r>
    <d v="2025-11-01T00:00:00"/>
    <s v="INV-937"/>
    <s v="Sales"/>
    <n v="1500"/>
    <m/>
    <x v="13"/>
    <m/>
    <m/>
    <m/>
    <m/>
    <m/>
  </r>
  <r>
    <d v="2025-11-01T00:00:00"/>
    <m/>
    <s v="Staff Salary"/>
    <m/>
    <n v="100"/>
    <x v="0"/>
    <m/>
    <m/>
    <m/>
    <m/>
    <m/>
  </r>
  <r>
    <d v="2025-11-01T00:00:00"/>
    <m/>
    <s v="Expences"/>
    <m/>
    <n v="50"/>
    <x v="0"/>
    <m/>
    <m/>
    <m/>
    <m/>
    <m/>
  </r>
  <r>
    <d v="2025-11-02T00:00:00"/>
    <s v="INV-938"/>
    <s v="Sales"/>
    <n v="320"/>
    <m/>
    <x v="5"/>
    <m/>
    <m/>
    <m/>
    <m/>
    <m/>
  </r>
  <r>
    <d v="2025-11-02T00:00:00"/>
    <s v="INV-939"/>
    <s v="Sales"/>
    <n v="1500"/>
    <m/>
    <x v="12"/>
    <m/>
    <m/>
    <m/>
    <m/>
    <m/>
  </r>
  <r>
    <d v="2025-11-02T00:00:00"/>
    <s v="INV-940"/>
    <s v="Sales"/>
    <n v="1500"/>
    <m/>
    <x v="8"/>
    <m/>
    <m/>
    <m/>
    <m/>
    <m/>
  </r>
  <r>
    <d v="2025-11-02T00:00:00"/>
    <s v="INV-941"/>
    <s v="Sales"/>
    <n v="660"/>
    <m/>
    <x v="14"/>
    <m/>
    <m/>
    <m/>
    <m/>
    <m/>
  </r>
  <r>
    <d v="2025-11-02T00:00:00"/>
    <s v="INV-942"/>
    <s v="Sales"/>
    <n v="480"/>
    <m/>
    <x v="10"/>
    <m/>
    <m/>
    <m/>
    <m/>
    <m/>
  </r>
  <r>
    <d v="2025-11-03T00:00:00"/>
    <s v="INV-943"/>
    <s v="Sales"/>
    <n v="280"/>
    <m/>
    <x v="2"/>
    <m/>
    <m/>
    <m/>
    <m/>
    <m/>
  </r>
  <r>
    <d v="2025-11-03T00:00:00"/>
    <s v="INV-944"/>
    <s v="Sales"/>
    <n v="100"/>
    <m/>
    <x v="15"/>
    <m/>
    <m/>
    <m/>
    <m/>
    <m/>
  </r>
  <r>
    <d v="2025-11-03T00:00:00"/>
    <s v="INV-945"/>
    <s v="Sales"/>
    <n v="320"/>
    <m/>
    <x v="5"/>
    <m/>
    <m/>
    <m/>
    <m/>
    <m/>
  </r>
  <r>
    <d v="2025-11-03T00:00:00"/>
    <s v="INV-946"/>
    <s v="Sales"/>
    <n v="1500"/>
    <m/>
    <x v="16"/>
    <m/>
    <m/>
    <m/>
    <m/>
    <m/>
  </r>
  <r>
    <d v="2025-11-03T00:00:00"/>
    <s v="INV-947"/>
    <s v="Sales"/>
    <n v="240"/>
    <m/>
    <x v="6"/>
    <m/>
    <m/>
    <m/>
    <m/>
    <m/>
  </r>
  <r>
    <d v="2025-11-03T00:00:00"/>
    <s v="INV-948"/>
    <s v="Sales"/>
    <n v="150"/>
    <m/>
    <x v="10"/>
    <m/>
    <m/>
    <m/>
    <m/>
    <m/>
  </r>
  <r>
    <d v="2025-11-03T00:00:00"/>
    <s v="INV-949"/>
    <s v="Sales"/>
    <n v="750"/>
    <m/>
    <x v="12"/>
    <m/>
    <m/>
    <m/>
    <m/>
    <m/>
  </r>
  <r>
    <d v="2025-11-03T00:00:00"/>
    <m/>
    <s v="Expences"/>
    <m/>
    <n v="50"/>
    <x v="0"/>
    <m/>
    <m/>
    <m/>
    <m/>
    <m/>
  </r>
  <r>
    <d v="2025-11-03T00:00:00"/>
    <m/>
    <s v="Water Cane"/>
    <m/>
    <n v="160"/>
    <x v="0"/>
    <m/>
    <m/>
    <m/>
    <m/>
    <m/>
  </r>
  <r>
    <d v="2025-11-04T00:00:00"/>
    <m/>
    <s v="Ginger Purchase"/>
    <m/>
    <n v="1810.5"/>
    <x v="0"/>
    <s v="Old Ginger"/>
    <n v="60.35"/>
    <m/>
    <n v="30"/>
    <s v="Jakakodi Traders"/>
  </r>
  <r>
    <d v="2025-11-04T00:00:00"/>
    <s v="INV-950"/>
    <s v="Sales"/>
    <n v="240"/>
    <m/>
    <x v="2"/>
    <m/>
    <m/>
    <m/>
    <m/>
    <m/>
  </r>
  <r>
    <d v="2025-11-04T00:00:00"/>
    <s v="INV-951"/>
    <s v="Sales"/>
    <n v="320"/>
    <m/>
    <x v="3"/>
    <m/>
    <m/>
    <m/>
    <m/>
    <m/>
  </r>
  <r>
    <d v="2025-11-04T00:00:00"/>
    <s v="INV-952"/>
    <s v="Sales"/>
    <n v="320"/>
    <m/>
    <x v="5"/>
    <m/>
    <m/>
    <m/>
    <m/>
    <m/>
  </r>
  <r>
    <d v="2025-11-04T00:00:00"/>
    <s v="INV-953"/>
    <s v="Sales"/>
    <n v="90"/>
    <m/>
    <x v="14"/>
    <m/>
    <m/>
    <m/>
    <m/>
    <m/>
  </r>
  <r>
    <d v="2025-11-04T00:00:00"/>
    <s v="INV-954"/>
    <s v="Sales"/>
    <n v="80"/>
    <m/>
    <x v="17"/>
    <m/>
    <m/>
    <m/>
    <m/>
    <m/>
  </r>
  <r>
    <d v="2025-11-04T00:00:00"/>
    <s v="INV-955"/>
    <s v="Sales"/>
    <n v="1500"/>
    <m/>
    <x v="12"/>
    <m/>
    <m/>
    <m/>
    <m/>
    <m/>
  </r>
  <r>
    <d v="2025-11-04T00:00:00"/>
    <m/>
    <s v="Staff Salary"/>
    <m/>
    <n v="100"/>
    <x v="0"/>
    <m/>
    <m/>
    <m/>
    <m/>
    <m/>
  </r>
  <r>
    <d v="2025-11-04T00:00:00"/>
    <m/>
    <s v="Expences"/>
    <m/>
    <n v="50"/>
    <x v="0"/>
    <m/>
    <m/>
    <m/>
    <m/>
    <m/>
  </r>
  <r>
    <d v="2025-11-05T00:00:00"/>
    <m/>
    <s v="Ginger Purchase"/>
    <m/>
    <n v="3100"/>
    <x v="0"/>
    <s v="Old Ginger"/>
    <n v="62"/>
    <m/>
    <n v="50"/>
    <s v="Jakakodi Traders"/>
  </r>
  <r>
    <d v="2025-11-05T00:00:00"/>
    <s v="INV-956"/>
    <s v="Sales"/>
    <n v="240"/>
    <m/>
    <x v="2"/>
    <m/>
    <m/>
    <m/>
    <m/>
    <m/>
  </r>
  <r>
    <d v="2025-11-05T00:00:00"/>
    <s v="INV-957"/>
    <s v="Sales"/>
    <n v="520"/>
    <m/>
    <x v="10"/>
    <m/>
    <m/>
    <m/>
    <m/>
    <m/>
  </r>
  <r>
    <d v="2025-11-05T00:00:00"/>
    <s v="INV-958"/>
    <s v="Sales"/>
    <n v="320"/>
    <m/>
    <x v="5"/>
    <m/>
    <m/>
    <m/>
    <m/>
    <m/>
  </r>
  <r>
    <d v="2025-11-05T00:00:00"/>
    <s v="INV-959"/>
    <s v="Sales"/>
    <n v="240"/>
    <m/>
    <x v="3"/>
    <m/>
    <m/>
    <m/>
    <m/>
    <m/>
  </r>
  <r>
    <d v="2025-11-05T00:00:00"/>
    <s v="INV-960"/>
    <s v="Sales"/>
    <n v="170"/>
    <m/>
    <x v="14"/>
    <m/>
    <m/>
    <m/>
    <m/>
    <m/>
  </r>
  <r>
    <d v="2025-11-05T00:00:00"/>
    <s v="INV-961"/>
    <s v="Sales"/>
    <n v="4500"/>
    <m/>
    <x v="12"/>
    <m/>
    <m/>
    <m/>
    <m/>
    <m/>
  </r>
  <r>
    <d v="2025-11-05T00:00:00"/>
    <s v="INV-962"/>
    <s v="Sales"/>
    <n v="1500"/>
    <m/>
    <x v="8"/>
    <m/>
    <m/>
    <m/>
    <m/>
    <m/>
  </r>
  <r>
    <d v="2025-11-05T00:00:00"/>
    <s v="INV-963"/>
    <s v="Sales"/>
    <n v="1800"/>
    <m/>
    <x v="18"/>
    <m/>
    <m/>
    <m/>
    <m/>
    <m/>
  </r>
  <r>
    <d v="2025-11-05T00:00:00"/>
    <m/>
    <s v="Rent"/>
    <m/>
    <n v="9000"/>
    <x v="0"/>
    <m/>
    <m/>
    <m/>
    <m/>
    <m/>
  </r>
  <r>
    <d v="2025-11-05T00:00:00"/>
    <m/>
    <s v="Expences"/>
    <m/>
    <n v="45"/>
    <x v="0"/>
    <m/>
    <m/>
    <m/>
    <m/>
    <m/>
  </r>
  <r>
    <d v="2025-11-06T00:00:00"/>
    <s v="INV-964"/>
    <s v="Sales"/>
    <n v="240"/>
    <m/>
    <x v="3"/>
    <m/>
    <m/>
    <m/>
    <m/>
    <m/>
  </r>
  <r>
    <d v="2025-11-06T00:00:00"/>
    <s v="INV-965"/>
    <s v="Sales"/>
    <n v="270"/>
    <m/>
    <x v="14"/>
    <m/>
    <m/>
    <m/>
    <m/>
    <m/>
  </r>
  <r>
    <d v="2025-11-06T00:00:00"/>
    <s v="INV-966"/>
    <s v="Sales"/>
    <n v="320"/>
    <m/>
    <x v="5"/>
    <m/>
    <m/>
    <m/>
    <m/>
    <m/>
  </r>
  <r>
    <d v="2025-11-06T00:00:00"/>
    <s v="INV-967"/>
    <s v="Sales"/>
    <n v="80"/>
    <m/>
    <x v="17"/>
    <m/>
    <m/>
    <m/>
    <m/>
    <m/>
  </r>
  <r>
    <d v="2025-11-06T00:00:00"/>
    <s v="INV-968"/>
    <s v="Sales"/>
    <n v="1500"/>
    <m/>
    <x v="12"/>
    <m/>
    <m/>
    <m/>
    <m/>
    <m/>
  </r>
  <r>
    <d v="2025-11-06T00:00:00"/>
    <s v="INV-969"/>
    <s v="Sales"/>
    <n v="1500"/>
    <m/>
    <x v="8"/>
    <m/>
    <m/>
    <m/>
    <m/>
    <m/>
  </r>
  <r>
    <d v="2025-11-06T00:00:00"/>
    <s v="INV-970"/>
    <s v="Sales"/>
    <n v="450"/>
    <m/>
    <x v="19"/>
    <m/>
    <m/>
    <m/>
    <m/>
    <m/>
  </r>
  <r>
    <d v="2025-11-06T00:00:00"/>
    <s v="INV-971"/>
    <s v="Sales"/>
    <n v="90"/>
    <m/>
    <x v="10"/>
    <m/>
    <m/>
    <m/>
    <m/>
    <m/>
  </r>
  <r>
    <d v="2025-11-06T00:00:00"/>
    <m/>
    <s v="Expences"/>
    <m/>
    <n v="50"/>
    <x v="0"/>
    <m/>
    <m/>
    <m/>
    <m/>
    <m/>
  </r>
  <r>
    <d v="2025-11-06T00:00:00"/>
    <m/>
    <s v="Essential Items"/>
    <m/>
    <n v="80"/>
    <x v="0"/>
    <m/>
    <m/>
    <m/>
    <m/>
    <m/>
  </r>
  <r>
    <d v="2025-11-07T00:00:00"/>
    <s v="INV-972"/>
    <s v="Sales"/>
    <n v="4500"/>
    <m/>
    <x v="12"/>
    <m/>
    <m/>
    <m/>
    <m/>
    <m/>
  </r>
  <r>
    <d v="2025-11-07T00:00:00"/>
    <s v="INV-973"/>
    <s v="Sales"/>
    <n v="260"/>
    <m/>
    <x v="14"/>
    <m/>
    <m/>
    <m/>
    <m/>
    <m/>
  </r>
  <r>
    <d v="2025-11-07T00:00:00"/>
    <s v="INV-974"/>
    <s v="Sales"/>
    <n v="240"/>
    <m/>
    <x v="3"/>
    <m/>
    <m/>
    <m/>
    <m/>
    <m/>
  </r>
  <r>
    <d v="2025-11-07T00:00:00"/>
    <s v="INV-975"/>
    <s v="Sales"/>
    <n v="240"/>
    <m/>
    <x v="2"/>
    <m/>
    <m/>
    <m/>
    <m/>
    <m/>
  </r>
  <r>
    <d v="2025-11-07T00:00:00"/>
    <s v="INV-976"/>
    <s v="Sales"/>
    <n v="480"/>
    <m/>
    <x v="5"/>
    <m/>
    <m/>
    <m/>
    <m/>
    <m/>
  </r>
  <r>
    <d v="2025-11-07T00:00:00"/>
    <s v="INV-977"/>
    <s v="Sales"/>
    <n v="640"/>
    <m/>
    <x v="10"/>
    <m/>
    <m/>
    <m/>
    <m/>
    <m/>
  </r>
  <r>
    <d v="2025-11-07T00:00:00"/>
    <s v="INV-978"/>
    <s v="Sales"/>
    <n v="200"/>
    <m/>
    <x v="20"/>
    <m/>
    <m/>
    <m/>
    <m/>
    <m/>
  </r>
  <r>
    <d v="2025-11-07T00:00:00"/>
    <s v="INV-979"/>
    <s v="Sales"/>
    <n v="160"/>
    <m/>
    <x v="11"/>
    <m/>
    <m/>
    <m/>
    <m/>
    <m/>
  </r>
  <r>
    <d v="2025-11-07T00:00:00"/>
    <s v="INV-980"/>
    <s v="Sales"/>
    <n v="750"/>
    <m/>
    <x v="21"/>
    <m/>
    <m/>
    <m/>
    <m/>
    <m/>
  </r>
  <r>
    <d v="2025-11-07T00:00:00"/>
    <m/>
    <s v="Expences"/>
    <m/>
    <n v="50"/>
    <x v="0"/>
    <m/>
    <m/>
    <m/>
    <m/>
    <m/>
  </r>
  <r>
    <d v="2025-11-08T00:00:00"/>
    <s v="INV-981"/>
    <s v="Sales"/>
    <n v="2250"/>
    <m/>
    <x v="21"/>
    <m/>
    <m/>
    <m/>
    <m/>
    <m/>
  </r>
  <r>
    <d v="2025-11-08T00:00:00"/>
    <s v="INV-982"/>
    <s v="Sales"/>
    <n v="520"/>
    <m/>
    <x v="14"/>
    <m/>
    <m/>
    <m/>
    <m/>
    <m/>
  </r>
  <r>
    <d v="2025-11-08T00:00:00"/>
    <s v="INV-983"/>
    <s v="Sales"/>
    <n v="560"/>
    <m/>
    <x v="3"/>
    <m/>
    <m/>
    <m/>
    <m/>
    <m/>
  </r>
  <r>
    <d v="2025-11-08T00:00:00"/>
    <s v="INV-984"/>
    <s v="Sales"/>
    <n v="160"/>
    <m/>
    <x v="22"/>
    <m/>
    <m/>
    <m/>
    <m/>
    <m/>
  </r>
  <r>
    <d v="2025-11-08T00:00:00"/>
    <s v="INV-985"/>
    <s v="Sales"/>
    <n v="320"/>
    <m/>
    <x v="5"/>
    <m/>
    <m/>
    <m/>
    <m/>
    <m/>
  </r>
  <r>
    <d v="2025-11-08T00:00:00"/>
    <s v="INV-986"/>
    <s v="Sales"/>
    <n v="2250"/>
    <m/>
    <x v="16"/>
    <m/>
    <m/>
    <m/>
    <m/>
    <m/>
  </r>
  <r>
    <d v="2025-11-08T00:00:00"/>
    <s v="INV-987"/>
    <s v="Sales"/>
    <n v="1500"/>
    <m/>
    <x v="8"/>
    <m/>
    <m/>
    <m/>
    <m/>
    <m/>
  </r>
  <r>
    <d v="2025-11-08T00:00:00"/>
    <s v="INV-988"/>
    <s v="Sales"/>
    <n v="240"/>
    <m/>
    <x v="6"/>
    <m/>
    <m/>
    <m/>
    <m/>
    <m/>
  </r>
  <r>
    <d v="2025-11-08T00:00:00"/>
    <s v="INV-989"/>
    <s v="Sales"/>
    <n v="1360"/>
    <m/>
    <x v="23"/>
    <m/>
    <m/>
    <m/>
    <m/>
    <m/>
  </r>
  <r>
    <d v="2025-11-08T00:00:00"/>
    <s v="INV-990"/>
    <s v="Sales"/>
    <n v="1500"/>
    <m/>
    <x v="12"/>
    <m/>
    <m/>
    <m/>
    <m/>
    <m/>
  </r>
  <r>
    <d v="2025-11-08T00:00:00"/>
    <s v="INV-991"/>
    <s v="Sales"/>
    <n v="320"/>
    <m/>
    <x v="2"/>
    <m/>
    <m/>
    <m/>
    <m/>
    <m/>
  </r>
  <r>
    <d v="2025-11-08T00:00:00"/>
    <s v="INV-992"/>
    <s v="Sales"/>
    <n v="320"/>
    <m/>
    <x v="24"/>
    <m/>
    <m/>
    <m/>
    <m/>
    <m/>
  </r>
  <r>
    <d v="2025-11-08T00:00:00"/>
    <m/>
    <s v="Expences"/>
    <m/>
    <n v="50"/>
    <x v="0"/>
    <m/>
    <m/>
    <m/>
    <m/>
    <m/>
  </r>
  <r>
    <d v="2025-11-08T00:00:00"/>
    <m/>
    <s v="Staff Salary"/>
    <m/>
    <n v="70"/>
    <x v="0"/>
    <m/>
    <m/>
    <m/>
    <m/>
    <m/>
  </r>
  <r>
    <d v="2025-11-08T00:00:00"/>
    <m/>
    <s v="Delivery charge"/>
    <m/>
    <n v="58"/>
    <x v="0"/>
    <m/>
    <m/>
    <m/>
    <m/>
    <m/>
  </r>
  <r>
    <d v="2025-11-08T00:00:00"/>
    <m/>
    <s v="Packaging Material"/>
    <m/>
    <n v="1050"/>
    <x v="0"/>
    <m/>
    <m/>
    <m/>
    <m/>
    <m/>
  </r>
  <r>
    <d v="2025-11-09T00:00:00"/>
    <s v="INV-993"/>
    <s v="Sales"/>
    <n v="340"/>
    <m/>
    <x v="10"/>
    <m/>
    <m/>
    <m/>
    <m/>
    <m/>
  </r>
  <r>
    <d v="2025-11-09T00:00:00"/>
    <s v="INV-994"/>
    <s v="Sales"/>
    <n v="870"/>
    <m/>
    <x v="14"/>
    <m/>
    <m/>
    <m/>
    <m/>
    <m/>
  </r>
  <r>
    <d v="2025-11-10T00:00:00"/>
    <m/>
    <s v="Ginger Purchase"/>
    <m/>
    <n v="3100"/>
    <x v="0"/>
    <s v="Old Ginger"/>
    <n v="62"/>
    <m/>
    <n v="50"/>
    <s v="Jakakodi Traders"/>
  </r>
  <r>
    <d v="2025-11-10T00:00:00"/>
    <s v="INV-995"/>
    <s v="Sales"/>
    <n v="160"/>
    <m/>
    <x v="2"/>
    <m/>
    <m/>
    <m/>
    <m/>
    <m/>
  </r>
  <r>
    <d v="2025-11-10T00:00:00"/>
    <s v="INV-996"/>
    <s v="Sales"/>
    <n v="320"/>
    <m/>
    <x v="5"/>
    <m/>
    <m/>
    <m/>
    <m/>
    <m/>
  </r>
  <r>
    <d v="2025-11-10T00:00:00"/>
    <s v="INV-997"/>
    <s v="Sales"/>
    <n v="430"/>
    <m/>
    <x v="14"/>
    <m/>
    <m/>
    <m/>
    <m/>
    <m/>
  </r>
  <r>
    <d v="2025-11-10T00:00:00"/>
    <s v="INV-998"/>
    <s v="Sales"/>
    <n v="170"/>
    <m/>
    <x v="25"/>
    <m/>
    <m/>
    <m/>
    <m/>
    <m/>
  </r>
  <r>
    <d v="2025-11-10T00:00:00"/>
    <s v="INV-999"/>
    <s v="Sales"/>
    <n v="240"/>
    <m/>
    <x v="3"/>
    <m/>
    <m/>
    <m/>
    <m/>
    <m/>
  </r>
  <r>
    <d v="2025-11-10T00:00:00"/>
    <s v="INV-1000"/>
    <s v="Sales"/>
    <n v="160"/>
    <m/>
    <x v="26"/>
    <m/>
    <m/>
    <m/>
    <m/>
    <m/>
  </r>
  <r>
    <d v="2025-11-10T00:00:00"/>
    <s v="INV-1001"/>
    <s v="Sales"/>
    <n v="1500"/>
    <m/>
    <x v="8"/>
    <m/>
    <m/>
    <m/>
    <m/>
    <m/>
  </r>
  <r>
    <d v="2025-11-10T00:00:00"/>
    <m/>
    <s v="Petrol"/>
    <m/>
    <n v="400"/>
    <x v="0"/>
    <m/>
    <m/>
    <m/>
    <m/>
    <m/>
  </r>
  <r>
    <d v="2025-11-10T00:00:00"/>
    <m/>
    <s v="Essential Items"/>
    <m/>
    <n v="45"/>
    <x v="0"/>
    <m/>
    <m/>
    <m/>
    <m/>
    <m/>
  </r>
  <r>
    <d v="2025-11-10T00:00:00"/>
    <m/>
    <s v="Expences"/>
    <m/>
    <n v="50"/>
    <x v="0"/>
    <m/>
    <m/>
    <m/>
    <m/>
    <m/>
  </r>
  <r>
    <d v="2025-11-11T00:00:00"/>
    <m/>
    <s v="Garlic Purchase"/>
    <m/>
    <n v="25991"/>
    <x v="0"/>
    <s v="Naatu Poondu"/>
    <n v="62"/>
    <n v="1501"/>
    <n v="395"/>
    <s v="PK Garlic"/>
  </r>
  <r>
    <d v="2025-11-11T00:00:00"/>
    <s v="INV-1002"/>
    <s v="Sales"/>
    <n v="320"/>
    <m/>
    <x v="23"/>
    <m/>
    <m/>
    <m/>
    <m/>
    <m/>
  </r>
  <r>
    <d v="2025-11-11T00:00:00"/>
    <s v="INV-1003"/>
    <s v="Sales"/>
    <n v="160"/>
    <m/>
    <x v="2"/>
    <m/>
    <m/>
    <m/>
    <m/>
    <m/>
  </r>
  <r>
    <d v="2025-11-11T00:00:00"/>
    <s v="INV-1004"/>
    <s v="Sales"/>
    <n v="320"/>
    <m/>
    <x v="3"/>
    <m/>
    <m/>
    <m/>
    <m/>
    <m/>
  </r>
  <r>
    <d v="2025-11-11T00:00:00"/>
    <s v="INV-1005"/>
    <s v="Sales"/>
    <n v="100"/>
    <m/>
    <x v="20"/>
    <m/>
    <m/>
    <m/>
    <m/>
    <m/>
  </r>
  <r>
    <d v="2025-11-11T00:00:00"/>
    <s v="INV-1006"/>
    <s v="Sales"/>
    <n v="80"/>
    <m/>
    <x v="9"/>
    <m/>
    <m/>
    <m/>
    <m/>
    <m/>
  </r>
  <r>
    <d v="2025-11-11T00:00:00"/>
    <s v="INV-1007"/>
    <s v="Sales"/>
    <n v="90"/>
    <m/>
    <x v="14"/>
    <m/>
    <m/>
    <m/>
    <m/>
    <m/>
  </r>
  <r>
    <d v="2025-11-11T00:00:00"/>
    <s v="INV-1008"/>
    <s v="Sales"/>
    <n v="160"/>
    <m/>
    <x v="17"/>
    <m/>
    <m/>
    <m/>
    <m/>
    <m/>
  </r>
  <r>
    <d v="2025-11-11T00:00:00"/>
    <s v="INV-1009"/>
    <s v="Sales"/>
    <n v="160"/>
    <m/>
    <x v="6"/>
    <m/>
    <m/>
    <m/>
    <m/>
    <m/>
  </r>
  <r>
    <d v="2025-11-11T00:00:00"/>
    <s v="INV-1010"/>
    <s v="Sales"/>
    <n v="160"/>
    <m/>
    <x v="11"/>
    <m/>
    <m/>
    <m/>
    <m/>
    <m/>
  </r>
  <r>
    <d v="2025-11-11T00:00:00"/>
    <m/>
    <s v="Expences"/>
    <m/>
    <n v="45"/>
    <x v="0"/>
    <m/>
    <m/>
    <m/>
    <m/>
    <m/>
  </r>
  <r>
    <d v="2025-11-11T00:00:00"/>
    <m/>
    <s v="Essential Items"/>
    <m/>
    <n v="15"/>
    <x v="0"/>
    <m/>
    <m/>
    <m/>
    <m/>
    <m/>
  </r>
  <r>
    <d v="2025-11-12T00:00:00"/>
    <s v="INV-1011"/>
    <s v="Sales"/>
    <n v="1800"/>
    <m/>
    <x v="16"/>
    <m/>
    <m/>
    <m/>
    <m/>
    <m/>
  </r>
  <r>
    <d v="2025-11-12T00:00:00"/>
    <s v="INV-1012"/>
    <s v="Sales"/>
    <n v="240"/>
    <m/>
    <x v="2"/>
    <m/>
    <m/>
    <m/>
    <m/>
    <m/>
  </r>
  <r>
    <d v="2025-11-12T00:00:00"/>
    <s v="INV-1013"/>
    <s v="Sales"/>
    <n v="340"/>
    <m/>
    <x v="14"/>
    <m/>
    <m/>
    <m/>
    <m/>
    <m/>
  </r>
  <r>
    <d v="2025-11-12T00:00:00"/>
    <s v="INV-1014"/>
    <s v="Sales"/>
    <n v="160"/>
    <m/>
    <x v="26"/>
    <m/>
    <m/>
    <m/>
    <m/>
    <m/>
  </r>
  <r>
    <d v="2025-11-12T00:00:00"/>
    <s v="INV-1015"/>
    <s v="Sales"/>
    <n v="240"/>
    <m/>
    <x v="23"/>
    <m/>
    <m/>
    <m/>
    <m/>
    <m/>
  </r>
  <r>
    <d v="2025-11-12T00:00:00"/>
    <s v="INV-1016"/>
    <s v="Sales"/>
    <n v="90"/>
    <m/>
    <x v="10"/>
    <m/>
    <m/>
    <m/>
    <m/>
    <m/>
  </r>
  <r>
    <d v="2025-11-12T00:00:00"/>
    <s v="INV-1017"/>
    <s v="Sales"/>
    <n v="240"/>
    <m/>
    <x v="6"/>
    <m/>
    <m/>
    <m/>
    <m/>
    <m/>
  </r>
  <r>
    <d v="2025-11-12T00:00:00"/>
    <s v="INV-1018"/>
    <s v="Sales"/>
    <n v="1050"/>
    <m/>
    <x v="9"/>
    <m/>
    <m/>
    <m/>
    <m/>
    <m/>
  </r>
  <r>
    <d v="2025-11-12T00:00:00"/>
    <s v="INV-1019"/>
    <s v="Sales"/>
    <n v="1500"/>
    <m/>
    <x v="8"/>
    <m/>
    <m/>
    <m/>
    <m/>
    <m/>
  </r>
  <r>
    <d v="2025-11-12T00:00:00"/>
    <s v="INV-1020"/>
    <s v="Sales"/>
    <n v="160"/>
    <m/>
    <x v="7"/>
    <m/>
    <m/>
    <m/>
    <m/>
    <m/>
  </r>
  <r>
    <d v="2025-11-12T00:00:00"/>
    <m/>
    <s v="Staff Salary"/>
    <m/>
    <n v="100"/>
    <x v="0"/>
    <m/>
    <m/>
    <m/>
    <m/>
    <m/>
  </r>
  <r>
    <d v="2025-11-12T00:00:00"/>
    <m/>
    <s v="Delivery charge"/>
    <m/>
    <n v="300"/>
    <x v="0"/>
    <m/>
    <m/>
    <m/>
    <m/>
    <m/>
  </r>
  <r>
    <d v="2025-11-12T00:00:00"/>
    <m/>
    <s v="Expences"/>
    <m/>
    <n v="50"/>
    <x v="0"/>
    <m/>
    <m/>
    <m/>
    <m/>
    <m/>
  </r>
  <r>
    <d v="2025-11-13T00:00:00"/>
    <m/>
    <s v="Ginger Purchase"/>
    <m/>
    <n v="2900"/>
    <x v="0"/>
    <s v="Old Ginger"/>
    <n v="58"/>
    <m/>
    <n v="50"/>
    <s v="Jakakodi Traders"/>
  </r>
  <r>
    <d v="2025-11-13T00:00:00"/>
    <s v="INV-1021"/>
    <s v="Sales"/>
    <n v="240"/>
    <m/>
    <x v="2"/>
    <m/>
    <m/>
    <m/>
    <m/>
    <m/>
  </r>
  <r>
    <d v="2025-11-13T00:00:00"/>
    <s v="INV-1022"/>
    <s v="Sales"/>
    <n v="320"/>
    <m/>
    <x v="3"/>
    <m/>
    <m/>
    <m/>
    <m/>
    <m/>
  </r>
  <r>
    <d v="2025-11-13T00:00:00"/>
    <s v="INV-1023"/>
    <s v="Sales"/>
    <n v="2250"/>
    <m/>
    <x v="16"/>
    <m/>
    <m/>
    <m/>
    <m/>
    <m/>
  </r>
  <r>
    <d v="2025-11-13T00:00:00"/>
    <s v="INV-1024"/>
    <s v="Sales"/>
    <n v="830"/>
    <m/>
    <x v="14"/>
    <m/>
    <m/>
    <m/>
    <m/>
    <m/>
  </r>
  <r>
    <d v="2025-11-13T00:00:00"/>
    <s v="INV-1025"/>
    <s v="Sales"/>
    <n v="90"/>
    <m/>
    <x v="10"/>
    <m/>
    <m/>
    <m/>
    <m/>
    <m/>
  </r>
  <r>
    <d v="2025-11-13T00:00:00"/>
    <s v="INV-1026"/>
    <s v="Sales"/>
    <n v="80"/>
    <m/>
    <x v="7"/>
    <m/>
    <m/>
    <m/>
    <m/>
    <m/>
  </r>
  <r>
    <d v="2025-11-13T00:00:00"/>
    <s v="INV-1027"/>
    <s v="Sales"/>
    <n v="320"/>
    <m/>
    <x v="5"/>
    <m/>
    <m/>
    <m/>
    <m/>
    <m/>
  </r>
  <r>
    <d v="2025-11-13T00:00:00"/>
    <s v="INV-1028"/>
    <s v="Sales"/>
    <n v="640"/>
    <m/>
    <x v="27"/>
    <m/>
    <m/>
    <m/>
    <m/>
    <m/>
  </r>
  <r>
    <d v="2025-11-13T00:00:00"/>
    <s v="INV-1029"/>
    <s v="Sales"/>
    <n v="900"/>
    <m/>
    <x v="9"/>
    <m/>
    <m/>
    <m/>
    <m/>
    <m/>
  </r>
  <r>
    <d v="2025-11-13T00:00:00"/>
    <s v="INV-1030"/>
    <s v="Sales"/>
    <n v="1500"/>
    <m/>
    <x v="8"/>
    <m/>
    <m/>
    <m/>
    <m/>
    <m/>
  </r>
  <r>
    <d v="2025-11-13T00:00:00"/>
    <m/>
    <s v="Expences"/>
    <m/>
    <n v="20"/>
    <x v="0"/>
    <m/>
    <m/>
    <m/>
    <m/>
    <m/>
  </r>
  <r>
    <d v="2025-11-14T00:00:00"/>
    <s v="INV-1031"/>
    <s v="Sales"/>
    <n v="240"/>
    <m/>
    <x v="2"/>
    <m/>
    <m/>
    <m/>
    <m/>
    <m/>
  </r>
  <r>
    <d v="2025-11-14T00:00:00"/>
    <s v="INV-1032"/>
    <s v="Sales"/>
    <n v="240"/>
    <m/>
    <x v="28"/>
    <m/>
    <m/>
    <m/>
    <m/>
    <m/>
  </r>
  <r>
    <d v="2025-11-14T00:00:00"/>
    <s v="INV-1033"/>
    <s v="Sales"/>
    <n v="600"/>
    <m/>
    <x v="14"/>
    <m/>
    <m/>
    <m/>
    <m/>
    <m/>
  </r>
  <r>
    <d v="2025-11-14T00:00:00"/>
    <s v="INV-1034"/>
    <s v="Sales"/>
    <n v="480"/>
    <m/>
    <x v="5"/>
    <m/>
    <m/>
    <m/>
    <m/>
    <m/>
  </r>
  <r>
    <d v="2025-11-14T00:00:00"/>
    <s v="INV-1035"/>
    <s v="Sales"/>
    <n v="160"/>
    <m/>
    <x v="3"/>
    <m/>
    <m/>
    <m/>
    <m/>
    <m/>
  </r>
  <r>
    <d v="2025-11-14T00:00:00"/>
    <s v="INV-1036"/>
    <s v="Sales"/>
    <n v="640"/>
    <m/>
    <x v="27"/>
    <m/>
    <m/>
    <m/>
    <m/>
    <m/>
  </r>
  <r>
    <d v="2025-11-14T00:00:00"/>
    <s v="INV-1037"/>
    <s v="Sales"/>
    <n v="750"/>
    <m/>
    <x v="12"/>
    <m/>
    <m/>
    <m/>
    <m/>
    <m/>
  </r>
  <r>
    <d v="2025-11-14T00:00:00"/>
    <s v="INV-1038"/>
    <s v="Sales"/>
    <n v="320"/>
    <m/>
    <x v="9"/>
    <m/>
    <m/>
    <m/>
    <m/>
    <m/>
  </r>
  <r>
    <d v="2025-11-14T00:00:00"/>
    <m/>
    <s v="Water Cane"/>
    <m/>
    <n v="160"/>
    <x v="0"/>
    <m/>
    <m/>
    <m/>
    <m/>
    <m/>
  </r>
  <r>
    <d v="2025-11-14T00:00:00"/>
    <m/>
    <s v="Packaging Material"/>
    <m/>
    <n v="400"/>
    <x v="0"/>
    <m/>
    <m/>
    <m/>
    <m/>
    <m/>
  </r>
  <r>
    <d v="2025-11-14T00:00:00"/>
    <m/>
    <s v="Expences"/>
    <m/>
    <n v="50"/>
    <x v="0"/>
    <m/>
    <m/>
    <m/>
    <m/>
    <m/>
  </r>
  <r>
    <d v="2025-11-15T00:00:00"/>
    <s v="INV-1039"/>
    <s v="Sales"/>
    <n v="100"/>
    <m/>
    <x v="10"/>
    <m/>
    <m/>
    <m/>
    <m/>
    <m/>
  </r>
  <r>
    <d v="2025-11-15T00:00:00"/>
    <s v="INV-1040"/>
    <s v="Sales"/>
    <n v="560"/>
    <m/>
    <x v="2"/>
    <m/>
    <m/>
    <m/>
    <m/>
    <m/>
  </r>
  <r>
    <d v="2025-11-15T00:00:00"/>
    <s v="INV-1041"/>
    <s v="Sales"/>
    <n v="1270"/>
    <m/>
    <x v="14"/>
    <m/>
    <m/>
    <m/>
    <m/>
    <m/>
  </r>
  <r>
    <d v="2025-11-15T00:00:00"/>
    <s v="INV-1042"/>
    <s v="Sales"/>
    <n v="560"/>
    <m/>
    <x v="17"/>
    <m/>
    <m/>
    <m/>
    <m/>
    <m/>
  </r>
  <r>
    <d v="2025-11-15T00:00:00"/>
    <s v="INV-1043"/>
    <s v="Sales"/>
    <n v="80"/>
    <m/>
    <x v="7"/>
    <m/>
    <m/>
    <m/>
    <m/>
    <m/>
  </r>
  <r>
    <d v="2025-11-15T00:00:00"/>
    <s v="INV-1044"/>
    <s v="Sales"/>
    <n v="240"/>
    <m/>
    <x v="3"/>
    <m/>
    <m/>
    <m/>
    <m/>
    <m/>
  </r>
  <r>
    <d v="2025-11-15T00:00:00"/>
    <s v="INV-1045"/>
    <s v="Sales"/>
    <n v="4500"/>
    <m/>
    <x v="1"/>
    <m/>
    <m/>
    <m/>
    <m/>
    <m/>
  </r>
  <r>
    <d v="2025-11-15T00:00:00"/>
    <s v="INV-1046"/>
    <s v="Sales"/>
    <n v="2700"/>
    <m/>
    <x v="8"/>
    <m/>
    <m/>
    <m/>
    <m/>
    <m/>
  </r>
  <r>
    <d v="2025-11-15T00:00:00"/>
    <s v="INV-1047"/>
    <s v="Sales"/>
    <n v="750"/>
    <m/>
    <x v="9"/>
    <m/>
    <m/>
    <m/>
    <m/>
    <m/>
  </r>
  <r>
    <d v="2025-11-15T00:00:00"/>
    <s v="INV-1048"/>
    <s v="Sales"/>
    <n v="480"/>
    <m/>
    <x v="3"/>
    <m/>
    <m/>
    <m/>
    <m/>
    <m/>
  </r>
  <r>
    <d v="2025-11-15T00:00:00"/>
    <m/>
    <s v="Delivery charge"/>
    <m/>
    <n v="100"/>
    <x v="0"/>
    <m/>
    <m/>
    <m/>
    <m/>
    <m/>
  </r>
  <r>
    <d v="2025-11-15T00:00:00"/>
    <m/>
    <s v="Essential Items"/>
    <m/>
    <n v="80"/>
    <x v="0"/>
    <m/>
    <m/>
    <m/>
    <m/>
    <m/>
  </r>
  <r>
    <d v="2025-11-15T00:00:00"/>
    <m/>
    <s v="Expences"/>
    <m/>
    <n v="50"/>
    <x v="0"/>
    <m/>
    <m/>
    <m/>
    <m/>
    <m/>
  </r>
  <r>
    <d v="2025-11-15T00:00:00"/>
    <m/>
    <s v="Packaging Material"/>
    <m/>
    <n v="860"/>
    <x v="0"/>
    <m/>
    <m/>
    <m/>
    <m/>
    <m/>
  </r>
  <r>
    <d v="2025-11-16T00:00:00"/>
    <s v="INV-1049"/>
    <s v="Sales"/>
    <n v="160"/>
    <m/>
    <x v="11"/>
    <m/>
    <m/>
    <m/>
    <m/>
    <m/>
  </r>
  <r>
    <d v="2025-11-16T00:00:00"/>
    <s v="INV-1050"/>
    <s v="Sales"/>
    <n v="160"/>
    <m/>
    <x v="22"/>
    <m/>
    <m/>
    <m/>
    <m/>
    <m/>
  </r>
  <r>
    <d v="2025-11-16T00:00:00"/>
    <s v="INV-1051"/>
    <s v="Sales"/>
    <n v="750"/>
    <m/>
    <x v="21"/>
    <m/>
    <m/>
    <m/>
    <m/>
    <m/>
  </r>
  <r>
    <d v="2025-11-16T00:00:00"/>
    <s v="INV-1052"/>
    <s v="Sales"/>
    <n v="150"/>
    <m/>
    <x v="29"/>
    <m/>
    <m/>
    <m/>
    <m/>
    <m/>
  </r>
  <r>
    <d v="2025-11-17T00:00:00"/>
    <s v="INV-1053"/>
    <s v="Sales"/>
    <n v="1440"/>
    <m/>
    <x v="14"/>
    <m/>
    <m/>
    <m/>
    <m/>
    <m/>
  </r>
  <r>
    <d v="2025-11-17T00:00:00"/>
    <s v="INV-1054"/>
    <s v="Sales"/>
    <n v="240"/>
    <m/>
    <x v="2"/>
    <m/>
    <m/>
    <m/>
    <m/>
    <m/>
  </r>
  <r>
    <d v="2025-11-17T00:00:00"/>
    <s v="INV-1055"/>
    <s v="Sales"/>
    <n v="80"/>
    <m/>
    <x v="28"/>
    <m/>
    <m/>
    <m/>
    <m/>
    <m/>
  </r>
  <r>
    <d v="2025-11-17T00:00:00"/>
    <s v="INV-1056"/>
    <s v="Sales"/>
    <n v="720"/>
    <m/>
    <x v="3"/>
    <m/>
    <m/>
    <m/>
    <m/>
    <m/>
  </r>
  <r>
    <d v="2025-11-17T00:00:00"/>
    <s v="INV-1057"/>
    <s v="Sales"/>
    <n v="480"/>
    <m/>
    <x v="1"/>
    <m/>
    <m/>
    <m/>
    <m/>
    <m/>
  </r>
  <r>
    <d v="2025-11-17T00:00:00"/>
    <s v="INV-1058"/>
    <s v="Sales"/>
    <n v="1500"/>
    <m/>
    <x v="30"/>
    <m/>
    <m/>
    <m/>
    <m/>
    <m/>
  </r>
  <r>
    <d v="2025-11-17T00:00:00"/>
    <s v="INV-1059"/>
    <s v="Sales"/>
    <n v="1500"/>
    <m/>
    <x v="8"/>
    <m/>
    <m/>
    <m/>
    <m/>
    <m/>
  </r>
  <r>
    <d v="2025-11-17T00:00:00"/>
    <m/>
    <s v="Expences"/>
    <m/>
    <n v="50"/>
    <x v="0"/>
    <m/>
    <m/>
    <m/>
    <m/>
    <m/>
  </r>
  <r>
    <d v="2025-11-17T00:00:00"/>
    <m/>
    <s v="Petrol"/>
    <m/>
    <n v="400"/>
    <x v="0"/>
    <m/>
    <m/>
    <m/>
    <m/>
    <m/>
  </r>
  <r>
    <d v="2025-11-18T00:00:00"/>
    <m/>
    <s v="Ginger Purchase"/>
    <m/>
    <n v="3300"/>
    <x v="0"/>
    <s v="Old Ginger"/>
    <n v="66"/>
    <m/>
    <n v="50"/>
    <s v="Jakakodi Traders"/>
  </r>
  <r>
    <d v="2025-11-18T00:00:00"/>
    <s v="INV-1060"/>
    <s v="Sales"/>
    <n v="480"/>
    <m/>
    <x v="31"/>
    <m/>
    <m/>
    <m/>
    <m/>
    <m/>
  </r>
  <r>
    <d v="2025-11-18T00:00:00"/>
    <s v="INV-1061"/>
    <s v="Sales"/>
    <n v="510"/>
    <m/>
    <x v="14"/>
    <m/>
    <m/>
    <m/>
    <m/>
    <m/>
  </r>
  <r>
    <d v="2025-11-18T00:00:00"/>
    <s v="INV-1062"/>
    <s v="Sales"/>
    <n v="240"/>
    <m/>
    <x v="2"/>
    <m/>
    <m/>
    <m/>
    <m/>
    <m/>
  </r>
  <r>
    <d v="2025-11-18T00:00:00"/>
    <s v="INV-1063"/>
    <s v="Sales"/>
    <n v="80"/>
    <m/>
    <x v="7"/>
    <m/>
    <m/>
    <m/>
    <m/>
    <m/>
  </r>
  <r>
    <d v="2025-11-18T00:00:00"/>
    <s v="INV-1064"/>
    <s v="Sales"/>
    <n v="480"/>
    <m/>
    <x v="5"/>
    <m/>
    <m/>
    <m/>
    <m/>
    <m/>
  </r>
  <r>
    <d v="2025-11-18T00:00:00"/>
    <s v="INV-1065"/>
    <s v="Sales"/>
    <n v="1200"/>
    <m/>
    <x v="3"/>
    <m/>
    <m/>
    <m/>
    <m/>
    <m/>
  </r>
  <r>
    <d v="2025-11-18T00:00:00"/>
    <s v="INV-1066"/>
    <s v="Sales"/>
    <n v="320"/>
    <m/>
    <x v="24"/>
    <m/>
    <m/>
    <m/>
    <m/>
    <m/>
  </r>
  <r>
    <d v="2025-11-18T00:00:00"/>
    <s v="INV-1067"/>
    <s v="Sales"/>
    <n v="200"/>
    <m/>
    <x v="6"/>
    <m/>
    <m/>
    <m/>
    <m/>
    <m/>
  </r>
  <r>
    <d v="2025-11-18T00:00:00"/>
    <s v="INV-1068"/>
    <s v="Sales"/>
    <n v="300"/>
    <m/>
    <x v="20"/>
    <m/>
    <m/>
    <m/>
    <m/>
    <m/>
  </r>
  <r>
    <d v="2025-11-18T00:00:00"/>
    <s v="INV-1069"/>
    <s v="Sales"/>
    <n v="750"/>
    <m/>
    <x v="1"/>
    <m/>
    <m/>
    <m/>
    <m/>
    <m/>
  </r>
  <r>
    <d v="2025-11-18T00:00:00"/>
    <s v="INV-1070"/>
    <s v="Sales"/>
    <n v="170"/>
    <m/>
    <x v="10"/>
    <m/>
    <m/>
    <m/>
    <m/>
    <m/>
  </r>
  <r>
    <d v="2025-11-18T00:00:00"/>
    <s v="INV-1071"/>
    <s v="Sales"/>
    <n v="750"/>
    <m/>
    <x v="12"/>
    <m/>
    <m/>
    <m/>
    <m/>
    <m/>
  </r>
  <r>
    <d v="2025-11-18T00:00:00"/>
    <m/>
    <s v="Expences"/>
    <m/>
    <n v="50"/>
    <x v="0"/>
    <m/>
    <m/>
    <m/>
    <m/>
    <m/>
  </r>
  <r>
    <d v="2025-11-19T00:00:00"/>
    <s v="INV-1072"/>
    <s v="Sales"/>
    <n v="160"/>
    <m/>
    <x v="22"/>
    <m/>
    <m/>
    <m/>
    <m/>
    <m/>
  </r>
  <r>
    <d v="2025-11-19T00:00:00"/>
    <s v="INV-1073"/>
    <s v="Sales"/>
    <n v="160"/>
    <m/>
    <x v="11"/>
    <m/>
    <m/>
    <m/>
    <m/>
    <m/>
  </r>
  <r>
    <d v="2025-11-19T00:00:00"/>
    <s v="INV-1074"/>
    <m/>
    <m/>
    <m/>
    <x v="0"/>
    <m/>
    <m/>
    <m/>
    <m/>
    <m/>
  </r>
  <r>
    <d v="2025-11-19T00:00:00"/>
    <s v="INV-1075"/>
    <s v="Sales"/>
    <n v="160"/>
    <m/>
    <x v="25"/>
    <m/>
    <m/>
    <m/>
    <m/>
    <m/>
  </r>
  <r>
    <d v="2025-11-19T00:00:00"/>
    <s v="INV-1076"/>
    <s v="Sales"/>
    <n v="2780"/>
    <m/>
    <x v="16"/>
    <m/>
    <m/>
    <m/>
    <m/>
    <m/>
  </r>
  <r>
    <d v="2025-11-19T00:00:00"/>
    <s v="INV-1077"/>
    <s v="Sales"/>
    <n v="480"/>
    <m/>
    <x v="1"/>
    <m/>
    <m/>
    <m/>
    <m/>
    <m/>
  </r>
  <r>
    <d v="2025-11-19T00:00:00"/>
    <s v="INV-1078"/>
    <s v="Sales"/>
    <n v="170"/>
    <m/>
    <x v="14"/>
    <m/>
    <m/>
    <m/>
    <m/>
    <m/>
  </r>
  <r>
    <d v="2025-11-19T00:00:00"/>
    <m/>
    <s v="Others"/>
    <m/>
    <n v="480"/>
    <x v="0"/>
    <m/>
    <m/>
    <m/>
    <m/>
    <m/>
  </r>
  <r>
    <d v="2025-11-19T00:00:00"/>
    <m/>
    <s v="Expences"/>
    <m/>
    <n v="50"/>
    <x v="0"/>
    <m/>
    <m/>
    <m/>
    <m/>
    <m/>
  </r>
  <r>
    <d v="2025-11-20T00:00:00"/>
    <s v="INV-1079"/>
    <s v="Sales"/>
    <n v="680"/>
    <m/>
    <x v="14"/>
    <m/>
    <m/>
    <m/>
    <m/>
    <m/>
  </r>
  <r>
    <d v="2025-11-20T00:00:00"/>
    <s v="INV-1080"/>
    <s v="Sales"/>
    <n v="240"/>
    <m/>
    <x v="2"/>
    <m/>
    <m/>
    <m/>
    <m/>
    <m/>
  </r>
  <r>
    <d v="2025-11-20T00:00:00"/>
    <s v="INV-1081"/>
    <s v="Sales"/>
    <n v="480"/>
    <m/>
    <x v="5"/>
    <m/>
    <m/>
    <m/>
    <m/>
    <m/>
  </r>
  <r>
    <d v="2025-11-20T00:00:00"/>
    <s v="INV-1082"/>
    <s v="Sales"/>
    <n v="160"/>
    <m/>
    <x v="32"/>
    <m/>
    <m/>
    <m/>
    <m/>
    <m/>
  </r>
  <r>
    <d v="2025-11-20T00:00:00"/>
    <s v="INV-1083"/>
    <s v="Sales"/>
    <n v="320"/>
    <m/>
    <x v="28"/>
    <m/>
    <m/>
    <m/>
    <m/>
    <m/>
  </r>
  <r>
    <d v="2025-11-20T00:00:00"/>
    <s v="INV-1084"/>
    <s v="Sales"/>
    <n v="900"/>
    <m/>
    <x v="22"/>
    <m/>
    <m/>
    <m/>
    <m/>
    <m/>
  </r>
  <r>
    <d v="2025-11-20T00:00:00"/>
    <s v="INV-1085"/>
    <s v="Sales"/>
    <n v="225"/>
    <m/>
    <x v="1"/>
    <m/>
    <m/>
    <m/>
    <m/>
    <m/>
  </r>
  <r>
    <d v="2025-11-20T00:00:00"/>
    <s v="INV-1086"/>
    <s v="Sales"/>
    <n v="1600"/>
    <m/>
    <x v="8"/>
    <m/>
    <m/>
    <m/>
    <m/>
    <m/>
  </r>
  <r>
    <d v="2025-11-20T00:00:00"/>
    <s v="INV-1087"/>
    <s v="Sales"/>
    <n v="1200"/>
    <m/>
    <x v="29"/>
    <m/>
    <m/>
    <m/>
    <m/>
    <m/>
  </r>
  <r>
    <d v="2025-11-20T00:00:00"/>
    <s v="INV-1088"/>
    <s v="Sales"/>
    <n v="60"/>
    <m/>
    <x v="10"/>
    <m/>
    <m/>
    <m/>
    <m/>
    <m/>
  </r>
  <r>
    <d v="2025-11-20T00:00:00"/>
    <m/>
    <s v="Expences"/>
    <m/>
    <n v="50"/>
    <x v="0"/>
    <m/>
    <m/>
    <m/>
    <m/>
    <m/>
  </r>
  <r>
    <d v="2025-11-20T00:00:00"/>
    <m/>
    <s v="Bills"/>
    <m/>
    <n v="550"/>
    <x v="0"/>
    <m/>
    <m/>
    <m/>
    <m/>
    <m/>
  </r>
  <r>
    <d v="2025-11-21T00:00:00"/>
    <s v="INV-1089"/>
    <s v="Sales"/>
    <n v="320"/>
    <m/>
    <x v="2"/>
    <m/>
    <m/>
    <m/>
    <m/>
    <m/>
  </r>
  <r>
    <d v="2025-11-21T00:00:00"/>
    <s v="INV-1090"/>
    <s v="Sales"/>
    <n v="320"/>
    <m/>
    <x v="24"/>
    <m/>
    <m/>
    <m/>
    <m/>
    <m/>
  </r>
  <r>
    <d v="2025-11-21T00:00:00"/>
    <s v="INV-1091"/>
    <s v="Sales"/>
    <n v="450"/>
    <m/>
    <x v="33"/>
    <m/>
    <m/>
    <m/>
    <m/>
    <m/>
  </r>
  <r>
    <d v="2025-11-21T00:00:00"/>
    <s v="INV-1092"/>
    <s v="Sales"/>
    <n v="320"/>
    <m/>
    <x v="11"/>
    <m/>
    <m/>
    <m/>
    <m/>
    <m/>
  </r>
  <r>
    <d v="2025-11-21T00:00:00"/>
    <s v="INV-1093"/>
    <s v="Sales"/>
    <n v="160"/>
    <m/>
    <x v="26"/>
    <m/>
    <m/>
    <m/>
    <m/>
    <m/>
  </r>
  <r>
    <d v="2025-11-21T00:00:00"/>
    <s v="INV-1094"/>
    <s v="Sales"/>
    <n v="960"/>
    <m/>
    <x v="5"/>
    <m/>
    <m/>
    <m/>
    <m/>
    <m/>
  </r>
  <r>
    <d v="2025-11-21T00:00:00"/>
    <s v="INV-1095"/>
    <s v="Sales"/>
    <n v="720"/>
    <m/>
    <x v="3"/>
    <m/>
    <m/>
    <m/>
    <m/>
    <m/>
  </r>
  <r>
    <d v="2025-11-21T00:00:00"/>
    <s v="INV-1096"/>
    <s v="Sales"/>
    <n v="1500"/>
    <m/>
    <x v="12"/>
    <m/>
    <m/>
    <m/>
    <m/>
    <m/>
  </r>
  <r>
    <d v="2025-11-21T00:00:00"/>
    <m/>
    <s v="Expences"/>
    <m/>
    <n v="50"/>
    <x v="0"/>
    <m/>
    <m/>
    <m/>
    <m/>
    <m/>
  </r>
  <r>
    <d v="2025-11-21T00:00:00"/>
    <m/>
    <s v="Packaging Material"/>
    <m/>
    <n v="430"/>
    <x v="0"/>
    <m/>
    <m/>
    <m/>
    <m/>
    <m/>
  </r>
  <r>
    <d v="2025-11-21T00:00:00"/>
    <m/>
    <s v="Marketting"/>
    <m/>
    <n v="299"/>
    <x v="0"/>
    <m/>
    <m/>
    <m/>
    <m/>
    <m/>
  </r>
  <r>
    <d v="2025-11-21T00:00:00"/>
    <m/>
    <s v="Bills"/>
    <m/>
    <n v="350"/>
    <x v="0"/>
    <m/>
    <m/>
    <m/>
    <m/>
    <m/>
  </r>
  <r>
    <d v="2025-11-22T00:00:00"/>
    <m/>
    <s v="Ginger Purchase"/>
    <m/>
    <n v="6000"/>
    <x v="0"/>
    <s v="Old Ginger"/>
    <n v="60"/>
    <m/>
    <n v="100"/>
    <s v="Jakakodi Traders"/>
  </r>
  <r>
    <d v="2025-11-22T00:00:00"/>
    <s v="INV-1097"/>
    <s v="Sales"/>
    <n v="2550"/>
    <m/>
    <x v="33"/>
    <m/>
    <m/>
    <m/>
    <m/>
    <m/>
  </r>
  <r>
    <d v="2025-11-22T00:00:00"/>
    <s v="INV-1098"/>
    <s v="Sales"/>
    <n v="3000"/>
    <m/>
    <x v="12"/>
    <m/>
    <m/>
    <m/>
    <m/>
    <m/>
  </r>
  <r>
    <d v="2025-11-22T00:00:00"/>
    <s v="INV-1099"/>
    <s v="Sales"/>
    <n v="240"/>
    <m/>
    <x v="34"/>
    <m/>
    <m/>
    <m/>
    <m/>
    <m/>
  </r>
  <r>
    <d v="2025-11-22T00:00:00"/>
    <s v="INV-1100"/>
    <s v="Sales"/>
    <n v="260"/>
    <m/>
    <x v="14"/>
    <m/>
    <m/>
    <m/>
    <m/>
    <m/>
  </r>
  <r>
    <d v="2025-11-22T00:00:00"/>
    <s v="INV-1101"/>
    <s v="Sales"/>
    <n v="3000"/>
    <m/>
    <x v="16"/>
    <m/>
    <m/>
    <m/>
    <m/>
    <m/>
  </r>
  <r>
    <d v="2025-11-22T00:00:00"/>
    <s v="INV-1102"/>
    <s v="Sales"/>
    <n v="320"/>
    <m/>
    <x v="5"/>
    <m/>
    <m/>
    <m/>
    <m/>
    <m/>
  </r>
  <r>
    <d v="2025-11-22T00:00:00"/>
    <s v="INV-1103"/>
    <s v="Sales"/>
    <n v="160"/>
    <m/>
    <x v="25"/>
    <m/>
    <m/>
    <m/>
    <m/>
    <m/>
  </r>
  <r>
    <d v="2025-11-22T00:00:00"/>
    <s v="INV-1104"/>
    <s v="Sales"/>
    <n v="150"/>
    <m/>
    <x v="29"/>
    <m/>
    <m/>
    <m/>
    <m/>
    <m/>
  </r>
  <r>
    <d v="2025-11-22T00:00:00"/>
    <s v="INV-1105"/>
    <s v="Sales"/>
    <n v="900"/>
    <m/>
    <x v="1"/>
    <m/>
    <m/>
    <m/>
    <m/>
    <m/>
  </r>
  <r>
    <d v="2025-11-22T00:00:00"/>
    <s v="INV-1106"/>
    <s v="Sales"/>
    <n v="1500"/>
    <m/>
    <x v="8"/>
    <m/>
    <m/>
    <m/>
    <m/>
    <m/>
  </r>
  <r>
    <d v="2025-11-22T00:00:00"/>
    <s v="INV-1107"/>
    <s v="Sales"/>
    <n v="240"/>
    <m/>
    <x v="3"/>
    <m/>
    <m/>
    <m/>
    <m/>
    <m/>
  </r>
  <r>
    <d v="2025-11-22T00:00:00"/>
    <m/>
    <s v="Water Cane"/>
    <m/>
    <n v="160"/>
    <x v="0"/>
    <m/>
    <m/>
    <m/>
    <m/>
    <m/>
  </r>
  <r>
    <d v="2025-11-22T00:00:00"/>
    <m/>
    <s v="Staff Salary"/>
    <m/>
    <n v="100"/>
    <x v="0"/>
    <m/>
    <m/>
    <m/>
    <m/>
    <m/>
  </r>
  <r>
    <d v="2025-11-22T00:00:00"/>
    <m/>
    <s v="Expences"/>
    <m/>
    <n v="50"/>
    <x v="0"/>
    <m/>
    <m/>
    <m/>
    <m/>
    <m/>
  </r>
  <r>
    <d v="2025-11-23T00:00:00"/>
    <s v="INV-1108"/>
    <s v="Sales"/>
    <n v="3050"/>
    <m/>
    <x v="12"/>
    <m/>
    <m/>
    <m/>
    <m/>
    <m/>
  </r>
  <r>
    <d v="2025-11-23T00:00:00"/>
    <s v="INV-1109"/>
    <s v="Sales"/>
    <n v="320"/>
    <m/>
    <x v="26"/>
    <m/>
    <m/>
    <m/>
    <m/>
    <m/>
  </r>
  <r>
    <d v="2025-11-23T00:00:00"/>
    <s v="INV-1110"/>
    <s v="Sales"/>
    <n v="320"/>
    <m/>
    <x v="5"/>
    <m/>
    <m/>
    <m/>
    <m/>
    <m/>
  </r>
  <r>
    <d v="2025-11-23T00:00:00"/>
    <s v="INV-1111"/>
    <s v="Sales"/>
    <n v="170"/>
    <m/>
    <x v="14"/>
    <m/>
    <m/>
    <m/>
    <m/>
    <m/>
  </r>
  <r>
    <d v="2025-11-23T00:00:00"/>
    <s v="INV-1112"/>
    <s v="Sales"/>
    <n v="240"/>
    <m/>
    <x v="34"/>
    <m/>
    <m/>
    <m/>
    <m/>
    <m/>
  </r>
  <r>
    <d v="2025-11-23T00:00:00"/>
    <s v="INV-1113"/>
    <s v="Sales"/>
    <n v="1500"/>
    <m/>
    <x v="35"/>
    <m/>
    <m/>
    <m/>
    <m/>
    <m/>
  </r>
  <r>
    <d v="2025-11-23T00:00:00"/>
    <s v="INV-1114"/>
    <s v="Sales"/>
    <n v="160"/>
    <m/>
    <x v="31"/>
    <m/>
    <m/>
    <m/>
    <m/>
    <m/>
  </r>
  <r>
    <d v="2025-11-23T00:00:00"/>
    <s v="INV-1115"/>
    <s v="Sales"/>
    <n v="1350"/>
    <m/>
    <x v="33"/>
    <m/>
    <m/>
    <m/>
    <m/>
    <m/>
  </r>
  <r>
    <d v="2025-11-23T00:00:00"/>
    <s v="INV-1116"/>
    <s v="Sales"/>
    <n v="1500"/>
    <m/>
    <x v="14"/>
    <m/>
    <m/>
    <m/>
    <m/>
    <m/>
  </r>
  <r>
    <d v="2025-11-23T00:00:00"/>
    <m/>
    <s v="Expences"/>
    <m/>
    <n v="20"/>
    <x v="0"/>
    <m/>
    <m/>
    <m/>
    <m/>
    <m/>
  </r>
  <r>
    <d v="2025-11-24T00:00:00"/>
    <s v="INV-1117"/>
    <s v="Sales"/>
    <n v="160"/>
    <m/>
    <x v="34"/>
    <m/>
    <m/>
    <m/>
    <m/>
    <m/>
  </r>
  <r>
    <d v="2025-11-24T00:00:00"/>
    <s v="INV-1118"/>
    <s v="Sales"/>
    <n v="710"/>
    <m/>
    <x v="14"/>
    <m/>
    <m/>
    <m/>
    <m/>
    <m/>
  </r>
  <r>
    <d v="2025-11-24T00:00:00"/>
    <s v="INV-1119"/>
    <s v="Sales"/>
    <n v="480"/>
    <m/>
    <x v="24"/>
    <m/>
    <m/>
    <m/>
    <m/>
    <m/>
  </r>
  <r>
    <d v="2025-11-24T00:00:00"/>
    <s v="INV-1120"/>
    <s v="Sales"/>
    <n v="320"/>
    <m/>
    <x v="5"/>
    <m/>
    <m/>
    <m/>
    <m/>
    <m/>
  </r>
  <r>
    <d v="2025-11-24T00:00:00"/>
    <s v="INV-1121"/>
    <s v="Sales"/>
    <n v="2700"/>
    <m/>
    <x v="8"/>
    <m/>
    <m/>
    <m/>
    <m/>
    <m/>
  </r>
  <r>
    <d v="2025-11-24T00:00:00"/>
    <s v="INV-1122"/>
    <s v="Sales"/>
    <n v="450"/>
    <m/>
    <x v="1"/>
    <m/>
    <m/>
    <m/>
    <m/>
    <m/>
  </r>
  <r>
    <d v="2025-11-24T00:00:00"/>
    <s v="INV-1123"/>
    <s v="Sales"/>
    <n v="320"/>
    <m/>
    <x v="31"/>
    <m/>
    <m/>
    <m/>
    <m/>
    <m/>
  </r>
  <r>
    <d v="2025-11-24T00:00:00"/>
    <m/>
    <s v="Packaging Material"/>
    <m/>
    <n v="120"/>
    <x v="0"/>
    <m/>
    <m/>
    <m/>
    <m/>
    <m/>
  </r>
  <r>
    <d v="2025-11-24T00:00:00"/>
    <m/>
    <s v="Expences"/>
    <m/>
    <n v="10"/>
    <x v="0"/>
    <m/>
    <m/>
    <m/>
    <m/>
    <m/>
  </r>
  <r>
    <d v="2025-11-24T00:00:00"/>
    <m/>
    <s v="Expences"/>
    <m/>
    <n v="50"/>
    <x v="0"/>
    <m/>
    <m/>
    <m/>
    <m/>
    <m/>
  </r>
  <r>
    <d v="2025-11-24T00:00:00"/>
    <m/>
    <s v="Petrol"/>
    <m/>
    <n v="400"/>
    <x v="0"/>
    <m/>
    <m/>
    <m/>
    <m/>
    <m/>
  </r>
  <r>
    <d v="2025-11-25T00:00:00"/>
    <m/>
    <s v="Garlic Purchase"/>
    <m/>
    <n v="25021"/>
    <x v="0"/>
    <s v="Naatu Poondu"/>
    <n v="60"/>
    <n v="1501"/>
    <n v="392"/>
    <s v="PK Garlic"/>
  </r>
  <r>
    <d v="2025-11-25T00:00:00"/>
    <m/>
    <s v="Ginger Purchase"/>
    <m/>
    <n v="6800"/>
    <x v="0"/>
    <s v="Old Ginger"/>
    <n v="68"/>
    <m/>
    <n v="100"/>
    <s v="Jakakodi Traders"/>
  </r>
  <r>
    <d v="2025-11-25T00:00:00"/>
    <s v="INV-1124"/>
    <s v="Sales"/>
    <n v="160"/>
    <m/>
    <x v="34"/>
    <m/>
    <m/>
    <m/>
    <m/>
    <m/>
  </r>
  <r>
    <d v="2025-11-25T00:00:00"/>
    <s v="INV-1125"/>
    <s v="Sales"/>
    <n v="320"/>
    <m/>
    <x v="5"/>
    <m/>
    <m/>
    <m/>
    <m/>
    <m/>
  </r>
  <r>
    <d v="2025-11-25T00:00:00"/>
    <s v="INV-1126"/>
    <s v="Sales"/>
    <n v="160"/>
    <m/>
    <x v="11"/>
    <m/>
    <m/>
    <m/>
    <m/>
    <m/>
  </r>
  <r>
    <d v="2025-11-25T00:00:00"/>
    <s v="INV-1127"/>
    <s v="Sales"/>
    <n v="480"/>
    <m/>
    <x v="3"/>
    <m/>
    <m/>
    <m/>
    <m/>
    <m/>
  </r>
  <r>
    <d v="2025-11-25T00:00:00"/>
    <s v="INV-1128"/>
    <s v="Sales"/>
    <n v="160"/>
    <m/>
    <x v="7"/>
    <m/>
    <m/>
    <m/>
    <m/>
    <m/>
  </r>
  <r>
    <d v="2025-11-25T00:00:00"/>
    <s v="INV-1129"/>
    <s v="Sales"/>
    <n v="1350"/>
    <m/>
    <x v="33"/>
    <m/>
    <m/>
    <m/>
    <m/>
    <m/>
  </r>
  <r>
    <d v="2025-11-25T00:00:00"/>
    <s v="INV-1130"/>
    <s v="Sales"/>
    <n v="320"/>
    <m/>
    <x v="1"/>
    <m/>
    <m/>
    <m/>
    <m/>
    <m/>
  </r>
  <r>
    <d v="2025-11-25T00:00:00"/>
    <m/>
    <s v="Expences"/>
    <m/>
    <n v="50"/>
    <x v="0"/>
    <m/>
    <m/>
    <m/>
    <m/>
    <m/>
  </r>
  <r>
    <d v="2025-11-25T00:00:00"/>
    <m/>
    <s v="Essential Items"/>
    <m/>
    <n v="100"/>
    <x v="0"/>
    <m/>
    <m/>
    <m/>
    <m/>
    <m/>
  </r>
  <r>
    <d v="2025-11-25T00:00:00"/>
    <m/>
    <s v="Packaging Material"/>
    <m/>
    <n v="1000"/>
    <x v="0"/>
    <m/>
    <m/>
    <m/>
    <m/>
    <m/>
  </r>
  <r>
    <d v="2025-11-26T00:00:00"/>
    <s v="INV-1131"/>
    <s v="Sales"/>
    <n v="240"/>
    <m/>
    <x v="34"/>
    <m/>
    <m/>
    <m/>
    <m/>
    <m/>
  </r>
  <r>
    <d v="2025-11-26T00:00:00"/>
    <s v="INV-1132"/>
    <s v="Sales"/>
    <n v="480"/>
    <m/>
    <x v="5"/>
    <m/>
    <m/>
    <m/>
    <m/>
    <m/>
  </r>
  <r>
    <d v="2025-11-26T00:00:00"/>
    <s v="INV-1133"/>
    <s v="Sales"/>
    <n v="60"/>
    <m/>
    <x v="10"/>
    <m/>
    <m/>
    <m/>
    <m/>
    <m/>
  </r>
  <r>
    <d v="2025-11-26T00:00:00"/>
    <s v="INV-1134"/>
    <s v="Sales"/>
    <n v="200"/>
    <m/>
    <x v="6"/>
    <m/>
    <m/>
    <m/>
    <m/>
    <m/>
  </r>
  <r>
    <d v="2025-11-26T00:00:00"/>
    <s v="INV-1135"/>
    <s v="Sales"/>
    <n v="750"/>
    <m/>
    <x v="1"/>
    <m/>
    <m/>
    <m/>
    <m/>
    <m/>
  </r>
  <r>
    <d v="2025-11-26T00:00:00"/>
    <s v="INV-1136"/>
    <s v="Sales"/>
    <n v="6000"/>
    <m/>
    <x v="32"/>
    <m/>
    <m/>
    <m/>
    <m/>
    <m/>
  </r>
  <r>
    <d v="2025-11-26T00:00:00"/>
    <s v="INV-1137"/>
    <s v="Sales"/>
    <n v="170"/>
    <m/>
    <x v="14"/>
    <m/>
    <m/>
    <m/>
    <m/>
    <m/>
  </r>
  <r>
    <d v="2025-11-26T00:00:00"/>
    <s v="INV-1138"/>
    <s v="Sales"/>
    <n v="80"/>
    <m/>
    <x v="7"/>
    <m/>
    <m/>
    <m/>
    <m/>
    <m/>
  </r>
  <r>
    <d v="2025-11-26T00:00:00"/>
    <s v="INV-1139"/>
    <s v="Sales"/>
    <n v="1350"/>
    <m/>
    <x v="33"/>
    <m/>
    <m/>
    <m/>
    <m/>
    <m/>
  </r>
  <r>
    <d v="2025-11-26T00:00:00"/>
    <m/>
    <s v="Expences"/>
    <m/>
    <n v="50"/>
    <x v="0"/>
    <m/>
    <m/>
    <m/>
    <m/>
    <m/>
  </r>
  <r>
    <d v="2025-11-27T00:00:00"/>
    <s v="INV-1140"/>
    <s v="Sales"/>
    <n v="160"/>
    <m/>
    <x v="34"/>
    <m/>
    <m/>
    <m/>
    <m/>
    <m/>
  </r>
  <r>
    <d v="2025-11-27T00:00:00"/>
    <s v="INV-1141"/>
    <s v="Sales"/>
    <n v="320"/>
    <m/>
    <x v="5"/>
    <m/>
    <m/>
    <m/>
    <m/>
    <m/>
  </r>
  <r>
    <d v="2025-11-27T00:00:00"/>
    <s v="INV-1142"/>
    <s v="Sales"/>
    <n v="1350"/>
    <m/>
    <x v="33"/>
    <m/>
    <m/>
    <m/>
    <m/>
    <m/>
  </r>
  <r>
    <d v="2025-11-27T00:00:00"/>
    <s v="INV-1143"/>
    <s v="Sales"/>
    <n v="2250"/>
    <m/>
    <x v="12"/>
    <m/>
    <m/>
    <m/>
    <m/>
    <m/>
  </r>
  <r>
    <d v="2025-11-27T00:00:00"/>
    <s v="INV-1144"/>
    <s v="Sales"/>
    <n v="90"/>
    <m/>
    <x v="10"/>
    <m/>
    <m/>
    <m/>
    <m/>
    <m/>
  </r>
  <r>
    <d v="2025-11-27T00:00:00"/>
    <m/>
    <s v="Delivery charge"/>
    <m/>
    <n v="300"/>
    <x v="0"/>
    <m/>
    <m/>
    <m/>
    <m/>
    <m/>
  </r>
  <r>
    <d v="2025-11-27T00:00:00"/>
    <m/>
    <s v="Expences"/>
    <m/>
    <n v="50"/>
    <x v="0"/>
    <m/>
    <m/>
    <m/>
    <m/>
    <m/>
  </r>
  <r>
    <d v="2025-11-27T00:00:00"/>
    <m/>
    <s v="Marketting"/>
    <m/>
    <n v="110"/>
    <x v="0"/>
    <m/>
    <m/>
    <m/>
    <m/>
    <m/>
  </r>
  <r>
    <d v="2025-11-28T00:00:00"/>
    <s v="INV-1145"/>
    <s v="Sales"/>
    <n v="240"/>
    <m/>
    <x v="34"/>
    <m/>
    <m/>
    <m/>
    <m/>
    <m/>
  </r>
  <r>
    <d v="2025-11-28T00:00:00"/>
    <s v="INV-1146"/>
    <s v="Sales"/>
    <n v="320"/>
    <m/>
    <x v="5"/>
    <m/>
    <m/>
    <m/>
    <m/>
    <m/>
  </r>
  <r>
    <d v="2025-11-28T00:00:00"/>
    <s v="INV-1147"/>
    <s v="Sales"/>
    <n v="170"/>
    <m/>
    <x v="14"/>
    <m/>
    <m/>
    <m/>
    <m/>
    <m/>
  </r>
  <r>
    <d v="2025-11-28T00:00:00"/>
    <s v="INV-1148"/>
    <s v="Sales"/>
    <n v="1350"/>
    <m/>
    <x v="33"/>
    <m/>
    <m/>
    <m/>
    <m/>
    <m/>
  </r>
  <r>
    <d v="2025-11-28T00:00:00"/>
    <s v="INV-1149"/>
    <s v="Sales"/>
    <n v="430"/>
    <m/>
    <x v="10"/>
    <m/>
    <m/>
    <m/>
    <m/>
    <m/>
  </r>
  <r>
    <d v="2025-11-28T00:00:00"/>
    <s v="INV-1150"/>
    <s v="Sales"/>
    <n v="750"/>
    <m/>
    <x v="12"/>
    <m/>
    <m/>
    <m/>
    <m/>
    <m/>
  </r>
  <r>
    <d v="2025-11-28T00:00:00"/>
    <s v="INV-1151"/>
    <s v="Sales"/>
    <n v="1600"/>
    <m/>
    <x v="8"/>
    <m/>
    <m/>
    <m/>
    <m/>
    <m/>
  </r>
  <r>
    <d v="2025-11-28T00:00:00"/>
    <m/>
    <s v="Expences"/>
    <m/>
    <n v="50"/>
    <x v="0"/>
    <m/>
    <m/>
    <m/>
    <m/>
    <m/>
  </r>
  <r>
    <d v="2025-11-29T00:00:00"/>
    <s v="INV-1152"/>
    <s v="Sales"/>
    <n v="1990"/>
    <m/>
    <x v="14"/>
    <m/>
    <m/>
    <m/>
    <m/>
    <m/>
  </r>
  <r>
    <d v="2025-11-29T00:00:00"/>
    <s v="INV-1153"/>
    <s v="Sales"/>
    <n v="2570"/>
    <m/>
    <x v="36"/>
    <m/>
    <m/>
    <m/>
    <m/>
    <m/>
  </r>
  <r>
    <d v="2025-11-29T00:00:00"/>
    <s v="INV-1154"/>
    <s v="Sales"/>
    <n v="3600"/>
    <m/>
    <x v="33"/>
    <m/>
    <m/>
    <m/>
    <m/>
    <m/>
  </r>
  <r>
    <d v="2025-11-29T00:00:00"/>
    <s v="INV-1155"/>
    <s v="Sales"/>
    <n v="225"/>
    <m/>
    <x v="1"/>
    <m/>
    <m/>
    <m/>
    <m/>
    <m/>
  </r>
  <r>
    <d v="2025-11-29T00:00:00"/>
    <s v="INV-1156"/>
    <s v="Sales"/>
    <n v="480"/>
    <m/>
    <x v="5"/>
    <m/>
    <m/>
    <m/>
    <m/>
    <m/>
  </r>
  <r>
    <d v="2025-11-29T00:00:00"/>
    <s v="INV-1157"/>
    <s v="Sales"/>
    <n v="240"/>
    <m/>
    <x v="17"/>
    <m/>
    <m/>
    <m/>
    <m/>
    <m/>
  </r>
  <r>
    <d v="2025-11-29T00:00:00"/>
    <m/>
    <s v="Expences"/>
    <m/>
    <n v="50"/>
    <x v="0"/>
    <m/>
    <m/>
    <m/>
    <m/>
    <m/>
  </r>
  <r>
    <d v="2025-11-30T00:00:00"/>
    <s v="INV-1158"/>
    <s v="Sales"/>
    <n v="320"/>
    <m/>
    <x v="24"/>
    <m/>
    <m/>
    <m/>
    <m/>
    <m/>
  </r>
  <r>
    <d v="2025-11-30T00:00:00"/>
    <s v="INV-1159"/>
    <s v="Sales"/>
    <n v="320"/>
    <m/>
    <x v="11"/>
    <m/>
    <m/>
    <m/>
    <m/>
    <m/>
  </r>
  <r>
    <d v="2025-11-30T00:00:00"/>
    <s v="INV-1160"/>
    <s v="Sales"/>
    <n v="320"/>
    <m/>
    <x v="7"/>
    <m/>
    <m/>
    <m/>
    <m/>
    <m/>
  </r>
  <r>
    <d v="2025-11-30T00:00:00"/>
    <s v="INV-1161"/>
    <s v="Sales"/>
    <n v="160"/>
    <m/>
    <x v="25"/>
    <m/>
    <m/>
    <m/>
    <m/>
    <m/>
  </r>
  <r>
    <d v="2025-11-30T00:00:00"/>
    <s v="INV-1162"/>
    <s v="Sales"/>
    <n v="4050"/>
    <m/>
    <x v="37"/>
    <m/>
    <m/>
    <m/>
    <m/>
    <m/>
  </r>
  <r>
    <d v="2025-11-30T00:00:00"/>
    <s v="INV-1163"/>
    <s v="Sales"/>
    <n v="395"/>
    <m/>
    <x v="1"/>
    <m/>
    <m/>
    <m/>
    <m/>
    <m/>
  </r>
  <r>
    <d v="2025-11-30T00:00:00"/>
    <s v="INV-1164"/>
    <s v="Sales"/>
    <n v="1500"/>
    <m/>
    <x v="8"/>
    <m/>
    <m/>
    <m/>
    <m/>
    <m/>
  </r>
  <r>
    <d v="2025-11-30T00:00:00"/>
    <m/>
    <s v="Petrol"/>
    <m/>
    <n v="400"/>
    <x v="0"/>
    <m/>
    <m/>
    <m/>
    <m/>
    <m/>
  </r>
  <r>
    <d v="2025-11-30T00:00:00"/>
    <m/>
    <s v="Staff Salary"/>
    <m/>
    <n v="1300"/>
    <x v="0"/>
    <m/>
    <m/>
    <m/>
    <m/>
    <m/>
  </r>
  <r>
    <d v="2025-11-30T00:00:00"/>
    <m/>
    <s v="Staff Salary"/>
    <m/>
    <n v="5000"/>
    <x v="0"/>
    <m/>
    <m/>
    <m/>
    <m/>
    <m/>
  </r>
  <r>
    <d v="2025-11-30T00:00:00"/>
    <m/>
    <s v="Staff Salary"/>
    <m/>
    <n v="10000"/>
    <x v="0"/>
    <m/>
    <m/>
    <m/>
    <m/>
    <m/>
  </r>
</pivotCacheRecords>
</file>

<file path=xl/pivotCache/pivotCacheRecords19.xml><?xml version="1.0" encoding="utf-8"?>
<pivotCacheRecords xmlns="http://schemas.openxmlformats.org/spreadsheetml/2006/main" xmlns:r="http://schemas.openxmlformats.org/officeDocument/2006/relationships" count="316">
  <r>
    <m/>
    <m/>
    <x v="0"/>
    <n v="39169"/>
    <m/>
    <m/>
    <m/>
    <m/>
    <m/>
    <m/>
    <m/>
    <m/>
    <m/>
  </r>
  <r>
    <d v="2025-11-01T00:00:00"/>
    <m/>
    <x v="1"/>
    <m/>
    <n v="3300"/>
    <m/>
    <s v="Old Ginger"/>
    <n v="66"/>
    <m/>
    <n v="50"/>
    <s v="Jakakodi Traders"/>
    <m/>
    <m/>
  </r>
  <r>
    <d v="2025-11-01T00:00:00"/>
    <s v="INV-923"/>
    <x v="2"/>
    <n v="1350"/>
    <m/>
    <s v="AMEEN MASTER CHEF"/>
    <m/>
    <m/>
    <m/>
    <m/>
    <m/>
    <m/>
    <m/>
  </r>
  <r>
    <d v="2025-11-01T00:00:00"/>
    <s v="INV-924"/>
    <x v="2"/>
    <n v="240"/>
    <m/>
    <s v="HOTEL NOORDEEN"/>
    <m/>
    <m/>
    <m/>
    <m/>
    <m/>
    <m/>
    <m/>
  </r>
  <r>
    <d v="2025-11-01T00:00:00"/>
    <s v="INV-925"/>
    <x v="2"/>
    <n v="400"/>
    <m/>
    <s v="CHENNAI TAWA BEEF"/>
    <m/>
    <m/>
    <m/>
    <m/>
    <m/>
    <m/>
    <m/>
  </r>
  <r>
    <d v="2025-11-01T00:00:00"/>
    <s v="INV-926"/>
    <x v="2"/>
    <n v="160"/>
    <m/>
    <s v="FAISAL(NAGAI)"/>
    <m/>
    <m/>
    <m/>
    <m/>
    <m/>
    <m/>
    <m/>
  </r>
  <r>
    <d v="2025-11-01T00:00:00"/>
    <s v="INV-927"/>
    <x v="2"/>
    <n v="320"/>
    <m/>
    <s v="HOTEL BISMI"/>
    <m/>
    <m/>
    <m/>
    <m/>
    <m/>
    <m/>
    <m/>
  </r>
  <r>
    <d v="2025-11-01T00:00:00"/>
    <s v="INV-928"/>
    <x v="2"/>
    <n v="240"/>
    <m/>
    <s v="MARAIKAR SHOP"/>
    <m/>
    <m/>
    <m/>
    <m/>
    <m/>
    <m/>
    <m/>
  </r>
  <r>
    <d v="2025-11-01T00:00:00"/>
    <s v="INV-929"/>
    <x v="2"/>
    <n v="80"/>
    <m/>
    <s v="SUPPLAYKART"/>
    <m/>
    <m/>
    <m/>
    <m/>
    <m/>
    <m/>
    <m/>
  </r>
  <r>
    <d v="2025-11-01T00:00:00"/>
    <s v="INV-930"/>
    <x v="2"/>
    <n v="1500"/>
    <m/>
    <s v="AL AZEEM CATERS &amp; RESTAURANT"/>
    <m/>
    <m/>
    <m/>
    <m/>
    <m/>
    <m/>
    <m/>
  </r>
  <r>
    <d v="2025-11-01T00:00:00"/>
    <s v="INV-931"/>
    <x v="2"/>
    <n v="2250"/>
    <m/>
    <s v="HALIDH COOK"/>
    <m/>
    <m/>
    <m/>
    <m/>
    <m/>
    <m/>
    <m/>
  </r>
  <r>
    <d v="2025-11-01T00:00:00"/>
    <s v="INV-932"/>
    <x v="2"/>
    <n v="480"/>
    <m/>
    <s v="AMEEN MASTER CHEF"/>
    <m/>
    <m/>
    <m/>
    <m/>
    <m/>
    <m/>
    <m/>
  </r>
  <r>
    <d v="2025-11-01T00:00:00"/>
    <s v="INV-933"/>
    <x v="2"/>
    <n v="640"/>
    <m/>
    <s v="CASH"/>
    <m/>
    <m/>
    <m/>
    <m/>
    <m/>
    <m/>
    <m/>
  </r>
  <r>
    <d v="2025-11-01T00:00:00"/>
    <s v="INV-934"/>
    <x v="2"/>
    <n v="320"/>
    <m/>
    <s v="HOTEL NOORDEEN"/>
    <m/>
    <m/>
    <m/>
    <m/>
    <m/>
    <m/>
    <m/>
  </r>
  <r>
    <d v="2025-11-01T00:00:00"/>
    <s v="INV-935"/>
    <x v="2"/>
    <n v="160"/>
    <m/>
    <s v="HOTEL ANAS"/>
    <m/>
    <m/>
    <m/>
    <m/>
    <m/>
    <m/>
    <m/>
  </r>
  <r>
    <d v="2025-11-01T00:00:00"/>
    <s v="INV-936"/>
    <x v="2"/>
    <n v="1500"/>
    <m/>
    <s v="HASSIM CATERING"/>
    <m/>
    <m/>
    <m/>
    <m/>
    <m/>
    <m/>
    <m/>
  </r>
  <r>
    <d v="2025-11-01T00:00:00"/>
    <s v="INV-937"/>
    <x v="2"/>
    <n v="1500"/>
    <m/>
    <s v="UMAR BRIYANI"/>
    <m/>
    <m/>
    <m/>
    <m/>
    <m/>
    <m/>
    <m/>
  </r>
  <r>
    <d v="2025-11-01T00:00:00"/>
    <m/>
    <x v="3"/>
    <m/>
    <n v="100"/>
    <m/>
    <m/>
    <m/>
    <m/>
    <m/>
    <m/>
    <m/>
    <m/>
  </r>
  <r>
    <d v="2025-11-01T00:00:00"/>
    <m/>
    <x v="4"/>
    <m/>
    <n v="50"/>
    <m/>
    <m/>
    <m/>
    <m/>
    <m/>
    <m/>
    <m/>
    <m/>
  </r>
  <r>
    <d v="2025-11-02T00:00:00"/>
    <s v="INV-938"/>
    <x v="2"/>
    <n v="320"/>
    <m/>
    <s v="HOTEL BISMI"/>
    <m/>
    <m/>
    <m/>
    <m/>
    <m/>
    <m/>
    <m/>
  </r>
  <r>
    <d v="2025-11-02T00:00:00"/>
    <s v="INV-939"/>
    <x v="2"/>
    <n v="1500"/>
    <m/>
    <s v="HASSIM CATERING"/>
    <m/>
    <m/>
    <m/>
    <m/>
    <m/>
    <m/>
    <m/>
  </r>
  <r>
    <d v="2025-11-02T00:00:00"/>
    <s v="INV-940"/>
    <x v="2"/>
    <n v="1500"/>
    <m/>
    <s v="AL AZEEM CATERS &amp; RESTAURANT"/>
    <m/>
    <m/>
    <m/>
    <m/>
    <m/>
    <m/>
    <m/>
  </r>
  <r>
    <d v="2025-11-02T00:00:00"/>
    <s v="INV-941"/>
    <x v="2"/>
    <n v="660"/>
    <m/>
    <s v="NFS DELIVERY"/>
    <m/>
    <m/>
    <m/>
    <m/>
    <m/>
    <m/>
    <m/>
  </r>
  <r>
    <d v="2025-11-02T00:00:00"/>
    <s v="INV-942"/>
    <x v="2"/>
    <n v="480"/>
    <m/>
    <s v="CASH"/>
    <m/>
    <m/>
    <m/>
    <m/>
    <m/>
    <m/>
    <m/>
  </r>
  <r>
    <d v="2025-11-03T00:00:00"/>
    <s v="INV-943"/>
    <x v="2"/>
    <n v="280"/>
    <m/>
    <s v="HOTEL NOORDEEN"/>
    <m/>
    <m/>
    <m/>
    <m/>
    <m/>
    <m/>
    <m/>
  </r>
  <r>
    <d v="2025-11-03T00:00:00"/>
    <s v="INV-944"/>
    <x v="2"/>
    <n v="100"/>
    <m/>
    <s v="ANSARI"/>
    <m/>
    <m/>
    <m/>
    <m/>
    <m/>
    <m/>
    <m/>
  </r>
  <r>
    <d v="2025-11-03T00:00:00"/>
    <s v="INV-945"/>
    <x v="2"/>
    <n v="320"/>
    <m/>
    <s v="HOTEL BISMI"/>
    <m/>
    <m/>
    <m/>
    <m/>
    <m/>
    <m/>
    <m/>
  </r>
  <r>
    <d v="2025-11-03T00:00:00"/>
    <s v="INV-946"/>
    <x v="2"/>
    <n v="1500"/>
    <m/>
    <s v="LE ROYAL MANDI"/>
    <m/>
    <m/>
    <m/>
    <m/>
    <m/>
    <m/>
    <m/>
  </r>
  <r>
    <d v="2025-11-03T00:00:00"/>
    <s v="INV-947"/>
    <x v="2"/>
    <n v="240"/>
    <m/>
    <s v="MARAIKAR SHOP"/>
    <m/>
    <m/>
    <m/>
    <m/>
    <m/>
    <m/>
    <m/>
  </r>
  <r>
    <d v="2025-11-03T00:00:00"/>
    <s v="INV-948"/>
    <x v="2"/>
    <n v="150"/>
    <m/>
    <s v="CASH"/>
    <m/>
    <m/>
    <m/>
    <m/>
    <m/>
    <m/>
    <m/>
  </r>
  <r>
    <d v="2025-11-03T00:00:00"/>
    <s v="INV-949"/>
    <x v="2"/>
    <n v="750"/>
    <m/>
    <s v="HASSIM CATERING"/>
    <m/>
    <m/>
    <m/>
    <m/>
    <m/>
    <m/>
    <m/>
  </r>
  <r>
    <d v="2025-11-03T00:00:00"/>
    <m/>
    <x v="4"/>
    <m/>
    <n v="50"/>
    <m/>
    <m/>
    <m/>
    <m/>
    <m/>
    <m/>
    <m/>
    <m/>
  </r>
  <r>
    <d v="2025-11-03T00:00:00"/>
    <m/>
    <x v="5"/>
    <m/>
    <n v="160"/>
    <m/>
    <m/>
    <m/>
    <m/>
    <m/>
    <m/>
    <m/>
    <m/>
  </r>
  <r>
    <d v="2025-11-04T00:00:00"/>
    <m/>
    <x v="1"/>
    <m/>
    <n v="1810.5"/>
    <m/>
    <s v="Old Ginger"/>
    <n v="60.35"/>
    <m/>
    <n v="30"/>
    <s v="Jakakodi Traders"/>
    <m/>
    <m/>
  </r>
  <r>
    <d v="2025-11-04T00:00:00"/>
    <s v="INV-950"/>
    <x v="2"/>
    <n v="240"/>
    <m/>
    <s v="HOTEL NOORDEEN"/>
    <m/>
    <m/>
    <m/>
    <m/>
    <m/>
    <m/>
    <m/>
  </r>
  <r>
    <d v="2025-11-04T00:00:00"/>
    <s v="INV-951"/>
    <x v="2"/>
    <n v="320"/>
    <m/>
    <s v="CHENNAI TAWA BEEF"/>
    <m/>
    <m/>
    <m/>
    <m/>
    <m/>
    <m/>
    <m/>
  </r>
  <r>
    <d v="2025-11-04T00:00:00"/>
    <s v="INV-952"/>
    <x v="2"/>
    <n v="320"/>
    <m/>
    <s v="HOTEL BISMI"/>
    <m/>
    <m/>
    <m/>
    <m/>
    <m/>
    <m/>
    <m/>
  </r>
  <r>
    <d v="2025-11-04T00:00:00"/>
    <s v="INV-953"/>
    <x v="2"/>
    <n v="90"/>
    <m/>
    <s v="NFS DELIVERY"/>
    <m/>
    <m/>
    <m/>
    <m/>
    <m/>
    <m/>
    <m/>
  </r>
  <r>
    <d v="2025-11-04T00:00:00"/>
    <s v="INV-954"/>
    <x v="2"/>
    <n v="80"/>
    <m/>
    <s v="BURHAAN"/>
    <m/>
    <m/>
    <m/>
    <m/>
    <m/>
    <m/>
    <m/>
  </r>
  <r>
    <d v="2025-11-04T00:00:00"/>
    <s v="INV-955"/>
    <x v="2"/>
    <n v="1500"/>
    <m/>
    <s v="HASSIM CATERING"/>
    <m/>
    <m/>
    <m/>
    <m/>
    <m/>
    <m/>
    <m/>
  </r>
  <r>
    <d v="2025-11-04T00:00:00"/>
    <m/>
    <x v="3"/>
    <m/>
    <n v="100"/>
    <m/>
    <m/>
    <m/>
    <m/>
    <m/>
    <m/>
    <m/>
    <m/>
  </r>
  <r>
    <d v="2025-11-04T00:00:00"/>
    <m/>
    <x v="4"/>
    <m/>
    <n v="50"/>
    <m/>
    <m/>
    <m/>
    <m/>
    <m/>
    <m/>
    <m/>
    <m/>
  </r>
  <r>
    <d v="2025-11-05T00:00:00"/>
    <m/>
    <x v="1"/>
    <m/>
    <n v="3100"/>
    <m/>
    <s v="Old Ginger"/>
    <n v="62"/>
    <m/>
    <n v="50"/>
    <s v="Jakakodi Traders"/>
    <m/>
    <m/>
  </r>
  <r>
    <d v="2025-11-05T00:00:00"/>
    <s v="INV-956"/>
    <x v="2"/>
    <n v="240"/>
    <m/>
    <s v="HOTEL NOORDEEN"/>
    <m/>
    <m/>
    <m/>
    <m/>
    <m/>
    <m/>
    <m/>
  </r>
  <r>
    <d v="2025-11-05T00:00:00"/>
    <s v="INV-957"/>
    <x v="2"/>
    <n v="520"/>
    <m/>
    <s v="CASH"/>
    <m/>
    <m/>
    <m/>
    <m/>
    <m/>
    <m/>
    <m/>
  </r>
  <r>
    <d v="2025-11-05T00:00:00"/>
    <s v="INV-958"/>
    <x v="2"/>
    <n v="320"/>
    <m/>
    <s v="HOTEL BISMI"/>
    <m/>
    <m/>
    <m/>
    <m/>
    <m/>
    <m/>
    <m/>
  </r>
  <r>
    <d v="2025-11-05T00:00:00"/>
    <s v="INV-959"/>
    <x v="2"/>
    <n v="240"/>
    <m/>
    <s v="CHENNAI TAWA BEEF"/>
    <m/>
    <m/>
    <m/>
    <m/>
    <m/>
    <m/>
    <m/>
  </r>
  <r>
    <d v="2025-11-05T00:00:00"/>
    <s v="INV-960"/>
    <x v="2"/>
    <n v="170"/>
    <m/>
    <s v="NFS DELIVERY"/>
    <m/>
    <m/>
    <m/>
    <m/>
    <m/>
    <m/>
    <m/>
  </r>
  <r>
    <d v="2025-11-05T00:00:00"/>
    <s v="INV-961"/>
    <x v="2"/>
    <n v="4500"/>
    <m/>
    <s v="HASSIM CATERING"/>
    <m/>
    <m/>
    <m/>
    <m/>
    <m/>
    <m/>
    <m/>
  </r>
  <r>
    <d v="2025-11-05T00:00:00"/>
    <s v="INV-962"/>
    <x v="2"/>
    <n v="1500"/>
    <m/>
    <s v="AL AZEEM CATERS &amp; RESTAURANT"/>
    <m/>
    <m/>
    <m/>
    <m/>
    <m/>
    <m/>
    <m/>
  </r>
  <r>
    <d v="2025-11-05T00:00:00"/>
    <s v="INV-963"/>
    <x v="2"/>
    <n v="1800"/>
    <m/>
    <s v="SAMSU BANDARI"/>
    <m/>
    <m/>
    <m/>
    <m/>
    <m/>
    <m/>
    <m/>
  </r>
  <r>
    <d v="2025-11-05T00:00:00"/>
    <m/>
    <x v="6"/>
    <m/>
    <n v="9000"/>
    <m/>
    <m/>
    <m/>
    <m/>
    <m/>
    <m/>
    <m/>
    <m/>
  </r>
  <r>
    <d v="2025-11-05T00:00:00"/>
    <m/>
    <x v="4"/>
    <m/>
    <n v="45"/>
    <m/>
    <m/>
    <m/>
    <m/>
    <m/>
    <m/>
    <m/>
    <m/>
  </r>
  <r>
    <d v="2025-11-06T00:00:00"/>
    <s v="INV-964"/>
    <x v="2"/>
    <n v="240"/>
    <m/>
    <s v="CHENNAI TAWA BEEF"/>
    <m/>
    <m/>
    <m/>
    <m/>
    <m/>
    <m/>
    <m/>
  </r>
  <r>
    <d v="2025-11-06T00:00:00"/>
    <s v="INV-965"/>
    <x v="2"/>
    <n v="270"/>
    <m/>
    <s v="NFS DELIVERY"/>
    <m/>
    <m/>
    <m/>
    <m/>
    <m/>
    <m/>
    <m/>
  </r>
  <r>
    <d v="2025-11-06T00:00:00"/>
    <s v="INV-966"/>
    <x v="2"/>
    <n v="320"/>
    <m/>
    <s v="HOTEL BISMI"/>
    <m/>
    <m/>
    <m/>
    <m/>
    <m/>
    <m/>
    <m/>
  </r>
  <r>
    <d v="2025-11-06T00:00:00"/>
    <s v="INV-967"/>
    <x v="2"/>
    <n v="80"/>
    <m/>
    <s v="BURHAAN"/>
    <m/>
    <m/>
    <m/>
    <m/>
    <m/>
    <m/>
    <m/>
  </r>
  <r>
    <d v="2025-11-06T00:00:00"/>
    <s v="INV-968"/>
    <x v="2"/>
    <n v="1500"/>
    <m/>
    <s v="HASSIM CATERING"/>
    <m/>
    <m/>
    <m/>
    <m/>
    <m/>
    <m/>
    <m/>
  </r>
  <r>
    <d v="2025-11-06T00:00:00"/>
    <s v="INV-969"/>
    <x v="2"/>
    <n v="1500"/>
    <m/>
    <s v="AL AZEEM CATERS &amp; RESTAURANT"/>
    <m/>
    <m/>
    <m/>
    <m/>
    <m/>
    <m/>
    <m/>
  </r>
  <r>
    <d v="2025-11-06T00:00:00"/>
    <s v="INV-970"/>
    <x v="2"/>
    <n v="450"/>
    <m/>
    <s v="NASAR"/>
    <m/>
    <m/>
    <m/>
    <m/>
    <m/>
    <m/>
    <m/>
  </r>
  <r>
    <d v="2025-11-06T00:00:00"/>
    <s v="INV-971"/>
    <x v="2"/>
    <n v="90"/>
    <m/>
    <s v="CASH"/>
    <m/>
    <m/>
    <m/>
    <m/>
    <m/>
    <m/>
    <m/>
  </r>
  <r>
    <d v="2025-11-06T00:00:00"/>
    <m/>
    <x v="4"/>
    <m/>
    <n v="50"/>
    <m/>
    <m/>
    <m/>
    <m/>
    <m/>
    <m/>
    <m/>
    <m/>
  </r>
  <r>
    <d v="2025-11-06T00:00:00"/>
    <m/>
    <x v="7"/>
    <m/>
    <n v="80"/>
    <m/>
    <m/>
    <m/>
    <m/>
    <m/>
    <m/>
    <m/>
    <m/>
  </r>
  <r>
    <d v="2025-11-07T00:00:00"/>
    <s v="INV-972"/>
    <x v="2"/>
    <n v="4500"/>
    <m/>
    <s v="HASSIM CATERING"/>
    <m/>
    <m/>
    <m/>
    <m/>
    <m/>
    <m/>
    <m/>
  </r>
  <r>
    <d v="2025-11-07T00:00:00"/>
    <s v="INV-973"/>
    <x v="2"/>
    <n v="260"/>
    <m/>
    <s v="NFS DELIVERY"/>
    <m/>
    <m/>
    <m/>
    <m/>
    <m/>
    <m/>
    <m/>
  </r>
  <r>
    <d v="2025-11-07T00:00:00"/>
    <s v="INV-974"/>
    <x v="2"/>
    <n v="240"/>
    <m/>
    <s v="CHENNAI TAWA BEEF"/>
    <m/>
    <m/>
    <m/>
    <m/>
    <m/>
    <m/>
    <m/>
  </r>
  <r>
    <d v="2025-11-07T00:00:00"/>
    <s v="INV-975"/>
    <x v="2"/>
    <n v="240"/>
    <m/>
    <s v="HOTEL NOORDEEN"/>
    <m/>
    <m/>
    <m/>
    <m/>
    <m/>
    <m/>
    <m/>
  </r>
  <r>
    <d v="2025-11-07T00:00:00"/>
    <s v="INV-976"/>
    <x v="2"/>
    <n v="480"/>
    <m/>
    <s v="HOTEL BISMI"/>
    <m/>
    <m/>
    <m/>
    <m/>
    <m/>
    <m/>
    <m/>
  </r>
  <r>
    <d v="2025-11-07T00:00:00"/>
    <s v="INV-977"/>
    <x v="2"/>
    <n v="640"/>
    <m/>
    <s v="CASH"/>
    <m/>
    <m/>
    <m/>
    <m/>
    <m/>
    <m/>
    <m/>
  </r>
  <r>
    <d v="2025-11-07T00:00:00"/>
    <s v="INV-978"/>
    <x v="2"/>
    <n v="200"/>
    <m/>
    <s v="HASSAN"/>
    <m/>
    <m/>
    <m/>
    <m/>
    <m/>
    <m/>
    <m/>
  </r>
  <r>
    <d v="2025-11-07T00:00:00"/>
    <s v="INV-979"/>
    <x v="2"/>
    <n v="160"/>
    <m/>
    <s v="HOTEL ANAS"/>
    <m/>
    <m/>
    <m/>
    <m/>
    <m/>
    <m/>
    <m/>
  </r>
  <r>
    <d v="2025-11-07T00:00:00"/>
    <s v="INV-980"/>
    <x v="2"/>
    <n v="750"/>
    <m/>
    <s v="AR RAHIM HOTEL"/>
    <m/>
    <m/>
    <m/>
    <m/>
    <m/>
    <m/>
    <m/>
  </r>
  <r>
    <d v="2025-11-07T00:00:00"/>
    <m/>
    <x v="4"/>
    <m/>
    <n v="50"/>
    <m/>
    <m/>
    <m/>
    <m/>
    <m/>
    <m/>
    <m/>
    <m/>
  </r>
  <r>
    <d v="2025-11-08T00:00:00"/>
    <s v="INV-981"/>
    <x v="2"/>
    <n v="2250"/>
    <m/>
    <s v="AR RAHIM HOTEL"/>
    <m/>
    <m/>
    <m/>
    <m/>
    <m/>
    <m/>
    <m/>
  </r>
  <r>
    <d v="2025-11-08T00:00:00"/>
    <s v="INV-982"/>
    <x v="2"/>
    <n v="520"/>
    <m/>
    <s v="NFS DELIVERY"/>
    <m/>
    <m/>
    <m/>
    <m/>
    <m/>
    <m/>
    <m/>
  </r>
  <r>
    <d v="2025-11-08T00:00:00"/>
    <s v="INV-983"/>
    <x v="2"/>
    <n v="560"/>
    <m/>
    <s v="CHENNAI TAWA BEEF"/>
    <m/>
    <m/>
    <m/>
    <m/>
    <m/>
    <m/>
    <m/>
  </r>
  <r>
    <d v="2025-11-08T00:00:00"/>
    <s v="INV-984"/>
    <x v="2"/>
    <n v="160"/>
    <m/>
    <s v="DARBAR CATERING"/>
    <m/>
    <m/>
    <m/>
    <m/>
    <m/>
    <m/>
    <m/>
  </r>
  <r>
    <d v="2025-11-08T00:00:00"/>
    <s v="INV-985"/>
    <x v="2"/>
    <n v="320"/>
    <m/>
    <s v="HOTEL BISMI"/>
    <m/>
    <m/>
    <m/>
    <m/>
    <m/>
    <m/>
    <m/>
  </r>
  <r>
    <d v="2025-11-08T00:00:00"/>
    <s v="INV-986"/>
    <x v="2"/>
    <n v="2250"/>
    <m/>
    <s v="LE ROYAL MANDI"/>
    <m/>
    <m/>
    <m/>
    <m/>
    <m/>
    <m/>
    <m/>
  </r>
  <r>
    <d v="2025-11-08T00:00:00"/>
    <s v="INV-987"/>
    <x v="2"/>
    <n v="1500"/>
    <m/>
    <s v="AL AZEEM CATERS &amp; RESTAURANT"/>
    <m/>
    <m/>
    <m/>
    <m/>
    <m/>
    <m/>
    <m/>
  </r>
  <r>
    <d v="2025-11-08T00:00:00"/>
    <s v="INV-988"/>
    <x v="2"/>
    <n v="240"/>
    <m/>
    <s v="MARAIKAR SHOP"/>
    <m/>
    <m/>
    <m/>
    <m/>
    <m/>
    <m/>
    <m/>
  </r>
  <r>
    <d v="2025-11-08T00:00:00"/>
    <s v="INV-989"/>
    <x v="2"/>
    <n v="1360"/>
    <m/>
    <s v="ANDREW COOK"/>
    <m/>
    <m/>
    <m/>
    <m/>
    <m/>
    <m/>
    <m/>
  </r>
  <r>
    <d v="2025-11-08T00:00:00"/>
    <s v="INV-990"/>
    <x v="2"/>
    <n v="1500"/>
    <m/>
    <s v="HASSIM CATERING"/>
    <m/>
    <m/>
    <m/>
    <m/>
    <m/>
    <m/>
    <m/>
  </r>
  <r>
    <d v="2025-11-08T00:00:00"/>
    <s v="INV-991"/>
    <x v="2"/>
    <n v="320"/>
    <m/>
    <s v="HOTEL NOORDEEN"/>
    <m/>
    <m/>
    <m/>
    <m/>
    <m/>
    <m/>
    <m/>
  </r>
  <r>
    <d v="2025-11-08T00:00:00"/>
    <s v="INV-992"/>
    <x v="2"/>
    <n v="320"/>
    <m/>
    <s v="MALAYSIAN FAST FOOD"/>
    <m/>
    <m/>
    <m/>
    <m/>
    <m/>
    <m/>
    <m/>
  </r>
  <r>
    <d v="2025-11-08T00:00:00"/>
    <m/>
    <x v="4"/>
    <m/>
    <n v="50"/>
    <m/>
    <m/>
    <m/>
    <m/>
    <m/>
    <m/>
    <m/>
    <m/>
  </r>
  <r>
    <d v="2025-11-08T00:00:00"/>
    <m/>
    <x v="3"/>
    <m/>
    <n v="70"/>
    <m/>
    <m/>
    <m/>
    <m/>
    <m/>
    <m/>
    <m/>
    <m/>
  </r>
  <r>
    <d v="2025-11-08T00:00:00"/>
    <m/>
    <x v="8"/>
    <m/>
    <n v="58"/>
    <m/>
    <m/>
    <m/>
    <m/>
    <m/>
    <m/>
    <m/>
    <m/>
  </r>
  <r>
    <d v="2025-11-08T00:00:00"/>
    <m/>
    <x v="9"/>
    <m/>
    <n v="1050"/>
    <m/>
    <m/>
    <m/>
    <m/>
    <m/>
    <m/>
    <m/>
    <m/>
  </r>
  <r>
    <d v="2025-11-09T00:00:00"/>
    <s v="INV-993"/>
    <x v="2"/>
    <n v="340"/>
    <m/>
    <s v="CASH"/>
    <m/>
    <m/>
    <m/>
    <m/>
    <m/>
    <m/>
    <m/>
  </r>
  <r>
    <d v="2025-11-09T00:00:00"/>
    <s v="INV-994"/>
    <x v="2"/>
    <n v="870"/>
    <m/>
    <s v="NFS DELIVERY"/>
    <m/>
    <m/>
    <m/>
    <m/>
    <m/>
    <m/>
    <m/>
  </r>
  <r>
    <d v="2025-11-10T00:00:00"/>
    <m/>
    <x v="1"/>
    <m/>
    <n v="3100"/>
    <m/>
    <s v="Old Ginger"/>
    <n v="62"/>
    <m/>
    <n v="50"/>
    <s v="Jakakodi Traders"/>
    <m/>
    <m/>
  </r>
  <r>
    <d v="2025-11-10T00:00:00"/>
    <s v="INV-995"/>
    <x v="2"/>
    <n v="160"/>
    <m/>
    <s v="HOTEL NOORDEEN"/>
    <m/>
    <m/>
    <m/>
    <m/>
    <m/>
    <m/>
    <m/>
  </r>
  <r>
    <d v="2025-11-10T00:00:00"/>
    <s v="INV-996"/>
    <x v="2"/>
    <n v="320"/>
    <m/>
    <s v="HOTEL BISMI"/>
    <m/>
    <m/>
    <m/>
    <m/>
    <m/>
    <m/>
    <m/>
  </r>
  <r>
    <d v="2025-11-10T00:00:00"/>
    <s v="INV-997"/>
    <x v="2"/>
    <n v="430"/>
    <m/>
    <s v="NFS DELIVERY"/>
    <m/>
    <m/>
    <m/>
    <m/>
    <m/>
    <m/>
    <m/>
  </r>
  <r>
    <d v="2025-11-10T00:00:00"/>
    <s v="INV-998"/>
    <x v="2"/>
    <n v="170"/>
    <m/>
    <s v="RR mini mart"/>
    <m/>
    <m/>
    <m/>
    <m/>
    <m/>
    <m/>
    <m/>
  </r>
  <r>
    <d v="2025-11-10T00:00:00"/>
    <s v="INV-999"/>
    <x v="2"/>
    <n v="240"/>
    <m/>
    <s v="CHENNAI TAWA BEEF"/>
    <m/>
    <m/>
    <m/>
    <m/>
    <m/>
    <m/>
    <m/>
  </r>
  <r>
    <d v="2025-11-10T00:00:00"/>
    <s v="INV-1000"/>
    <x v="2"/>
    <n v="160"/>
    <m/>
    <s v="Sandwich shop"/>
    <m/>
    <m/>
    <m/>
    <m/>
    <m/>
    <m/>
    <m/>
  </r>
  <r>
    <d v="2025-11-10T00:00:00"/>
    <s v="INV-1001"/>
    <x v="2"/>
    <n v="1500"/>
    <m/>
    <s v="AL AZEEM CATERS &amp; RESTAURANT"/>
    <m/>
    <m/>
    <m/>
    <m/>
    <m/>
    <m/>
    <m/>
  </r>
  <r>
    <d v="2025-11-10T00:00:00"/>
    <m/>
    <x v="10"/>
    <m/>
    <n v="400"/>
    <m/>
    <m/>
    <m/>
    <m/>
    <m/>
    <m/>
    <m/>
    <m/>
  </r>
  <r>
    <d v="2025-11-10T00:00:00"/>
    <m/>
    <x v="7"/>
    <m/>
    <n v="45"/>
    <m/>
    <m/>
    <m/>
    <m/>
    <m/>
    <m/>
    <m/>
    <m/>
  </r>
  <r>
    <d v="2025-11-10T00:00:00"/>
    <m/>
    <x v="4"/>
    <m/>
    <n v="50"/>
    <m/>
    <m/>
    <m/>
    <m/>
    <m/>
    <m/>
    <m/>
    <m/>
  </r>
  <r>
    <d v="2025-11-11T00:00:00"/>
    <m/>
    <x v="11"/>
    <m/>
    <n v="25991"/>
    <m/>
    <s v="Naatu Poondu"/>
    <n v="62"/>
    <n v="1501"/>
    <n v="395"/>
    <s v="PK Garlic"/>
    <m/>
    <m/>
  </r>
  <r>
    <d v="2025-11-11T00:00:00"/>
    <s v="INV-1002"/>
    <x v="2"/>
    <n v="320"/>
    <m/>
    <s v="ANDREW COOK"/>
    <m/>
    <m/>
    <m/>
    <m/>
    <m/>
    <m/>
    <m/>
  </r>
  <r>
    <d v="2025-11-11T00:00:00"/>
    <s v="INV-1003"/>
    <x v="2"/>
    <n v="160"/>
    <m/>
    <s v="HOTEL NOORDEEN"/>
    <m/>
    <m/>
    <m/>
    <m/>
    <m/>
    <m/>
    <m/>
  </r>
  <r>
    <d v="2025-11-11T00:00:00"/>
    <s v="INV-1004"/>
    <x v="2"/>
    <n v="320"/>
    <m/>
    <s v="CHENNAI TAWA BEEF"/>
    <m/>
    <m/>
    <m/>
    <m/>
    <m/>
    <m/>
    <m/>
  </r>
  <r>
    <d v="2025-11-11T00:00:00"/>
    <s v="INV-1005"/>
    <x v="2"/>
    <n v="100"/>
    <m/>
    <s v="HASSAN"/>
    <m/>
    <m/>
    <m/>
    <m/>
    <m/>
    <m/>
    <m/>
  </r>
  <r>
    <d v="2025-11-11T00:00:00"/>
    <s v="INV-1006"/>
    <x v="2"/>
    <n v="80"/>
    <m/>
    <s v="HALIDH COOK"/>
    <m/>
    <m/>
    <m/>
    <m/>
    <m/>
    <m/>
    <m/>
  </r>
  <r>
    <d v="2025-11-11T00:00:00"/>
    <s v="INV-1007"/>
    <x v="2"/>
    <n v="90"/>
    <m/>
    <s v="NFS DELIVERY"/>
    <m/>
    <m/>
    <m/>
    <m/>
    <m/>
    <m/>
    <m/>
  </r>
  <r>
    <d v="2025-11-11T00:00:00"/>
    <s v="INV-1008"/>
    <x v="2"/>
    <n v="160"/>
    <m/>
    <s v="BURHAAN"/>
    <m/>
    <m/>
    <m/>
    <m/>
    <m/>
    <m/>
    <m/>
  </r>
  <r>
    <d v="2025-11-11T00:00:00"/>
    <s v="INV-1009"/>
    <x v="2"/>
    <n v="160"/>
    <m/>
    <s v="MARAIKAR SHOP"/>
    <m/>
    <m/>
    <m/>
    <m/>
    <m/>
    <m/>
    <m/>
  </r>
  <r>
    <d v="2025-11-11T00:00:00"/>
    <s v="INV-1010"/>
    <x v="2"/>
    <n v="160"/>
    <m/>
    <s v="HOTEL ANAS"/>
    <m/>
    <m/>
    <m/>
    <m/>
    <m/>
    <m/>
    <m/>
  </r>
  <r>
    <d v="2025-11-11T00:00:00"/>
    <m/>
    <x v="4"/>
    <m/>
    <n v="45"/>
    <m/>
    <m/>
    <m/>
    <m/>
    <m/>
    <m/>
    <m/>
    <m/>
  </r>
  <r>
    <d v="2025-11-11T00:00:00"/>
    <m/>
    <x v="7"/>
    <m/>
    <n v="15"/>
    <m/>
    <m/>
    <m/>
    <m/>
    <m/>
    <m/>
    <m/>
    <m/>
  </r>
  <r>
    <d v="2025-11-12T00:00:00"/>
    <s v="INV-1011"/>
    <x v="2"/>
    <n v="1800"/>
    <m/>
    <s v="LE ROYAL MANDI"/>
    <m/>
    <m/>
    <m/>
    <m/>
    <m/>
    <m/>
    <m/>
  </r>
  <r>
    <d v="2025-11-12T00:00:00"/>
    <s v="INV-1012"/>
    <x v="2"/>
    <n v="240"/>
    <m/>
    <s v="HOTEL NOORDEEN"/>
    <m/>
    <m/>
    <m/>
    <m/>
    <m/>
    <m/>
    <m/>
  </r>
  <r>
    <d v="2025-11-12T00:00:00"/>
    <s v="INV-1013"/>
    <x v="2"/>
    <n v="340"/>
    <m/>
    <s v="NFS DELIVERY"/>
    <m/>
    <m/>
    <m/>
    <m/>
    <m/>
    <m/>
    <m/>
  </r>
  <r>
    <d v="2025-11-12T00:00:00"/>
    <s v="INV-1014"/>
    <x v="2"/>
    <n v="160"/>
    <m/>
    <s v="Sandwich shop"/>
    <m/>
    <m/>
    <m/>
    <m/>
    <m/>
    <m/>
    <m/>
  </r>
  <r>
    <d v="2025-11-12T00:00:00"/>
    <s v="INV-1015"/>
    <x v="2"/>
    <n v="240"/>
    <m/>
    <s v="ANDREW COOK"/>
    <m/>
    <m/>
    <m/>
    <m/>
    <m/>
    <m/>
    <m/>
  </r>
  <r>
    <d v="2025-11-12T00:00:00"/>
    <s v="INV-1016"/>
    <x v="2"/>
    <n v="90"/>
    <m/>
    <s v="CASH"/>
    <m/>
    <m/>
    <m/>
    <m/>
    <m/>
    <m/>
    <m/>
  </r>
  <r>
    <d v="2025-11-12T00:00:00"/>
    <s v="INV-1017"/>
    <x v="2"/>
    <n v="240"/>
    <m/>
    <s v="MARAIKAR SHOP"/>
    <m/>
    <m/>
    <m/>
    <m/>
    <m/>
    <m/>
    <m/>
  </r>
  <r>
    <d v="2025-11-12T00:00:00"/>
    <s v="INV-1018"/>
    <x v="2"/>
    <n v="1050"/>
    <m/>
    <s v="HALIDH COOK"/>
    <m/>
    <m/>
    <m/>
    <m/>
    <m/>
    <m/>
    <m/>
  </r>
  <r>
    <d v="2025-11-12T00:00:00"/>
    <s v="INV-1019"/>
    <x v="2"/>
    <n v="1500"/>
    <m/>
    <s v="AL AZEEM CATERS &amp; RESTAURANT"/>
    <m/>
    <m/>
    <m/>
    <m/>
    <m/>
    <m/>
    <m/>
  </r>
  <r>
    <d v="2025-11-12T00:00:00"/>
    <s v="INV-1020"/>
    <x v="2"/>
    <n v="160"/>
    <m/>
    <s v="SUPPLAYKART"/>
    <m/>
    <m/>
    <m/>
    <m/>
    <m/>
    <m/>
    <m/>
  </r>
  <r>
    <d v="2025-11-12T00:00:00"/>
    <m/>
    <x v="3"/>
    <m/>
    <n v="100"/>
    <m/>
    <m/>
    <m/>
    <m/>
    <m/>
    <m/>
    <m/>
    <m/>
  </r>
  <r>
    <d v="2025-11-12T00:00:00"/>
    <m/>
    <x v="8"/>
    <m/>
    <n v="300"/>
    <m/>
    <m/>
    <m/>
    <m/>
    <m/>
    <m/>
    <m/>
    <m/>
  </r>
  <r>
    <d v="2025-11-12T00:00:00"/>
    <m/>
    <x v="4"/>
    <m/>
    <n v="50"/>
    <m/>
    <m/>
    <m/>
    <m/>
    <m/>
    <m/>
    <m/>
    <m/>
  </r>
  <r>
    <d v="2025-11-13T00:00:00"/>
    <m/>
    <x v="1"/>
    <m/>
    <n v="2900"/>
    <m/>
    <s v="Old Ginger"/>
    <n v="58"/>
    <m/>
    <n v="50"/>
    <s v="Jakakodi Traders"/>
    <m/>
    <m/>
  </r>
  <r>
    <d v="2025-11-13T00:00:00"/>
    <s v="INV-1021"/>
    <x v="2"/>
    <n v="240"/>
    <m/>
    <s v="HOTEL NOORDEEN"/>
    <m/>
    <m/>
    <m/>
    <m/>
    <m/>
    <m/>
    <m/>
  </r>
  <r>
    <d v="2025-11-13T00:00:00"/>
    <s v="INV-1022"/>
    <x v="2"/>
    <n v="320"/>
    <m/>
    <s v="CHENNAI TAWA BEEF"/>
    <m/>
    <m/>
    <m/>
    <m/>
    <m/>
    <m/>
    <m/>
  </r>
  <r>
    <d v="2025-11-13T00:00:00"/>
    <s v="INV-1023"/>
    <x v="2"/>
    <n v="2250"/>
    <m/>
    <s v="LE ROYAL MANDI"/>
    <m/>
    <m/>
    <m/>
    <m/>
    <m/>
    <m/>
    <m/>
  </r>
  <r>
    <d v="2025-11-13T00:00:00"/>
    <s v="INV-1024"/>
    <x v="2"/>
    <n v="830"/>
    <m/>
    <s v="NFS DELIVERY"/>
    <m/>
    <m/>
    <m/>
    <m/>
    <m/>
    <m/>
    <m/>
  </r>
  <r>
    <d v="2025-11-13T00:00:00"/>
    <s v="INV-1025"/>
    <x v="2"/>
    <n v="90"/>
    <m/>
    <s v="CASH"/>
    <m/>
    <m/>
    <m/>
    <m/>
    <m/>
    <m/>
    <m/>
  </r>
  <r>
    <d v="2025-11-13T00:00:00"/>
    <s v="INV-1026"/>
    <x v="2"/>
    <n v="80"/>
    <m/>
    <s v="SUPPLAYKART"/>
    <m/>
    <m/>
    <m/>
    <m/>
    <m/>
    <m/>
    <m/>
  </r>
  <r>
    <d v="2025-11-13T00:00:00"/>
    <s v="INV-1027"/>
    <x v="2"/>
    <n v="320"/>
    <m/>
    <s v="HOTEL BISMI"/>
    <m/>
    <m/>
    <m/>
    <m/>
    <m/>
    <m/>
    <m/>
  </r>
  <r>
    <d v="2025-11-13T00:00:00"/>
    <s v="INV-1028"/>
    <x v="2"/>
    <n v="640"/>
    <m/>
    <s v="Yousuf Bandari"/>
    <m/>
    <m/>
    <m/>
    <m/>
    <m/>
    <m/>
    <m/>
  </r>
  <r>
    <d v="2025-11-13T00:00:00"/>
    <s v="INV-1029"/>
    <x v="2"/>
    <n v="900"/>
    <m/>
    <s v="HALIDH COOK"/>
    <m/>
    <m/>
    <m/>
    <m/>
    <m/>
    <m/>
    <m/>
  </r>
  <r>
    <d v="2025-11-13T00:00:00"/>
    <s v="INV-1030"/>
    <x v="2"/>
    <n v="1500"/>
    <m/>
    <s v="AL AZEEM CATERS &amp; RESTAURANT"/>
    <m/>
    <m/>
    <m/>
    <m/>
    <m/>
    <m/>
    <m/>
  </r>
  <r>
    <d v="2025-11-13T00:00:00"/>
    <m/>
    <x v="4"/>
    <m/>
    <n v="20"/>
    <m/>
    <m/>
    <m/>
    <m/>
    <m/>
    <m/>
    <m/>
    <m/>
  </r>
  <r>
    <d v="2025-11-14T00:00:00"/>
    <s v="INV-1031"/>
    <x v="2"/>
    <n v="240"/>
    <m/>
    <s v="HOTEL NOORDEEN"/>
    <m/>
    <m/>
    <m/>
    <m/>
    <m/>
    <m/>
    <m/>
  </r>
  <r>
    <d v="2025-11-14T00:00:00"/>
    <s v="INV-1032"/>
    <x v="2"/>
    <n v="240"/>
    <m/>
    <s v="FAIZAL NAGAI"/>
    <m/>
    <m/>
    <m/>
    <m/>
    <m/>
    <m/>
    <m/>
  </r>
  <r>
    <d v="2025-11-14T00:00:00"/>
    <s v="INV-1033"/>
    <x v="2"/>
    <n v="600"/>
    <m/>
    <s v="NFS DELIVERY"/>
    <m/>
    <m/>
    <m/>
    <m/>
    <m/>
    <m/>
    <m/>
  </r>
  <r>
    <d v="2025-11-14T00:00:00"/>
    <s v="INV-1034"/>
    <x v="2"/>
    <n v="480"/>
    <m/>
    <s v="HOTEL BISMI"/>
    <m/>
    <m/>
    <m/>
    <m/>
    <m/>
    <m/>
    <m/>
  </r>
  <r>
    <d v="2025-11-14T00:00:00"/>
    <s v="INV-1035"/>
    <x v="2"/>
    <n v="160"/>
    <m/>
    <s v="CHENNAI TAWA BEEF"/>
    <m/>
    <m/>
    <m/>
    <m/>
    <m/>
    <m/>
    <m/>
  </r>
  <r>
    <d v="2025-11-14T00:00:00"/>
    <s v="INV-1036"/>
    <x v="2"/>
    <n v="640"/>
    <m/>
    <s v="Yousuf Bandari"/>
    <m/>
    <m/>
    <m/>
    <m/>
    <m/>
    <m/>
    <m/>
  </r>
  <r>
    <d v="2025-11-14T00:00:00"/>
    <s v="INV-1037"/>
    <x v="2"/>
    <n v="750"/>
    <m/>
    <s v="HASSIM CATERING"/>
    <m/>
    <m/>
    <m/>
    <m/>
    <m/>
    <m/>
    <m/>
  </r>
  <r>
    <d v="2025-11-14T00:00:00"/>
    <s v="INV-1038"/>
    <x v="2"/>
    <n v="320"/>
    <m/>
    <s v="HALIDH COOK"/>
    <m/>
    <m/>
    <m/>
    <m/>
    <m/>
    <m/>
    <m/>
  </r>
  <r>
    <d v="2025-11-14T00:00:00"/>
    <m/>
    <x v="5"/>
    <m/>
    <n v="160"/>
    <m/>
    <m/>
    <m/>
    <m/>
    <m/>
    <m/>
    <m/>
    <m/>
  </r>
  <r>
    <d v="2025-11-14T00:00:00"/>
    <m/>
    <x v="9"/>
    <m/>
    <n v="400"/>
    <m/>
    <m/>
    <m/>
    <m/>
    <m/>
    <m/>
    <m/>
    <m/>
  </r>
  <r>
    <d v="2025-11-14T00:00:00"/>
    <m/>
    <x v="4"/>
    <m/>
    <n v="50"/>
    <m/>
    <m/>
    <m/>
    <m/>
    <m/>
    <m/>
    <m/>
    <m/>
  </r>
  <r>
    <d v="2025-11-15T00:00:00"/>
    <s v="INV-1039"/>
    <x v="2"/>
    <n v="100"/>
    <m/>
    <s v="CASH"/>
    <m/>
    <m/>
    <m/>
    <m/>
    <m/>
    <m/>
    <m/>
  </r>
  <r>
    <d v="2025-11-15T00:00:00"/>
    <s v="INV-1040"/>
    <x v="2"/>
    <n v="560"/>
    <m/>
    <s v="HOTEL NOORDEEN"/>
    <m/>
    <m/>
    <m/>
    <m/>
    <m/>
    <m/>
    <m/>
  </r>
  <r>
    <d v="2025-11-15T00:00:00"/>
    <s v="INV-1041"/>
    <x v="2"/>
    <n v="1270"/>
    <m/>
    <s v="NFS DELIVERY"/>
    <m/>
    <m/>
    <m/>
    <m/>
    <m/>
    <m/>
    <m/>
  </r>
  <r>
    <d v="2025-11-15T00:00:00"/>
    <s v="INV-1042"/>
    <x v="2"/>
    <n v="560"/>
    <m/>
    <s v="BURHAAN"/>
    <m/>
    <m/>
    <m/>
    <m/>
    <m/>
    <m/>
    <m/>
  </r>
  <r>
    <d v="2025-11-15T00:00:00"/>
    <s v="INV-1043"/>
    <x v="2"/>
    <n v="80"/>
    <m/>
    <s v="SUPPLAYKART"/>
    <m/>
    <m/>
    <m/>
    <m/>
    <m/>
    <m/>
    <m/>
  </r>
  <r>
    <d v="2025-11-15T00:00:00"/>
    <s v="INV-1044"/>
    <x v="2"/>
    <n v="240"/>
    <m/>
    <s v="CHENNAI TAWA BEEF"/>
    <m/>
    <m/>
    <m/>
    <m/>
    <m/>
    <m/>
    <m/>
  </r>
  <r>
    <d v="2025-11-15T00:00:00"/>
    <s v="INV-1045"/>
    <x v="2"/>
    <n v="4500"/>
    <m/>
    <s v="AMEEN MASTER CHEF"/>
    <m/>
    <m/>
    <m/>
    <m/>
    <m/>
    <m/>
    <m/>
  </r>
  <r>
    <d v="2025-11-15T00:00:00"/>
    <s v="INV-1046"/>
    <x v="2"/>
    <n v="2700"/>
    <m/>
    <s v="AL AZEEM CATERS &amp; RESTAURANT"/>
    <m/>
    <m/>
    <m/>
    <m/>
    <m/>
    <m/>
    <m/>
  </r>
  <r>
    <d v="2025-11-15T00:00:00"/>
    <s v="INV-1047"/>
    <x v="2"/>
    <n v="750"/>
    <m/>
    <s v="HALIDH COOK"/>
    <m/>
    <m/>
    <m/>
    <m/>
    <m/>
    <m/>
    <m/>
  </r>
  <r>
    <d v="2025-11-15T00:00:00"/>
    <s v="INV-1048"/>
    <x v="2"/>
    <n v="480"/>
    <m/>
    <s v="CHENNAI TAWA BEEF"/>
    <m/>
    <m/>
    <m/>
    <m/>
    <m/>
    <m/>
    <m/>
  </r>
  <r>
    <d v="2025-11-15T00:00:00"/>
    <m/>
    <x v="8"/>
    <m/>
    <n v="100"/>
    <m/>
    <m/>
    <m/>
    <m/>
    <m/>
    <m/>
    <m/>
    <m/>
  </r>
  <r>
    <d v="2025-11-15T00:00:00"/>
    <m/>
    <x v="7"/>
    <m/>
    <n v="80"/>
    <m/>
    <m/>
    <m/>
    <m/>
    <m/>
    <m/>
    <m/>
    <m/>
  </r>
  <r>
    <d v="2025-11-15T00:00:00"/>
    <m/>
    <x v="4"/>
    <m/>
    <n v="50"/>
    <m/>
    <m/>
    <m/>
    <m/>
    <m/>
    <m/>
    <m/>
    <m/>
  </r>
  <r>
    <d v="2025-11-15T00:00:00"/>
    <m/>
    <x v="9"/>
    <m/>
    <n v="860"/>
    <m/>
    <m/>
    <m/>
    <m/>
    <m/>
    <m/>
    <m/>
    <m/>
  </r>
  <r>
    <d v="2025-11-16T00:00:00"/>
    <s v="INV-1049"/>
    <x v="2"/>
    <n v="160"/>
    <m/>
    <s v="HOTEL ANAS"/>
    <m/>
    <m/>
    <m/>
    <m/>
    <m/>
    <m/>
    <m/>
  </r>
  <r>
    <d v="2025-11-16T00:00:00"/>
    <s v="INV-1050"/>
    <x v="2"/>
    <n v="160"/>
    <m/>
    <s v="DARBAR CATERING"/>
    <m/>
    <m/>
    <m/>
    <m/>
    <m/>
    <m/>
    <m/>
  </r>
  <r>
    <d v="2025-11-16T00:00:00"/>
    <s v="INV-1051"/>
    <x v="2"/>
    <n v="750"/>
    <m/>
    <s v="AR RAHIM HOTEL"/>
    <m/>
    <m/>
    <m/>
    <m/>
    <m/>
    <m/>
    <m/>
  </r>
  <r>
    <d v="2025-11-16T00:00:00"/>
    <s v="INV-1052"/>
    <x v="2"/>
    <n v="150"/>
    <m/>
    <s v="Arafath"/>
    <m/>
    <m/>
    <m/>
    <m/>
    <m/>
    <m/>
    <m/>
  </r>
  <r>
    <d v="2025-11-17T00:00:00"/>
    <s v="INV-1053"/>
    <x v="2"/>
    <n v="1440"/>
    <m/>
    <s v="NFS DELIVERY"/>
    <m/>
    <m/>
    <m/>
    <m/>
    <m/>
    <m/>
    <m/>
  </r>
  <r>
    <d v="2025-11-17T00:00:00"/>
    <s v="INV-1054"/>
    <x v="2"/>
    <n v="240"/>
    <m/>
    <s v="HOTEL NOORDEEN"/>
    <m/>
    <m/>
    <m/>
    <m/>
    <m/>
    <m/>
    <m/>
  </r>
  <r>
    <d v="2025-11-17T00:00:00"/>
    <s v="INV-1055"/>
    <x v="2"/>
    <n v="80"/>
    <m/>
    <s v="FAIZAL NAGAI"/>
    <m/>
    <m/>
    <m/>
    <m/>
    <m/>
    <m/>
    <m/>
  </r>
  <r>
    <d v="2025-11-17T00:00:00"/>
    <s v="INV-1056"/>
    <x v="2"/>
    <n v="720"/>
    <m/>
    <s v="CHENNAI TAWA BEEF"/>
    <m/>
    <m/>
    <m/>
    <m/>
    <m/>
    <m/>
    <m/>
  </r>
  <r>
    <d v="2025-11-17T00:00:00"/>
    <s v="INV-1057"/>
    <x v="2"/>
    <n v="480"/>
    <m/>
    <s v="AMEEN MASTER CHEF"/>
    <m/>
    <m/>
    <m/>
    <m/>
    <m/>
    <m/>
    <m/>
  </r>
  <r>
    <d v="2025-11-17T00:00:00"/>
    <s v="INV-1058"/>
    <x v="2"/>
    <n v="1500"/>
    <m/>
    <s v="YA Salaam"/>
    <m/>
    <m/>
    <m/>
    <m/>
    <m/>
    <m/>
    <m/>
  </r>
  <r>
    <d v="2025-11-17T00:00:00"/>
    <s v="INV-1059"/>
    <x v="2"/>
    <n v="1500"/>
    <m/>
    <s v="AL AZEEM CATERS &amp; RESTAURANT"/>
    <m/>
    <m/>
    <m/>
    <m/>
    <m/>
    <m/>
    <m/>
  </r>
  <r>
    <d v="2025-11-17T00:00:00"/>
    <m/>
    <x v="4"/>
    <m/>
    <n v="50"/>
    <m/>
    <m/>
    <m/>
    <m/>
    <m/>
    <m/>
    <m/>
    <m/>
  </r>
  <r>
    <d v="2025-11-17T00:00:00"/>
    <m/>
    <x v="10"/>
    <m/>
    <n v="400"/>
    <m/>
    <m/>
    <m/>
    <m/>
    <m/>
    <m/>
    <m/>
    <m/>
  </r>
  <r>
    <d v="2025-11-18T00:00:00"/>
    <m/>
    <x v="1"/>
    <m/>
    <n v="3300"/>
    <m/>
    <s v="Old Ginger"/>
    <n v="66"/>
    <m/>
    <n v="50"/>
    <s v="Jakakodi Traders"/>
    <m/>
    <m/>
  </r>
  <r>
    <d v="2025-11-18T00:00:00"/>
    <s v="INV-1060"/>
    <x v="2"/>
    <n v="480"/>
    <m/>
    <s v="Sahabudeen"/>
    <m/>
    <m/>
    <m/>
    <m/>
    <m/>
    <m/>
    <m/>
  </r>
  <r>
    <d v="2025-11-18T00:00:00"/>
    <s v="INV-1061"/>
    <x v="2"/>
    <n v="510"/>
    <m/>
    <s v="NFS DELIVERY"/>
    <m/>
    <m/>
    <m/>
    <m/>
    <m/>
    <m/>
    <m/>
  </r>
  <r>
    <d v="2025-11-18T00:00:00"/>
    <s v="INV-1062"/>
    <x v="2"/>
    <n v="240"/>
    <m/>
    <s v="HOTEL NOORDEEN"/>
    <m/>
    <m/>
    <m/>
    <m/>
    <m/>
    <m/>
    <m/>
  </r>
  <r>
    <d v="2025-11-18T00:00:00"/>
    <s v="INV-1063"/>
    <x v="2"/>
    <n v="80"/>
    <m/>
    <s v="SUPPLAYKART"/>
    <m/>
    <m/>
    <m/>
    <m/>
    <m/>
    <m/>
    <m/>
  </r>
  <r>
    <d v="2025-11-18T00:00:00"/>
    <s v="INV-1064"/>
    <x v="2"/>
    <n v="480"/>
    <m/>
    <s v="HOTEL BISMI"/>
    <m/>
    <m/>
    <m/>
    <m/>
    <m/>
    <m/>
    <m/>
  </r>
  <r>
    <d v="2025-11-18T00:00:00"/>
    <s v="INV-1065"/>
    <x v="2"/>
    <n v="1200"/>
    <m/>
    <s v="CHENNAI TAWA BEEF"/>
    <m/>
    <m/>
    <m/>
    <m/>
    <m/>
    <m/>
    <m/>
  </r>
  <r>
    <d v="2025-11-18T00:00:00"/>
    <s v="INV-1066"/>
    <x v="2"/>
    <n v="320"/>
    <m/>
    <s v="MALAYSIAN FAST FOOD"/>
    <m/>
    <m/>
    <m/>
    <m/>
    <m/>
    <m/>
    <m/>
  </r>
  <r>
    <d v="2025-11-18T00:00:00"/>
    <s v="INV-1067"/>
    <x v="2"/>
    <n v="200"/>
    <m/>
    <s v="MARAIKAR SHOP"/>
    <m/>
    <m/>
    <m/>
    <m/>
    <m/>
    <m/>
    <m/>
  </r>
  <r>
    <d v="2025-11-18T00:00:00"/>
    <s v="INV-1068"/>
    <x v="2"/>
    <n v="300"/>
    <m/>
    <s v="Hassan"/>
    <m/>
    <m/>
    <m/>
    <m/>
    <m/>
    <m/>
    <m/>
  </r>
  <r>
    <d v="2025-11-18T00:00:00"/>
    <s v="INV-1069"/>
    <x v="2"/>
    <n v="750"/>
    <m/>
    <s v="AMEEN MASTER CHEF"/>
    <m/>
    <m/>
    <m/>
    <m/>
    <m/>
    <m/>
    <m/>
  </r>
  <r>
    <d v="2025-11-18T00:00:00"/>
    <s v="INV-1070"/>
    <x v="2"/>
    <n v="170"/>
    <m/>
    <s v="CASH"/>
    <m/>
    <m/>
    <m/>
    <m/>
    <m/>
    <m/>
    <m/>
  </r>
  <r>
    <d v="2025-11-18T00:00:00"/>
    <s v="INV-1071"/>
    <x v="2"/>
    <n v="750"/>
    <m/>
    <s v="HASSIM CATERING"/>
    <m/>
    <m/>
    <m/>
    <m/>
    <m/>
    <m/>
    <m/>
  </r>
  <r>
    <d v="2025-11-18T00:00:00"/>
    <m/>
    <x v="4"/>
    <m/>
    <n v="50"/>
    <m/>
    <m/>
    <m/>
    <m/>
    <m/>
    <m/>
    <m/>
    <m/>
  </r>
  <r>
    <d v="2025-11-19T00:00:00"/>
    <s v="INV-1072"/>
    <x v="2"/>
    <n v="160"/>
    <m/>
    <s v="DARBAR CATERING"/>
    <m/>
    <m/>
    <m/>
    <m/>
    <m/>
    <m/>
    <m/>
  </r>
  <r>
    <d v="2025-11-19T00:00:00"/>
    <s v="INV-1073"/>
    <x v="2"/>
    <n v="160"/>
    <m/>
    <s v="HOTEL ANAS"/>
    <m/>
    <m/>
    <m/>
    <m/>
    <m/>
    <m/>
    <m/>
  </r>
  <r>
    <d v="2025-11-19T00:00:00"/>
    <s v="INV-1074"/>
    <x v="12"/>
    <m/>
    <m/>
    <m/>
    <m/>
    <m/>
    <m/>
    <m/>
    <m/>
    <m/>
    <m/>
  </r>
  <r>
    <d v="2025-11-19T00:00:00"/>
    <s v="INV-1075"/>
    <x v="2"/>
    <n v="160"/>
    <m/>
    <s v="RR mini mart"/>
    <m/>
    <m/>
    <m/>
    <m/>
    <m/>
    <m/>
    <m/>
  </r>
  <r>
    <d v="2025-11-19T00:00:00"/>
    <s v="INV-1076"/>
    <x v="2"/>
    <n v="2780"/>
    <m/>
    <s v="LE ROYAL MANDI"/>
    <m/>
    <m/>
    <m/>
    <m/>
    <m/>
    <m/>
    <m/>
  </r>
  <r>
    <d v="2025-11-19T00:00:00"/>
    <s v="INV-1077"/>
    <x v="2"/>
    <n v="480"/>
    <m/>
    <s v="AMEEN MASTER CHEF"/>
    <m/>
    <m/>
    <m/>
    <m/>
    <m/>
    <m/>
    <m/>
  </r>
  <r>
    <d v="2025-11-19T00:00:00"/>
    <s v="INV-1078"/>
    <x v="2"/>
    <n v="170"/>
    <m/>
    <s v="NFS DELIVERY"/>
    <m/>
    <m/>
    <m/>
    <m/>
    <m/>
    <m/>
    <m/>
  </r>
  <r>
    <d v="2025-11-19T00:00:00"/>
    <m/>
    <x v="13"/>
    <m/>
    <n v="480"/>
    <m/>
    <m/>
    <m/>
    <m/>
    <m/>
    <m/>
    <m/>
    <s v="For Sealer &amp; Weighing scale"/>
  </r>
  <r>
    <d v="2025-11-19T00:00:00"/>
    <m/>
    <x v="4"/>
    <m/>
    <n v="50"/>
    <m/>
    <m/>
    <m/>
    <m/>
    <m/>
    <m/>
    <m/>
    <m/>
  </r>
  <r>
    <d v="2025-11-20T00:00:00"/>
    <s v="INV-1079"/>
    <x v="2"/>
    <n v="680"/>
    <m/>
    <s v="NFS DELIVERY"/>
    <m/>
    <m/>
    <m/>
    <m/>
    <m/>
    <m/>
    <m/>
  </r>
  <r>
    <d v="2025-11-20T00:00:00"/>
    <s v="INV-1080"/>
    <x v="2"/>
    <n v="240"/>
    <m/>
    <s v="HOTEL NOORDEEN"/>
    <m/>
    <m/>
    <m/>
    <m/>
    <m/>
    <m/>
    <m/>
  </r>
  <r>
    <d v="2025-11-20T00:00:00"/>
    <s v="INV-1081"/>
    <x v="2"/>
    <n v="480"/>
    <m/>
    <s v="HOTEL BISMI"/>
    <m/>
    <m/>
    <m/>
    <m/>
    <m/>
    <m/>
    <m/>
  </r>
  <r>
    <d v="2025-11-20T00:00:00"/>
    <s v="INV-1082"/>
    <x v="2"/>
    <n v="160"/>
    <m/>
    <s v="RILUWAN(NAGORE)"/>
    <m/>
    <m/>
    <m/>
    <m/>
    <m/>
    <m/>
    <m/>
  </r>
  <r>
    <d v="2025-11-20T00:00:00"/>
    <s v="INV-1083"/>
    <x v="2"/>
    <n v="320"/>
    <m/>
    <s v="FAIZAL NAGAI"/>
    <m/>
    <m/>
    <m/>
    <m/>
    <m/>
    <m/>
    <m/>
  </r>
  <r>
    <d v="2025-11-20T00:00:00"/>
    <s v="INV-1084"/>
    <x v="2"/>
    <n v="900"/>
    <m/>
    <s v="DARBAR CATERING"/>
    <m/>
    <m/>
    <m/>
    <m/>
    <m/>
    <m/>
    <m/>
  </r>
  <r>
    <d v="2025-11-20T00:00:00"/>
    <s v="INV-1085"/>
    <x v="2"/>
    <n v="225"/>
    <m/>
    <s v="AMEEN MASTER CHEF"/>
    <m/>
    <m/>
    <m/>
    <m/>
    <m/>
    <m/>
    <m/>
  </r>
  <r>
    <d v="2025-11-20T00:00:00"/>
    <s v="INV-1086"/>
    <x v="2"/>
    <n v="1600"/>
    <m/>
    <s v="AL AZEEM CATERS &amp; RESTAURANT"/>
    <m/>
    <m/>
    <m/>
    <m/>
    <m/>
    <m/>
    <m/>
  </r>
  <r>
    <d v="2025-11-20T00:00:00"/>
    <s v="INV-1087"/>
    <x v="2"/>
    <n v="1200"/>
    <m/>
    <s v="Arafath"/>
    <m/>
    <m/>
    <m/>
    <m/>
    <m/>
    <m/>
    <m/>
  </r>
  <r>
    <d v="2025-11-20T00:00:00"/>
    <s v="INV-1088"/>
    <x v="2"/>
    <n v="60"/>
    <m/>
    <s v="CASH"/>
    <m/>
    <m/>
    <m/>
    <m/>
    <m/>
    <m/>
    <m/>
  </r>
  <r>
    <d v="2025-11-20T00:00:00"/>
    <m/>
    <x v="4"/>
    <m/>
    <n v="50"/>
    <m/>
    <m/>
    <m/>
    <m/>
    <m/>
    <m/>
    <m/>
    <m/>
  </r>
  <r>
    <d v="2025-11-20T00:00:00"/>
    <m/>
    <x v="14"/>
    <m/>
    <n v="550"/>
    <m/>
    <m/>
    <m/>
    <m/>
    <m/>
    <m/>
    <m/>
    <m/>
  </r>
  <r>
    <d v="2025-11-21T00:00:00"/>
    <s v="INV-1089"/>
    <x v="2"/>
    <n v="320"/>
    <m/>
    <s v="HOTEL NOORDEEN"/>
    <m/>
    <m/>
    <m/>
    <m/>
    <m/>
    <m/>
    <m/>
  </r>
  <r>
    <d v="2025-11-21T00:00:00"/>
    <s v="INV-1090"/>
    <x v="2"/>
    <n v="320"/>
    <m/>
    <s v="MALAYSIAN FAST FOOD"/>
    <m/>
    <m/>
    <m/>
    <m/>
    <m/>
    <m/>
    <m/>
  </r>
  <r>
    <d v="2025-11-21T00:00:00"/>
    <s v="INV-1091"/>
    <x v="2"/>
    <n v="450"/>
    <m/>
    <s v="Habil Sahib"/>
    <m/>
    <m/>
    <m/>
    <m/>
    <m/>
    <m/>
    <m/>
  </r>
  <r>
    <d v="2025-11-21T00:00:00"/>
    <s v="INV-1092"/>
    <x v="2"/>
    <n v="320"/>
    <m/>
    <s v="HOTEL ANAS"/>
    <m/>
    <m/>
    <m/>
    <m/>
    <m/>
    <m/>
    <m/>
  </r>
  <r>
    <d v="2025-11-21T00:00:00"/>
    <s v="INV-1093"/>
    <x v="2"/>
    <n v="160"/>
    <m/>
    <s v="Sandwich shop"/>
    <m/>
    <m/>
    <m/>
    <m/>
    <m/>
    <m/>
    <m/>
  </r>
  <r>
    <d v="2025-11-21T00:00:00"/>
    <s v="INV-1094"/>
    <x v="2"/>
    <n v="960"/>
    <m/>
    <s v="HOTEL BISMI"/>
    <m/>
    <m/>
    <m/>
    <m/>
    <m/>
    <m/>
    <m/>
  </r>
  <r>
    <d v="2025-11-21T00:00:00"/>
    <s v="INV-1095"/>
    <x v="2"/>
    <n v="720"/>
    <m/>
    <s v="CHENNAI TAWA BEEF"/>
    <m/>
    <m/>
    <m/>
    <m/>
    <m/>
    <m/>
    <m/>
  </r>
  <r>
    <d v="2025-11-21T00:00:00"/>
    <s v="INV-1096"/>
    <x v="2"/>
    <n v="1500"/>
    <m/>
    <s v="HASSIM CATERING"/>
    <m/>
    <m/>
    <m/>
    <m/>
    <m/>
    <m/>
    <m/>
  </r>
  <r>
    <d v="2025-11-21T00:00:00"/>
    <m/>
    <x v="4"/>
    <m/>
    <n v="50"/>
    <m/>
    <m/>
    <m/>
    <m/>
    <m/>
    <m/>
    <m/>
    <m/>
  </r>
  <r>
    <d v="2025-11-21T00:00:00"/>
    <m/>
    <x v="9"/>
    <m/>
    <n v="430"/>
    <m/>
    <m/>
    <m/>
    <m/>
    <m/>
    <m/>
    <m/>
    <m/>
  </r>
  <r>
    <d v="2025-11-21T00:00:00"/>
    <m/>
    <x v="15"/>
    <m/>
    <n v="299"/>
    <m/>
    <m/>
    <m/>
    <m/>
    <m/>
    <m/>
    <m/>
    <m/>
  </r>
  <r>
    <d v="2025-11-21T00:00:00"/>
    <m/>
    <x v="14"/>
    <m/>
    <n v="350"/>
    <m/>
    <m/>
    <m/>
    <m/>
    <m/>
    <m/>
    <m/>
    <m/>
  </r>
  <r>
    <d v="2025-11-22T00:00:00"/>
    <m/>
    <x v="1"/>
    <m/>
    <n v="6000"/>
    <m/>
    <s v="Old Ginger"/>
    <n v="60"/>
    <m/>
    <n v="100"/>
    <s v="Jakakodi Traders"/>
    <m/>
    <m/>
  </r>
  <r>
    <d v="2025-11-22T00:00:00"/>
    <s v="INV-1097"/>
    <x v="2"/>
    <n v="2550"/>
    <m/>
    <s v="Habil Sahib"/>
    <m/>
    <m/>
    <m/>
    <m/>
    <m/>
    <m/>
    <m/>
  </r>
  <r>
    <d v="2025-11-22T00:00:00"/>
    <s v="INV-1098"/>
    <x v="2"/>
    <n v="3000"/>
    <m/>
    <s v="HASSIM CATERING"/>
    <m/>
    <m/>
    <m/>
    <m/>
    <m/>
    <m/>
    <m/>
  </r>
  <r>
    <d v="2025-11-22T00:00:00"/>
    <s v="INV-1099"/>
    <x v="2"/>
    <n v="240"/>
    <m/>
    <s v="NOORDIN FOOD COURT"/>
    <m/>
    <m/>
    <m/>
    <m/>
    <m/>
    <m/>
    <m/>
  </r>
  <r>
    <d v="2025-11-22T00:00:00"/>
    <s v="INV-1100"/>
    <x v="2"/>
    <n v="260"/>
    <m/>
    <s v="NFS DELIVERY"/>
    <m/>
    <m/>
    <m/>
    <m/>
    <m/>
    <m/>
    <m/>
  </r>
  <r>
    <d v="2025-11-22T00:00:00"/>
    <s v="INV-1101"/>
    <x v="2"/>
    <n v="3000"/>
    <m/>
    <s v="LE ROYAL MANDI"/>
    <m/>
    <m/>
    <m/>
    <m/>
    <m/>
    <m/>
    <m/>
  </r>
  <r>
    <d v="2025-11-22T00:00:00"/>
    <s v="INV-1102"/>
    <x v="2"/>
    <n v="320"/>
    <m/>
    <s v="HOTEL BISMI"/>
    <m/>
    <m/>
    <m/>
    <m/>
    <m/>
    <m/>
    <m/>
  </r>
  <r>
    <d v="2025-11-22T00:00:00"/>
    <s v="INV-1103"/>
    <x v="2"/>
    <n v="160"/>
    <m/>
    <s v="RR mini mart"/>
    <m/>
    <m/>
    <m/>
    <m/>
    <m/>
    <m/>
    <m/>
  </r>
  <r>
    <d v="2025-11-22T00:00:00"/>
    <s v="INV-1104"/>
    <x v="2"/>
    <n v="150"/>
    <m/>
    <s v="Arafath"/>
    <m/>
    <m/>
    <m/>
    <m/>
    <m/>
    <m/>
    <m/>
  </r>
  <r>
    <d v="2025-11-22T00:00:00"/>
    <s v="INV-1105"/>
    <x v="2"/>
    <n v="900"/>
    <m/>
    <s v="AMEEN MASTER CHEF"/>
    <m/>
    <m/>
    <m/>
    <m/>
    <m/>
    <m/>
    <m/>
  </r>
  <r>
    <d v="2025-11-22T00:00:00"/>
    <s v="INV-1106"/>
    <x v="2"/>
    <n v="1500"/>
    <m/>
    <s v="AL AZEEM CATERS &amp; RESTAURANT"/>
    <m/>
    <m/>
    <m/>
    <m/>
    <m/>
    <m/>
    <m/>
  </r>
  <r>
    <d v="2025-11-22T00:00:00"/>
    <s v="INV-1107"/>
    <x v="2"/>
    <n v="240"/>
    <m/>
    <s v="CHENNAI TAWA BEEF"/>
    <m/>
    <m/>
    <m/>
    <m/>
    <m/>
    <m/>
    <m/>
  </r>
  <r>
    <d v="2025-11-22T00:00:00"/>
    <m/>
    <x v="5"/>
    <m/>
    <n v="160"/>
    <m/>
    <m/>
    <m/>
    <m/>
    <m/>
    <m/>
    <m/>
    <m/>
  </r>
  <r>
    <d v="2025-11-22T00:00:00"/>
    <m/>
    <x v="3"/>
    <m/>
    <n v="100"/>
    <m/>
    <m/>
    <m/>
    <m/>
    <m/>
    <m/>
    <m/>
    <m/>
  </r>
  <r>
    <d v="2025-11-22T00:00:00"/>
    <m/>
    <x v="4"/>
    <m/>
    <n v="50"/>
    <m/>
    <m/>
    <m/>
    <m/>
    <m/>
    <m/>
    <m/>
    <m/>
  </r>
  <r>
    <d v="2025-11-23T00:00:00"/>
    <s v="INV-1108"/>
    <x v="2"/>
    <n v="3050"/>
    <m/>
    <s v="HASSIM CATERING"/>
    <m/>
    <m/>
    <m/>
    <m/>
    <m/>
    <m/>
    <m/>
  </r>
  <r>
    <d v="2025-11-23T00:00:00"/>
    <s v="INV-1109"/>
    <x v="2"/>
    <n v="320"/>
    <m/>
    <s v="Sandwich shop"/>
    <m/>
    <m/>
    <m/>
    <m/>
    <m/>
    <m/>
    <m/>
  </r>
  <r>
    <d v="2025-11-23T00:00:00"/>
    <s v="INV-1110"/>
    <x v="2"/>
    <n v="320"/>
    <m/>
    <s v="HOTEL BISMI"/>
    <m/>
    <m/>
    <m/>
    <m/>
    <m/>
    <m/>
    <m/>
  </r>
  <r>
    <d v="2025-11-23T00:00:00"/>
    <s v="INV-1111"/>
    <x v="2"/>
    <n v="170"/>
    <m/>
    <s v="NFS DELIVERY"/>
    <m/>
    <m/>
    <m/>
    <m/>
    <m/>
    <m/>
    <m/>
  </r>
  <r>
    <d v="2025-11-23T00:00:00"/>
    <s v="INV-1112"/>
    <x v="2"/>
    <n v="240"/>
    <m/>
    <s v="NOORDIN FOOD COURT"/>
    <m/>
    <m/>
    <m/>
    <m/>
    <m/>
    <m/>
    <m/>
  </r>
  <r>
    <d v="2025-11-23T00:00:00"/>
    <s v="INV-1113"/>
    <x v="2"/>
    <n v="1500"/>
    <m/>
    <s v="ARAFA RESTAURANT"/>
    <m/>
    <m/>
    <m/>
    <m/>
    <m/>
    <m/>
    <m/>
  </r>
  <r>
    <d v="2025-11-23T00:00:00"/>
    <s v="INV-1114"/>
    <x v="2"/>
    <n v="160"/>
    <m/>
    <s v="Sahabudeen"/>
    <m/>
    <m/>
    <m/>
    <m/>
    <m/>
    <m/>
    <m/>
  </r>
  <r>
    <d v="2025-11-23T00:00:00"/>
    <s v="INV-1115"/>
    <x v="2"/>
    <n v="1350"/>
    <m/>
    <s v="Habil Sahib"/>
    <m/>
    <m/>
    <m/>
    <m/>
    <m/>
    <m/>
    <m/>
  </r>
  <r>
    <d v="2025-11-23T00:00:00"/>
    <s v="INV-1116"/>
    <x v="2"/>
    <n v="1500"/>
    <m/>
    <s v="NFS DELIVERY"/>
    <m/>
    <m/>
    <m/>
    <m/>
    <m/>
    <m/>
    <m/>
  </r>
  <r>
    <d v="2025-11-23T00:00:00"/>
    <m/>
    <x v="4"/>
    <m/>
    <n v="20"/>
    <m/>
    <m/>
    <m/>
    <m/>
    <m/>
    <m/>
    <m/>
    <m/>
  </r>
  <r>
    <d v="2025-11-24T00:00:00"/>
    <s v="INV-1117"/>
    <x v="2"/>
    <n v="160"/>
    <m/>
    <s v="NOORDIN FOOD COURT"/>
    <m/>
    <m/>
    <m/>
    <m/>
    <m/>
    <m/>
    <m/>
  </r>
  <r>
    <d v="2025-11-24T00:00:00"/>
    <s v="INV-1118"/>
    <x v="2"/>
    <n v="710"/>
    <m/>
    <s v="NFS DELIVERY"/>
    <m/>
    <m/>
    <m/>
    <m/>
    <m/>
    <m/>
    <m/>
  </r>
  <r>
    <d v="2025-11-24T00:00:00"/>
    <s v="INV-1119"/>
    <x v="2"/>
    <n v="480"/>
    <m/>
    <s v="MALAYSIAN FAST FOOD"/>
    <m/>
    <m/>
    <m/>
    <m/>
    <m/>
    <m/>
    <m/>
  </r>
  <r>
    <d v="2025-11-24T00:00:00"/>
    <s v="INV-1120"/>
    <x v="2"/>
    <n v="320"/>
    <m/>
    <s v="HOTEL BISMI"/>
    <m/>
    <m/>
    <m/>
    <m/>
    <m/>
    <m/>
    <m/>
  </r>
  <r>
    <d v="2025-11-24T00:00:00"/>
    <s v="INV-1121"/>
    <x v="2"/>
    <n v="2700"/>
    <m/>
    <s v="AL AZEEM CATERS &amp; RESTAURANT"/>
    <m/>
    <m/>
    <m/>
    <m/>
    <m/>
    <m/>
    <m/>
  </r>
  <r>
    <d v="2025-11-24T00:00:00"/>
    <s v="INV-1122"/>
    <x v="2"/>
    <n v="450"/>
    <m/>
    <s v="AMEEN MASTER CHEF"/>
    <m/>
    <m/>
    <m/>
    <m/>
    <m/>
    <m/>
    <m/>
  </r>
  <r>
    <d v="2025-11-24T00:00:00"/>
    <s v="INV-1123"/>
    <x v="2"/>
    <n v="320"/>
    <m/>
    <s v="Sahabudeen"/>
    <m/>
    <m/>
    <m/>
    <m/>
    <m/>
    <m/>
    <m/>
  </r>
  <r>
    <d v="2025-11-24T00:00:00"/>
    <m/>
    <x v="9"/>
    <m/>
    <n v="120"/>
    <m/>
    <m/>
    <m/>
    <m/>
    <m/>
    <m/>
    <m/>
    <m/>
  </r>
  <r>
    <d v="2025-11-24T00:00:00"/>
    <m/>
    <x v="4"/>
    <m/>
    <n v="10"/>
    <m/>
    <m/>
    <m/>
    <m/>
    <m/>
    <m/>
    <m/>
    <m/>
  </r>
  <r>
    <d v="2025-11-24T00:00:00"/>
    <m/>
    <x v="4"/>
    <m/>
    <n v="50"/>
    <m/>
    <m/>
    <m/>
    <m/>
    <m/>
    <m/>
    <m/>
    <m/>
  </r>
  <r>
    <d v="2025-11-24T00:00:00"/>
    <m/>
    <x v="10"/>
    <m/>
    <n v="400"/>
    <m/>
    <m/>
    <m/>
    <m/>
    <m/>
    <m/>
    <m/>
    <m/>
  </r>
  <r>
    <d v="2025-11-25T00:00:00"/>
    <m/>
    <x v="11"/>
    <m/>
    <n v="25021"/>
    <m/>
    <s v="Naatu Poondu"/>
    <n v="60"/>
    <n v="1501"/>
    <n v="392"/>
    <s v="PK Garlic"/>
    <m/>
    <m/>
  </r>
  <r>
    <d v="2025-11-25T00:00:00"/>
    <m/>
    <x v="1"/>
    <m/>
    <n v="6800"/>
    <m/>
    <s v="Old Ginger"/>
    <n v="68"/>
    <m/>
    <n v="100"/>
    <s v="Jakakodi Traders"/>
    <m/>
    <m/>
  </r>
  <r>
    <d v="2025-11-25T00:00:00"/>
    <s v="INV-1124"/>
    <x v="2"/>
    <n v="160"/>
    <m/>
    <s v="NOORDIN FOOD COURT"/>
    <m/>
    <m/>
    <m/>
    <m/>
    <m/>
    <m/>
    <m/>
  </r>
  <r>
    <d v="2025-11-25T00:00:00"/>
    <s v="INV-1125"/>
    <x v="2"/>
    <n v="320"/>
    <m/>
    <s v="HOTEL BISMI"/>
    <m/>
    <m/>
    <m/>
    <m/>
    <m/>
    <m/>
    <m/>
  </r>
  <r>
    <d v="2025-11-25T00:00:00"/>
    <s v="INV-1126"/>
    <x v="2"/>
    <n v="160"/>
    <m/>
    <s v="HOTEL ANAS"/>
    <m/>
    <m/>
    <m/>
    <m/>
    <m/>
    <m/>
    <m/>
  </r>
  <r>
    <d v="2025-11-25T00:00:00"/>
    <s v="INV-1127"/>
    <x v="2"/>
    <n v="480"/>
    <m/>
    <s v="CHENNAI TAWA BEEF"/>
    <m/>
    <m/>
    <m/>
    <m/>
    <m/>
    <m/>
    <m/>
  </r>
  <r>
    <d v="2025-11-25T00:00:00"/>
    <s v="INV-1128"/>
    <x v="2"/>
    <n v="160"/>
    <m/>
    <s v="SUPPLAYKART"/>
    <m/>
    <m/>
    <m/>
    <m/>
    <m/>
    <m/>
    <m/>
  </r>
  <r>
    <d v="2025-11-25T00:00:00"/>
    <s v="INV-1129"/>
    <x v="2"/>
    <n v="1350"/>
    <m/>
    <s v="Habil Sahib"/>
    <m/>
    <m/>
    <m/>
    <m/>
    <m/>
    <m/>
    <m/>
  </r>
  <r>
    <d v="2025-11-25T00:00:00"/>
    <s v="INV-1130"/>
    <x v="2"/>
    <n v="320"/>
    <m/>
    <s v="AMEEN MASTER CHEF"/>
    <m/>
    <m/>
    <m/>
    <m/>
    <m/>
    <m/>
    <m/>
  </r>
  <r>
    <d v="2025-11-25T00:00:00"/>
    <m/>
    <x v="4"/>
    <m/>
    <n v="50"/>
    <m/>
    <m/>
    <m/>
    <m/>
    <m/>
    <m/>
    <m/>
    <m/>
  </r>
  <r>
    <d v="2025-11-25T00:00:00"/>
    <m/>
    <x v="7"/>
    <m/>
    <n v="100"/>
    <m/>
    <m/>
    <m/>
    <m/>
    <m/>
    <m/>
    <m/>
    <m/>
  </r>
  <r>
    <d v="2025-11-25T00:00:00"/>
    <m/>
    <x v="9"/>
    <m/>
    <n v="1000"/>
    <m/>
    <m/>
    <m/>
    <m/>
    <m/>
    <m/>
    <m/>
    <m/>
  </r>
  <r>
    <d v="2025-11-26T00:00:00"/>
    <s v="INV-1131"/>
    <x v="2"/>
    <n v="240"/>
    <m/>
    <s v="NOORDIN FOOD COURT"/>
    <m/>
    <m/>
    <m/>
    <m/>
    <m/>
    <m/>
    <m/>
  </r>
  <r>
    <d v="2025-11-26T00:00:00"/>
    <s v="INV-1132"/>
    <x v="2"/>
    <n v="480"/>
    <m/>
    <s v="HOTEL BISMI"/>
    <m/>
    <m/>
    <m/>
    <m/>
    <m/>
    <m/>
    <m/>
  </r>
  <r>
    <d v="2025-11-26T00:00:00"/>
    <s v="INV-1133"/>
    <x v="2"/>
    <n v="60"/>
    <m/>
    <s v="CASH"/>
    <m/>
    <m/>
    <m/>
    <m/>
    <m/>
    <m/>
    <m/>
  </r>
  <r>
    <d v="2025-11-26T00:00:00"/>
    <s v="INV-1134"/>
    <x v="2"/>
    <n v="200"/>
    <m/>
    <s v="MARAIKAR SHOP"/>
    <m/>
    <m/>
    <m/>
    <m/>
    <m/>
    <m/>
    <m/>
  </r>
  <r>
    <d v="2025-11-26T00:00:00"/>
    <s v="INV-1135"/>
    <x v="2"/>
    <n v="750"/>
    <m/>
    <s v="AMEEN MASTER CHEF"/>
    <m/>
    <m/>
    <m/>
    <m/>
    <m/>
    <m/>
    <m/>
  </r>
  <r>
    <d v="2025-11-26T00:00:00"/>
    <s v="INV-1136"/>
    <x v="2"/>
    <n v="6000"/>
    <m/>
    <s v="RILUWAN(NAGORE)"/>
    <m/>
    <m/>
    <m/>
    <m/>
    <m/>
    <m/>
    <m/>
  </r>
  <r>
    <d v="2025-11-26T00:00:00"/>
    <s v="INV-1137"/>
    <x v="2"/>
    <n v="170"/>
    <m/>
    <s v="NFS DELIVERY"/>
    <m/>
    <m/>
    <m/>
    <m/>
    <m/>
    <m/>
    <m/>
  </r>
  <r>
    <d v="2025-11-26T00:00:00"/>
    <s v="INV-1138"/>
    <x v="2"/>
    <n v="80"/>
    <m/>
    <s v="SUPPLAYKART"/>
    <m/>
    <m/>
    <m/>
    <m/>
    <m/>
    <m/>
    <m/>
  </r>
  <r>
    <d v="2025-11-26T00:00:00"/>
    <s v="INV-1139"/>
    <x v="2"/>
    <n v="1350"/>
    <m/>
    <s v="Habil Sahib"/>
    <m/>
    <m/>
    <m/>
    <m/>
    <m/>
    <m/>
    <m/>
  </r>
  <r>
    <d v="2025-11-26T00:00:00"/>
    <m/>
    <x v="4"/>
    <m/>
    <n v="50"/>
    <m/>
    <m/>
    <m/>
    <m/>
    <m/>
    <m/>
    <m/>
    <m/>
  </r>
  <r>
    <d v="2025-11-27T00:00:00"/>
    <s v="INV-1140"/>
    <x v="2"/>
    <n v="160"/>
    <m/>
    <s v="NOORDIN FOOD COURT"/>
    <m/>
    <m/>
    <m/>
    <m/>
    <m/>
    <m/>
    <m/>
  </r>
  <r>
    <d v="2025-11-27T00:00:00"/>
    <s v="INV-1141"/>
    <x v="2"/>
    <n v="320"/>
    <m/>
    <s v="HOTEL BISMI"/>
    <m/>
    <m/>
    <m/>
    <m/>
    <m/>
    <m/>
    <m/>
  </r>
  <r>
    <d v="2025-11-27T00:00:00"/>
    <s v="INV-1142"/>
    <x v="2"/>
    <n v="1350"/>
    <m/>
    <s v="Habil Sahib"/>
    <m/>
    <m/>
    <m/>
    <m/>
    <m/>
    <m/>
    <m/>
  </r>
  <r>
    <d v="2025-11-27T00:00:00"/>
    <s v="INV-1143"/>
    <x v="2"/>
    <n v="2250"/>
    <m/>
    <s v="HASSIM CATERING"/>
    <m/>
    <m/>
    <m/>
    <m/>
    <m/>
    <m/>
    <m/>
  </r>
  <r>
    <d v="2025-11-27T00:00:00"/>
    <s v="INV-1144"/>
    <x v="2"/>
    <n v="90"/>
    <m/>
    <s v="CASH"/>
    <m/>
    <m/>
    <m/>
    <m/>
    <m/>
    <m/>
    <m/>
  </r>
  <r>
    <d v="2025-11-27T00:00:00"/>
    <m/>
    <x v="8"/>
    <m/>
    <n v="300"/>
    <m/>
    <m/>
    <m/>
    <m/>
    <m/>
    <m/>
    <m/>
    <m/>
  </r>
  <r>
    <d v="2025-11-27T00:00:00"/>
    <m/>
    <x v="4"/>
    <m/>
    <n v="50"/>
    <m/>
    <m/>
    <m/>
    <m/>
    <m/>
    <m/>
    <m/>
    <m/>
  </r>
  <r>
    <d v="2025-11-27T00:00:00"/>
    <m/>
    <x v="15"/>
    <m/>
    <n v="110"/>
    <m/>
    <m/>
    <m/>
    <m/>
    <m/>
    <m/>
    <m/>
    <m/>
  </r>
  <r>
    <d v="2025-11-28T00:00:00"/>
    <s v="INV-1145"/>
    <x v="2"/>
    <n v="240"/>
    <m/>
    <s v="NOORDIN FOOD COURT"/>
    <m/>
    <m/>
    <m/>
    <m/>
    <m/>
    <m/>
    <m/>
  </r>
  <r>
    <d v="2025-11-28T00:00:00"/>
    <s v="INV-1146"/>
    <x v="2"/>
    <n v="320"/>
    <m/>
    <s v="HOTEL BISMI"/>
    <m/>
    <m/>
    <m/>
    <m/>
    <m/>
    <m/>
    <m/>
  </r>
  <r>
    <d v="2025-11-28T00:00:00"/>
    <s v="INV-1147"/>
    <x v="2"/>
    <n v="170"/>
    <m/>
    <s v="NFS DELIVERY"/>
    <m/>
    <m/>
    <m/>
    <m/>
    <m/>
    <m/>
    <m/>
  </r>
  <r>
    <d v="2025-11-28T00:00:00"/>
    <s v="INV-1148"/>
    <x v="2"/>
    <n v="1350"/>
    <m/>
    <s v="Habil Sahib"/>
    <m/>
    <m/>
    <m/>
    <m/>
    <m/>
    <m/>
    <m/>
  </r>
  <r>
    <d v="2025-11-28T00:00:00"/>
    <s v="INV-1149"/>
    <x v="2"/>
    <n v="430"/>
    <m/>
    <s v="CASH"/>
    <m/>
    <m/>
    <m/>
    <m/>
    <m/>
    <m/>
    <m/>
  </r>
  <r>
    <d v="2025-11-28T00:00:00"/>
    <s v="INV-1150"/>
    <x v="2"/>
    <n v="750"/>
    <m/>
    <s v="HASSIM CATERING"/>
    <m/>
    <m/>
    <m/>
    <m/>
    <m/>
    <m/>
    <m/>
  </r>
  <r>
    <d v="2025-11-28T00:00:00"/>
    <s v="INV-1151"/>
    <x v="2"/>
    <n v="1600"/>
    <m/>
    <s v="AL AZEEM CATERS &amp; RESTAURANT"/>
    <m/>
    <m/>
    <m/>
    <m/>
    <m/>
    <m/>
    <m/>
  </r>
  <r>
    <d v="2025-11-28T00:00:00"/>
    <m/>
    <x v="4"/>
    <m/>
    <n v="50"/>
    <m/>
    <m/>
    <m/>
    <m/>
    <m/>
    <m/>
    <m/>
    <m/>
  </r>
  <r>
    <d v="2025-11-29T00:00:00"/>
    <s v="INV-1152"/>
    <x v="2"/>
    <n v="1990"/>
    <m/>
    <s v="NFS DELIVERY"/>
    <m/>
    <m/>
    <m/>
    <m/>
    <m/>
    <m/>
    <m/>
  </r>
  <r>
    <d v="2025-11-29T00:00:00"/>
    <s v="INV-1153"/>
    <x v="2"/>
    <n v="2570"/>
    <m/>
    <s v="Riyas Bandari"/>
    <m/>
    <m/>
    <m/>
    <m/>
    <m/>
    <m/>
    <m/>
  </r>
  <r>
    <d v="2025-11-29T00:00:00"/>
    <s v="INV-1154"/>
    <x v="2"/>
    <n v="3600"/>
    <m/>
    <s v="Habil Sahib"/>
    <m/>
    <m/>
    <m/>
    <m/>
    <m/>
    <m/>
    <m/>
  </r>
  <r>
    <d v="2025-11-29T00:00:00"/>
    <s v="INV-1155"/>
    <x v="2"/>
    <n v="225"/>
    <m/>
    <s v="AMEEN MASTER CHEF"/>
    <m/>
    <m/>
    <m/>
    <m/>
    <m/>
    <m/>
    <m/>
  </r>
  <r>
    <d v="2025-11-29T00:00:00"/>
    <s v="INV-1156"/>
    <x v="2"/>
    <n v="480"/>
    <m/>
    <s v="HOTEL BISMI"/>
    <m/>
    <m/>
    <m/>
    <m/>
    <m/>
    <m/>
    <m/>
  </r>
  <r>
    <d v="2025-11-29T00:00:00"/>
    <s v="INV-1157"/>
    <x v="2"/>
    <n v="240"/>
    <m/>
    <s v="BURHAAN"/>
    <m/>
    <m/>
    <m/>
    <m/>
    <m/>
    <m/>
    <m/>
  </r>
  <r>
    <d v="2025-11-29T00:00:00"/>
    <m/>
    <x v="4"/>
    <m/>
    <n v="50"/>
    <m/>
    <m/>
    <m/>
    <m/>
    <m/>
    <m/>
    <m/>
    <m/>
  </r>
  <r>
    <d v="2025-11-30T00:00:00"/>
    <s v="INV-1158"/>
    <x v="2"/>
    <n v="320"/>
    <m/>
    <s v="MALAYSIAN FAST FOOD"/>
    <m/>
    <m/>
    <m/>
    <m/>
    <m/>
    <m/>
    <m/>
  </r>
  <r>
    <d v="2025-11-30T00:00:00"/>
    <s v="INV-1159"/>
    <x v="2"/>
    <n v="320"/>
    <m/>
    <s v="HOTEL ANAS"/>
    <m/>
    <m/>
    <m/>
    <m/>
    <m/>
    <m/>
    <m/>
  </r>
  <r>
    <d v="2025-11-30T00:00:00"/>
    <s v="INV-1160"/>
    <x v="2"/>
    <n v="320"/>
    <m/>
    <s v="SUPPLAYKART"/>
    <m/>
    <m/>
    <m/>
    <m/>
    <m/>
    <m/>
    <m/>
  </r>
  <r>
    <d v="2025-11-30T00:00:00"/>
    <s v="INV-1161"/>
    <x v="2"/>
    <n v="160"/>
    <m/>
    <s v="RR mini mart"/>
    <m/>
    <m/>
    <m/>
    <m/>
    <m/>
    <m/>
    <m/>
  </r>
  <r>
    <d v="2025-11-30T00:00:00"/>
    <s v="INV-1162"/>
    <x v="2"/>
    <n v="4050"/>
    <m/>
    <s v="Badhru Idli Kadai"/>
    <m/>
    <m/>
    <m/>
    <m/>
    <m/>
    <m/>
    <m/>
  </r>
  <r>
    <d v="2025-11-30T00:00:00"/>
    <s v="INV-1163"/>
    <x v="2"/>
    <n v="395"/>
    <m/>
    <s v="AMEEN MASTER CHEF"/>
    <m/>
    <m/>
    <m/>
    <m/>
    <m/>
    <m/>
    <m/>
  </r>
  <r>
    <d v="2025-11-30T00:00:00"/>
    <s v="INV-1164"/>
    <x v="2"/>
    <n v="1500"/>
    <m/>
    <s v="AL AZEEM CATERS &amp; RESTAURANT"/>
    <m/>
    <m/>
    <m/>
    <m/>
    <m/>
    <m/>
    <m/>
  </r>
  <r>
    <d v="2025-11-30T00:00:00"/>
    <m/>
    <x v="10"/>
    <m/>
    <n v="400"/>
    <m/>
    <m/>
    <m/>
    <m/>
    <m/>
    <m/>
    <m/>
    <m/>
  </r>
  <r>
    <d v="2025-11-30T00:00:00"/>
    <m/>
    <x v="3"/>
    <m/>
    <n v="1300"/>
    <m/>
    <m/>
    <m/>
    <m/>
    <m/>
    <m/>
    <m/>
    <s v="Siva Malar"/>
  </r>
  <r>
    <d v="2025-11-30T00:00:00"/>
    <m/>
    <x v="3"/>
    <m/>
    <n v="5000"/>
    <m/>
    <m/>
    <m/>
    <m/>
    <m/>
    <m/>
    <m/>
    <s v="Saranya"/>
  </r>
  <r>
    <d v="2025-11-30T00:00:00"/>
    <m/>
    <x v="3"/>
    <m/>
    <n v="10000"/>
    <m/>
    <m/>
    <m/>
    <m/>
    <m/>
    <m/>
    <m/>
    <s v="Ashiq"/>
  </r>
</pivotCacheRecords>
</file>

<file path=xl/pivotCache/pivotCacheRecords20.xml><?xml version="1.0" encoding="utf-8"?>
<pivotCacheRecords xmlns="http://schemas.openxmlformats.org/spreadsheetml/2006/main" xmlns:r="http://schemas.openxmlformats.org/officeDocument/2006/relationships" count="143">
  <r>
    <m/>
    <m/>
    <x v="0"/>
    <n v="60995.5"/>
    <m/>
    <m/>
    <m/>
    <m/>
    <m/>
    <m/>
    <m/>
    <m/>
    <m/>
  </r>
  <r>
    <d v="2025-12-01T00:00:00"/>
    <s v="INV-1165"/>
    <x v="1"/>
    <n v="1280"/>
    <m/>
    <s v="HOTEL BISMI"/>
    <m/>
    <m/>
    <m/>
    <m/>
    <m/>
    <m/>
    <m/>
  </r>
  <r>
    <d v="2025-12-01T00:00:00"/>
    <s v="INV-1166"/>
    <x v="1"/>
    <n v="320"/>
    <m/>
    <s v="SAHABUDEEN"/>
    <m/>
    <m/>
    <m/>
    <m/>
    <m/>
    <m/>
    <m/>
  </r>
  <r>
    <d v="2025-12-01T00:00:00"/>
    <s v="INV-1167"/>
    <x v="1"/>
    <n v="800"/>
    <m/>
    <s v="CHENNAI TAWA BEEF"/>
    <m/>
    <m/>
    <m/>
    <m/>
    <m/>
    <m/>
    <m/>
  </r>
  <r>
    <d v="2025-12-01T00:00:00"/>
    <s v="INV-1168"/>
    <x v="1"/>
    <n v="160"/>
    <m/>
    <s v="NOORDIN FOOD COURT"/>
    <m/>
    <m/>
    <m/>
    <m/>
    <m/>
    <m/>
    <m/>
  </r>
  <r>
    <d v="2025-12-01T00:00:00"/>
    <s v="INV-1169"/>
    <x v="1"/>
    <n v="300"/>
    <m/>
    <s v="HASSAN"/>
    <m/>
    <m/>
    <m/>
    <m/>
    <m/>
    <m/>
    <m/>
  </r>
  <r>
    <d v="2025-12-01T00:00:00"/>
    <s v="INV-1170"/>
    <x v="1"/>
    <n v="2250"/>
    <m/>
    <s v="LE ROYAL MANDI"/>
    <m/>
    <m/>
    <m/>
    <m/>
    <m/>
    <m/>
    <m/>
  </r>
  <r>
    <d v="2025-12-01T00:00:00"/>
    <s v="INV-1171"/>
    <x v="1"/>
    <n v="90"/>
    <m/>
    <s v="Cash"/>
    <m/>
    <m/>
    <m/>
    <m/>
    <m/>
    <m/>
    <m/>
  </r>
  <r>
    <d v="2025-12-01T00:00:00"/>
    <s v="INV-1172"/>
    <x v="1"/>
    <n v="170"/>
    <m/>
    <s v="NFS DELIVERY"/>
    <m/>
    <m/>
    <m/>
    <m/>
    <m/>
    <m/>
    <m/>
  </r>
  <r>
    <d v="2025-12-01T00:00:00"/>
    <s v="INV-1173"/>
    <x v="1"/>
    <n v="160"/>
    <m/>
    <s v="BURHAAN"/>
    <m/>
    <m/>
    <m/>
    <m/>
    <m/>
    <m/>
    <m/>
  </r>
  <r>
    <d v="2025-12-01T00:00:00"/>
    <s v="INV-1174"/>
    <x v="1"/>
    <n v="640"/>
    <m/>
    <s v="HALIDH COOK"/>
    <m/>
    <m/>
    <m/>
    <m/>
    <m/>
    <m/>
    <m/>
  </r>
  <r>
    <d v="2025-12-01T00:00:00"/>
    <s v="INV-1175"/>
    <x v="1"/>
    <n v="1500"/>
    <m/>
    <s v="HASSIM CATERING"/>
    <m/>
    <m/>
    <m/>
    <m/>
    <m/>
    <m/>
    <m/>
  </r>
  <r>
    <d v="2025-12-01T00:00:00"/>
    <m/>
    <x v="2"/>
    <m/>
    <n v="30"/>
    <m/>
    <m/>
    <m/>
    <m/>
    <m/>
    <m/>
    <m/>
    <s v="Bike Repair"/>
  </r>
  <r>
    <d v="2025-12-01T00:00:00"/>
    <m/>
    <x v="3"/>
    <m/>
    <n v="160"/>
    <m/>
    <m/>
    <m/>
    <m/>
    <m/>
    <m/>
    <m/>
    <m/>
  </r>
  <r>
    <d v="2025-12-01T00:00:00"/>
    <m/>
    <x v="2"/>
    <m/>
    <n v="50"/>
    <m/>
    <m/>
    <m/>
    <m/>
    <m/>
    <m/>
    <m/>
    <m/>
  </r>
  <r>
    <d v="2025-12-01T00:00:00"/>
    <m/>
    <x v="4"/>
    <m/>
    <n v="430"/>
    <m/>
    <m/>
    <m/>
    <m/>
    <m/>
    <m/>
    <m/>
    <m/>
  </r>
  <r>
    <d v="2025-12-02T00:00:00"/>
    <m/>
    <x v="5"/>
    <m/>
    <n v="3400"/>
    <m/>
    <s v="Old Ginger"/>
    <n v="68"/>
    <m/>
    <n v="50"/>
    <s v="Jakakodi Traders"/>
    <m/>
    <m/>
  </r>
  <r>
    <d v="2025-12-02T00:00:00"/>
    <m/>
    <x v="6"/>
    <m/>
    <n v="500"/>
    <m/>
    <m/>
    <m/>
    <m/>
    <m/>
    <m/>
    <m/>
    <s v="Saranya Salary advance"/>
  </r>
  <r>
    <d v="2025-12-02T00:00:00"/>
    <s v="INV-1176"/>
    <x v="1"/>
    <n v="1500"/>
    <m/>
    <s v="ARAFA RESTAURANT"/>
    <m/>
    <m/>
    <m/>
    <m/>
    <m/>
    <m/>
    <m/>
  </r>
  <r>
    <d v="2025-12-02T00:00:00"/>
    <s v="INV-1177"/>
    <x v="1"/>
    <n v="260"/>
    <m/>
    <s v="Cash"/>
    <m/>
    <m/>
    <m/>
    <m/>
    <m/>
    <m/>
    <m/>
  </r>
  <r>
    <d v="2025-12-02T00:00:00"/>
    <s v="INV-1178"/>
    <x v="1"/>
    <n v="240"/>
    <m/>
    <s v="NOORDIN FOOD COURT"/>
    <m/>
    <m/>
    <m/>
    <m/>
    <m/>
    <m/>
    <m/>
  </r>
  <r>
    <d v="2025-12-02T00:00:00"/>
    <s v="INV-1179"/>
    <x v="1"/>
    <n v="160"/>
    <m/>
    <s v="RR MINI MART"/>
    <m/>
    <m/>
    <m/>
    <m/>
    <m/>
    <m/>
    <m/>
  </r>
  <r>
    <d v="2025-12-02T00:00:00"/>
    <s v="INV-1180"/>
    <x v="1"/>
    <n v="320"/>
    <m/>
    <s v="HOTEL BISMI"/>
    <m/>
    <m/>
    <m/>
    <m/>
    <m/>
    <m/>
    <m/>
  </r>
  <r>
    <d v="2025-12-02T00:00:00"/>
    <s v="INV-1181"/>
    <x v="1"/>
    <n v="750"/>
    <m/>
    <s v="AR RAHIM HOTEL"/>
    <m/>
    <m/>
    <m/>
    <m/>
    <m/>
    <m/>
    <m/>
  </r>
  <r>
    <d v="2025-12-02T00:00:00"/>
    <s v="INV-1182"/>
    <x v="1"/>
    <n v="160"/>
    <m/>
    <s v="SUPPLAYKART"/>
    <m/>
    <m/>
    <m/>
    <m/>
    <m/>
    <m/>
    <m/>
  </r>
  <r>
    <d v="2025-12-02T00:00:00"/>
    <s v="INV-1183"/>
    <x v="1"/>
    <n v="320"/>
    <m/>
    <s v="BURHAAN"/>
    <m/>
    <m/>
    <m/>
    <m/>
    <m/>
    <m/>
    <m/>
  </r>
  <r>
    <d v="2025-12-02T00:00:00"/>
    <s v="INV-1184"/>
    <x v="1"/>
    <n v="750"/>
    <m/>
    <s v="HASSIM CATERING"/>
    <m/>
    <m/>
    <m/>
    <m/>
    <m/>
    <m/>
    <m/>
  </r>
  <r>
    <d v="2025-12-02T00:00:00"/>
    <s v="INV-1185"/>
    <x v="1"/>
    <n v="750"/>
    <m/>
    <s v="AMEEN MASTER CHEF"/>
    <m/>
    <m/>
    <m/>
    <m/>
    <m/>
    <m/>
    <m/>
  </r>
  <r>
    <d v="2025-12-02T00:00:00"/>
    <m/>
    <x v="2"/>
    <m/>
    <n v="50"/>
    <m/>
    <m/>
    <m/>
    <m/>
    <m/>
    <m/>
    <m/>
    <m/>
  </r>
  <r>
    <d v="2025-12-03T00:00:00"/>
    <s v="INV-1186"/>
    <x v="1"/>
    <n v="750"/>
    <m/>
    <s v="AMEEN MASTER CHEF"/>
    <m/>
    <m/>
    <m/>
    <m/>
    <m/>
    <m/>
    <m/>
  </r>
  <r>
    <d v="2025-12-03T00:00:00"/>
    <s v="INV-1187"/>
    <x v="1"/>
    <n v="320"/>
    <m/>
    <s v="HOTEL BISMI"/>
    <m/>
    <m/>
    <m/>
    <m/>
    <m/>
    <m/>
    <m/>
  </r>
  <r>
    <d v="2025-12-03T00:00:00"/>
    <s v="INV-1188"/>
    <x v="1"/>
    <n v="320"/>
    <m/>
    <s v="MALAYSIAN FAST FOOD"/>
    <m/>
    <m/>
    <m/>
    <m/>
    <m/>
    <m/>
    <m/>
  </r>
  <r>
    <d v="2025-12-03T00:00:00"/>
    <s v="INV-1189"/>
    <x v="1"/>
    <n v="340"/>
    <m/>
    <s v="NFS DELIVERY"/>
    <m/>
    <m/>
    <m/>
    <m/>
    <m/>
    <m/>
    <m/>
  </r>
  <r>
    <d v="2025-12-03T00:00:00"/>
    <s v="INV-1190"/>
    <x v="1"/>
    <n v="1500"/>
    <m/>
    <s v="HASSIM CATERING"/>
    <m/>
    <m/>
    <m/>
    <m/>
    <m/>
    <m/>
    <m/>
  </r>
  <r>
    <d v="2025-12-03T00:00:00"/>
    <s v="INV-1191"/>
    <x v="1"/>
    <n v="1350"/>
    <m/>
    <s v="HABIL SAHIB"/>
    <m/>
    <m/>
    <m/>
    <m/>
    <m/>
    <m/>
    <m/>
  </r>
  <r>
    <d v="2025-12-03T00:00:00"/>
    <s v="INV-1192"/>
    <x v="1"/>
    <n v="220"/>
    <m/>
    <s v="NOORDIN FOOD COURT"/>
    <m/>
    <m/>
    <m/>
    <m/>
    <m/>
    <m/>
    <m/>
  </r>
  <r>
    <d v="2025-12-03T00:00:00"/>
    <s v="INV-1193"/>
    <x v="1"/>
    <n v="150"/>
    <m/>
    <s v="HASSAN"/>
    <m/>
    <m/>
    <m/>
    <m/>
    <m/>
    <m/>
    <m/>
  </r>
  <r>
    <d v="2025-12-03T00:00:00"/>
    <s v="INV-1194"/>
    <x v="1"/>
    <n v="1600"/>
    <m/>
    <s v="AL AZEEM CATERS &amp; RESTAURANT"/>
    <m/>
    <m/>
    <m/>
    <m/>
    <m/>
    <m/>
    <m/>
  </r>
  <r>
    <d v="2025-12-03T00:00:00"/>
    <m/>
    <x v="7"/>
    <m/>
    <n v="50"/>
    <m/>
    <m/>
    <m/>
    <m/>
    <m/>
    <m/>
    <m/>
    <m/>
  </r>
  <r>
    <d v="2025-12-03T00:00:00"/>
    <m/>
    <x v="8"/>
    <m/>
    <n v="30"/>
    <m/>
    <m/>
    <m/>
    <m/>
    <m/>
    <m/>
    <m/>
    <m/>
  </r>
  <r>
    <d v="2025-12-03T00:00:00"/>
    <m/>
    <x v="2"/>
    <m/>
    <n v="50"/>
    <m/>
    <m/>
    <m/>
    <m/>
    <m/>
    <m/>
    <m/>
    <m/>
  </r>
  <r>
    <d v="2025-12-04T00:00:00"/>
    <s v="INV-1195"/>
    <x v="1"/>
    <n v="160"/>
    <m/>
    <s v="NOORDIN FOOD COURT"/>
    <m/>
    <m/>
    <m/>
    <m/>
    <m/>
    <m/>
    <m/>
  </r>
  <r>
    <d v="2025-12-04T00:00:00"/>
    <s v="INV-1196"/>
    <x v="1"/>
    <n v="320"/>
    <m/>
    <s v="HOTEL BISMI"/>
    <m/>
    <m/>
    <m/>
    <m/>
    <m/>
    <m/>
    <m/>
  </r>
  <r>
    <d v="2025-12-04T00:00:00"/>
    <s v="INV-1197"/>
    <x v="1"/>
    <n v="80"/>
    <m/>
    <s v="SUPPLAYKART"/>
    <m/>
    <m/>
    <m/>
    <m/>
    <m/>
    <m/>
    <m/>
  </r>
  <r>
    <d v="2025-12-04T00:00:00"/>
    <s v="INV-1198"/>
    <x v="1"/>
    <n v="160"/>
    <m/>
    <s v="FAIZAL NAGAI"/>
    <m/>
    <m/>
    <m/>
    <m/>
    <m/>
    <m/>
    <m/>
  </r>
  <r>
    <d v="2025-12-04T00:00:00"/>
    <s v="INV-1199"/>
    <x v="1"/>
    <n v="340"/>
    <m/>
    <s v="Cash"/>
    <m/>
    <m/>
    <m/>
    <m/>
    <m/>
    <m/>
    <m/>
  </r>
  <r>
    <d v="2025-12-04T00:00:00"/>
    <s v="INV-1200"/>
    <x v="1"/>
    <n v="160"/>
    <m/>
    <s v="HOTEL ANAS"/>
    <m/>
    <m/>
    <m/>
    <m/>
    <m/>
    <m/>
    <m/>
  </r>
  <r>
    <d v="2025-12-04T00:00:00"/>
    <s v="INV-1201"/>
    <x v="1"/>
    <n v="3000"/>
    <m/>
    <s v="HASSIM CATERING"/>
    <m/>
    <m/>
    <m/>
    <m/>
    <m/>
    <m/>
    <m/>
  </r>
  <r>
    <d v="2025-12-04T00:00:00"/>
    <s v="INV-1202"/>
    <x v="1"/>
    <n v="750"/>
    <m/>
    <s v="AR RAHIM HOTEL"/>
    <m/>
    <m/>
    <m/>
    <m/>
    <m/>
    <m/>
    <m/>
  </r>
  <r>
    <d v="2025-12-04T00:00:00"/>
    <m/>
    <x v="2"/>
    <m/>
    <n v="50"/>
    <m/>
    <m/>
    <m/>
    <m/>
    <m/>
    <m/>
    <m/>
    <m/>
  </r>
  <r>
    <d v="2025-12-05T00:00:00"/>
    <s v="INV-1203"/>
    <x v="1"/>
    <n v="3000"/>
    <m/>
    <s v="HASSIM CATERING"/>
    <m/>
    <m/>
    <m/>
    <m/>
    <m/>
    <m/>
    <m/>
  </r>
  <r>
    <d v="2025-12-05T00:00:00"/>
    <s v="INV-1204"/>
    <x v="1"/>
    <n v="340"/>
    <m/>
    <s v="NFS DELIVERY"/>
    <m/>
    <m/>
    <m/>
    <m/>
    <m/>
    <m/>
    <m/>
  </r>
  <r>
    <d v="2025-12-05T00:00:00"/>
    <s v="INV-1205"/>
    <x v="1"/>
    <n v="160"/>
    <m/>
    <s v="NOORDIN FOOD COURT"/>
    <m/>
    <m/>
    <m/>
    <m/>
    <m/>
    <m/>
    <m/>
  </r>
  <r>
    <d v="2025-12-05T00:00:00"/>
    <s v="INV-1206"/>
    <x v="1"/>
    <n v="320"/>
    <m/>
    <s v="HOTEL BISMI"/>
    <m/>
    <m/>
    <m/>
    <m/>
    <m/>
    <m/>
    <m/>
  </r>
  <r>
    <d v="2025-12-05T00:00:00"/>
    <s v="INV-1207"/>
    <x v="1"/>
    <n v="80"/>
    <m/>
    <s v="FAIZAL NAGAI"/>
    <m/>
    <m/>
    <m/>
    <m/>
    <m/>
    <m/>
    <m/>
  </r>
  <r>
    <d v="2025-12-05T00:00:00"/>
    <s v="INV-1208"/>
    <x v="1"/>
    <n v="3000"/>
    <m/>
    <s v="HABEEB"/>
    <m/>
    <m/>
    <m/>
    <m/>
    <m/>
    <m/>
    <m/>
  </r>
  <r>
    <d v="2025-12-05T00:00:00"/>
    <s v="INV-1209"/>
    <x v="1"/>
    <n v="750"/>
    <m/>
    <s v="AR RAHIM HOTEL"/>
    <m/>
    <m/>
    <m/>
    <m/>
    <m/>
    <m/>
    <m/>
  </r>
  <r>
    <d v="2025-12-05T00:00:00"/>
    <s v="INV-1210"/>
    <x v="1"/>
    <n v="510"/>
    <m/>
    <s v="NFS DELIVERY"/>
    <m/>
    <m/>
    <m/>
    <m/>
    <m/>
    <m/>
    <m/>
  </r>
  <r>
    <d v="2025-12-05T00:00:00"/>
    <s v="INV-1211"/>
    <x v="1"/>
    <n v="1600"/>
    <m/>
    <s v="AL AZEEM CATERS &amp; RESTAURANT"/>
    <m/>
    <m/>
    <m/>
    <m/>
    <m/>
    <m/>
    <m/>
  </r>
  <r>
    <d v="2025-12-05T00:00:00"/>
    <m/>
    <x v="9"/>
    <m/>
    <n v="9000"/>
    <m/>
    <m/>
    <m/>
    <m/>
    <m/>
    <m/>
    <m/>
    <m/>
  </r>
  <r>
    <d v="2025-12-05T00:00:00"/>
    <m/>
    <x v="10"/>
    <m/>
    <n v="400"/>
    <m/>
    <m/>
    <m/>
    <m/>
    <m/>
    <m/>
    <m/>
    <m/>
  </r>
  <r>
    <d v="2025-12-06T00:00:00"/>
    <m/>
    <x v="6"/>
    <m/>
    <n v="5000"/>
    <m/>
    <m/>
    <m/>
    <m/>
    <m/>
    <m/>
    <m/>
    <s v="Saranya Salary advance"/>
  </r>
  <r>
    <d v="2025-12-06T00:00:00"/>
    <m/>
    <x v="5"/>
    <m/>
    <n v="3500"/>
    <m/>
    <s v="Old Ginger"/>
    <n v="70"/>
    <m/>
    <n v="50"/>
    <s v="Jakakodi Traders"/>
    <m/>
    <m/>
  </r>
  <r>
    <d v="2025-12-06T00:00:00"/>
    <s v="INV-1212"/>
    <x v="1"/>
    <n v="400"/>
    <m/>
    <s v="NOORDIN FOOD COURT"/>
    <m/>
    <m/>
    <m/>
    <m/>
    <m/>
    <m/>
    <m/>
  </r>
  <r>
    <d v="2025-12-06T00:00:00"/>
    <s v="INV-1213"/>
    <x v="1"/>
    <n v="1500"/>
    <m/>
    <s v="AR RAHIM HOTEL"/>
    <m/>
    <m/>
    <m/>
    <m/>
    <m/>
    <m/>
    <m/>
  </r>
  <r>
    <d v="2025-12-06T00:00:00"/>
    <s v="INV-1214"/>
    <x v="1"/>
    <n v="800"/>
    <m/>
    <s v="HOTEL BISMI"/>
    <m/>
    <m/>
    <m/>
    <m/>
    <m/>
    <m/>
    <m/>
  </r>
  <r>
    <d v="2025-12-06T00:00:00"/>
    <s v="INV-1215"/>
    <x v="1"/>
    <n v="2880"/>
    <m/>
    <s v="NFS DELIVERY"/>
    <m/>
    <m/>
    <m/>
    <m/>
    <m/>
    <m/>
    <m/>
  </r>
  <r>
    <d v="2025-12-06T00:00:00"/>
    <s v="INV-1216"/>
    <x v="1"/>
    <n v="600"/>
    <m/>
    <s v="YA SALAAM"/>
    <m/>
    <m/>
    <m/>
    <m/>
    <m/>
    <m/>
    <m/>
  </r>
  <r>
    <d v="2025-12-06T00:00:00"/>
    <s v="INV-1217"/>
    <x v="1"/>
    <n v="720"/>
    <m/>
    <s v="Cash"/>
    <m/>
    <m/>
    <m/>
    <m/>
    <m/>
    <m/>
    <m/>
  </r>
  <r>
    <d v="2025-12-06T00:00:00"/>
    <s v="INV-1218"/>
    <x v="1"/>
    <n v="480"/>
    <m/>
    <s v="AMEEN MASTER CHEF"/>
    <m/>
    <m/>
    <m/>
    <m/>
    <m/>
    <m/>
    <m/>
  </r>
  <r>
    <d v="2025-12-06T00:00:00"/>
    <s v="INV-1219"/>
    <x v="1"/>
    <n v="240"/>
    <m/>
    <s v="ANDREW COOK"/>
    <m/>
    <m/>
    <m/>
    <m/>
    <m/>
    <m/>
    <m/>
  </r>
  <r>
    <d v="2025-12-06T00:00:00"/>
    <m/>
    <x v="6"/>
    <m/>
    <n v="200"/>
    <m/>
    <m/>
    <m/>
    <m/>
    <m/>
    <m/>
    <m/>
    <m/>
  </r>
  <r>
    <d v="2025-12-06T00:00:00"/>
    <m/>
    <x v="4"/>
    <m/>
    <n v="160"/>
    <m/>
    <m/>
    <m/>
    <m/>
    <m/>
    <m/>
    <m/>
    <m/>
  </r>
  <r>
    <d v="2025-12-06T00:00:00"/>
    <m/>
    <x v="2"/>
    <m/>
    <n v="50"/>
    <m/>
    <m/>
    <m/>
    <m/>
    <m/>
    <m/>
    <m/>
    <m/>
  </r>
  <r>
    <d v="2025-12-06T00:00:00"/>
    <m/>
    <x v="8"/>
    <m/>
    <n v="80"/>
    <m/>
    <m/>
    <m/>
    <m/>
    <m/>
    <m/>
    <m/>
    <m/>
  </r>
  <r>
    <d v="2025-12-06T00:00:00"/>
    <s v="INV-1220"/>
    <x v="1"/>
    <n v="2000"/>
    <m/>
    <s v="RIYAS BANDARI"/>
    <m/>
    <m/>
    <m/>
    <m/>
    <m/>
    <m/>
    <m/>
  </r>
  <r>
    <d v="2025-12-06T00:00:00"/>
    <s v="INV-1221"/>
    <x v="1"/>
    <n v="1500"/>
    <m/>
    <s v="HASSIM CATERING"/>
    <m/>
    <m/>
    <m/>
    <m/>
    <m/>
    <m/>
    <m/>
  </r>
  <r>
    <d v="2025-12-06T00:00:00"/>
    <s v="INV-1222"/>
    <x v="1"/>
    <n v="1100"/>
    <m/>
    <s v="ANSARI"/>
    <m/>
    <m/>
    <m/>
    <m/>
    <m/>
    <m/>
    <m/>
  </r>
  <r>
    <d v="2025-12-07T00:00:00"/>
    <s v="INV-1223"/>
    <x v="1"/>
    <n v="320"/>
    <m/>
    <s v="MALAYSIAN FAST FOOD"/>
    <m/>
    <m/>
    <m/>
    <m/>
    <m/>
    <m/>
    <m/>
  </r>
  <r>
    <d v="2025-12-07T00:00:00"/>
    <s v="INV-1224"/>
    <x v="1"/>
    <n v="800"/>
    <m/>
    <s v="YOUSUF BANDARI"/>
    <m/>
    <m/>
    <m/>
    <m/>
    <m/>
    <m/>
    <m/>
  </r>
  <r>
    <d v="2025-12-07T00:00:00"/>
    <s v="INV-1225"/>
    <x v="1"/>
    <n v="800"/>
    <m/>
    <s v="ARAFA RESTAURANT"/>
    <m/>
    <m/>
    <m/>
    <m/>
    <m/>
    <m/>
    <m/>
  </r>
  <r>
    <d v="2025-12-07T00:00:00"/>
    <s v="INV-1226"/>
    <x v="1"/>
    <n v="750"/>
    <m/>
    <s v="AR RAHIM HOTEL"/>
    <m/>
    <m/>
    <m/>
    <m/>
    <m/>
    <m/>
    <m/>
  </r>
  <r>
    <d v="2025-12-07T00:00:00"/>
    <s v="INV-1227"/>
    <x v="1"/>
    <n v="220"/>
    <m/>
    <s v="Cash"/>
    <m/>
    <m/>
    <m/>
    <m/>
    <m/>
    <m/>
    <m/>
  </r>
  <r>
    <d v="2025-12-07T00:00:00"/>
    <m/>
    <x v="2"/>
    <m/>
    <n v="20"/>
    <m/>
    <m/>
    <m/>
    <m/>
    <m/>
    <m/>
    <m/>
    <m/>
  </r>
  <r>
    <d v="2025-12-08T00:00:00"/>
    <s v="INV-1228"/>
    <x v="1"/>
    <n v="180"/>
    <m/>
    <s v="Cash"/>
    <m/>
    <m/>
    <m/>
    <m/>
    <m/>
    <m/>
    <m/>
  </r>
  <r>
    <d v="2025-12-08T00:00:00"/>
    <s v="INV-1229"/>
    <x v="1"/>
    <n v="90"/>
    <m/>
    <s v="NFS DELIVERY"/>
    <m/>
    <m/>
    <m/>
    <m/>
    <m/>
    <m/>
    <m/>
  </r>
  <r>
    <d v="2025-12-08T00:00:00"/>
    <s v="INV-1230"/>
    <x v="1"/>
    <n v="320"/>
    <m/>
    <s v="HOTEL BISMI"/>
    <m/>
    <m/>
    <m/>
    <m/>
    <m/>
    <m/>
    <m/>
  </r>
  <r>
    <d v="2025-12-08T00:00:00"/>
    <s v="INV-1231"/>
    <x v="1"/>
    <n v="300"/>
    <m/>
    <s v="HABEEB"/>
    <m/>
    <m/>
    <m/>
    <m/>
    <m/>
    <m/>
    <m/>
  </r>
  <r>
    <d v="2025-12-08T00:00:00"/>
    <s v="INV-1232"/>
    <x v="1"/>
    <n v="750"/>
    <m/>
    <s v="HASSIM CATERING"/>
    <m/>
    <m/>
    <m/>
    <m/>
    <m/>
    <m/>
    <m/>
  </r>
  <r>
    <d v="2025-12-08T00:00:00"/>
    <s v="INV-1233"/>
    <x v="1"/>
    <n v="480"/>
    <m/>
    <s v="DARBAR CATERING"/>
    <m/>
    <m/>
    <m/>
    <m/>
    <m/>
    <m/>
    <m/>
  </r>
  <r>
    <d v="2025-12-08T00:00:00"/>
    <m/>
    <x v="6"/>
    <m/>
    <n v="150"/>
    <m/>
    <m/>
    <m/>
    <m/>
    <m/>
    <m/>
    <m/>
    <m/>
  </r>
  <r>
    <d v="2025-12-08T00:00:00"/>
    <m/>
    <x v="2"/>
    <m/>
    <n v="50"/>
    <m/>
    <m/>
    <m/>
    <m/>
    <m/>
    <m/>
    <m/>
    <m/>
  </r>
  <r>
    <d v="2025-12-08T00:00:00"/>
    <m/>
    <x v="3"/>
    <m/>
    <n v="160"/>
    <m/>
    <m/>
    <m/>
    <m/>
    <m/>
    <m/>
    <m/>
    <m/>
  </r>
  <r>
    <d v="2025-12-08T00:00:00"/>
    <m/>
    <x v="4"/>
    <m/>
    <n v="430"/>
    <m/>
    <m/>
    <m/>
    <m/>
    <m/>
    <m/>
    <m/>
    <m/>
  </r>
  <r>
    <d v="2025-12-09T00:00:00"/>
    <s v="INV-1234"/>
    <x v="1"/>
    <n v="4500"/>
    <m/>
    <s v="LE ROYAL MANDI"/>
    <m/>
    <m/>
    <m/>
    <m/>
    <m/>
    <m/>
    <m/>
  </r>
  <r>
    <d v="2025-12-09T00:00:00"/>
    <s v="INV-1235"/>
    <x v="1"/>
    <n v="200"/>
    <m/>
    <s v="ANSARI"/>
    <m/>
    <m/>
    <m/>
    <m/>
    <m/>
    <m/>
    <m/>
  </r>
  <r>
    <d v="2025-12-09T00:00:00"/>
    <s v="INV-1236"/>
    <x v="1"/>
    <n v="170"/>
    <m/>
    <s v="Cash"/>
    <m/>
    <m/>
    <m/>
    <m/>
    <m/>
    <m/>
    <m/>
  </r>
  <r>
    <d v="2025-12-09T00:00:00"/>
    <s v="INV-1237"/>
    <x v="1"/>
    <n v="750"/>
    <m/>
    <s v="AR RAHIM HOTEL"/>
    <m/>
    <m/>
    <m/>
    <m/>
    <m/>
    <m/>
    <m/>
  </r>
  <r>
    <d v="2025-12-09T00:00:00"/>
    <s v="INV-1238"/>
    <x v="1"/>
    <n v="5290"/>
    <m/>
    <s v="NFS DELIVERY"/>
    <m/>
    <m/>
    <m/>
    <m/>
    <m/>
    <m/>
    <m/>
  </r>
  <r>
    <d v="2025-12-09T00:00:00"/>
    <s v="INV-1239"/>
    <x v="1"/>
    <n v="2700"/>
    <m/>
    <s v="HABEEB"/>
    <m/>
    <m/>
    <m/>
    <m/>
    <m/>
    <m/>
    <m/>
  </r>
  <r>
    <d v="2025-12-09T00:00:00"/>
    <s v="INV-1240"/>
    <x v="1"/>
    <n v="1350"/>
    <m/>
    <s v="ARAFATH"/>
    <m/>
    <m/>
    <m/>
    <m/>
    <m/>
    <m/>
    <m/>
  </r>
  <r>
    <d v="2025-12-09T00:00:00"/>
    <m/>
    <x v="2"/>
    <m/>
    <n v="50"/>
    <m/>
    <m/>
    <m/>
    <m/>
    <m/>
    <m/>
    <m/>
    <m/>
  </r>
  <r>
    <d v="2025-12-10T00:00:00"/>
    <m/>
    <x v="5"/>
    <m/>
    <n v="3400"/>
    <m/>
    <s v="Old Ginger"/>
    <n v="68"/>
    <m/>
    <n v="50"/>
    <s v="Jakakodi Traders"/>
    <m/>
    <m/>
  </r>
  <r>
    <d v="2025-12-10T00:00:00"/>
    <s v="INV-1241"/>
    <x v="1"/>
    <n v="350"/>
    <m/>
    <s v="NFS DELIVERY"/>
    <m/>
    <m/>
    <m/>
    <m/>
    <m/>
    <m/>
    <m/>
  </r>
  <r>
    <d v="2025-12-10T00:00:00"/>
    <s v="INV-1242"/>
    <x v="1"/>
    <n v="600"/>
    <m/>
    <s v="AMEEN MASTER CHEF"/>
    <m/>
    <m/>
    <m/>
    <m/>
    <m/>
    <m/>
    <m/>
  </r>
  <r>
    <d v="2025-12-10T00:00:00"/>
    <s v="INV-1243"/>
    <x v="11"/>
    <m/>
    <m/>
    <m/>
    <m/>
    <m/>
    <m/>
    <m/>
    <m/>
    <m/>
    <m/>
  </r>
  <r>
    <d v="2025-12-10T00:00:00"/>
    <s v="INV-1244"/>
    <x v="1"/>
    <n v="320"/>
    <m/>
    <s v="HOTEL BISMI"/>
    <m/>
    <m/>
    <m/>
    <m/>
    <m/>
    <m/>
    <m/>
  </r>
  <r>
    <d v="2025-12-10T00:00:00"/>
    <s v="INV-1245"/>
    <x v="11"/>
    <m/>
    <m/>
    <m/>
    <m/>
    <m/>
    <m/>
    <m/>
    <m/>
    <m/>
    <m/>
  </r>
  <r>
    <d v="2025-12-10T00:00:00"/>
    <s v="INV-1246"/>
    <x v="1"/>
    <n v="90"/>
    <m/>
    <s v="Cash"/>
    <m/>
    <m/>
    <m/>
    <m/>
    <m/>
    <m/>
    <m/>
  </r>
  <r>
    <d v="2025-12-10T00:00:00"/>
    <s v="INV-1247"/>
    <x v="1"/>
    <n v="320"/>
    <m/>
    <s v="DARBAR CATERING"/>
    <m/>
    <m/>
    <m/>
    <m/>
    <m/>
    <m/>
    <m/>
  </r>
  <r>
    <d v="2025-12-10T00:00:00"/>
    <s v="INV-1248"/>
    <x v="1"/>
    <n v="1500"/>
    <m/>
    <s v="HASSIM CATERING"/>
    <m/>
    <m/>
    <m/>
    <m/>
    <m/>
    <m/>
    <m/>
  </r>
  <r>
    <d v="2025-12-10T00:00:00"/>
    <s v="INV-1249"/>
    <x v="1"/>
    <n v="750"/>
    <m/>
    <s v="AR RAHIM HOTEL"/>
    <m/>
    <m/>
    <m/>
    <m/>
    <m/>
    <m/>
    <m/>
  </r>
  <r>
    <d v="2025-12-10T00:00:00"/>
    <s v="INV-1250"/>
    <x v="1"/>
    <n v="1600"/>
    <m/>
    <s v="AL AZEEM CATERS &amp; RESTAURANT"/>
    <m/>
    <m/>
    <m/>
    <m/>
    <m/>
    <m/>
    <m/>
  </r>
  <r>
    <d v="2025-12-10T00:00:00"/>
    <m/>
    <x v="8"/>
    <m/>
    <n v="8500"/>
    <m/>
    <m/>
    <m/>
    <m/>
    <m/>
    <m/>
    <m/>
    <s v="Chennai Trip - Thoppi wappa"/>
  </r>
  <r>
    <d v="2025-12-10T00:00:00"/>
    <m/>
    <x v="2"/>
    <m/>
    <n v="50"/>
    <m/>
    <m/>
    <m/>
    <m/>
    <m/>
    <m/>
    <m/>
    <m/>
  </r>
  <r>
    <d v="2025-12-11T00:00:00"/>
    <m/>
    <x v="12"/>
    <m/>
    <n v="45300"/>
    <m/>
    <s v="Desi 3A"/>
    <n v="75"/>
    <n v="2400"/>
    <n v="42"/>
    <s v="SVG Garlics"/>
    <m/>
    <m/>
  </r>
  <r>
    <d v="2025-12-11T00:00:00"/>
    <m/>
    <x v="12"/>
    <m/>
    <m/>
    <m/>
    <s v="Desi 3A"/>
    <n v="65"/>
    <m/>
    <n v="390"/>
    <s v="SVG Garlics"/>
    <m/>
    <m/>
  </r>
  <r>
    <d v="2025-12-11T00:00:00"/>
    <m/>
    <x v="12"/>
    <m/>
    <m/>
    <m/>
    <s v="Naatu Poondu"/>
    <n v="60"/>
    <m/>
    <n v="240"/>
    <s v="SVG Garlics"/>
    <m/>
    <m/>
  </r>
  <r>
    <d v="2025-12-11T00:00:00"/>
    <s v="INV-1251"/>
    <x v="1"/>
    <n v="1500"/>
    <m/>
    <s v="ARAFATH"/>
    <m/>
    <m/>
    <m/>
    <m/>
    <m/>
    <m/>
    <m/>
  </r>
  <r>
    <d v="2025-12-11T00:00:00"/>
    <s v="INV-1252"/>
    <x v="1"/>
    <n v="160"/>
    <m/>
    <s v="FAISAL(NAGAI)"/>
    <m/>
    <m/>
    <m/>
    <m/>
    <m/>
    <m/>
    <m/>
  </r>
  <r>
    <d v="2025-12-11T00:00:00"/>
    <s v="INV-1253"/>
    <x v="1"/>
    <n v="160"/>
    <m/>
    <s v="NOORDIN FOOD COURT"/>
    <m/>
    <m/>
    <m/>
    <m/>
    <m/>
    <m/>
    <m/>
  </r>
  <r>
    <d v="2025-12-11T00:00:00"/>
    <s v="INV-1254"/>
    <x v="1"/>
    <n v="160"/>
    <m/>
    <s v="SANDWICH SHOP"/>
    <m/>
    <m/>
    <m/>
    <m/>
    <m/>
    <m/>
    <m/>
  </r>
  <r>
    <d v="2025-12-11T00:00:00"/>
    <s v="INV-1255"/>
    <x v="1"/>
    <n v="320"/>
    <m/>
    <s v="HOTEL BISMI"/>
    <m/>
    <m/>
    <m/>
    <m/>
    <m/>
    <m/>
    <m/>
  </r>
  <r>
    <d v="2025-12-11T00:00:00"/>
    <s v="INV-1256"/>
    <x v="1"/>
    <n v="160"/>
    <m/>
    <s v="HOTEL ANAS"/>
    <m/>
    <m/>
    <m/>
    <m/>
    <m/>
    <m/>
    <m/>
  </r>
  <r>
    <d v="2025-12-11T00:00:00"/>
    <s v="INV-1257"/>
    <x v="1"/>
    <n v="2180"/>
    <m/>
    <s v="NFS DELIVERY"/>
    <m/>
    <m/>
    <m/>
    <m/>
    <m/>
    <m/>
    <m/>
  </r>
  <r>
    <d v="2025-12-11T00:00:00"/>
    <s v="INV-1258"/>
    <x v="1"/>
    <n v="100"/>
    <m/>
    <s v="NASAR"/>
    <m/>
    <m/>
    <m/>
    <m/>
    <m/>
    <m/>
    <m/>
  </r>
  <r>
    <d v="2025-12-11T00:00:00"/>
    <s v="INV-1259"/>
    <x v="1"/>
    <n v="750"/>
    <m/>
    <s v="AR RAHIM HOTEL"/>
    <m/>
    <m/>
    <m/>
    <m/>
    <m/>
    <m/>
    <m/>
  </r>
  <r>
    <d v="2025-12-11T00:00:00"/>
    <s v="INV-1260"/>
    <x v="1"/>
    <n v="1500"/>
    <m/>
    <s v="HASSIM CATERING"/>
    <m/>
    <m/>
    <m/>
    <m/>
    <m/>
    <m/>
    <m/>
  </r>
  <r>
    <d v="2025-12-12T00:00:00"/>
    <m/>
    <x v="10"/>
    <m/>
    <n v="370"/>
    <m/>
    <m/>
    <m/>
    <m/>
    <m/>
    <m/>
    <m/>
    <m/>
  </r>
  <r>
    <d v="2025-12-12T00:00:00"/>
    <m/>
    <x v="7"/>
    <m/>
    <n v="550"/>
    <m/>
    <m/>
    <m/>
    <m/>
    <m/>
    <m/>
    <m/>
    <m/>
  </r>
  <r>
    <d v="2025-12-12T00:00:00"/>
    <m/>
    <x v="2"/>
    <m/>
    <n v="50"/>
    <m/>
    <m/>
    <m/>
    <m/>
    <m/>
    <m/>
    <m/>
    <m/>
  </r>
  <r>
    <d v="2025-12-12T00:00:00"/>
    <m/>
    <x v="13"/>
    <m/>
    <n v="60"/>
    <m/>
    <m/>
    <m/>
    <m/>
    <m/>
    <m/>
    <m/>
    <m/>
  </r>
  <r>
    <d v="2025-12-13T00:00:00"/>
    <s v="INV-1261"/>
    <x v="11"/>
    <m/>
    <m/>
    <m/>
    <m/>
    <m/>
    <m/>
    <m/>
    <m/>
    <m/>
    <m/>
  </r>
  <r>
    <m/>
    <s v="INV-1262"/>
    <x v="11"/>
    <m/>
    <m/>
    <m/>
    <m/>
    <m/>
    <m/>
    <m/>
    <m/>
    <m/>
    <m/>
  </r>
  <r>
    <m/>
    <m/>
    <x v="11"/>
    <m/>
    <m/>
    <m/>
    <m/>
    <m/>
    <m/>
    <m/>
    <m/>
    <m/>
    <m/>
  </r>
  <r>
    <m/>
    <m/>
    <x v="11"/>
    <m/>
    <m/>
    <m/>
    <m/>
    <m/>
    <m/>
    <m/>
    <m/>
    <m/>
    <m/>
  </r>
  <r>
    <m/>
    <m/>
    <x v="11"/>
    <m/>
    <m/>
    <m/>
    <m/>
    <m/>
    <m/>
    <m/>
    <m/>
    <m/>
    <m/>
  </r>
  <r>
    <m/>
    <m/>
    <x v="11"/>
    <m/>
    <m/>
    <m/>
    <m/>
    <m/>
    <m/>
    <m/>
    <m/>
    <m/>
    <m/>
  </r>
  <r>
    <m/>
    <m/>
    <x v="11"/>
    <m/>
    <m/>
    <m/>
    <m/>
    <m/>
    <m/>
    <m/>
    <m/>
    <m/>
    <m/>
  </r>
  <r>
    <m/>
    <m/>
    <x v="11"/>
    <m/>
    <m/>
    <m/>
    <m/>
    <m/>
    <m/>
    <m/>
    <m/>
    <m/>
    <m/>
  </r>
  <r>
    <m/>
    <m/>
    <x v="11"/>
    <m/>
    <m/>
    <m/>
    <m/>
    <m/>
    <m/>
    <m/>
    <m/>
    <m/>
    <m/>
  </r>
  <r>
    <m/>
    <m/>
    <x v="11"/>
    <m/>
    <m/>
    <m/>
    <m/>
    <m/>
    <m/>
    <m/>
    <m/>
    <m/>
    <m/>
  </r>
  <r>
    <m/>
    <m/>
    <x v="11"/>
    <m/>
    <m/>
    <m/>
    <m/>
    <m/>
    <m/>
    <m/>
    <m/>
    <m/>
    <m/>
  </r>
</pivotCacheRecords>
</file>

<file path=xl/pivotCache/pivotCacheRecords21.xml><?xml version="1.0" encoding="utf-8"?>
<pivotCacheRecords xmlns="http://schemas.openxmlformats.org/spreadsheetml/2006/main" xmlns:r="http://schemas.openxmlformats.org/officeDocument/2006/relationships" count="143">
  <r>
    <m/>
    <m/>
    <s v="Opening Balance"/>
    <n v="60995.5"/>
    <m/>
    <x v="0"/>
    <m/>
    <m/>
    <m/>
    <m/>
    <m/>
  </r>
  <r>
    <d v="2025-12-01T00:00:00"/>
    <s v="INV-1165"/>
    <s v="Sales"/>
    <n v="1280"/>
    <m/>
    <x v="1"/>
    <m/>
    <m/>
    <m/>
    <m/>
    <m/>
  </r>
  <r>
    <d v="2025-12-01T00:00:00"/>
    <s v="INV-1166"/>
    <s v="Sales"/>
    <n v="320"/>
    <m/>
    <x v="2"/>
    <m/>
    <m/>
    <m/>
    <m/>
    <m/>
  </r>
  <r>
    <d v="2025-12-01T00:00:00"/>
    <s v="INV-1167"/>
    <s v="Sales"/>
    <n v="800"/>
    <m/>
    <x v="3"/>
    <m/>
    <m/>
    <m/>
    <m/>
    <m/>
  </r>
  <r>
    <d v="2025-12-01T00:00:00"/>
    <s v="INV-1168"/>
    <s v="Sales"/>
    <n v="160"/>
    <m/>
    <x v="4"/>
    <m/>
    <m/>
    <m/>
    <m/>
    <m/>
  </r>
  <r>
    <d v="2025-12-01T00:00:00"/>
    <s v="INV-1169"/>
    <s v="Sales"/>
    <n v="300"/>
    <m/>
    <x v="5"/>
    <m/>
    <m/>
    <m/>
    <m/>
    <m/>
  </r>
  <r>
    <d v="2025-12-01T00:00:00"/>
    <s v="INV-1170"/>
    <s v="Sales"/>
    <n v="2250"/>
    <m/>
    <x v="6"/>
    <m/>
    <m/>
    <m/>
    <m/>
    <m/>
  </r>
  <r>
    <d v="2025-12-01T00:00:00"/>
    <s v="INV-1171"/>
    <s v="Sales"/>
    <n v="90"/>
    <m/>
    <x v="7"/>
    <m/>
    <m/>
    <m/>
    <m/>
    <m/>
  </r>
  <r>
    <d v="2025-12-01T00:00:00"/>
    <s v="INV-1172"/>
    <s v="Sales"/>
    <n v="170"/>
    <m/>
    <x v="8"/>
    <m/>
    <m/>
    <m/>
    <m/>
    <m/>
  </r>
  <r>
    <d v="2025-12-01T00:00:00"/>
    <s v="INV-1173"/>
    <s v="Sales"/>
    <n v="160"/>
    <m/>
    <x v="9"/>
    <m/>
    <m/>
    <m/>
    <m/>
    <m/>
  </r>
  <r>
    <d v="2025-12-01T00:00:00"/>
    <s v="INV-1174"/>
    <s v="Sales"/>
    <n v="640"/>
    <m/>
    <x v="10"/>
    <m/>
    <m/>
    <m/>
    <m/>
    <m/>
  </r>
  <r>
    <d v="2025-12-01T00:00:00"/>
    <s v="INV-1175"/>
    <s v="Sales"/>
    <n v="1500"/>
    <m/>
    <x v="11"/>
    <m/>
    <m/>
    <m/>
    <m/>
    <m/>
  </r>
  <r>
    <d v="2025-12-01T00:00:00"/>
    <m/>
    <s v="Expences"/>
    <m/>
    <n v="30"/>
    <x v="0"/>
    <m/>
    <m/>
    <m/>
    <m/>
    <m/>
  </r>
  <r>
    <d v="2025-12-01T00:00:00"/>
    <m/>
    <s v="Water Cane"/>
    <m/>
    <n v="160"/>
    <x v="0"/>
    <m/>
    <m/>
    <m/>
    <m/>
    <m/>
  </r>
  <r>
    <d v="2025-12-01T00:00:00"/>
    <m/>
    <s v="Expences"/>
    <m/>
    <n v="50"/>
    <x v="0"/>
    <m/>
    <m/>
    <m/>
    <m/>
    <m/>
  </r>
  <r>
    <d v="2025-12-01T00:00:00"/>
    <m/>
    <s v="Packaging Material"/>
    <m/>
    <n v="430"/>
    <x v="0"/>
    <m/>
    <m/>
    <m/>
    <m/>
    <m/>
  </r>
  <r>
    <d v="2025-12-02T00:00:00"/>
    <m/>
    <s v="Ginger Purchase"/>
    <m/>
    <n v="3400"/>
    <x v="0"/>
    <s v="Old Ginger"/>
    <n v="68"/>
    <m/>
    <n v="50"/>
    <s v="Jakakodi Traders"/>
  </r>
  <r>
    <d v="2025-12-02T00:00:00"/>
    <m/>
    <s v="Staff Salary"/>
    <m/>
    <n v="500"/>
    <x v="0"/>
    <m/>
    <m/>
    <m/>
    <m/>
    <m/>
  </r>
  <r>
    <d v="2025-12-02T00:00:00"/>
    <s v="INV-1176"/>
    <s v="Sales"/>
    <n v="1500"/>
    <m/>
    <x v="12"/>
    <m/>
    <m/>
    <m/>
    <m/>
    <m/>
  </r>
  <r>
    <d v="2025-12-02T00:00:00"/>
    <s v="INV-1177"/>
    <s v="Sales"/>
    <n v="260"/>
    <m/>
    <x v="7"/>
    <m/>
    <m/>
    <m/>
    <m/>
    <m/>
  </r>
  <r>
    <d v="2025-12-02T00:00:00"/>
    <s v="INV-1178"/>
    <s v="Sales"/>
    <n v="240"/>
    <m/>
    <x v="4"/>
    <m/>
    <m/>
    <m/>
    <m/>
    <m/>
  </r>
  <r>
    <d v="2025-12-02T00:00:00"/>
    <s v="INV-1179"/>
    <s v="Sales"/>
    <n v="160"/>
    <m/>
    <x v="13"/>
    <m/>
    <m/>
    <m/>
    <m/>
    <m/>
  </r>
  <r>
    <d v="2025-12-02T00:00:00"/>
    <s v="INV-1180"/>
    <s v="Sales"/>
    <n v="320"/>
    <m/>
    <x v="1"/>
    <m/>
    <m/>
    <m/>
    <m/>
    <m/>
  </r>
  <r>
    <d v="2025-12-02T00:00:00"/>
    <s v="INV-1181"/>
    <s v="Sales"/>
    <n v="750"/>
    <m/>
    <x v="14"/>
    <m/>
    <m/>
    <m/>
    <m/>
    <m/>
  </r>
  <r>
    <d v="2025-12-02T00:00:00"/>
    <s v="INV-1182"/>
    <s v="Sales"/>
    <n v="160"/>
    <m/>
    <x v="15"/>
    <m/>
    <m/>
    <m/>
    <m/>
    <m/>
  </r>
  <r>
    <d v="2025-12-02T00:00:00"/>
    <s v="INV-1183"/>
    <s v="Sales"/>
    <n v="320"/>
    <m/>
    <x v="9"/>
    <m/>
    <m/>
    <m/>
    <m/>
    <m/>
  </r>
  <r>
    <d v="2025-12-02T00:00:00"/>
    <s v="INV-1184"/>
    <s v="Sales"/>
    <n v="750"/>
    <m/>
    <x v="11"/>
    <m/>
    <m/>
    <m/>
    <m/>
    <m/>
  </r>
  <r>
    <d v="2025-12-02T00:00:00"/>
    <s v="INV-1185"/>
    <s v="Sales"/>
    <n v="750"/>
    <m/>
    <x v="16"/>
    <m/>
    <m/>
    <m/>
    <m/>
    <m/>
  </r>
  <r>
    <d v="2025-12-02T00:00:00"/>
    <m/>
    <s v="Expences"/>
    <m/>
    <n v="50"/>
    <x v="0"/>
    <m/>
    <m/>
    <m/>
    <m/>
    <m/>
  </r>
  <r>
    <d v="2025-12-03T00:00:00"/>
    <s v="INV-1186"/>
    <s v="Sales"/>
    <n v="750"/>
    <m/>
    <x v="16"/>
    <m/>
    <m/>
    <m/>
    <m/>
    <m/>
  </r>
  <r>
    <d v="2025-12-03T00:00:00"/>
    <s v="INV-1187"/>
    <s v="Sales"/>
    <n v="320"/>
    <m/>
    <x v="1"/>
    <m/>
    <m/>
    <m/>
    <m/>
    <m/>
  </r>
  <r>
    <d v="2025-12-03T00:00:00"/>
    <s v="INV-1188"/>
    <s v="Sales"/>
    <n v="320"/>
    <m/>
    <x v="17"/>
    <m/>
    <m/>
    <m/>
    <m/>
    <m/>
  </r>
  <r>
    <d v="2025-12-03T00:00:00"/>
    <s v="INV-1189"/>
    <s v="Sales"/>
    <n v="340"/>
    <m/>
    <x v="8"/>
    <m/>
    <m/>
    <m/>
    <m/>
    <m/>
  </r>
  <r>
    <d v="2025-12-03T00:00:00"/>
    <s v="INV-1190"/>
    <s v="Sales"/>
    <n v="1500"/>
    <m/>
    <x v="11"/>
    <m/>
    <m/>
    <m/>
    <m/>
    <m/>
  </r>
  <r>
    <d v="2025-12-03T00:00:00"/>
    <s v="INV-1191"/>
    <s v="Sales"/>
    <n v="1350"/>
    <m/>
    <x v="18"/>
    <m/>
    <m/>
    <m/>
    <m/>
    <m/>
  </r>
  <r>
    <d v="2025-12-03T00:00:00"/>
    <s v="INV-1192"/>
    <s v="Sales"/>
    <n v="220"/>
    <m/>
    <x v="4"/>
    <m/>
    <m/>
    <m/>
    <m/>
    <m/>
  </r>
  <r>
    <d v="2025-12-03T00:00:00"/>
    <s v="INV-1193"/>
    <s v="Sales"/>
    <n v="150"/>
    <m/>
    <x v="5"/>
    <m/>
    <m/>
    <m/>
    <m/>
    <m/>
  </r>
  <r>
    <d v="2025-12-03T00:00:00"/>
    <s v="INV-1194"/>
    <s v="Sales"/>
    <n v="1600"/>
    <m/>
    <x v="19"/>
    <m/>
    <m/>
    <m/>
    <m/>
    <m/>
  </r>
  <r>
    <d v="2025-12-03T00:00:00"/>
    <m/>
    <s v="Delivery charge"/>
    <m/>
    <n v="50"/>
    <x v="0"/>
    <m/>
    <m/>
    <m/>
    <m/>
    <m/>
  </r>
  <r>
    <d v="2025-12-03T00:00:00"/>
    <m/>
    <s v="Others"/>
    <m/>
    <n v="30"/>
    <x v="0"/>
    <m/>
    <m/>
    <m/>
    <m/>
    <m/>
  </r>
  <r>
    <d v="2025-12-03T00:00:00"/>
    <m/>
    <s v="Expences"/>
    <m/>
    <n v="50"/>
    <x v="0"/>
    <m/>
    <m/>
    <m/>
    <m/>
    <m/>
  </r>
  <r>
    <d v="2025-12-04T00:00:00"/>
    <s v="INV-1195"/>
    <s v="Sales"/>
    <n v="160"/>
    <m/>
    <x v="4"/>
    <m/>
    <m/>
    <m/>
    <m/>
    <m/>
  </r>
  <r>
    <d v="2025-12-04T00:00:00"/>
    <s v="INV-1196"/>
    <s v="Sales"/>
    <n v="320"/>
    <m/>
    <x v="1"/>
    <m/>
    <m/>
    <m/>
    <m/>
    <m/>
  </r>
  <r>
    <d v="2025-12-04T00:00:00"/>
    <s v="INV-1197"/>
    <s v="Sales"/>
    <n v="80"/>
    <m/>
    <x v="15"/>
    <m/>
    <m/>
    <m/>
    <m/>
    <m/>
  </r>
  <r>
    <d v="2025-12-04T00:00:00"/>
    <s v="INV-1198"/>
    <s v="Sales"/>
    <n v="160"/>
    <m/>
    <x v="20"/>
    <m/>
    <m/>
    <m/>
    <m/>
    <m/>
  </r>
  <r>
    <d v="2025-12-04T00:00:00"/>
    <s v="INV-1199"/>
    <s v="Sales"/>
    <n v="340"/>
    <m/>
    <x v="7"/>
    <m/>
    <m/>
    <m/>
    <m/>
    <m/>
  </r>
  <r>
    <d v="2025-12-04T00:00:00"/>
    <s v="INV-1200"/>
    <s v="Sales"/>
    <n v="160"/>
    <m/>
    <x v="21"/>
    <m/>
    <m/>
    <m/>
    <m/>
    <m/>
  </r>
  <r>
    <d v="2025-12-04T00:00:00"/>
    <s v="INV-1201"/>
    <s v="Sales"/>
    <n v="3000"/>
    <m/>
    <x v="11"/>
    <m/>
    <m/>
    <m/>
    <m/>
    <m/>
  </r>
  <r>
    <d v="2025-12-04T00:00:00"/>
    <s v="INV-1202"/>
    <s v="Sales"/>
    <n v="750"/>
    <m/>
    <x v="14"/>
    <m/>
    <m/>
    <m/>
    <m/>
    <m/>
  </r>
  <r>
    <d v="2025-12-04T00:00:00"/>
    <m/>
    <s v="Expences"/>
    <m/>
    <n v="50"/>
    <x v="0"/>
    <m/>
    <m/>
    <m/>
    <m/>
    <m/>
  </r>
  <r>
    <d v="2025-12-05T00:00:00"/>
    <s v="INV-1203"/>
    <s v="Sales"/>
    <n v="3000"/>
    <m/>
    <x v="11"/>
    <m/>
    <m/>
    <m/>
    <m/>
    <m/>
  </r>
  <r>
    <d v="2025-12-05T00:00:00"/>
    <s v="INV-1204"/>
    <s v="Sales"/>
    <n v="340"/>
    <m/>
    <x v="8"/>
    <m/>
    <m/>
    <m/>
    <m/>
    <m/>
  </r>
  <r>
    <d v="2025-12-05T00:00:00"/>
    <s v="INV-1205"/>
    <s v="Sales"/>
    <n v="160"/>
    <m/>
    <x v="4"/>
    <m/>
    <m/>
    <m/>
    <m/>
    <m/>
  </r>
  <r>
    <d v="2025-12-05T00:00:00"/>
    <s v="INV-1206"/>
    <s v="Sales"/>
    <n v="320"/>
    <m/>
    <x v="1"/>
    <m/>
    <m/>
    <m/>
    <m/>
    <m/>
  </r>
  <r>
    <d v="2025-12-05T00:00:00"/>
    <s v="INV-1207"/>
    <s v="Sales"/>
    <n v="80"/>
    <m/>
    <x v="20"/>
    <m/>
    <m/>
    <m/>
    <m/>
    <m/>
  </r>
  <r>
    <d v="2025-12-05T00:00:00"/>
    <s v="INV-1208"/>
    <s v="Sales"/>
    <n v="3000"/>
    <m/>
    <x v="22"/>
    <m/>
    <m/>
    <m/>
    <m/>
    <m/>
  </r>
  <r>
    <d v="2025-12-05T00:00:00"/>
    <s v="INV-1209"/>
    <s v="Sales"/>
    <n v="750"/>
    <m/>
    <x v="14"/>
    <m/>
    <m/>
    <m/>
    <m/>
    <m/>
  </r>
  <r>
    <d v="2025-12-05T00:00:00"/>
    <s v="INV-1210"/>
    <s v="Sales"/>
    <n v="510"/>
    <m/>
    <x v="8"/>
    <m/>
    <m/>
    <m/>
    <m/>
    <m/>
  </r>
  <r>
    <d v="2025-12-05T00:00:00"/>
    <s v="INV-1211"/>
    <s v="Sales"/>
    <n v="1600"/>
    <m/>
    <x v="19"/>
    <m/>
    <m/>
    <m/>
    <m/>
    <m/>
  </r>
  <r>
    <d v="2025-12-05T00:00:00"/>
    <m/>
    <s v="Rent"/>
    <m/>
    <n v="9000"/>
    <x v="0"/>
    <m/>
    <m/>
    <m/>
    <m/>
    <m/>
  </r>
  <r>
    <d v="2025-12-05T00:00:00"/>
    <m/>
    <s v="Petrol"/>
    <m/>
    <n v="400"/>
    <x v="0"/>
    <m/>
    <m/>
    <m/>
    <m/>
    <m/>
  </r>
  <r>
    <d v="2025-12-06T00:00:00"/>
    <m/>
    <s v="Staff Salary"/>
    <m/>
    <n v="5000"/>
    <x v="0"/>
    <m/>
    <m/>
    <m/>
    <m/>
    <m/>
  </r>
  <r>
    <d v="2025-12-06T00:00:00"/>
    <m/>
    <s v="Ginger Purchase"/>
    <m/>
    <n v="3500"/>
    <x v="0"/>
    <s v="Old Ginger"/>
    <n v="70"/>
    <m/>
    <n v="50"/>
    <s v="Jakakodi Traders"/>
  </r>
  <r>
    <d v="2025-12-06T00:00:00"/>
    <s v="INV-1212"/>
    <s v="Sales"/>
    <n v="400"/>
    <m/>
    <x v="4"/>
    <m/>
    <m/>
    <m/>
    <m/>
    <m/>
  </r>
  <r>
    <d v="2025-12-06T00:00:00"/>
    <s v="INV-1213"/>
    <s v="Sales"/>
    <n v="1500"/>
    <m/>
    <x v="14"/>
    <m/>
    <m/>
    <m/>
    <m/>
    <m/>
  </r>
  <r>
    <d v="2025-12-06T00:00:00"/>
    <s v="INV-1214"/>
    <s v="Sales"/>
    <n v="800"/>
    <m/>
    <x v="1"/>
    <m/>
    <m/>
    <m/>
    <m/>
    <m/>
  </r>
  <r>
    <d v="2025-12-06T00:00:00"/>
    <s v="INV-1215"/>
    <s v="Sales"/>
    <n v="2880"/>
    <m/>
    <x v="8"/>
    <m/>
    <m/>
    <m/>
    <m/>
    <m/>
  </r>
  <r>
    <d v="2025-12-06T00:00:00"/>
    <s v="INV-1216"/>
    <s v="Sales"/>
    <n v="600"/>
    <m/>
    <x v="23"/>
    <m/>
    <m/>
    <m/>
    <m/>
    <m/>
  </r>
  <r>
    <d v="2025-12-06T00:00:00"/>
    <s v="INV-1217"/>
    <s v="Sales"/>
    <n v="720"/>
    <m/>
    <x v="7"/>
    <m/>
    <m/>
    <m/>
    <m/>
    <m/>
  </r>
  <r>
    <d v="2025-12-06T00:00:00"/>
    <s v="INV-1218"/>
    <s v="Sales"/>
    <n v="480"/>
    <m/>
    <x v="16"/>
    <m/>
    <m/>
    <m/>
    <m/>
    <m/>
  </r>
  <r>
    <d v="2025-12-06T00:00:00"/>
    <s v="INV-1219"/>
    <s v="Sales"/>
    <n v="240"/>
    <m/>
    <x v="24"/>
    <m/>
    <m/>
    <m/>
    <m/>
    <m/>
  </r>
  <r>
    <d v="2025-12-06T00:00:00"/>
    <m/>
    <s v="Staff Salary"/>
    <m/>
    <n v="200"/>
    <x v="0"/>
    <m/>
    <m/>
    <m/>
    <m/>
    <m/>
  </r>
  <r>
    <d v="2025-12-06T00:00:00"/>
    <m/>
    <s v="Packaging Material"/>
    <m/>
    <n v="160"/>
    <x v="0"/>
    <m/>
    <m/>
    <m/>
    <m/>
    <m/>
  </r>
  <r>
    <d v="2025-12-06T00:00:00"/>
    <m/>
    <s v="Expences"/>
    <m/>
    <n v="50"/>
    <x v="0"/>
    <m/>
    <m/>
    <m/>
    <m/>
    <m/>
  </r>
  <r>
    <d v="2025-12-06T00:00:00"/>
    <m/>
    <s v="Others"/>
    <m/>
    <n v="80"/>
    <x v="0"/>
    <m/>
    <m/>
    <m/>
    <m/>
    <m/>
  </r>
  <r>
    <d v="2025-12-06T00:00:00"/>
    <s v="INV-1220"/>
    <s v="Sales"/>
    <n v="2000"/>
    <m/>
    <x v="25"/>
    <m/>
    <m/>
    <m/>
    <m/>
    <m/>
  </r>
  <r>
    <d v="2025-12-06T00:00:00"/>
    <s v="INV-1221"/>
    <s v="Sales"/>
    <n v="1500"/>
    <m/>
    <x v="11"/>
    <m/>
    <m/>
    <m/>
    <m/>
    <m/>
  </r>
  <r>
    <d v="2025-12-06T00:00:00"/>
    <s v="INV-1222"/>
    <s v="Sales"/>
    <n v="1100"/>
    <m/>
    <x v="26"/>
    <m/>
    <m/>
    <m/>
    <m/>
    <m/>
  </r>
  <r>
    <d v="2025-12-07T00:00:00"/>
    <s v="INV-1223"/>
    <s v="Sales"/>
    <n v="320"/>
    <m/>
    <x v="17"/>
    <m/>
    <m/>
    <m/>
    <m/>
    <m/>
  </r>
  <r>
    <d v="2025-12-07T00:00:00"/>
    <s v="INV-1224"/>
    <s v="Sales"/>
    <n v="800"/>
    <m/>
    <x v="27"/>
    <m/>
    <m/>
    <m/>
    <m/>
    <m/>
  </r>
  <r>
    <d v="2025-12-07T00:00:00"/>
    <s v="INV-1225"/>
    <s v="Sales"/>
    <n v="800"/>
    <m/>
    <x v="12"/>
    <m/>
    <m/>
    <m/>
    <m/>
    <m/>
  </r>
  <r>
    <d v="2025-12-07T00:00:00"/>
    <s v="INV-1226"/>
    <s v="Sales"/>
    <n v="750"/>
    <m/>
    <x v="14"/>
    <m/>
    <m/>
    <m/>
    <m/>
    <m/>
  </r>
  <r>
    <d v="2025-12-07T00:00:00"/>
    <s v="INV-1227"/>
    <s v="Sales"/>
    <n v="220"/>
    <m/>
    <x v="7"/>
    <m/>
    <m/>
    <m/>
    <m/>
    <m/>
  </r>
  <r>
    <d v="2025-12-07T00:00:00"/>
    <m/>
    <s v="Expences"/>
    <m/>
    <n v="20"/>
    <x v="0"/>
    <m/>
    <m/>
    <m/>
    <m/>
    <m/>
  </r>
  <r>
    <d v="2025-12-08T00:00:00"/>
    <s v="INV-1228"/>
    <s v="Sales"/>
    <n v="180"/>
    <m/>
    <x v="7"/>
    <m/>
    <m/>
    <m/>
    <m/>
    <m/>
  </r>
  <r>
    <d v="2025-12-08T00:00:00"/>
    <s v="INV-1229"/>
    <s v="Sales"/>
    <n v="90"/>
    <m/>
    <x v="8"/>
    <m/>
    <m/>
    <m/>
    <m/>
    <m/>
  </r>
  <r>
    <d v="2025-12-08T00:00:00"/>
    <s v="INV-1230"/>
    <s v="Sales"/>
    <n v="320"/>
    <m/>
    <x v="1"/>
    <m/>
    <m/>
    <m/>
    <m/>
    <m/>
  </r>
  <r>
    <d v="2025-12-08T00:00:00"/>
    <s v="INV-1231"/>
    <s v="Sales"/>
    <n v="300"/>
    <m/>
    <x v="22"/>
    <m/>
    <m/>
    <m/>
    <m/>
    <m/>
  </r>
  <r>
    <d v="2025-12-08T00:00:00"/>
    <s v="INV-1232"/>
    <s v="Sales"/>
    <n v="750"/>
    <m/>
    <x v="11"/>
    <m/>
    <m/>
    <m/>
    <m/>
    <m/>
  </r>
  <r>
    <d v="2025-12-08T00:00:00"/>
    <s v="INV-1233"/>
    <s v="Sales"/>
    <n v="480"/>
    <m/>
    <x v="28"/>
    <m/>
    <m/>
    <m/>
    <m/>
    <m/>
  </r>
  <r>
    <d v="2025-12-08T00:00:00"/>
    <m/>
    <s v="Staff Salary"/>
    <m/>
    <n v="150"/>
    <x v="0"/>
    <m/>
    <m/>
    <m/>
    <m/>
    <m/>
  </r>
  <r>
    <d v="2025-12-08T00:00:00"/>
    <m/>
    <s v="Expences"/>
    <m/>
    <n v="50"/>
    <x v="0"/>
    <m/>
    <m/>
    <m/>
    <m/>
    <m/>
  </r>
  <r>
    <d v="2025-12-08T00:00:00"/>
    <m/>
    <s v="Water Cane"/>
    <m/>
    <n v="160"/>
    <x v="0"/>
    <m/>
    <m/>
    <m/>
    <m/>
    <m/>
  </r>
  <r>
    <d v="2025-12-08T00:00:00"/>
    <m/>
    <s v="Packaging Material"/>
    <m/>
    <n v="430"/>
    <x v="0"/>
    <m/>
    <m/>
    <m/>
    <m/>
    <m/>
  </r>
  <r>
    <d v="2025-12-09T00:00:00"/>
    <s v="INV-1234"/>
    <s v="Sales"/>
    <n v="4500"/>
    <m/>
    <x v="6"/>
    <m/>
    <m/>
    <m/>
    <m/>
    <m/>
  </r>
  <r>
    <d v="2025-12-09T00:00:00"/>
    <s v="INV-1235"/>
    <s v="Sales"/>
    <n v="200"/>
    <m/>
    <x v="26"/>
    <m/>
    <m/>
    <m/>
    <m/>
    <m/>
  </r>
  <r>
    <d v="2025-12-09T00:00:00"/>
    <s v="INV-1236"/>
    <s v="Sales"/>
    <n v="170"/>
    <m/>
    <x v="7"/>
    <m/>
    <m/>
    <m/>
    <m/>
    <m/>
  </r>
  <r>
    <d v="2025-12-09T00:00:00"/>
    <s v="INV-1237"/>
    <s v="Sales"/>
    <n v="750"/>
    <m/>
    <x v="14"/>
    <m/>
    <m/>
    <m/>
    <m/>
    <m/>
  </r>
  <r>
    <d v="2025-12-09T00:00:00"/>
    <s v="INV-1238"/>
    <s v="Sales"/>
    <n v="5290"/>
    <m/>
    <x v="8"/>
    <m/>
    <m/>
    <m/>
    <m/>
    <m/>
  </r>
  <r>
    <d v="2025-12-09T00:00:00"/>
    <s v="INV-1239"/>
    <s v="Sales"/>
    <n v="2700"/>
    <m/>
    <x v="22"/>
    <m/>
    <m/>
    <m/>
    <m/>
    <m/>
  </r>
  <r>
    <d v="2025-12-09T00:00:00"/>
    <s v="INV-1240"/>
    <s v="Sales"/>
    <n v="1350"/>
    <m/>
    <x v="29"/>
    <m/>
    <m/>
    <m/>
    <m/>
    <m/>
  </r>
  <r>
    <d v="2025-12-09T00:00:00"/>
    <m/>
    <s v="Expences"/>
    <m/>
    <n v="50"/>
    <x v="0"/>
    <m/>
    <m/>
    <m/>
    <m/>
    <m/>
  </r>
  <r>
    <d v="2025-12-10T00:00:00"/>
    <m/>
    <s v="Ginger Purchase"/>
    <m/>
    <n v="3400"/>
    <x v="0"/>
    <s v="Old Ginger"/>
    <n v="68"/>
    <m/>
    <n v="50"/>
    <s v="Jakakodi Traders"/>
  </r>
  <r>
    <d v="2025-12-10T00:00:00"/>
    <s v="INV-1241"/>
    <s v="Sales"/>
    <n v="350"/>
    <m/>
    <x v="8"/>
    <m/>
    <m/>
    <m/>
    <m/>
    <m/>
  </r>
  <r>
    <d v="2025-12-10T00:00:00"/>
    <s v="INV-1242"/>
    <s v="Sales"/>
    <n v="600"/>
    <m/>
    <x v="16"/>
    <m/>
    <m/>
    <m/>
    <m/>
    <m/>
  </r>
  <r>
    <d v="2025-12-10T00:00:00"/>
    <s v="INV-1243"/>
    <m/>
    <m/>
    <m/>
    <x v="0"/>
    <m/>
    <m/>
    <m/>
    <m/>
    <m/>
  </r>
  <r>
    <d v="2025-12-10T00:00:00"/>
    <s v="INV-1244"/>
    <s v="Sales"/>
    <n v="320"/>
    <m/>
    <x v="1"/>
    <m/>
    <m/>
    <m/>
    <m/>
    <m/>
  </r>
  <r>
    <d v="2025-12-10T00:00:00"/>
    <s v="INV-1245"/>
    <m/>
    <m/>
    <m/>
    <x v="0"/>
    <m/>
    <m/>
    <m/>
    <m/>
    <m/>
  </r>
  <r>
    <d v="2025-12-10T00:00:00"/>
    <s v="INV-1246"/>
    <s v="Sales"/>
    <n v="90"/>
    <m/>
    <x v="7"/>
    <m/>
    <m/>
    <m/>
    <m/>
    <m/>
  </r>
  <r>
    <d v="2025-12-10T00:00:00"/>
    <s v="INV-1247"/>
    <s v="Sales"/>
    <n v="320"/>
    <m/>
    <x v="28"/>
    <m/>
    <m/>
    <m/>
    <m/>
    <m/>
  </r>
  <r>
    <d v="2025-12-10T00:00:00"/>
    <s v="INV-1248"/>
    <s v="Sales"/>
    <n v="1500"/>
    <m/>
    <x v="11"/>
    <m/>
    <m/>
    <m/>
    <m/>
    <m/>
  </r>
  <r>
    <d v="2025-12-10T00:00:00"/>
    <s v="INV-1249"/>
    <s v="Sales"/>
    <n v="750"/>
    <m/>
    <x v="14"/>
    <m/>
    <m/>
    <m/>
    <m/>
    <m/>
  </r>
  <r>
    <d v="2025-12-10T00:00:00"/>
    <s v="INV-1250"/>
    <s v="Sales"/>
    <n v="1600"/>
    <m/>
    <x v="19"/>
    <m/>
    <m/>
    <m/>
    <m/>
    <m/>
  </r>
  <r>
    <d v="2025-12-10T00:00:00"/>
    <m/>
    <s v="Others"/>
    <m/>
    <n v="8500"/>
    <x v="0"/>
    <m/>
    <m/>
    <m/>
    <m/>
    <m/>
  </r>
  <r>
    <d v="2025-12-10T00:00:00"/>
    <m/>
    <s v="Expences"/>
    <m/>
    <n v="50"/>
    <x v="0"/>
    <m/>
    <m/>
    <m/>
    <m/>
    <m/>
  </r>
  <r>
    <d v="2025-12-11T00:00:00"/>
    <m/>
    <s v="Garlic Purchase"/>
    <m/>
    <n v="45300"/>
    <x v="0"/>
    <s v="Desi 3A"/>
    <n v="75"/>
    <n v="2400"/>
    <n v="42"/>
    <s v="SVG Garlics"/>
  </r>
  <r>
    <d v="2025-12-11T00:00:00"/>
    <m/>
    <s v="Garlic Purchase"/>
    <m/>
    <m/>
    <x v="0"/>
    <s v="Desi 3A"/>
    <n v="65"/>
    <m/>
    <n v="390"/>
    <s v="SVG Garlics"/>
  </r>
  <r>
    <d v="2025-12-11T00:00:00"/>
    <m/>
    <s v="Garlic Purchase"/>
    <m/>
    <m/>
    <x v="0"/>
    <s v="Naatu Poondu"/>
    <n v="60"/>
    <m/>
    <n v="240"/>
    <s v="SVG Garlics"/>
  </r>
  <r>
    <d v="2025-12-11T00:00:00"/>
    <s v="INV-1251"/>
    <s v="Sales"/>
    <n v="1500"/>
    <m/>
    <x v="29"/>
    <m/>
    <m/>
    <m/>
    <m/>
    <m/>
  </r>
  <r>
    <d v="2025-12-11T00:00:00"/>
    <s v="INV-1252"/>
    <s v="Sales"/>
    <n v="160"/>
    <m/>
    <x v="30"/>
    <m/>
    <m/>
    <m/>
    <m/>
    <m/>
  </r>
  <r>
    <d v="2025-12-11T00:00:00"/>
    <s v="INV-1253"/>
    <s v="Sales"/>
    <n v="160"/>
    <m/>
    <x v="4"/>
    <m/>
    <m/>
    <m/>
    <m/>
    <m/>
  </r>
  <r>
    <d v="2025-12-11T00:00:00"/>
    <s v="INV-1254"/>
    <s v="Sales"/>
    <n v="160"/>
    <m/>
    <x v="31"/>
    <m/>
    <m/>
    <m/>
    <m/>
    <m/>
  </r>
  <r>
    <d v="2025-12-11T00:00:00"/>
    <s v="INV-1255"/>
    <s v="Sales"/>
    <n v="320"/>
    <m/>
    <x v="1"/>
    <m/>
    <m/>
    <m/>
    <m/>
    <m/>
  </r>
  <r>
    <d v="2025-12-11T00:00:00"/>
    <s v="INV-1256"/>
    <s v="Sales"/>
    <n v="160"/>
    <m/>
    <x v="21"/>
    <m/>
    <m/>
    <m/>
    <m/>
    <m/>
  </r>
  <r>
    <d v="2025-12-11T00:00:00"/>
    <s v="INV-1257"/>
    <s v="Sales"/>
    <n v="2180"/>
    <m/>
    <x v="8"/>
    <m/>
    <m/>
    <m/>
    <m/>
    <m/>
  </r>
  <r>
    <d v="2025-12-11T00:00:00"/>
    <s v="INV-1258"/>
    <s v="Sales"/>
    <n v="100"/>
    <m/>
    <x v="32"/>
    <m/>
    <m/>
    <m/>
    <m/>
    <m/>
  </r>
  <r>
    <d v="2025-12-11T00:00:00"/>
    <s v="INV-1259"/>
    <s v="Sales"/>
    <n v="750"/>
    <m/>
    <x v="14"/>
    <m/>
    <m/>
    <m/>
    <m/>
    <m/>
  </r>
  <r>
    <d v="2025-12-11T00:00:00"/>
    <s v="INV-1260"/>
    <s v="Sales"/>
    <n v="1500"/>
    <m/>
    <x v="11"/>
    <m/>
    <m/>
    <m/>
    <m/>
    <m/>
  </r>
  <r>
    <d v="2025-12-12T00:00:00"/>
    <m/>
    <s v="Petrol"/>
    <m/>
    <n v="370"/>
    <x v="0"/>
    <m/>
    <m/>
    <m/>
    <m/>
    <m/>
  </r>
  <r>
    <d v="2025-12-12T00:00:00"/>
    <m/>
    <s v="Delivery charge"/>
    <m/>
    <n v="550"/>
    <x v="0"/>
    <m/>
    <m/>
    <m/>
    <m/>
    <m/>
  </r>
  <r>
    <d v="2025-12-12T00:00:00"/>
    <m/>
    <s v="Expences"/>
    <m/>
    <n v="50"/>
    <x v="0"/>
    <m/>
    <m/>
    <m/>
    <m/>
    <m/>
  </r>
  <r>
    <d v="2025-12-12T00:00:00"/>
    <m/>
    <s v="Essential Items"/>
    <m/>
    <n v="60"/>
    <x v="0"/>
    <m/>
    <m/>
    <m/>
    <m/>
    <m/>
  </r>
  <r>
    <d v="2025-12-13T00:00:00"/>
    <s v="INV-1261"/>
    <m/>
    <m/>
    <m/>
    <x v="0"/>
    <m/>
    <m/>
    <m/>
    <m/>
    <m/>
  </r>
  <r>
    <m/>
    <s v="INV-1262"/>
    <m/>
    <m/>
    <m/>
    <x v="0"/>
    <m/>
    <m/>
    <m/>
    <m/>
    <m/>
  </r>
  <r>
    <m/>
    <m/>
    <m/>
    <m/>
    <m/>
    <x v="0"/>
    <m/>
    <m/>
    <m/>
    <m/>
    <m/>
  </r>
  <r>
    <m/>
    <m/>
    <m/>
    <m/>
    <m/>
    <x v="0"/>
    <m/>
    <m/>
    <m/>
    <m/>
    <m/>
  </r>
  <r>
    <m/>
    <m/>
    <m/>
    <m/>
    <m/>
    <x v="0"/>
    <m/>
    <m/>
    <m/>
    <m/>
    <m/>
  </r>
  <r>
    <m/>
    <m/>
    <m/>
    <m/>
    <m/>
    <x v="0"/>
    <m/>
    <m/>
    <m/>
    <m/>
    <m/>
  </r>
  <r>
    <m/>
    <m/>
    <m/>
    <m/>
    <m/>
    <x v="0"/>
    <m/>
    <m/>
    <m/>
    <m/>
    <m/>
  </r>
  <r>
    <m/>
    <m/>
    <m/>
    <m/>
    <m/>
    <x v="0"/>
    <m/>
    <m/>
    <m/>
    <m/>
    <m/>
  </r>
  <r>
    <m/>
    <m/>
    <m/>
    <m/>
    <m/>
    <x v="0"/>
    <m/>
    <m/>
    <m/>
    <m/>
    <m/>
  </r>
  <r>
    <m/>
    <m/>
    <m/>
    <m/>
    <m/>
    <x v="0"/>
    <m/>
    <m/>
    <m/>
    <m/>
    <m/>
  </r>
  <r>
    <m/>
    <m/>
    <m/>
    <m/>
    <m/>
    <x v="0"/>
    <m/>
    <m/>
    <m/>
    <m/>
    <m/>
  </r>
</pivotCacheRecords>
</file>

<file path=xl/pivotCache/pivotCacheRecords22.xml><?xml version="1.0" encoding="utf-8"?>
<pivotCacheRecords xmlns="http://schemas.openxmlformats.org/spreadsheetml/2006/main" xmlns:r="http://schemas.openxmlformats.org/officeDocument/2006/relationships" count="11">
  <r>
    <x v="0"/>
    <n v="21450"/>
    <n v="26975"/>
    <n v="21450"/>
    <m/>
    <n v="-5525"/>
  </r>
  <r>
    <x v="1"/>
    <n v="188580"/>
    <n v="162135"/>
    <n v="188580"/>
    <m/>
    <n v="26445"/>
  </r>
  <r>
    <x v="2"/>
    <n v="105060"/>
    <n v="114833"/>
    <n v="105060"/>
    <m/>
    <n v="-9773"/>
  </r>
  <r>
    <x v="3"/>
    <n v="133160"/>
    <n v="154562"/>
    <n v="133160"/>
    <m/>
    <n v="-21402"/>
  </r>
  <r>
    <x v="4"/>
    <n v="126385"/>
    <n v="173669"/>
    <n v="126385"/>
    <m/>
    <n v="-47284"/>
  </r>
  <r>
    <x v="5"/>
    <n v="164755"/>
    <n v="89496"/>
    <n v="164755"/>
    <m/>
    <n v="75259"/>
  </r>
  <r>
    <x v="6"/>
    <n v="173370"/>
    <n v="170293"/>
    <n v="173370"/>
    <m/>
    <n v="3077"/>
  </r>
  <r>
    <x v="7"/>
    <n v="229785"/>
    <n v="173935"/>
    <n v="229785"/>
    <m/>
    <n v="55850"/>
  </r>
  <r>
    <x v="8"/>
    <n v="171155"/>
    <n v="131986"/>
    <n v="171155"/>
    <m/>
    <n v="39169"/>
  </r>
  <r>
    <x v="9"/>
    <n v="178135"/>
    <n v="117139.5"/>
    <n v="178135"/>
    <m/>
    <n v="60995.5"/>
  </r>
  <r>
    <x v="10"/>
    <n v="139760"/>
    <n v="107266"/>
    <n v="139760"/>
    <m/>
    <n v="324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name="PivotTable1" cacheId="1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24:C33" firstHeaderRow="0" firstDataRow="1" firstDataCol="1"/>
  <pivotFields count="6">
    <pivotField axis="axisRow" showAll="0">
      <items count="13">
        <item x="0"/>
        <item x="1"/>
        <item x="2"/>
        <item x="3"/>
        <item x="4"/>
        <item x="5"/>
        <item x="6"/>
        <item x="7"/>
        <item h="1" x="8"/>
        <item h="1" x="9"/>
        <item h="1" x="10"/>
        <item h="1" x="11"/>
        <item t="default"/>
      </items>
    </pivotField>
    <pivotField dataField="1" showAll="0"/>
    <pivotField dataField="1" showAll="0"/>
    <pivotField showAll="0"/>
    <pivotField showAll="0"/>
    <pivotField showAll="0"/>
  </pivotFields>
  <rowFields count="1">
    <field x="0"/>
  </rowFields>
  <rowItems count="9">
    <i>
      <x/>
    </i>
    <i>
      <x v="1"/>
    </i>
    <i>
      <x v="2"/>
    </i>
    <i>
      <x v="3"/>
    </i>
    <i>
      <x v="4"/>
    </i>
    <i>
      <x v="5"/>
    </i>
    <i>
      <x v="6"/>
    </i>
    <i>
      <x v="7"/>
    </i>
    <i t="grand">
      <x/>
    </i>
  </rowItems>
  <colFields count="1">
    <field x="-2"/>
  </colFields>
  <colItems count="2">
    <i>
      <x/>
    </i>
    <i i="1">
      <x v="1"/>
    </i>
  </colItems>
  <dataFields count="2">
    <dataField name="Sum of Sales" fld="1" baseField="0" baseItem="0"/>
    <dataField name="Sum of Expences" fld="2" baseField="0" baseItem="0"/>
  </dataFields>
  <formats count="1">
    <format dxfId="25178">
      <pivotArea dataOnly="0" labelOnly="1" fieldPosition="0">
        <references count="1">
          <reference field="0" count="0"/>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5" cacheId="1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A2:C11" firstHeaderRow="0" firstDataRow="1" firstDataCol="1"/>
  <pivotFields count="6">
    <pivotField axis="axisRow" showAll="0">
      <items count="12">
        <item x="0"/>
        <item x="1"/>
        <item x="2"/>
        <item x="3"/>
        <item x="4"/>
        <item x="5"/>
        <item x="6"/>
        <item x="7"/>
        <item h="1" x="8"/>
        <item h="1" x="9"/>
        <item h="1" x="10"/>
        <item t="default"/>
      </items>
    </pivotField>
    <pivotField dataField="1" showAll="0"/>
    <pivotField showAll="0"/>
    <pivotField dataField="1" showAll="0"/>
    <pivotField showAll="0"/>
    <pivotField showAll="0"/>
  </pivotFields>
  <rowFields count="1">
    <field x="0"/>
  </rowFields>
  <rowItems count="9">
    <i>
      <x/>
    </i>
    <i>
      <x v="1"/>
    </i>
    <i>
      <x v="2"/>
    </i>
    <i>
      <x v="3"/>
    </i>
    <i>
      <x v="4"/>
    </i>
    <i>
      <x v="5"/>
    </i>
    <i>
      <x v="6"/>
    </i>
    <i>
      <x v="7"/>
    </i>
    <i t="grand">
      <x/>
    </i>
  </rowItems>
  <colFields count="1">
    <field x="-2"/>
  </colFields>
  <colItems count="2">
    <i>
      <x/>
    </i>
    <i i="1">
      <x v="1"/>
    </i>
  </colItems>
  <dataFields count="2">
    <dataField name="Sum of Ginger Kgs" fld="1" baseField="0" baseItem="0"/>
    <dataField name="Sum of Garlic Kgs" fld="3" baseField="0" baseItem="0"/>
  </dataFields>
  <formats count="1">
    <format dxfId="25179">
      <pivotArea dataOnly="0" labelOnly="1" fieldPosition="0">
        <references count="1">
          <reference field="0"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Raw Materials" cacheId="10" applyNumberFormats="0" applyBorderFormats="0" applyFontFormats="0" applyPatternFormats="0" applyAlignmentFormats="0" applyWidthHeightFormats="0" dataCaption="" updatedVersion="4" compact="0" compactData="0">
  <location ref="K8:M12" firstHeaderRow="1" firstDataRow="2" firstDataCol="1" rowPageCount="1" colPageCount="1"/>
  <pivotFields count="8">
    <pivotField name="Date" axis="axisPage" compact="0" numFmtId="14" outline="0" multipleItemSelectionAllowed="1" showAll="0">
      <items count="87">
        <item x="0"/>
        <item x="1"/>
        <item x="3"/>
        <item x="4"/>
        <item x="5"/>
        <item x="6"/>
        <item x="7"/>
        <item x="8"/>
        <item x="9"/>
        <item x="10"/>
        <item x="11"/>
        <item x="12"/>
        <item x="13"/>
        <item x="14"/>
        <item x="15"/>
        <item x="16"/>
        <item x="17"/>
        <item x="18"/>
        <item x="19"/>
        <item x="20"/>
        <item x="21"/>
        <item x="22"/>
        <item x="23"/>
        <item x="24"/>
        <item x="2"/>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Description" axis="axisRow" compact="0" outline="0" multipleItemSelectionAllowed="1" showAll="0" sortType="ascending">
      <items count="3">
        <item x="0"/>
        <item x="1"/>
        <item t="default"/>
      </items>
    </pivotField>
    <pivotField name="Supplier" compact="0" outline="0" multipleItemSelectionAllowed="1" showAll="0"/>
    <pivotField name="Kgs" dataField="1" compact="0" outline="0" multipleItemSelectionAllowed="1" showAll="0"/>
    <pivotField name="Unit Price" compact="0" numFmtId="8" outline="0" multipleItemSelectionAllowed="1" showAll="0"/>
    <pivotField name="Transportation" compact="0" outline="0" multipleItemSelectionAllowed="1" showAll="0"/>
    <pivotField name="Price" dataField="1" compact="0" numFmtId="8" outline="0" multipleItemSelectionAllowed="1" showAll="0"/>
    <pivotField compact="0" outline="0" subtotalTop="0" showAll="0" includeNewItemsInFilter="1" defaultSubtotal="0"/>
  </pivotFields>
  <rowFields count="1">
    <field x="1"/>
  </rowFields>
  <rowItems count="3">
    <i>
      <x/>
    </i>
    <i>
      <x v="1"/>
    </i>
    <i t="grand">
      <x/>
    </i>
  </rowItems>
  <colFields count="1">
    <field x="-2"/>
  </colFields>
  <colItems count="2">
    <i>
      <x/>
    </i>
    <i i="1">
      <x v="1"/>
    </i>
  </colItems>
  <pageFields count="1">
    <pageField fld="0" hier="-1"/>
  </pageFields>
  <dataFields count="2">
    <dataField name="Sum of Kgs" fld="3" baseField="0"/>
    <dataField name="Sum of Price" fld="6" baseField="0"/>
  </dataFields>
  <formats count="7">
    <format dxfId="25177">
      <pivotArea field="1" type="button" dataOnly="0" labelOnly="1" outline="0" axis="axisRow" fieldPosition="0"/>
    </format>
    <format dxfId="25176">
      <pivotArea dataOnly="0" labelOnly="1" outline="0" fieldPosition="0">
        <references count="1">
          <reference field="4294967294" count="2">
            <x v="0"/>
            <x v="1"/>
          </reference>
        </references>
      </pivotArea>
    </format>
    <format dxfId="25175">
      <pivotArea field="1" type="button" dataOnly="0" labelOnly="1" outline="0" axis="axisRow" fieldPosition="0"/>
    </format>
    <format dxfId="25174">
      <pivotArea dataOnly="0" labelOnly="1" outline="0" fieldPosition="0">
        <references count="1">
          <reference field="4294967294" count="2">
            <x v="0"/>
            <x v="1"/>
          </reference>
        </references>
      </pivotArea>
    </format>
    <format dxfId="25173">
      <pivotArea field="0" type="button" dataOnly="0" labelOnly="1" outline="0" axis="axisPage" fieldPosition="0"/>
    </format>
    <format dxfId="25172">
      <pivotArea outline="0" fieldPosition="0">
        <references count="2">
          <reference field="4294967294" count="1" selected="0">
            <x v="1"/>
          </reference>
          <reference field="1" count="2" selected="0">
            <x v="0"/>
            <x v="1"/>
          </reference>
        </references>
      </pivotArea>
    </format>
    <format dxfId="25171">
      <pivotArea field="1" grandRow="1" outline="0" axis="axisRow" fieldPosition="0">
        <references count="1">
          <reference field="4294967294" count="1" selected="0">
            <x v="1"/>
          </reference>
        </references>
      </pivotArea>
    </format>
  </formats>
  <pivotTableStyleInfo showRowHeaders="1" showColHeaders="1" showRowStripes="0" showColStripes="0" showLastColumn="1"/>
</pivotTableDefinition>
</file>

<file path=xl/pivotTables/pivotTable4.xml><?xml version="1.0" encoding="utf-8"?>
<pivotTableDefinition xmlns="http://schemas.openxmlformats.org/spreadsheetml/2006/main" name="PivotTable8" cacheId="7"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L143:P150" firstHeaderRow="0" firstDataRow="1" firstDataCol="1"/>
  <pivotFields count="5">
    <pivotField axis="axisRow" showAll="0">
      <items count="7">
        <item x="0"/>
        <item x="1"/>
        <item x="2"/>
        <item x="3"/>
        <item x="4"/>
        <item x="5"/>
        <item t="default"/>
      </items>
    </pivotField>
    <pivotField dataField="1" showAll="0"/>
    <pivotField dataField="1" showAll="0"/>
    <pivotField dataField="1" showAll="0"/>
    <pivotField dataField="1" showAll="0"/>
  </pivotFields>
  <rowFields count="1">
    <field x="0"/>
  </rowFields>
  <rowItems count="7">
    <i>
      <x/>
    </i>
    <i>
      <x v="1"/>
    </i>
    <i>
      <x v="2"/>
    </i>
    <i>
      <x v="3"/>
    </i>
    <i>
      <x v="4"/>
    </i>
    <i>
      <x v="5"/>
    </i>
    <i t="grand">
      <x/>
    </i>
  </rowItems>
  <colFields count="1">
    <field x="-2"/>
  </colFields>
  <colItems count="4">
    <i>
      <x/>
    </i>
    <i i="1">
      <x v="1"/>
    </i>
    <i i="2">
      <x v="2"/>
    </i>
    <i i="3">
      <x v="3"/>
    </i>
  </colItems>
  <dataFields count="4">
    <dataField name="Sum of Ginger Kgs" fld="1" baseField="0" baseItem="0"/>
    <dataField name="Sum of Garlic Kgs" fld="3" baseField="0" baseItem="0"/>
    <dataField name="Sum of Ginger cost" fld="2" baseField="0" baseItem="0"/>
    <dataField name="Sum of Garlic cos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K17:N45" firstHeaderRow="1" firstDataRow="2" firstDataCol="1"/>
  <pivotFields count="7">
    <pivotField axis="axisRow" showAll="0" measureFilter="1" nonAutoSortDefault="1" sumSubtotal="1">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89"/>
        <item x="48"/>
        <item x="49"/>
        <item x="51"/>
        <item x="50"/>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sum"/>
      </items>
    </pivotField>
    <pivotField axis="axisCol" showAll="0">
      <items count="7">
        <item x="0"/>
        <item x="1"/>
        <item h="1" x="3"/>
        <item h="1" x="2"/>
        <item h="1" m="1" x="5"/>
        <item h="1" m="1" x="4"/>
        <item t="default"/>
      </items>
    </pivotField>
    <pivotField showAll="0"/>
    <pivotField dataField="1" showAll="0"/>
    <pivotField showAll="0"/>
    <pivotField showAll="0"/>
    <pivotField showAll="0"/>
  </pivotFields>
  <rowFields count="1">
    <field x="0"/>
  </rowFields>
  <rowItems count="27">
    <i>
      <x v="3"/>
    </i>
    <i>
      <x v="7"/>
    </i>
    <i>
      <x v="11"/>
    </i>
    <i>
      <x v="16"/>
    </i>
    <i>
      <x v="20"/>
    </i>
    <i>
      <x v="23"/>
    </i>
    <i>
      <x v="25"/>
    </i>
    <i>
      <x v="27"/>
    </i>
    <i>
      <x v="36"/>
    </i>
    <i>
      <x v="42"/>
    </i>
    <i>
      <x v="45"/>
    </i>
    <i>
      <x v="51"/>
    </i>
    <i>
      <x v="53"/>
    </i>
    <i>
      <x v="57"/>
    </i>
    <i>
      <x v="58"/>
    </i>
    <i>
      <x v="59"/>
    </i>
    <i>
      <x v="60"/>
    </i>
    <i>
      <x v="61"/>
    </i>
    <i>
      <x v="67"/>
    </i>
    <i>
      <x v="68"/>
    </i>
    <i>
      <x v="72"/>
    </i>
    <i>
      <x v="76"/>
    </i>
    <i>
      <x v="78"/>
    </i>
    <i>
      <x v="80"/>
    </i>
    <i>
      <x v="81"/>
    </i>
    <i>
      <x v="89"/>
    </i>
    <i t="grand">
      <x/>
    </i>
  </rowItems>
  <colFields count="1">
    <field x="1"/>
  </colFields>
  <colItems count="3">
    <i>
      <x/>
    </i>
    <i>
      <x v="1"/>
    </i>
    <i t="grand">
      <x/>
    </i>
  </colItems>
  <dataFields count="1">
    <dataField name="Count of Kgs" fld="3" subtotal="count" baseField="0" baseItem="0"/>
  </dataFields>
  <pivotTableStyleInfo name="PivotStyleLight16" showRowHeaders="1" showColHeaders="1" showRowStripes="0" showColStripes="0" showLastColumn="1"/>
  <filters count="1">
    <filter fld="0" type="count" evalOrder="-1" id="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0"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J6:L16" firstHeaderRow="0" firstDataRow="1" firstDataCol="1"/>
  <pivotFields count="7">
    <pivotField showAll="0"/>
    <pivotField showAll="0"/>
    <pivotField axis="axisRow" showAll="0">
      <items count="10">
        <item x="2"/>
        <item x="4"/>
        <item x="3"/>
        <item x="0"/>
        <item x="8"/>
        <item x="5"/>
        <item x="1"/>
        <item x="6"/>
        <item x="7"/>
        <item t="default"/>
      </items>
    </pivotField>
    <pivotField dataField="1" showAll="0"/>
    <pivotField dataField="1" showAll="0"/>
    <pivotField showAll="0"/>
    <pivotField showAll="0"/>
  </pivotFields>
  <rowFields count="1">
    <field x="2"/>
  </rowFields>
  <rowItems count="10">
    <i>
      <x/>
    </i>
    <i>
      <x v="1"/>
    </i>
    <i>
      <x v="2"/>
    </i>
    <i>
      <x v="3"/>
    </i>
    <i>
      <x v="4"/>
    </i>
    <i>
      <x v="5"/>
    </i>
    <i>
      <x v="6"/>
    </i>
    <i>
      <x v="7"/>
    </i>
    <i>
      <x v="8"/>
    </i>
    <i t="grand">
      <x/>
    </i>
  </rowItems>
  <colFields count="1">
    <field x="-2"/>
  </colFields>
  <colItems count="2">
    <i>
      <x/>
    </i>
    <i i="1">
      <x v="1"/>
    </i>
  </colItems>
  <dataFields count="2">
    <dataField name="Sum of Sales" fld="3" baseField="2" baseItem="0" numFmtId="164"/>
    <dataField name="Sum of Expences" fld="4" baseField="2" baseItem="0" numFmtId="164"/>
  </dataFields>
  <formats count="2">
    <format dxfId="25170">
      <pivotArea outline="0" collapsedLevelsAreSubtotals="1" fieldPosition="0">
        <references count="1">
          <reference field="4294967294" count="1" selected="0">
            <x v="0"/>
          </reference>
        </references>
      </pivotArea>
    </format>
    <format dxfId="25169">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I11:K24" firstHeaderRow="0" firstDataRow="1" firstDataCol="1"/>
  <pivotFields count="7">
    <pivotField showAll="0"/>
    <pivotField showAll="0"/>
    <pivotField axis="axisRow" showAll="0">
      <items count="13">
        <item x="8"/>
        <item x="3"/>
        <item x="6"/>
        <item x="4"/>
        <item x="1"/>
        <item x="0"/>
        <item x="9"/>
        <item x="5"/>
        <item x="7"/>
        <item x="2"/>
        <item x="11"/>
        <item x="10"/>
        <item t="default"/>
      </items>
    </pivotField>
    <pivotField dataField="1" showAll="0"/>
    <pivotField dataField="1" showAll="0"/>
    <pivotField showAll="0"/>
    <pivotField showAll="0"/>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3" baseField="2" baseItem="11" numFmtId="164"/>
    <dataField name="Sum of Expences" fld="4" baseField="2" baseItem="11" numFmtId="164"/>
  </dataFields>
  <formats count="13">
    <format dxfId="25168">
      <pivotArea outline="0" collapsedLevelsAreSubtotals="1" fieldPosition="0">
        <references count="1">
          <reference field="4294967294" count="1" selected="0">
            <x v="0"/>
          </reference>
        </references>
      </pivotArea>
    </format>
    <format dxfId="25167">
      <pivotArea outline="0" collapsedLevelsAreSubtotals="1" fieldPosition="0">
        <references count="1">
          <reference field="4294967294" count="1" selected="0">
            <x v="1"/>
          </reference>
        </references>
      </pivotArea>
    </format>
    <format dxfId="25166">
      <pivotArea type="all" dataOnly="0" outline="0" fieldPosition="0"/>
    </format>
    <format dxfId="25165">
      <pivotArea field="2" type="button" dataOnly="0" labelOnly="1" outline="0" axis="axisRow" fieldPosition="0"/>
    </format>
    <format dxfId="25164">
      <pivotArea dataOnly="0" labelOnly="1" outline="0" fieldPosition="0">
        <references count="1">
          <reference field="4294967294" count="2">
            <x v="0"/>
            <x v="1"/>
          </reference>
        </references>
      </pivotArea>
    </format>
    <format dxfId="25163">
      <pivotArea grandRow="1" outline="0" collapsedLevelsAreSubtotals="1" fieldPosition="0"/>
    </format>
    <format dxfId="25162">
      <pivotArea dataOnly="0" labelOnly="1" grandRow="1" outline="0" fieldPosition="0"/>
    </format>
    <format dxfId="25161">
      <pivotArea field="2" type="button" dataOnly="0" labelOnly="1" outline="0" axis="axisRow" fieldPosition="0"/>
    </format>
    <format dxfId="25160">
      <pivotArea dataOnly="0" labelOnly="1" outline="0" fieldPosition="0">
        <references count="1">
          <reference field="4294967294" count="2">
            <x v="0"/>
            <x v="1"/>
          </reference>
        </references>
      </pivotArea>
    </format>
    <format dxfId="25159">
      <pivotArea dataOnly="0" labelOnly="1" fieldPosition="0">
        <references count="1">
          <reference field="2" count="11">
            <x v="1"/>
            <x v="2"/>
            <x v="3"/>
            <x v="4"/>
            <x v="5"/>
            <x v="6"/>
            <x v="7"/>
            <x v="8"/>
            <x v="9"/>
            <x v="10"/>
            <x v="11"/>
          </reference>
        </references>
      </pivotArea>
    </format>
    <format dxfId="25158">
      <pivotArea dataOnly="0" labelOnly="1" fieldPosition="0">
        <references count="1">
          <reference field="2" count="1">
            <x v="0"/>
          </reference>
        </references>
      </pivotArea>
    </format>
    <format dxfId="25157">
      <pivotArea dataOnly="0" labelOnly="1" fieldPosition="0">
        <references count="1">
          <reference field="2" count="0"/>
        </references>
      </pivotArea>
    </format>
    <format dxfId="25156">
      <pivotArea dataOnly="0" labelOnly="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I10:K22" firstHeaderRow="0" firstDataRow="1" firstDataCol="1"/>
  <pivotFields count="7">
    <pivotField showAll="0"/>
    <pivotField showAll="0"/>
    <pivotField axis="axisRow" showAll="0">
      <items count="12">
        <item x="0"/>
        <item x="10"/>
        <item x="1"/>
        <item x="2"/>
        <item x="3"/>
        <item x="4"/>
        <item x="5"/>
        <item x="6"/>
        <item x="7"/>
        <item x="8"/>
        <item x="9"/>
        <item t="default"/>
      </items>
    </pivotField>
    <pivotField dataField="1" showAll="0"/>
    <pivotField dataField="1" showAll="0"/>
    <pivotField showAll="0"/>
    <pivotField showAll="0"/>
  </pivotFields>
  <rowFields count="1">
    <field x="2"/>
  </rowFields>
  <rowItems count="12">
    <i>
      <x/>
    </i>
    <i>
      <x v="1"/>
    </i>
    <i>
      <x v="2"/>
    </i>
    <i>
      <x v="3"/>
    </i>
    <i>
      <x v="4"/>
    </i>
    <i>
      <x v="5"/>
    </i>
    <i>
      <x v="6"/>
    </i>
    <i>
      <x v="7"/>
    </i>
    <i>
      <x v="8"/>
    </i>
    <i>
      <x v="9"/>
    </i>
    <i>
      <x v="10"/>
    </i>
    <i t="grand">
      <x/>
    </i>
  </rowItems>
  <colFields count="1">
    <field x="-2"/>
  </colFields>
  <colItems count="2">
    <i>
      <x/>
    </i>
    <i i="1">
      <x v="1"/>
    </i>
  </colItems>
  <dataFields count="2">
    <dataField name="Sum of Sales" fld="3" baseField="2" baseItem="11"/>
    <dataField name="Sum of Expences" fld="4" baseField="2" baseItem="11"/>
  </dataFields>
  <formats count="4">
    <format dxfId="25155">
      <pivotArea collapsedLevelsAreSubtotals="1" fieldPosition="0">
        <references count="2">
          <reference field="4294967294" count="1" selected="0">
            <x v="1"/>
          </reference>
          <reference field="2" count="0"/>
        </references>
      </pivotArea>
    </format>
    <format dxfId="25154">
      <pivotArea field="2" grandRow="1" outline="0" collapsedLevelsAreSubtotals="1" axis="axisRow" fieldPosition="0">
        <references count="1">
          <reference field="4294967294" count="1" selected="0">
            <x v="0"/>
          </reference>
        </references>
      </pivotArea>
    </format>
    <format dxfId="25153">
      <pivotArea field="2" grandRow="1" outline="0" collapsedLevelsAreSubtotals="1" axis="axisRow" fieldPosition="0">
        <references count="1">
          <reference field="4294967294" count="1" selected="0">
            <x v="1"/>
          </reference>
        </references>
      </pivotArea>
    </format>
    <format dxfId="25152">
      <pivotArea collapsedLevelsAreSubtotals="1" fieldPosition="0">
        <references count="2">
          <reference field="4294967294" count="1" selected="0">
            <x v="0"/>
          </reference>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I11:K22" firstHeaderRow="0" firstDataRow="1" firstDataCol="1"/>
  <pivotFields count="6">
    <pivotField showAll="0"/>
    <pivotField showAll="0"/>
    <pivotField axis="axisRow" showAll="0">
      <items count="12">
        <item x="0"/>
        <item h="1" m="1" x="10"/>
        <item x="1"/>
        <item x="2"/>
        <item x="3"/>
        <item x="5"/>
        <item x="6"/>
        <item x="4"/>
        <item x="7"/>
        <item x="9"/>
        <item x="8"/>
        <item t="default"/>
      </items>
    </pivotField>
    <pivotField dataField="1" showAll="0"/>
    <pivotField dataField="1" showAll="0"/>
    <pivotField showAll="0"/>
  </pivotFields>
  <rowFields count="1">
    <field x="2"/>
  </rowFields>
  <rowItems count="11">
    <i>
      <x/>
    </i>
    <i>
      <x v="2"/>
    </i>
    <i>
      <x v="3"/>
    </i>
    <i>
      <x v="4"/>
    </i>
    <i>
      <x v="5"/>
    </i>
    <i>
      <x v="6"/>
    </i>
    <i>
      <x v="7"/>
    </i>
    <i>
      <x v="8"/>
    </i>
    <i>
      <x v="9"/>
    </i>
    <i>
      <x v="10"/>
    </i>
    <i t="grand">
      <x/>
    </i>
  </rowItems>
  <colFields count="1">
    <field x="-2"/>
  </colFields>
  <colItems count="2">
    <i>
      <x/>
    </i>
    <i i="1">
      <x v="1"/>
    </i>
  </colItems>
  <dataFields count="2">
    <dataField name="Sum of Sales" fld="3" baseField="2" baseItem="11"/>
    <dataField name="Sum of Expences" fld="4" baseField="2" baseItem="11"/>
  </dataFields>
  <formats count="4">
    <format dxfId="25151">
      <pivotArea collapsedLevelsAreSubtotals="1" fieldPosition="0">
        <references count="2">
          <reference field="4294967294" count="1" selected="0">
            <x v="1"/>
          </reference>
          <reference field="2" count="0"/>
        </references>
      </pivotArea>
    </format>
    <format dxfId="25150">
      <pivotArea field="2" grandRow="1" outline="0" collapsedLevelsAreSubtotals="1" axis="axisRow" fieldPosition="0">
        <references count="1">
          <reference field="4294967294" count="1" selected="0">
            <x v="0"/>
          </reference>
        </references>
      </pivotArea>
    </format>
    <format dxfId="25149">
      <pivotArea field="2" grandRow="1" outline="0" collapsedLevelsAreSubtotals="1" axis="axisRow" fieldPosition="0">
        <references count="1">
          <reference field="4294967294" count="1" selected="0">
            <x v="1"/>
          </reference>
        </references>
      </pivotArea>
    </format>
    <format dxfId="25148">
      <pivotArea collapsedLevelsAreSubtotals="1" fieldPosition="0">
        <references count="2">
          <reference field="4294967294" count="1" selected="0">
            <x v="0"/>
          </reference>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J11:L22" firstHeaderRow="0" firstDataRow="1" firstDataCol="1"/>
  <pivotFields count="7">
    <pivotField showAll="0"/>
    <pivotField showAll="0"/>
    <pivotField axis="axisRow" showAll="0">
      <items count="12">
        <item x="0"/>
        <item h="1" x="10"/>
        <item x="1"/>
        <item x="2"/>
        <item x="3"/>
        <item x="4"/>
        <item x="5"/>
        <item x="7"/>
        <item x="6"/>
        <item x="8"/>
        <item x="9"/>
        <item t="default"/>
      </items>
    </pivotField>
    <pivotField dataField="1" showAll="0"/>
    <pivotField dataField="1" showAll="0"/>
    <pivotField showAll="0" defaultSubtotal="0"/>
    <pivotField showAll="0"/>
  </pivotFields>
  <rowFields count="1">
    <field x="2"/>
  </rowFields>
  <rowItems count="11">
    <i>
      <x/>
    </i>
    <i>
      <x v="2"/>
    </i>
    <i>
      <x v="3"/>
    </i>
    <i>
      <x v="4"/>
    </i>
    <i>
      <x v="5"/>
    </i>
    <i>
      <x v="6"/>
    </i>
    <i>
      <x v="7"/>
    </i>
    <i>
      <x v="8"/>
    </i>
    <i>
      <x v="9"/>
    </i>
    <i>
      <x v="10"/>
    </i>
    <i t="grand">
      <x/>
    </i>
  </rowItems>
  <colFields count="1">
    <field x="-2"/>
  </colFields>
  <colItems count="2">
    <i>
      <x/>
    </i>
    <i i="1">
      <x v="1"/>
    </i>
  </colItems>
  <dataFields count="2">
    <dataField name="Sum of Sales" fld="3" baseField="2" baseItem="11"/>
    <dataField name="Sum of Expences" fld="4" baseField="2" baseItem="11"/>
  </dataFields>
  <formats count="5">
    <format dxfId="25147">
      <pivotArea collapsedLevelsAreSubtotals="1" fieldPosition="0">
        <references count="2">
          <reference field="4294967294" count="1" selected="0">
            <x v="1"/>
          </reference>
          <reference field="2" count="0"/>
        </references>
      </pivotArea>
    </format>
    <format dxfId="25146">
      <pivotArea field="2" grandRow="1" outline="0" collapsedLevelsAreSubtotals="1" axis="axisRow" fieldPosition="0">
        <references count="1">
          <reference field="4294967294" count="1" selected="0">
            <x v="0"/>
          </reference>
        </references>
      </pivotArea>
    </format>
    <format dxfId="25145">
      <pivotArea field="2" grandRow="1" outline="0" collapsedLevelsAreSubtotals="1" axis="axisRow" fieldPosition="0">
        <references count="1">
          <reference field="4294967294" count="1" selected="0">
            <x v="1"/>
          </reference>
        </references>
      </pivotArea>
    </format>
    <format dxfId="25144">
      <pivotArea collapsedLevelsAreSubtotals="1" fieldPosition="0">
        <references count="2">
          <reference field="4294967294" count="1" selected="0">
            <x v="0"/>
          </reference>
          <reference field="2" count="0"/>
        </references>
      </pivotArea>
    </format>
    <format dxfId="25143">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6"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O28:Q43" firstHeaderRow="0" firstDataRow="1" firstDataCol="1"/>
  <pivotFields count="12">
    <pivotField showAll="0"/>
    <pivotField showAll="0"/>
    <pivotField axis="axisRow" showAll="0">
      <items count="16">
        <item x="0"/>
        <item h="1" m="1" x="14"/>
        <item x="1"/>
        <item x="2"/>
        <item x="3"/>
        <item x="4"/>
        <item x="5"/>
        <item x="6"/>
        <item x="7"/>
        <item x="8"/>
        <item x="9"/>
        <item x="10"/>
        <item x="11"/>
        <item x="12"/>
        <item x="13"/>
        <item t="default"/>
      </items>
    </pivotField>
    <pivotField dataField="1" showAll="0"/>
    <pivotField dataField="1" showAll="0"/>
    <pivotField showAll="0" defaultSubtotal="0"/>
    <pivotField showAll="0" defaultSubtotal="0"/>
    <pivotField showAll="0" defaultSubtotal="0"/>
    <pivotField showAll="0" defaultSubtotal="0"/>
    <pivotField showAll="0" defaultSubtotal="0"/>
    <pivotField showAll="0" defaultSubtotal="0"/>
    <pivotField showAll="0"/>
  </pivotFields>
  <rowFields count="1">
    <field x="2"/>
  </rowFields>
  <rowItems count="15">
    <i>
      <x/>
    </i>
    <i>
      <x v="2"/>
    </i>
    <i>
      <x v="3"/>
    </i>
    <i>
      <x v="4"/>
    </i>
    <i>
      <x v="5"/>
    </i>
    <i>
      <x v="6"/>
    </i>
    <i>
      <x v="7"/>
    </i>
    <i>
      <x v="8"/>
    </i>
    <i>
      <x v="9"/>
    </i>
    <i>
      <x v="10"/>
    </i>
    <i>
      <x v="11"/>
    </i>
    <i>
      <x v="12"/>
    </i>
    <i>
      <x v="13"/>
    </i>
    <i>
      <x v="14"/>
    </i>
    <i t="grand">
      <x/>
    </i>
  </rowItems>
  <colFields count="1">
    <field x="-2"/>
  </colFields>
  <colItems count="2">
    <i>
      <x/>
    </i>
    <i i="1">
      <x v="1"/>
    </i>
  </colItems>
  <dataFields count="2">
    <dataField name="Sum of Sales" fld="3" baseField="2" baseItem="11"/>
    <dataField name="Sum of Expences" fld="4" baseField="2" baseItem="11"/>
  </dataFields>
  <formats count="4">
    <format dxfId="25130">
      <pivotArea collapsedLevelsAreSubtotals="1" fieldPosition="0">
        <references count="2">
          <reference field="4294967294" count="1" selected="0">
            <x v="1"/>
          </reference>
          <reference field="2" count="0"/>
        </references>
      </pivotArea>
    </format>
    <format dxfId="25129">
      <pivotArea field="2" grandRow="1" outline="0" collapsedLevelsAreSubtotals="1" axis="axisRow" fieldPosition="0">
        <references count="1">
          <reference field="4294967294" count="1" selected="0">
            <x v="0"/>
          </reference>
        </references>
      </pivotArea>
    </format>
    <format dxfId="25128">
      <pivotArea field="2" grandRow="1" outline="0" collapsedLevelsAreSubtotals="1" axis="axisRow" fieldPosition="0">
        <references count="1">
          <reference field="4294967294" count="1" selected="0">
            <x v="1"/>
          </reference>
        </references>
      </pivotArea>
    </format>
    <format dxfId="25127">
      <pivotArea collapsedLevelsAreSubtotals="1" fieldPosition="0">
        <references count="2">
          <reference field="4294967294" count="1" selected="0">
            <x v="0"/>
          </reference>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4" cacheId="1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O52:P91" firstHeaderRow="1" firstDataRow="1" firstDataCol="1"/>
  <pivotFields count="13">
    <pivotField showAll="0"/>
    <pivotField showAll="0"/>
    <pivotField showAll="0"/>
    <pivotField dataField="1" showAll="0"/>
    <pivotField showAll="0"/>
    <pivotField axis="axisRow" showAll="0">
      <items count="39">
        <item x="9"/>
        <item x="29"/>
        <item x="10"/>
        <item x="32"/>
        <item x="3"/>
        <item x="27"/>
        <item x="22"/>
        <item x="12"/>
        <item x="31"/>
        <item x="7"/>
        <item x="1"/>
        <item x="8"/>
        <item x="18"/>
        <item x="11"/>
        <item x="24"/>
        <item x="4"/>
        <item x="14"/>
        <item x="16"/>
        <item x="2"/>
        <item x="15"/>
        <item x="23"/>
        <item x="20"/>
        <item x="5"/>
        <item x="33"/>
        <item x="28"/>
        <item x="6"/>
        <item x="19"/>
        <item x="26"/>
        <item x="17"/>
        <item x="25"/>
        <item x="30"/>
        <item x="13"/>
        <item x="21"/>
        <item x="0"/>
        <item x="34"/>
        <item x="35"/>
        <item x="36"/>
        <item x="37"/>
        <item t="default"/>
      </items>
    </pivotField>
    <pivotField showAll="0"/>
    <pivotField showAll="0"/>
    <pivotField showAll="0"/>
    <pivotField showAll="0"/>
    <pivotField showAll="0"/>
    <pivotField showAll="0"/>
    <pivotField showAll="0"/>
  </pivotFields>
  <rowFields count="1">
    <field x="5"/>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Items count="1">
    <i/>
  </colItems>
  <dataFields count="1">
    <dataField name="Sum of Sales" fld="3"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 cacheId="1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O28:Q43" firstHeaderRow="0" firstDataRow="1" firstDataCol="1"/>
  <pivotFields count="12">
    <pivotField showAll="0"/>
    <pivotField axis="axisRow" showAll="0">
      <items count="17">
        <item x="0"/>
        <item h="1" x="15"/>
        <item x="1"/>
        <item x="2"/>
        <item x="3"/>
        <item x="4"/>
        <item x="5"/>
        <item x="6"/>
        <item x="7"/>
        <item x="8"/>
        <item x="9"/>
        <item x="10"/>
        <item x="11"/>
        <item x="12"/>
        <item x="13"/>
        <item h="1" x="14"/>
        <item t="default"/>
      </items>
    </pivotField>
    <pivotField dataField="1" showAll="0"/>
    <pivotField dataField="1" showAll="0"/>
    <pivotField showAll="0" defaultSubtotal="0"/>
    <pivotField showAll="0" defaultSubtotal="0"/>
    <pivotField showAll="0" defaultSubtotal="0"/>
    <pivotField showAll="0" defaultSubtotal="0"/>
    <pivotField showAll="0" defaultSubtotal="0"/>
    <pivotField showAll="0" defaultSubtotal="0"/>
    <pivotField showAll="0"/>
    <pivotField showAll="0" defaultSubtotal="0"/>
  </pivotFields>
  <rowFields count="1">
    <field x="1"/>
  </rowFields>
  <rowItems count="15">
    <i>
      <x/>
    </i>
    <i>
      <x v="2"/>
    </i>
    <i>
      <x v="3"/>
    </i>
    <i>
      <x v="4"/>
    </i>
    <i>
      <x v="5"/>
    </i>
    <i>
      <x v="6"/>
    </i>
    <i>
      <x v="7"/>
    </i>
    <i>
      <x v="8"/>
    </i>
    <i>
      <x v="9"/>
    </i>
    <i>
      <x v="10"/>
    </i>
    <i>
      <x v="11"/>
    </i>
    <i>
      <x v="12"/>
    </i>
    <i>
      <x v="13"/>
    </i>
    <i>
      <x v="14"/>
    </i>
    <i t="grand">
      <x/>
    </i>
  </rowItems>
  <colFields count="1">
    <field x="-2"/>
  </colFields>
  <colItems count="2">
    <i>
      <x/>
    </i>
    <i i="1">
      <x v="1"/>
    </i>
  </colItems>
  <dataFields count="2">
    <dataField name="Sum of Sales" fld="2" baseField="2" baseItem="11"/>
    <dataField name="Sum of Expences" fld="3" baseField="2" baseItem="11"/>
  </dataFields>
  <formats count="5">
    <format dxfId="25110">
      <pivotArea collapsedLevelsAreSubtotals="1" fieldPosition="0">
        <references count="2">
          <reference field="4294967294" count="1" selected="0">
            <x v="1"/>
          </reference>
          <reference field="1" count="0"/>
        </references>
      </pivotArea>
    </format>
    <format dxfId="25109">
      <pivotArea field="1" grandRow="1" outline="0" collapsedLevelsAreSubtotals="1" axis="axisRow" fieldPosition="0">
        <references count="1">
          <reference field="4294967294" count="1" selected="0">
            <x v="0"/>
          </reference>
        </references>
      </pivotArea>
    </format>
    <format dxfId="25108">
      <pivotArea field="1" grandRow="1" outline="0" collapsedLevelsAreSubtotals="1" axis="axisRow" fieldPosition="0">
        <references count="1">
          <reference field="4294967294" count="1" selected="0">
            <x v="1"/>
          </reference>
        </references>
      </pivotArea>
    </format>
    <format dxfId="25107">
      <pivotArea collapsedLevelsAreSubtotals="1" fieldPosition="0">
        <references count="2">
          <reference field="4294967294" count="1" selected="0">
            <x v="0"/>
          </reference>
          <reference field="1" count="0"/>
        </references>
      </pivotArea>
    </format>
    <format dxfId="25106">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1" cacheId="16"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O28:Q42" firstHeaderRow="0" firstDataRow="1" firstDataCol="1"/>
  <pivotFields count="13">
    <pivotField showAll="0" defaultSubtotal="0"/>
    <pivotField showAll="0"/>
    <pivotField axis="axisRow" showAll="0">
      <items count="19">
        <item x="0"/>
        <item h="1" m="1" x="17"/>
        <item x="1"/>
        <item x="2"/>
        <item x="3"/>
        <item x="4"/>
        <item x="5"/>
        <item x="6"/>
        <item x="7"/>
        <item x="8"/>
        <item x="9"/>
        <item x="10"/>
        <item x="11"/>
        <item x="12"/>
        <item h="1" x="13"/>
        <item h="1" x="14"/>
        <item h="1" x="15"/>
        <item h="1" x="16"/>
        <item t="default"/>
      </items>
    </pivotField>
    <pivotField dataField="1" showAll="0"/>
    <pivotField dataField="1" showAl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s>
  <rowFields count="1">
    <field x="2"/>
  </rowFields>
  <rowItems count="14">
    <i>
      <x/>
    </i>
    <i>
      <x v="2"/>
    </i>
    <i>
      <x v="3"/>
    </i>
    <i>
      <x v="4"/>
    </i>
    <i>
      <x v="5"/>
    </i>
    <i>
      <x v="6"/>
    </i>
    <i>
      <x v="7"/>
    </i>
    <i>
      <x v="8"/>
    </i>
    <i>
      <x v="9"/>
    </i>
    <i>
      <x v="10"/>
    </i>
    <i>
      <x v="11"/>
    </i>
    <i>
      <x v="12"/>
    </i>
    <i>
      <x v="13"/>
    </i>
    <i t="grand">
      <x/>
    </i>
  </rowItems>
  <colFields count="1">
    <field x="-2"/>
  </colFields>
  <colItems count="2">
    <i>
      <x/>
    </i>
    <i i="1">
      <x v="1"/>
    </i>
  </colItems>
  <dataFields count="2">
    <dataField name="Sum of Sales" fld="3" baseField="2" baseItem="11"/>
    <dataField name="Sum of Expences" fld="4" baseField="2" baseItem="11"/>
  </dataFields>
  <formats count="5">
    <format dxfId="25086">
      <pivotArea collapsedLevelsAreSubtotals="1" fieldPosition="0">
        <references count="2">
          <reference field="4294967294" count="1" selected="0">
            <x v="1"/>
          </reference>
          <reference field="2" count="0"/>
        </references>
      </pivotArea>
    </format>
    <format dxfId="25085">
      <pivotArea field="2" grandRow="1" outline="0" collapsedLevelsAreSubtotals="1" axis="axisRow" fieldPosition="0">
        <references count="1">
          <reference field="4294967294" count="1" selected="0">
            <x v="0"/>
          </reference>
        </references>
      </pivotArea>
    </format>
    <format dxfId="25084">
      <pivotArea field="2" grandRow="1" outline="0" collapsedLevelsAreSubtotals="1" axis="axisRow" fieldPosition="0">
        <references count="1">
          <reference field="4294967294" count="1" selected="0">
            <x v="1"/>
          </reference>
        </references>
      </pivotArea>
    </format>
    <format dxfId="25083">
      <pivotArea collapsedLevelsAreSubtotals="1" fieldPosition="0">
        <references count="2">
          <reference field="4294967294" count="1" selected="0">
            <x v="0"/>
          </reference>
          <reference field="2" count="0"/>
        </references>
      </pivotArea>
    </format>
    <format dxfId="25082">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4" cacheId="15"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O52:P92" firstHeaderRow="1" firstDataRow="1" firstDataCol="1"/>
  <pivotFields count="11">
    <pivotField showAll="0"/>
    <pivotField showAll="0"/>
    <pivotField showAll="0"/>
    <pivotField dataField="1" showAll="0"/>
    <pivotField showAll="0"/>
    <pivotField axis="axisRow" showAll="0">
      <items count="40">
        <item x="0"/>
        <item x="1"/>
        <item x="2"/>
        <item x="3"/>
        <item x="4"/>
        <item x="5"/>
        <item x="6"/>
        <item x="7"/>
        <item x="8"/>
        <item x="9"/>
        <item x="10"/>
        <item x="11"/>
        <item x="12"/>
        <item x="13"/>
        <item x="14"/>
        <item x="15"/>
        <item x="16"/>
        <item x="17"/>
        <item x="18"/>
        <item x="19"/>
        <item x="20"/>
        <item x="21"/>
        <item x="22"/>
        <item x="23"/>
        <item x="24"/>
        <item x="26"/>
        <item x="27"/>
        <item x="25"/>
        <item x="28"/>
        <item x="29"/>
        <item x="30"/>
        <item x="31"/>
        <item x="32"/>
        <item x="33"/>
        <item x="34"/>
        <item x="35"/>
        <item x="36"/>
        <item x="37"/>
        <item x="38"/>
        <item t="default"/>
      </items>
    </pivotField>
    <pivotField showAll="0"/>
    <pivotField showAll="0"/>
    <pivotField showAll="0"/>
    <pivotField showAll="0"/>
    <pivotField showAll="0"/>
  </pivotFields>
  <rowFields count="1">
    <field x="5"/>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Sum of Sales" fld="3" baseField="5" baseItem="0" numFmtId="164"/>
  </dataFields>
  <formats count="3">
    <format dxfId="25089">
      <pivotArea outline="0" collapsedLevelsAreSubtotals="1" fieldPosition="0"/>
    </format>
    <format dxfId="25088">
      <pivotArea dataOnly="0" labelOnly="1" outline="0" axis="axisValues" fieldPosition="0"/>
    </format>
    <format dxfId="25087">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4" cacheId="17"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O52:P91" firstHeaderRow="1" firstDataRow="1" firstDataCol="1"/>
  <pivotFields count="11">
    <pivotField showAll="0"/>
    <pivotField showAll="0"/>
    <pivotField showAll="0"/>
    <pivotField dataField="1" showAll="0"/>
    <pivotField showAll="0"/>
    <pivotField axis="axisRow" showAll="0">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showAll="0"/>
    <pivotField showAll="0"/>
    <pivotField showAll="0"/>
    <pivotField showAll="0"/>
    <pivotField showAll="0"/>
  </pivotFields>
  <rowFields count="1">
    <field x="5"/>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Items count="1">
    <i/>
  </colItems>
  <dataFields count="1">
    <dataField name="Sum of Sales" fld="3" baseField="5" baseItem="0" numFmtId="164"/>
  </dataFields>
  <formats count="3">
    <format dxfId="25060">
      <pivotArea outline="0" collapsedLevelsAreSubtotals="1" fieldPosition="0"/>
    </format>
    <format dxfId="25059">
      <pivotArea dataOnly="0" labelOnly="1" outline="0" axis="axisValues" fieldPosition="0"/>
    </format>
    <format dxfId="25058">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1" cacheId="1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O28:Q45" firstHeaderRow="0" firstDataRow="1" firstDataCol="1"/>
  <pivotFields count="13">
    <pivotField showAll="0" defaultSubtotal="0"/>
    <pivotField showAll="0"/>
    <pivotField axis="axisRow" showAll="0">
      <items count="17">
        <item x="0"/>
        <item x="12"/>
        <item x="1"/>
        <item x="2"/>
        <item x="3"/>
        <item x="4"/>
        <item x="5"/>
        <item x="6"/>
        <item x="7"/>
        <item x="8"/>
        <item x="9"/>
        <item x="10"/>
        <item x="11"/>
        <item x="13"/>
        <item x="14"/>
        <item x="15"/>
        <item t="default"/>
      </items>
    </pivotField>
    <pivotField dataField="1" showAll="0"/>
    <pivotField dataField="1" showAl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s>
  <rowFields count="1">
    <field x="2"/>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Sum of Sales" fld="3" baseField="2" baseItem="11"/>
    <dataField name="Sum of Expences" fld="4" baseField="2" baseItem="11"/>
  </dataFields>
  <formats count="5">
    <format dxfId="25065">
      <pivotArea collapsedLevelsAreSubtotals="1" fieldPosition="0">
        <references count="2">
          <reference field="4294967294" count="1" selected="0">
            <x v="1"/>
          </reference>
          <reference field="2" count="0"/>
        </references>
      </pivotArea>
    </format>
    <format dxfId="25064">
      <pivotArea field="2" grandRow="1" outline="0" collapsedLevelsAreSubtotals="1" axis="axisRow" fieldPosition="0">
        <references count="1">
          <reference field="4294967294" count="1" selected="0">
            <x v="0"/>
          </reference>
        </references>
      </pivotArea>
    </format>
    <format dxfId="25063">
      <pivotArea field="2" grandRow="1" outline="0" collapsedLevelsAreSubtotals="1" axis="axisRow" fieldPosition="0">
        <references count="1">
          <reference field="4294967294" count="1" selected="0">
            <x v="1"/>
          </reference>
        </references>
      </pivotArea>
    </format>
    <format dxfId="25062">
      <pivotArea collapsedLevelsAreSubtotals="1" fieldPosition="0">
        <references count="2">
          <reference field="4294967294" count="1" selected="0">
            <x v="0"/>
          </reference>
          <reference field="2" count="0"/>
        </references>
      </pivotArea>
    </format>
    <format dxfId="25061">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1" cacheId="1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O29:Q44" firstHeaderRow="0" firstDataRow="1" firstDataCol="1"/>
  <pivotFields count="13">
    <pivotField showAll="0" defaultSubtotal="0"/>
    <pivotField showAll="0"/>
    <pivotField axis="axisRow" showAll="0">
      <items count="15">
        <item x="0"/>
        <item x="11"/>
        <item x="1"/>
        <item x="2"/>
        <item x="3"/>
        <item x="4"/>
        <item x="5"/>
        <item x="7"/>
        <item x="8"/>
        <item x="9"/>
        <item x="10"/>
        <item x="6"/>
        <item x="13"/>
        <item x="12"/>
        <item t="default"/>
      </items>
    </pivotField>
    <pivotField dataField="1" showAll="0"/>
    <pivotField dataField="1" showAl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s>
  <rowFields count="1">
    <field x="2"/>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Sum of Sales" fld="3" baseField="2" baseItem="11"/>
    <dataField name="Sum of Expences" fld="4" baseField="2" baseItem="11"/>
  </dataFields>
  <formats count="5">
    <format dxfId="25038">
      <pivotArea collapsedLevelsAreSubtotals="1" fieldPosition="0">
        <references count="2">
          <reference field="4294967294" count="1" selected="0">
            <x v="1"/>
          </reference>
          <reference field="2" count="0"/>
        </references>
      </pivotArea>
    </format>
    <format dxfId="25037">
      <pivotArea field="2" grandRow="1" outline="0" collapsedLevelsAreSubtotals="1" axis="axisRow" fieldPosition="0">
        <references count="1">
          <reference field="4294967294" count="1" selected="0">
            <x v="0"/>
          </reference>
        </references>
      </pivotArea>
    </format>
    <format dxfId="25036">
      <pivotArea field="2" grandRow="1" outline="0" collapsedLevelsAreSubtotals="1" axis="axisRow" fieldPosition="0">
        <references count="1">
          <reference field="4294967294" count="1" selected="0">
            <x v="1"/>
          </reference>
        </references>
      </pivotArea>
    </format>
    <format dxfId="25035">
      <pivotArea collapsedLevelsAreSubtotals="1" fieldPosition="0">
        <references count="2">
          <reference field="4294967294" count="1" selected="0">
            <x v="0"/>
          </reference>
          <reference field="2" count="0"/>
        </references>
      </pivotArea>
    </format>
    <format dxfId="25034">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PivotTable4" cacheId="2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O53:P87" firstHeaderRow="1" firstDataRow="1" firstDataCol="1"/>
  <pivotFields count="11">
    <pivotField showAll="0"/>
    <pivotField showAll="0"/>
    <pivotField showAll="0"/>
    <pivotField dataField="1" showAll="0"/>
    <pivotField showAll="0"/>
    <pivotField axis="axisRow"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pivotField showAll="0"/>
    <pivotField showAll="0"/>
    <pivotField showAll="0"/>
    <pivotField showAll="0"/>
  </pivotFields>
  <rowFields count="1">
    <field x="5"/>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Sum of Sales" fld="3" baseField="5" baseItem="0" numFmtId="164"/>
  </dataFields>
  <formats count="3">
    <format dxfId="25041">
      <pivotArea outline="0" collapsedLevelsAreSubtotals="1" fieldPosition="0"/>
    </format>
    <format dxfId="25040">
      <pivotArea dataOnly="0" labelOnly="1" outline="0" axis="axisValues" fieldPosition="0"/>
    </format>
    <format dxfId="25039">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PivotTable9" cacheId="36"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L19:N31" firstHeaderRow="0" firstDataRow="1" firstDataCol="1"/>
  <pivotFields count="6">
    <pivotField axis="axisRow" numFmtId="17" showAll="0">
      <items count="12">
        <item x="0"/>
        <item x="1"/>
        <item x="2"/>
        <item x="3"/>
        <item x="4"/>
        <item x="5"/>
        <item x="6"/>
        <item x="7"/>
        <item x="8"/>
        <item x="9"/>
        <item x="10"/>
        <item t="default"/>
      </items>
    </pivotField>
    <pivotField dataField="1" showAll="0"/>
    <pivotField dataField="1" showAll="0"/>
    <pivotField showAll="0" defaultSubtotal="0"/>
    <pivotField showAll="0" defaultSubtotal="0"/>
    <pivotField showAll="0" defaultSubtotal="0"/>
  </pivotFields>
  <rowFields count="1">
    <field x="0"/>
  </rowFields>
  <rowItems count="12">
    <i>
      <x/>
    </i>
    <i>
      <x v="1"/>
    </i>
    <i>
      <x v="2"/>
    </i>
    <i>
      <x v="3"/>
    </i>
    <i>
      <x v="4"/>
    </i>
    <i>
      <x v="5"/>
    </i>
    <i>
      <x v="6"/>
    </i>
    <i>
      <x v="7"/>
    </i>
    <i>
      <x v="8"/>
    </i>
    <i>
      <x v="9"/>
    </i>
    <i>
      <x v="10"/>
    </i>
    <i t="grand">
      <x/>
    </i>
  </rowItems>
  <colFields count="1">
    <field x="-2"/>
  </colFields>
  <colItems count="2">
    <i>
      <x/>
    </i>
    <i i="1">
      <x v="1"/>
    </i>
  </colItems>
  <dataFields count="2">
    <dataField name="Sum of Sales" fld="1" baseField="0" baseItem="0"/>
    <dataField name="Sum of Expences" fld="2" baseField="0" baseItem="0"/>
  </dataFields>
  <formats count="1">
    <format dxfId="25017">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5"/>
          </reference>
        </references>
      </pivotArea>
    </chartFormat>
    <chartFormat chart="0" format="3">
      <pivotArea type="data" outline="0" fieldPosition="0">
        <references count="2">
          <reference field="4294967294" count="1" selected="0">
            <x v="1"/>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1.xml><?xml version="1.0" encoding="utf-8"?>
<pivotTableDefinition xmlns="http://schemas.openxmlformats.org/spreadsheetml/2006/main" name="PivotTable1" cacheId="9" dataOnRows="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D3:E6" firstHeaderRow="1" firstDataRow="1" firstDataCol="1"/>
  <pivotFields count="8">
    <pivotField numFmtId="14" showAll="0"/>
    <pivotField dataField="1" showAll="0"/>
    <pivotField showAll="0"/>
    <pivotField dataField="1" showAll="0"/>
    <pivotField dataField="1" showAll="0"/>
    <pivotField showAll="0"/>
    <pivotField showAll="0"/>
    <pivotField showAll="0"/>
  </pivotFields>
  <rowFields count="1">
    <field x="-2"/>
  </rowFields>
  <rowItems count="3">
    <i>
      <x/>
    </i>
    <i i="1">
      <x v="1"/>
    </i>
    <i i="2">
      <x v="2"/>
    </i>
  </rowItems>
  <colItems count="1">
    <i/>
  </colItems>
  <dataFields count="3">
    <dataField name="Count of Invoice No" fld="1" subtotal="count" baseField="0" baseItem="0"/>
    <dataField name="Sum of Sales" fld="3" baseField="0" baseItem="7598952"/>
    <dataField name="Sum of Expences" fld="4" baseField="0" baseItem="7598952"/>
  </dataFields>
  <formats count="1">
    <format dxfId="250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2.xml><?xml version="1.0" encoding="utf-8"?>
<pivotTableDefinition xmlns="http://schemas.openxmlformats.org/spreadsheetml/2006/main" name="PivotTable2" cacheId="8" dataOnRows="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6" firstHeaderRow="1" firstDataRow="1" firstDataCol="1"/>
  <pivotFields count="13">
    <pivotField showAll="0"/>
    <pivotField dataField="1" showAll="0"/>
    <pivotField showAll="0">
      <items count="15">
        <item x="11"/>
        <item x="4"/>
        <item x="3"/>
        <item x="8"/>
        <item x="2"/>
        <item x="12"/>
        <item x="0"/>
        <item x="7"/>
        <item x="13"/>
        <item x="5"/>
        <item x="6"/>
        <item x="1"/>
        <item x="9"/>
        <item x="10"/>
        <item t="default"/>
      </items>
    </pivotField>
    <pivotField dataField="1" showAll="0"/>
    <pivotField dataField="1" showAll="0"/>
    <pivotField showAll="0">
      <items count="14">
        <item x="3"/>
        <item x="6"/>
        <item x="1"/>
        <item x="5"/>
        <item x="8"/>
        <item x="11"/>
        <item x="9"/>
        <item x="12"/>
        <item x="4"/>
        <item x="10"/>
        <item x="7"/>
        <item x="2"/>
        <item x="0"/>
        <item t="default"/>
      </items>
    </pivotField>
    <pivotField showAll="0"/>
    <pivotField showAll="0"/>
    <pivotField showAll="0"/>
    <pivotField showAll="0"/>
    <pivotField showAll="0"/>
    <pivotField showAll="0"/>
    <pivotField showAll="0"/>
  </pivotFields>
  <rowFields count="1">
    <field x="-2"/>
  </rowFields>
  <rowItems count="3">
    <i>
      <x/>
    </i>
    <i i="1">
      <x v="1"/>
    </i>
    <i i="2">
      <x v="2"/>
    </i>
  </rowItems>
  <colItems count="1">
    <i/>
  </colItems>
  <dataFields count="3">
    <dataField name="Count of Invoice No" fld="1" subtotal="count" baseField="0" baseItem="0"/>
    <dataField name="Sum of Sales" fld="3" baseField="0" baseItem="1"/>
    <dataField name="Sum of Expences" fld="4" baseField="0" baseItem="1"/>
  </dataFields>
  <formats count="3">
    <format dxfId="25016">
      <pivotArea collapsedLevelsAreSubtotals="1" fieldPosition="0">
        <references count="1">
          <reference field="4294967294" count="1">
            <x v="2"/>
          </reference>
        </references>
      </pivotArea>
    </format>
    <format dxfId="25015">
      <pivotArea collapsedLevelsAreSubtotals="1" fieldPosition="0">
        <references count="1">
          <reference field="4294967294" count="1">
            <x v="1"/>
          </reference>
        </references>
      </pivotArea>
    </format>
    <format dxfId="25014">
      <pivotArea collapsedLevelsAreSubtotals="1"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scription" sourceName="Description">
  <pivotTables>
    <pivotTable tabId="19" name="PivotTable2"/>
  </pivotTables>
  <data>
    <tabular pivotCacheId="1">
      <items count="14">
        <i x="11" s="1"/>
        <i x="4" s="1"/>
        <i x="3" s="1"/>
        <i x="8" s="1"/>
        <i x="2" s="1"/>
        <i x="12" s="1"/>
        <i x="0" s="1"/>
        <i x="7" s="1"/>
        <i x="13" s="1"/>
        <i x="5" s="1"/>
        <i x="6" s="1"/>
        <i x="1" s="1"/>
        <i x="9"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Bill_To" sourceName="Bill To">
  <pivotTables>
    <pivotTable tabId="19" name="PivotTable2"/>
  </pivotTables>
  <data>
    <tabular pivotCacheId="1">
      <items count="13">
        <i x="3" s="1"/>
        <i x="6" s="1"/>
        <i x="1" s="1"/>
        <i x="5" s="1"/>
        <i x="8" s="1"/>
        <i x="11" s="1"/>
        <i x="9" s="1"/>
        <i x="12" s="1"/>
        <i x="4" s="1"/>
        <i x="10" s="1"/>
        <i x="7"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scription 1" cache="Slicer_Description" caption="Description" rowHeight="241300"/>
  <slicer name="Bill To 1" cache="Slicer_Bill_To" caption="Bill To"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Description" cache="Slicer_Description" caption="Description" rowHeight="241300"/>
  <slicer name="Bill To" cache="Slicer_Bill_To" caption="Bill To" rowHeight="241300"/>
</slicers>
</file>

<file path=xl/tables/table1.xml><?xml version="1.0" encoding="utf-8"?>
<table xmlns="http://schemas.openxmlformats.org/spreadsheetml/2006/main" id="2" name="Table2" displayName="Table2" ref="A1:H144" totalsRowShown="0" headerRowDxfId="25142" headerRowBorderDxfId="25141" tableBorderDxfId="25140" totalsRowBorderDxfId="25139">
  <autoFilter ref="A1:H144"/>
  <tableColumns count="8">
    <tableColumn id="1" name="Date" dataDxfId="25138"/>
    <tableColumn id="2" name="Invoice No" dataDxfId="25137"/>
    <tableColumn id="3" name="Description" dataDxfId="25136"/>
    <tableColumn id="4" name="Sales" dataDxfId="25135"/>
    <tableColumn id="5" name="Expences" dataDxfId="25134"/>
    <tableColumn id="6" name="Bill To" dataDxfId="25133"/>
    <tableColumn id="7" name="Credit" dataDxfId="25132"/>
    <tableColumn id="8" name="Remarks" dataDxfId="25131"/>
  </tableColumns>
  <tableStyleInfo name="TableStyleMedium2" showFirstColumn="0" showLastColumn="0" showRowStripes="1" showColumnStripes="0"/>
</table>
</file>

<file path=xl/tables/table2.xml><?xml version="1.0" encoding="utf-8"?>
<table xmlns="http://schemas.openxmlformats.org/spreadsheetml/2006/main" id="1" name="Table1" displayName="Table1" ref="A1:M157" totalsRowShown="0" headerRowDxfId="25126" headerRowBorderDxfId="25125" tableBorderDxfId="25124">
  <autoFilter ref="A1:M157"/>
  <tableColumns count="13">
    <tableColumn id="1" name="Date" dataDxfId="25123"/>
    <tableColumn id="2" name="Invoice No" dataDxfId="25122"/>
    <tableColumn id="3" name="Description" dataDxfId="25121"/>
    <tableColumn id="4" name="Sales" dataDxfId="25120"/>
    <tableColumn id="5" name="Expences" dataDxfId="25119"/>
    <tableColumn id="6" name="Bill To" dataDxfId="25118"/>
    <tableColumn id="7" name="Variety" dataDxfId="25117"/>
    <tableColumn id="8" name="Unit Price" dataDxfId="25116"/>
    <tableColumn id="9" name="Transport cost" dataDxfId="25115"/>
    <tableColumn id="10" name="Qty" dataDxfId="25114"/>
    <tableColumn id="11" name="Supplier" dataDxfId="25113"/>
    <tableColumn id="12" name="Credit" dataDxfId="25112"/>
    <tableColumn id="13" name="Remarks" dataDxfId="25111"/>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1:M340" totalsRowShown="0" headerRowDxfId="25105" headerRowBorderDxfId="25104" tableBorderDxfId="25103">
  <autoFilter ref="A1:M340"/>
  <tableColumns count="13">
    <tableColumn id="1" name="Date" dataDxfId="25102"/>
    <tableColumn id="2" name="Invoice No" dataDxfId="25101"/>
    <tableColumn id="3" name="Description" dataDxfId="25100"/>
    <tableColumn id="4" name="Sales" dataDxfId="25099"/>
    <tableColumn id="5" name="Expences" dataDxfId="25098"/>
    <tableColumn id="6" name="Bill To" dataDxfId="25097"/>
    <tableColumn id="7" name="Variety" dataDxfId="25096"/>
    <tableColumn id="8" name="Unit Price" dataDxfId="25095"/>
    <tableColumn id="9" name="Transport cost" dataDxfId="25094"/>
    <tableColumn id="10" name="Qty" dataDxfId="25093"/>
    <tableColumn id="11" name="Supplier" dataDxfId="25092"/>
    <tableColumn id="12" name="Credit" dataDxfId="25091"/>
    <tableColumn id="13" name="Remarks" dataDxfId="25090"/>
  </tableColumns>
  <tableStyleInfo name="TableStyleMedium2" showFirstColumn="0" showLastColumn="0" showRowStripes="1" showColumnStripes="0"/>
</table>
</file>

<file path=xl/tables/table4.xml><?xml version="1.0" encoding="utf-8"?>
<table xmlns="http://schemas.openxmlformats.org/spreadsheetml/2006/main" id="4" name="Table35" displayName="Table35" ref="A1:M348" totalsRowShown="0" headerRowDxfId="25081" headerRowBorderDxfId="25080" tableBorderDxfId="25079">
  <autoFilter ref="A1:M348"/>
  <tableColumns count="13">
    <tableColumn id="1" name="Date" dataDxfId="25078"/>
    <tableColumn id="2" name="Invoice No" dataDxfId="25077"/>
    <tableColumn id="3" name="Description" dataDxfId="25076"/>
    <tableColumn id="4" name="Sales" dataDxfId="25075"/>
    <tableColumn id="5" name="Expences" dataDxfId="25074"/>
    <tableColumn id="6" name="Bill To" dataDxfId="25073"/>
    <tableColumn id="7" name="Variety" dataDxfId="25072"/>
    <tableColumn id="8" name="Unit Price" dataDxfId="25071"/>
    <tableColumn id="9" name="Transport cost" dataDxfId="25070"/>
    <tableColumn id="10" name="Qty" dataDxfId="25069"/>
    <tableColumn id="11" name="Supplier" dataDxfId="25068"/>
    <tableColumn id="12" name="Credit" dataDxfId="25067"/>
    <tableColumn id="13" name="Remarks" dataDxfId="25066"/>
  </tableColumns>
  <tableStyleInfo name="TableStyleMedium2" showFirstColumn="0" showLastColumn="0" showRowStripes="1" showColumnStripes="0"/>
</table>
</file>

<file path=xl/tables/table5.xml><?xml version="1.0" encoding="utf-8"?>
<table xmlns="http://schemas.openxmlformats.org/spreadsheetml/2006/main" id="5" name="Table356" displayName="Table356" ref="A1:M317" totalsRowShown="0" headerRowDxfId="25057" headerRowBorderDxfId="25056" tableBorderDxfId="25055">
  <autoFilter ref="A1:M317"/>
  <tableColumns count="13">
    <tableColumn id="1" name="Date" dataDxfId="25054"/>
    <tableColumn id="2" name="Invoice No" dataDxfId="25053"/>
    <tableColumn id="3" name="Description" dataDxfId="25052"/>
    <tableColumn id="4" name="Sales" dataDxfId="25051"/>
    <tableColumn id="5" name="Expences" dataDxfId="25050"/>
    <tableColumn id="6" name="Bill To" dataDxfId="25049"/>
    <tableColumn id="7" name="Variety" dataDxfId="25048"/>
    <tableColumn id="8" name="Unit Price" dataDxfId="25047"/>
    <tableColumn id="9" name="Transport cost" dataDxfId="25046"/>
    <tableColumn id="10" name="Qty" dataDxfId="25045"/>
    <tableColumn id="11" name="Supplier" dataDxfId="25044"/>
    <tableColumn id="12" name="Credit" dataDxfId="25043"/>
    <tableColumn id="13" name="Remarks" dataDxfId="25042"/>
  </tableColumns>
  <tableStyleInfo name="TableStyleMedium2" showFirstColumn="0" showLastColumn="0" showRowStripes="1" showColumnStripes="0"/>
</table>
</file>

<file path=xl/tables/table6.xml><?xml version="1.0" encoding="utf-8"?>
<table xmlns="http://schemas.openxmlformats.org/spreadsheetml/2006/main" id="6" name="Table3567" displayName="Table3567" ref="A1:M240" totalsRowShown="0" headerRowDxfId="25033" headerRowBorderDxfId="25032" tableBorderDxfId="25031">
  <autoFilter ref="A1:M240"/>
  <tableColumns count="13">
    <tableColumn id="1" name="Date" dataDxfId="25030"/>
    <tableColumn id="2" name="Invoice No" dataDxfId="25029"/>
    <tableColumn id="3" name="Description" dataDxfId="25028"/>
    <tableColumn id="4" name="Sales" dataDxfId="25027"/>
    <tableColumn id="5" name="Expences" dataDxfId="25026"/>
    <tableColumn id="6" name="Bill To" dataDxfId="25025"/>
    <tableColumn id="7" name="Variety" dataDxfId="25024"/>
    <tableColumn id="8" name="Unit Price" dataDxfId="25023"/>
    <tableColumn id="9" name="Transport cost" dataDxfId="25022"/>
    <tableColumn id="10" name="Qty" dataDxfId="25021"/>
    <tableColumn id="11" name="Supplier" dataDxfId="25020"/>
    <tableColumn id="12" name="Credit" dataDxfId="25019"/>
    <tableColumn id="13" name="Remarks" dataDxfId="25018"/>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drawing" Target="../drawings/drawing2.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5.bin"/><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ivotTable" Target="../pivotTables/pivotTable11.xml"/><Relationship Id="rId4"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openxmlformats.org/officeDocument/2006/relationships/table" Target="../tables/table3.xml"/><Relationship Id="rId4"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pivotTable" Target="../pivotTables/pivotTable15.xml"/><Relationship Id="rId1" Type="http://schemas.openxmlformats.org/officeDocument/2006/relationships/pivotTable" Target="../pivotTables/pivotTable14.xml"/><Relationship Id="rId5" Type="http://schemas.openxmlformats.org/officeDocument/2006/relationships/table" Target="../tables/table4.xml"/><Relationship Id="rId4"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ivotTable" Target="../pivotTables/pivotTable17.xml"/><Relationship Id="rId1" Type="http://schemas.openxmlformats.org/officeDocument/2006/relationships/pivotTable" Target="../pivotTables/pivotTable16.xml"/><Relationship Id="rId5" Type="http://schemas.openxmlformats.org/officeDocument/2006/relationships/table" Target="../tables/table5.xml"/><Relationship Id="rId4"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pivotTable" Target="../pivotTables/pivotTable19.xml"/><Relationship Id="rId1" Type="http://schemas.openxmlformats.org/officeDocument/2006/relationships/pivotTable" Target="../pivotTables/pivotTable18.xml"/><Relationship Id="rId5" Type="http://schemas.openxmlformats.org/officeDocument/2006/relationships/table" Target="../tables/table6.xml"/><Relationship Id="rId4"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pivotTable" Target="../pivotTables/pivotTable20.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ivotTable" Target="../pivotTables/pivotTable22.xml"/><Relationship Id="rId1" Type="http://schemas.openxmlformats.org/officeDocument/2006/relationships/pivotTable" Target="../pivotTables/pivotTable21.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3"/>
  <sheetViews>
    <sheetView topLeftCell="A19" workbookViewId="0">
      <selection activeCell="V25" sqref="V25"/>
    </sheetView>
  </sheetViews>
  <sheetFormatPr defaultRowHeight="15" x14ac:dyDescent="0.25"/>
  <cols>
    <col min="1" max="1" width="13.140625" customWidth="1"/>
    <col min="2" max="2" width="12.140625" customWidth="1"/>
    <col min="3" max="3" width="16" customWidth="1"/>
    <col min="4" max="9" width="6.7109375" customWidth="1"/>
    <col min="10" max="10" width="6.42578125" customWidth="1"/>
    <col min="11" max="11" width="10.140625" bestFit="1" customWidth="1"/>
  </cols>
  <sheetData>
    <row r="1" spans="1:3" x14ac:dyDescent="0.25">
      <c r="A1" s="249" t="s">
        <v>631</v>
      </c>
    </row>
    <row r="2" spans="1:3" x14ac:dyDescent="0.25">
      <c r="A2" s="72" t="s">
        <v>163</v>
      </c>
      <c r="B2" t="s">
        <v>381</v>
      </c>
      <c r="C2" t="s">
        <v>382</v>
      </c>
    </row>
    <row r="3" spans="1:3" x14ac:dyDescent="0.25">
      <c r="A3" s="140">
        <v>45689</v>
      </c>
      <c r="B3" s="137">
        <v>130</v>
      </c>
      <c r="C3" s="137">
        <v>364</v>
      </c>
    </row>
    <row r="4" spans="1:3" x14ac:dyDescent="0.25">
      <c r="A4" s="140">
        <v>45717</v>
      </c>
      <c r="B4" s="137">
        <v>921</v>
      </c>
      <c r="C4" s="137">
        <v>1004</v>
      </c>
    </row>
    <row r="5" spans="1:3" x14ac:dyDescent="0.25">
      <c r="A5" s="140">
        <v>45748</v>
      </c>
      <c r="B5" s="137">
        <v>295</v>
      </c>
      <c r="C5" s="137">
        <v>419</v>
      </c>
    </row>
    <row r="6" spans="1:3" x14ac:dyDescent="0.25">
      <c r="A6" s="140">
        <v>45778</v>
      </c>
      <c r="B6" s="137">
        <v>593</v>
      </c>
      <c r="C6" s="137">
        <v>829</v>
      </c>
    </row>
    <row r="7" spans="1:3" x14ac:dyDescent="0.25">
      <c r="A7" s="140">
        <v>45809</v>
      </c>
      <c r="B7" s="137">
        <v>350</v>
      </c>
      <c r="C7" s="137">
        <v>1381</v>
      </c>
    </row>
    <row r="8" spans="1:3" x14ac:dyDescent="0.25">
      <c r="A8" s="140">
        <v>45839</v>
      </c>
      <c r="B8" s="137">
        <v>514.9</v>
      </c>
      <c r="C8" s="137">
        <v>329</v>
      </c>
    </row>
    <row r="9" spans="1:3" x14ac:dyDescent="0.25">
      <c r="A9" s="140">
        <v>45870</v>
      </c>
      <c r="B9" s="137">
        <v>575</v>
      </c>
      <c r="C9" s="137">
        <v>889</v>
      </c>
    </row>
    <row r="10" spans="1:3" x14ac:dyDescent="0.25">
      <c r="A10" s="140">
        <v>45901</v>
      </c>
      <c r="B10" s="137">
        <v>640</v>
      </c>
      <c r="C10" s="137">
        <v>1154</v>
      </c>
    </row>
    <row r="11" spans="1:3" x14ac:dyDescent="0.25">
      <c r="A11" s="73" t="s">
        <v>16</v>
      </c>
      <c r="B11" s="137">
        <v>4018.9</v>
      </c>
      <c r="C11" s="137">
        <v>6369</v>
      </c>
    </row>
    <row r="23" spans="1:3" x14ac:dyDescent="0.25">
      <c r="A23" s="249" t="s">
        <v>632</v>
      </c>
    </row>
    <row r="24" spans="1:3" x14ac:dyDescent="0.25">
      <c r="A24" s="72" t="s">
        <v>163</v>
      </c>
      <c r="B24" t="s">
        <v>165</v>
      </c>
      <c r="C24" t="s">
        <v>164</v>
      </c>
    </row>
    <row r="25" spans="1:3" x14ac:dyDescent="0.25">
      <c r="A25" s="140">
        <v>45689</v>
      </c>
      <c r="B25" s="137">
        <v>21450</v>
      </c>
      <c r="C25" s="137">
        <v>26975</v>
      </c>
    </row>
    <row r="26" spans="1:3" x14ac:dyDescent="0.25">
      <c r="A26" s="140">
        <v>45717</v>
      </c>
      <c r="B26" s="137">
        <v>188580</v>
      </c>
      <c r="C26" s="137">
        <v>162135</v>
      </c>
    </row>
    <row r="27" spans="1:3" x14ac:dyDescent="0.25">
      <c r="A27" s="140">
        <v>45748</v>
      </c>
      <c r="B27" s="137">
        <v>105060</v>
      </c>
      <c r="C27" s="137">
        <v>114833</v>
      </c>
    </row>
    <row r="28" spans="1:3" x14ac:dyDescent="0.25">
      <c r="A28" s="140">
        <v>45778</v>
      </c>
      <c r="B28" s="137">
        <v>133160</v>
      </c>
      <c r="C28" s="137">
        <v>154562</v>
      </c>
    </row>
    <row r="29" spans="1:3" x14ac:dyDescent="0.25">
      <c r="A29" s="140">
        <v>45809</v>
      </c>
      <c r="B29" s="137">
        <v>126385</v>
      </c>
      <c r="C29" s="137">
        <v>173669</v>
      </c>
    </row>
    <row r="30" spans="1:3" x14ac:dyDescent="0.25">
      <c r="A30" s="140">
        <v>45839</v>
      </c>
      <c r="B30" s="137">
        <v>164755</v>
      </c>
      <c r="C30" s="137">
        <v>89496</v>
      </c>
    </row>
    <row r="31" spans="1:3" x14ac:dyDescent="0.25">
      <c r="A31" s="140">
        <v>45870</v>
      </c>
      <c r="B31" s="137">
        <v>173370</v>
      </c>
      <c r="C31" s="137">
        <v>170293</v>
      </c>
    </row>
    <row r="32" spans="1:3" x14ac:dyDescent="0.25">
      <c r="A32" s="140">
        <v>45901</v>
      </c>
      <c r="B32" s="137">
        <v>229785</v>
      </c>
      <c r="C32" s="137">
        <v>173935</v>
      </c>
    </row>
    <row r="33" spans="1:3" x14ac:dyDescent="0.25">
      <c r="A33" s="73" t="s">
        <v>16</v>
      </c>
      <c r="B33" s="137">
        <v>1142545</v>
      </c>
      <c r="C33" s="137">
        <v>1065898</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P1105"/>
  <sheetViews>
    <sheetView zoomScaleNormal="100" workbookViewId="0">
      <pane ySplit="2" topLeftCell="A101" activePane="bottomLeft" state="frozen"/>
      <selection pane="bottomLeft" activeCell="H154" sqref="H154"/>
    </sheetView>
  </sheetViews>
  <sheetFormatPr defaultColWidth="14.42578125" defaultRowHeight="15" customHeight="1" x14ac:dyDescent="0.25"/>
  <cols>
    <col min="1" max="1" width="13" customWidth="1"/>
    <col min="2" max="2" width="22.5703125" customWidth="1"/>
    <col min="3" max="3" width="36.42578125" bestFit="1" customWidth="1"/>
    <col min="4" max="4" width="12.5703125" customWidth="1"/>
    <col min="5" max="5" width="14" customWidth="1"/>
    <col min="6" max="6" width="14.7109375" customWidth="1"/>
    <col min="7" max="7" width="13" customWidth="1"/>
    <col min="8" max="8" width="19" customWidth="1"/>
    <col min="9" max="9" width="12.28515625" bestFit="1" customWidth="1"/>
    <col min="10" max="10" width="8.7109375" customWidth="1"/>
    <col min="11" max="12" width="13.140625" customWidth="1"/>
    <col min="13" max="13" width="17.28515625" customWidth="1"/>
    <col min="14" max="14" width="16.28515625" customWidth="1"/>
    <col min="15" max="15" width="17.85546875" customWidth="1"/>
    <col min="16" max="16" width="16.85546875" customWidth="1"/>
    <col min="17" max="17" width="14.85546875" customWidth="1"/>
    <col min="18" max="18" width="16.140625" customWidth="1"/>
    <col min="19" max="19" width="15.28515625" customWidth="1"/>
    <col min="20" max="21" width="10.42578125" customWidth="1"/>
    <col min="22" max="22" width="11.28515625" customWidth="1"/>
    <col min="23" max="23" width="22.28515625" customWidth="1"/>
    <col min="24" max="24" width="21.42578125" customWidth="1"/>
    <col min="25" max="31" width="3" customWidth="1"/>
    <col min="32" max="45" width="4" customWidth="1"/>
    <col min="46" max="46" width="5" customWidth="1"/>
    <col min="47" max="47" width="7.28515625" customWidth="1"/>
    <col min="48" max="48" width="11.28515625" customWidth="1"/>
  </cols>
  <sheetData>
    <row r="1" spans="1:13" ht="38.25" x14ac:dyDescent="0.25">
      <c r="A1" s="1" t="s">
        <v>0</v>
      </c>
      <c r="B1" s="1">
        <v>2025</v>
      </c>
      <c r="C1" s="2"/>
      <c r="D1" s="2"/>
      <c r="E1" s="2"/>
      <c r="F1" s="2"/>
      <c r="G1" s="2"/>
      <c r="H1" s="2"/>
    </row>
    <row r="2" spans="1:13" x14ac:dyDescent="0.25">
      <c r="A2" s="3" t="s">
        <v>1</v>
      </c>
      <c r="B2" s="4" t="s">
        <v>2</v>
      </c>
      <c r="C2" s="4" t="s">
        <v>3</v>
      </c>
      <c r="D2" s="4" t="s">
        <v>4</v>
      </c>
      <c r="E2" s="4" t="s">
        <v>5</v>
      </c>
      <c r="F2" s="4" t="s">
        <v>6</v>
      </c>
      <c r="G2" s="4" t="s">
        <v>7</v>
      </c>
      <c r="H2" s="4" t="s">
        <v>8</v>
      </c>
    </row>
    <row r="3" spans="1:13" x14ac:dyDescent="0.25">
      <c r="A3" s="183">
        <v>45693</v>
      </c>
      <c r="B3" s="179" t="s">
        <v>9</v>
      </c>
      <c r="C3" s="179"/>
      <c r="D3" s="180">
        <v>62</v>
      </c>
      <c r="E3" s="181">
        <v>90</v>
      </c>
      <c r="F3" s="179"/>
      <c r="G3" s="181">
        <v>5580</v>
      </c>
      <c r="H3" s="179" t="s">
        <v>10</v>
      </c>
    </row>
    <row r="4" spans="1:13" hidden="1" x14ac:dyDescent="0.25">
      <c r="A4" s="183">
        <v>45706</v>
      </c>
      <c r="B4" s="179" t="s">
        <v>11</v>
      </c>
      <c r="C4" s="179"/>
      <c r="D4" s="180">
        <v>40</v>
      </c>
      <c r="E4" s="181">
        <v>47.5</v>
      </c>
      <c r="F4" s="181">
        <v>200</v>
      </c>
      <c r="G4" s="181">
        <v>2100</v>
      </c>
      <c r="H4" s="182"/>
    </row>
    <row r="5" spans="1:13" x14ac:dyDescent="0.25">
      <c r="A5" s="183">
        <v>45708</v>
      </c>
      <c r="B5" s="179" t="s">
        <v>9</v>
      </c>
      <c r="C5" s="179"/>
      <c r="D5" s="180">
        <v>76</v>
      </c>
      <c r="E5" s="181">
        <v>85</v>
      </c>
      <c r="F5" s="181">
        <v>560</v>
      </c>
      <c r="G5" s="181">
        <v>7020</v>
      </c>
      <c r="H5" s="182"/>
    </row>
    <row r="6" spans="1:13" x14ac:dyDescent="0.25">
      <c r="A6" s="183">
        <v>45712</v>
      </c>
      <c r="B6" s="179" t="s">
        <v>9</v>
      </c>
      <c r="C6" s="179"/>
      <c r="D6" s="180">
        <v>66</v>
      </c>
      <c r="E6" s="181">
        <v>80</v>
      </c>
      <c r="F6" s="181">
        <v>520</v>
      </c>
      <c r="G6" s="181">
        <v>5800</v>
      </c>
      <c r="H6" s="182" t="s">
        <v>12</v>
      </c>
      <c r="K6" s="379" t="s">
        <v>1</v>
      </c>
      <c r="L6" s="123" t="s">
        <v>433</v>
      </c>
    </row>
    <row r="7" spans="1:13" hidden="1" x14ac:dyDescent="0.25">
      <c r="A7" s="183">
        <v>45712</v>
      </c>
      <c r="B7" s="179" t="s">
        <v>11</v>
      </c>
      <c r="C7" s="179"/>
      <c r="D7" s="180">
        <v>30</v>
      </c>
      <c r="E7" s="179"/>
      <c r="F7" s="179"/>
      <c r="G7" s="181">
        <v>1300</v>
      </c>
      <c r="H7" s="182"/>
    </row>
    <row r="8" spans="1:13" hidden="1" x14ac:dyDescent="0.25">
      <c r="A8" s="183">
        <v>45714</v>
      </c>
      <c r="B8" s="179" t="s">
        <v>11</v>
      </c>
      <c r="C8" s="179"/>
      <c r="D8" s="180">
        <v>60</v>
      </c>
      <c r="E8" s="181">
        <v>40</v>
      </c>
      <c r="F8" s="181">
        <v>100</v>
      </c>
      <c r="G8" s="181">
        <v>2500</v>
      </c>
      <c r="H8" s="182"/>
      <c r="K8" s="46"/>
      <c r="L8" s="47" t="s">
        <v>133</v>
      </c>
      <c r="M8" s="48"/>
    </row>
    <row r="9" spans="1:13" x14ac:dyDescent="0.25">
      <c r="A9" s="183">
        <v>45716</v>
      </c>
      <c r="B9" s="179" t="s">
        <v>9</v>
      </c>
      <c r="C9" s="179" t="s">
        <v>15</v>
      </c>
      <c r="D9" s="180">
        <v>160</v>
      </c>
      <c r="E9" s="181">
        <v>80</v>
      </c>
      <c r="F9" s="181">
        <v>1050</v>
      </c>
      <c r="G9" s="181">
        <v>13850</v>
      </c>
      <c r="H9" s="182"/>
      <c r="K9" s="377" t="s">
        <v>2</v>
      </c>
      <c r="L9" s="377" t="s">
        <v>13</v>
      </c>
      <c r="M9" s="378" t="s">
        <v>14</v>
      </c>
    </row>
    <row r="10" spans="1:13" hidden="1" x14ac:dyDescent="0.25">
      <c r="A10" s="168">
        <v>45719</v>
      </c>
      <c r="B10" s="169" t="s">
        <v>11</v>
      </c>
      <c r="C10" s="169" t="s">
        <v>17</v>
      </c>
      <c r="D10" s="170">
        <v>20</v>
      </c>
      <c r="E10" s="171">
        <v>60</v>
      </c>
      <c r="F10" s="169"/>
      <c r="G10" s="171">
        <v>1200</v>
      </c>
      <c r="H10" s="172"/>
      <c r="K10" s="46" t="s">
        <v>9</v>
      </c>
      <c r="L10" s="49">
        <v>6129</v>
      </c>
      <c r="M10" s="246">
        <v>501837.1</v>
      </c>
    </row>
    <row r="11" spans="1:13" x14ac:dyDescent="0.25">
      <c r="A11" s="168">
        <v>45720</v>
      </c>
      <c r="B11" s="169" t="s">
        <v>9</v>
      </c>
      <c r="C11" s="169" t="s">
        <v>15</v>
      </c>
      <c r="D11" s="170">
        <v>98</v>
      </c>
      <c r="E11" s="171">
        <v>80</v>
      </c>
      <c r="F11" s="171">
        <v>685</v>
      </c>
      <c r="G11" s="171">
        <v>8525</v>
      </c>
      <c r="H11" s="172"/>
      <c r="K11" s="74" t="s">
        <v>11</v>
      </c>
      <c r="L11" s="75">
        <v>4024.8999999999996</v>
      </c>
      <c r="M11" s="247">
        <v>205884.87488999998</v>
      </c>
    </row>
    <row r="12" spans="1:13" hidden="1" x14ac:dyDescent="0.25">
      <c r="A12" s="168">
        <v>45720</v>
      </c>
      <c r="B12" s="169" t="s">
        <v>11</v>
      </c>
      <c r="C12" s="169" t="s">
        <v>18</v>
      </c>
      <c r="D12" s="170">
        <v>56</v>
      </c>
      <c r="E12" s="171">
        <v>43</v>
      </c>
      <c r="F12" s="171">
        <v>100</v>
      </c>
      <c r="G12" s="171">
        <v>2500</v>
      </c>
      <c r="H12" s="172"/>
      <c r="K12" s="50" t="s">
        <v>16</v>
      </c>
      <c r="L12" s="51">
        <v>10153.9</v>
      </c>
      <c r="M12" s="248">
        <v>707721.97488999995</v>
      </c>
    </row>
    <row r="13" spans="1:13" hidden="1" x14ac:dyDescent="0.25">
      <c r="A13" s="168">
        <v>45723</v>
      </c>
      <c r="B13" s="169" t="s">
        <v>11</v>
      </c>
      <c r="C13" s="169" t="s">
        <v>18</v>
      </c>
      <c r="D13" s="170">
        <v>56</v>
      </c>
      <c r="E13" s="171">
        <v>43</v>
      </c>
      <c r="F13" s="171">
        <v>100</v>
      </c>
      <c r="G13" s="171">
        <v>2500</v>
      </c>
      <c r="H13" s="172"/>
    </row>
    <row r="14" spans="1:13" x14ac:dyDescent="0.25">
      <c r="A14" s="168">
        <v>45724</v>
      </c>
      <c r="B14" s="169" t="s">
        <v>9</v>
      </c>
      <c r="C14" s="169" t="s">
        <v>15</v>
      </c>
      <c r="D14" s="170">
        <v>137</v>
      </c>
      <c r="E14" s="171">
        <v>80</v>
      </c>
      <c r="F14" s="171">
        <v>810</v>
      </c>
      <c r="G14" s="171">
        <v>11770</v>
      </c>
      <c r="H14" s="172"/>
    </row>
    <row r="15" spans="1:13" hidden="1" x14ac:dyDescent="0.25">
      <c r="A15" s="168">
        <v>45729</v>
      </c>
      <c r="B15" s="169" t="s">
        <v>11</v>
      </c>
      <c r="C15" s="169" t="s">
        <v>18</v>
      </c>
      <c r="D15" s="170">
        <v>56</v>
      </c>
      <c r="E15" s="171">
        <v>42.85</v>
      </c>
      <c r="F15" s="171">
        <v>100.4</v>
      </c>
      <c r="G15" s="171">
        <v>2500</v>
      </c>
      <c r="H15" s="172"/>
    </row>
    <row r="16" spans="1:13" x14ac:dyDescent="0.25">
      <c r="A16" s="168">
        <v>45731</v>
      </c>
      <c r="B16" s="169" t="s">
        <v>9</v>
      </c>
      <c r="C16" s="169" t="s">
        <v>15</v>
      </c>
      <c r="D16" s="170">
        <v>165</v>
      </c>
      <c r="E16" s="171">
        <v>80</v>
      </c>
      <c r="F16" s="171">
        <v>1010</v>
      </c>
      <c r="G16" s="171">
        <v>14210</v>
      </c>
      <c r="H16" s="172"/>
    </row>
    <row r="17" spans="1:14" hidden="1" x14ac:dyDescent="0.25">
      <c r="A17" s="168">
        <v>45731</v>
      </c>
      <c r="B17" s="169" t="s">
        <v>11</v>
      </c>
      <c r="C17" s="169" t="s">
        <v>19</v>
      </c>
      <c r="D17" s="170">
        <v>56</v>
      </c>
      <c r="E17" s="171">
        <v>38.39</v>
      </c>
      <c r="F17" s="171">
        <v>100.16</v>
      </c>
      <c r="G17" s="171">
        <v>2250</v>
      </c>
      <c r="H17" s="172"/>
      <c r="K17" s="72" t="s">
        <v>363</v>
      </c>
      <c r="L17" s="72" t="s">
        <v>364</v>
      </c>
    </row>
    <row r="18" spans="1:14" hidden="1" x14ac:dyDescent="0.25">
      <c r="A18" s="168">
        <v>45733</v>
      </c>
      <c r="B18" s="169" t="s">
        <v>11</v>
      </c>
      <c r="C18" s="169" t="s">
        <v>19</v>
      </c>
      <c r="D18" s="170">
        <v>56</v>
      </c>
      <c r="E18" s="171">
        <v>38.39</v>
      </c>
      <c r="F18" s="171">
        <v>100.16</v>
      </c>
      <c r="G18" s="171">
        <v>2250</v>
      </c>
      <c r="H18" s="172"/>
      <c r="K18" s="72" t="s">
        <v>163</v>
      </c>
      <c r="L18" t="s">
        <v>9</v>
      </c>
      <c r="M18" t="s">
        <v>11</v>
      </c>
      <c r="N18" t="s">
        <v>16</v>
      </c>
    </row>
    <row r="19" spans="1:14" hidden="1" x14ac:dyDescent="0.25">
      <c r="A19" s="168">
        <v>45735</v>
      </c>
      <c r="B19" s="169" t="s">
        <v>11</v>
      </c>
      <c r="C19" s="169" t="s">
        <v>19</v>
      </c>
      <c r="D19" s="170">
        <v>56</v>
      </c>
      <c r="E19" s="171">
        <v>38.39</v>
      </c>
      <c r="F19" s="171">
        <v>100.16</v>
      </c>
      <c r="G19" s="171">
        <v>2250</v>
      </c>
      <c r="H19" s="172"/>
      <c r="K19" s="139">
        <v>45712</v>
      </c>
      <c r="L19" s="137">
        <v>1</v>
      </c>
      <c r="M19" s="137">
        <v>1</v>
      </c>
      <c r="N19" s="137">
        <v>2</v>
      </c>
    </row>
    <row r="20" spans="1:14" hidden="1" x14ac:dyDescent="0.25">
      <c r="A20" s="168">
        <v>45736</v>
      </c>
      <c r="B20" s="169" t="s">
        <v>11</v>
      </c>
      <c r="C20" s="169" t="s">
        <v>19</v>
      </c>
      <c r="D20" s="170">
        <v>56</v>
      </c>
      <c r="E20" s="171">
        <v>38.39</v>
      </c>
      <c r="F20" s="171">
        <v>100.16</v>
      </c>
      <c r="G20" s="171">
        <v>2250</v>
      </c>
      <c r="H20" s="172"/>
      <c r="K20" s="139">
        <v>45720</v>
      </c>
      <c r="L20" s="137">
        <v>1</v>
      </c>
      <c r="M20" s="137">
        <v>1</v>
      </c>
      <c r="N20" s="137">
        <v>2</v>
      </c>
    </row>
    <row r="21" spans="1:14" ht="15.75" hidden="1" customHeight="1" x14ac:dyDescent="0.25">
      <c r="A21" s="168">
        <v>45737</v>
      </c>
      <c r="B21" s="169" t="s">
        <v>11</v>
      </c>
      <c r="C21" s="169" t="s">
        <v>19</v>
      </c>
      <c r="D21" s="170">
        <v>56</v>
      </c>
      <c r="E21" s="171">
        <v>38.39</v>
      </c>
      <c r="F21" s="171">
        <v>100.16</v>
      </c>
      <c r="G21" s="171">
        <v>2250</v>
      </c>
      <c r="H21" s="172"/>
      <c r="K21" s="139">
        <v>45731</v>
      </c>
      <c r="L21" s="137">
        <v>1</v>
      </c>
      <c r="M21" s="137">
        <v>1</v>
      </c>
      <c r="N21" s="137">
        <v>2</v>
      </c>
    </row>
    <row r="22" spans="1:14" ht="15.75" hidden="1" customHeight="1" x14ac:dyDescent="0.25">
      <c r="A22" s="168">
        <v>45738</v>
      </c>
      <c r="B22" s="169" t="s">
        <v>11</v>
      </c>
      <c r="C22" s="169" t="s">
        <v>20</v>
      </c>
      <c r="D22" s="170">
        <v>5</v>
      </c>
      <c r="E22" s="171">
        <v>50</v>
      </c>
      <c r="F22" s="169"/>
      <c r="G22" s="171">
        <v>250</v>
      </c>
      <c r="H22" s="172"/>
      <c r="K22" s="139">
        <v>45738</v>
      </c>
      <c r="L22" s="137">
        <v>2</v>
      </c>
      <c r="M22" s="137">
        <v>1</v>
      </c>
      <c r="N22" s="137">
        <v>3</v>
      </c>
    </row>
    <row r="23" spans="1:14" ht="15.75" customHeight="1" x14ac:dyDescent="0.25">
      <c r="A23" s="168">
        <v>45738</v>
      </c>
      <c r="B23" s="169" t="s">
        <v>9</v>
      </c>
      <c r="C23" s="169" t="s">
        <v>20</v>
      </c>
      <c r="D23" s="170">
        <v>10</v>
      </c>
      <c r="E23" s="171">
        <v>75</v>
      </c>
      <c r="F23" s="169"/>
      <c r="G23" s="171">
        <v>750</v>
      </c>
      <c r="H23" s="172"/>
      <c r="K23" s="139">
        <v>45743</v>
      </c>
      <c r="L23" s="137">
        <v>2</v>
      </c>
      <c r="M23" s="137">
        <v>2</v>
      </c>
      <c r="N23" s="137">
        <v>4</v>
      </c>
    </row>
    <row r="24" spans="1:14" ht="15.75" customHeight="1" x14ac:dyDescent="0.25">
      <c r="A24" s="168">
        <v>45738</v>
      </c>
      <c r="B24" s="169" t="s">
        <v>9</v>
      </c>
      <c r="C24" s="169" t="s">
        <v>15</v>
      </c>
      <c r="D24" s="170">
        <v>156</v>
      </c>
      <c r="E24" s="171">
        <v>80</v>
      </c>
      <c r="F24" s="171">
        <v>910</v>
      </c>
      <c r="G24" s="171">
        <v>13390</v>
      </c>
      <c r="H24" s="172"/>
      <c r="K24" s="139">
        <v>45746</v>
      </c>
      <c r="L24" s="137">
        <v>1</v>
      </c>
      <c r="M24" s="137">
        <v>1</v>
      </c>
      <c r="N24" s="137">
        <v>2</v>
      </c>
    </row>
    <row r="25" spans="1:14" ht="15.75" hidden="1" customHeight="1" x14ac:dyDescent="0.25">
      <c r="A25" s="168">
        <v>45740</v>
      </c>
      <c r="B25" s="169" t="s">
        <v>11</v>
      </c>
      <c r="C25" s="169" t="s">
        <v>19</v>
      </c>
      <c r="D25" s="170">
        <v>56</v>
      </c>
      <c r="E25" s="171">
        <v>38.39</v>
      </c>
      <c r="F25" s="171">
        <v>100.16</v>
      </c>
      <c r="G25" s="171">
        <v>2250</v>
      </c>
      <c r="H25" s="172"/>
      <c r="K25" s="139">
        <v>45758</v>
      </c>
      <c r="L25" s="137">
        <v>1</v>
      </c>
      <c r="M25" s="137">
        <v>1</v>
      </c>
      <c r="N25" s="137">
        <v>2</v>
      </c>
    </row>
    <row r="26" spans="1:14" ht="15.75" hidden="1" customHeight="1" x14ac:dyDescent="0.25">
      <c r="A26" s="168">
        <v>45741</v>
      </c>
      <c r="B26" s="169" t="s">
        <v>11</v>
      </c>
      <c r="C26" s="169" t="s">
        <v>19</v>
      </c>
      <c r="D26" s="170">
        <v>56</v>
      </c>
      <c r="E26" s="171">
        <v>38.39</v>
      </c>
      <c r="F26" s="171">
        <v>100.16</v>
      </c>
      <c r="G26" s="171">
        <v>2250</v>
      </c>
      <c r="H26" s="172"/>
      <c r="K26" s="139">
        <v>45762</v>
      </c>
      <c r="L26" s="137">
        <v>2</v>
      </c>
      <c r="M26" s="137">
        <v>1</v>
      </c>
      <c r="N26" s="137">
        <v>3</v>
      </c>
    </row>
    <row r="27" spans="1:14" ht="15.75" hidden="1" customHeight="1" x14ac:dyDescent="0.25">
      <c r="A27" s="168">
        <v>45742</v>
      </c>
      <c r="B27" s="169" t="s">
        <v>11</v>
      </c>
      <c r="C27" s="169" t="s">
        <v>19</v>
      </c>
      <c r="D27" s="170">
        <v>56</v>
      </c>
      <c r="E27" s="171">
        <v>38.39</v>
      </c>
      <c r="F27" s="171">
        <v>100.16</v>
      </c>
      <c r="G27" s="171">
        <v>2250</v>
      </c>
      <c r="H27" s="172"/>
      <c r="K27" s="139">
        <v>45791</v>
      </c>
      <c r="L27" s="137">
        <v>2</v>
      </c>
      <c r="M27" s="137"/>
      <c r="N27" s="137">
        <v>2</v>
      </c>
    </row>
    <row r="28" spans="1:14" ht="15.75" customHeight="1" x14ac:dyDescent="0.25">
      <c r="A28" s="168">
        <v>45743</v>
      </c>
      <c r="B28" s="169" t="s">
        <v>9</v>
      </c>
      <c r="C28" s="169" t="s">
        <v>15</v>
      </c>
      <c r="D28" s="170">
        <v>160</v>
      </c>
      <c r="E28" s="171">
        <v>80</v>
      </c>
      <c r="F28" s="171">
        <v>570</v>
      </c>
      <c r="G28" s="171">
        <f>(D28*E28)+F28</f>
        <v>13370</v>
      </c>
      <c r="H28" s="172"/>
      <c r="K28" s="139">
        <v>45807</v>
      </c>
      <c r="L28" s="137">
        <v>1</v>
      </c>
      <c r="M28" s="137">
        <v>2</v>
      </c>
      <c r="N28" s="137">
        <v>3</v>
      </c>
    </row>
    <row r="29" spans="1:14" ht="15.75" customHeight="1" x14ac:dyDescent="0.25">
      <c r="A29" s="168">
        <v>45743</v>
      </c>
      <c r="B29" s="169" t="s">
        <v>9</v>
      </c>
      <c r="C29" s="169" t="s">
        <v>15</v>
      </c>
      <c r="D29" s="170">
        <v>120</v>
      </c>
      <c r="E29" s="171">
        <v>85</v>
      </c>
      <c r="F29" s="171">
        <v>1000</v>
      </c>
      <c r="G29" s="171">
        <f>(D29*E29)+F29</f>
        <v>11200</v>
      </c>
      <c r="H29" s="172"/>
      <c r="K29" s="139">
        <v>45813</v>
      </c>
      <c r="L29" s="137">
        <v>2</v>
      </c>
      <c r="M29" s="137"/>
      <c r="N29" s="137">
        <v>2</v>
      </c>
    </row>
    <row r="30" spans="1:14" ht="15.75" hidden="1" customHeight="1" x14ac:dyDescent="0.25">
      <c r="A30" s="168">
        <v>45743</v>
      </c>
      <c r="B30" s="169" t="s">
        <v>11</v>
      </c>
      <c r="C30" s="169" t="s">
        <v>19</v>
      </c>
      <c r="D30" s="170">
        <v>56</v>
      </c>
      <c r="E30" s="171">
        <v>38.39</v>
      </c>
      <c r="F30" s="171">
        <v>100.16</v>
      </c>
      <c r="G30" s="171">
        <v>2250</v>
      </c>
      <c r="H30" s="172"/>
      <c r="K30" s="139">
        <v>45830</v>
      </c>
      <c r="L30" s="137">
        <v>2</v>
      </c>
      <c r="M30" s="137"/>
      <c r="N30" s="137">
        <v>2</v>
      </c>
    </row>
    <row r="31" spans="1:14" ht="15.75" hidden="1" customHeight="1" x14ac:dyDescent="0.25">
      <c r="A31" s="168">
        <v>45743</v>
      </c>
      <c r="B31" s="169" t="s">
        <v>11</v>
      </c>
      <c r="C31" s="169" t="s">
        <v>19</v>
      </c>
      <c r="D31" s="170">
        <v>56</v>
      </c>
      <c r="E31" s="171">
        <v>38.39</v>
      </c>
      <c r="F31" s="171">
        <v>100.16</v>
      </c>
      <c r="G31" s="171">
        <v>2250</v>
      </c>
      <c r="H31" s="172"/>
      <c r="K31" s="139">
        <v>45832</v>
      </c>
      <c r="L31" s="137">
        <v>1</v>
      </c>
      <c r="M31" s="137">
        <v>1</v>
      </c>
      <c r="N31" s="137">
        <v>2</v>
      </c>
    </row>
    <row r="32" spans="1:14" ht="15.75" hidden="1" customHeight="1" x14ac:dyDescent="0.25">
      <c r="A32" s="168">
        <v>45744</v>
      </c>
      <c r="B32" s="169" t="s">
        <v>11</v>
      </c>
      <c r="C32" s="169" t="s">
        <v>19</v>
      </c>
      <c r="D32" s="170">
        <v>56</v>
      </c>
      <c r="E32" s="171">
        <v>38.39</v>
      </c>
      <c r="F32" s="171">
        <v>100.16</v>
      </c>
      <c r="G32" s="171">
        <v>2250</v>
      </c>
      <c r="H32" s="172"/>
      <c r="K32" s="139">
        <v>45849</v>
      </c>
      <c r="L32" s="137">
        <v>1</v>
      </c>
      <c r="M32" s="137">
        <v>1</v>
      </c>
      <c r="N32" s="137">
        <v>2</v>
      </c>
    </row>
    <row r="33" spans="1:14" ht="15.75" hidden="1" customHeight="1" x14ac:dyDescent="0.25">
      <c r="A33" s="168">
        <v>45745</v>
      </c>
      <c r="B33" s="169" t="s">
        <v>11</v>
      </c>
      <c r="C33" s="169" t="s">
        <v>19</v>
      </c>
      <c r="D33" s="170">
        <v>56</v>
      </c>
      <c r="E33" s="171">
        <v>38.39</v>
      </c>
      <c r="F33" s="171">
        <v>100.16</v>
      </c>
      <c r="G33" s="171">
        <v>2250</v>
      </c>
      <c r="H33" s="172"/>
      <c r="K33" s="139">
        <v>45850</v>
      </c>
      <c r="L33" s="137">
        <v>1</v>
      </c>
      <c r="M33" s="137">
        <v>1</v>
      </c>
      <c r="N33" s="137">
        <v>2</v>
      </c>
    </row>
    <row r="34" spans="1:14" ht="15.75" hidden="1" customHeight="1" x14ac:dyDescent="0.25">
      <c r="A34" s="168">
        <v>45746</v>
      </c>
      <c r="B34" s="169" t="s">
        <v>11</v>
      </c>
      <c r="C34" s="169" t="s">
        <v>19</v>
      </c>
      <c r="D34" s="170">
        <v>56</v>
      </c>
      <c r="E34" s="171">
        <v>38.39</v>
      </c>
      <c r="F34" s="171">
        <v>100.16</v>
      </c>
      <c r="G34" s="171">
        <v>2250</v>
      </c>
      <c r="H34" s="172"/>
      <c r="K34" s="139">
        <v>45853</v>
      </c>
      <c r="L34" s="137">
        <v>1</v>
      </c>
      <c r="M34" s="137">
        <v>1</v>
      </c>
      <c r="N34" s="137">
        <v>2</v>
      </c>
    </row>
    <row r="35" spans="1:14" ht="15.75" customHeight="1" x14ac:dyDescent="0.25">
      <c r="A35" s="168">
        <v>45746</v>
      </c>
      <c r="B35" s="169" t="s">
        <v>9</v>
      </c>
      <c r="C35" s="169" t="s">
        <v>15</v>
      </c>
      <c r="D35" s="170">
        <v>158</v>
      </c>
      <c r="E35" s="171">
        <v>80</v>
      </c>
      <c r="F35" s="171">
        <v>1020</v>
      </c>
      <c r="G35" s="171">
        <f>(D35*E35)+F35</f>
        <v>13660</v>
      </c>
      <c r="H35" s="172"/>
      <c r="K35" s="139">
        <v>45857</v>
      </c>
      <c r="L35" s="137">
        <v>1</v>
      </c>
      <c r="M35" s="137">
        <v>1</v>
      </c>
      <c r="N35" s="137">
        <v>2</v>
      </c>
    </row>
    <row r="36" spans="1:14" ht="15.75" hidden="1" customHeight="1" x14ac:dyDescent="0.25">
      <c r="A36" s="163">
        <v>45751</v>
      </c>
      <c r="B36" s="164" t="s">
        <v>11</v>
      </c>
      <c r="C36" s="164" t="s">
        <v>19</v>
      </c>
      <c r="D36" s="165">
        <v>56</v>
      </c>
      <c r="E36" s="166">
        <v>36.6</v>
      </c>
      <c r="F36" s="166">
        <v>100.4</v>
      </c>
      <c r="G36" s="166">
        <f>(D36*E36)+F36</f>
        <v>2150</v>
      </c>
      <c r="H36" s="167"/>
      <c r="K36" s="139">
        <v>45859</v>
      </c>
      <c r="L36" s="137">
        <v>1</v>
      </c>
      <c r="M36" s="137">
        <v>1</v>
      </c>
      <c r="N36" s="137">
        <v>2</v>
      </c>
    </row>
    <row r="37" spans="1:14" ht="15.75" customHeight="1" x14ac:dyDescent="0.25">
      <c r="A37" s="163">
        <v>45758</v>
      </c>
      <c r="B37" s="164" t="s">
        <v>9</v>
      </c>
      <c r="C37" s="164" t="s">
        <v>20</v>
      </c>
      <c r="D37" s="165">
        <v>11</v>
      </c>
      <c r="E37" s="166">
        <v>80</v>
      </c>
      <c r="F37" s="166"/>
      <c r="G37" s="166">
        <f>(D37*E37)+F37</f>
        <v>880</v>
      </c>
      <c r="H37" s="167"/>
      <c r="K37" s="139">
        <v>45875</v>
      </c>
      <c r="L37" s="137">
        <v>1</v>
      </c>
      <c r="M37" s="137">
        <v>1</v>
      </c>
      <c r="N37" s="137">
        <v>2</v>
      </c>
    </row>
    <row r="38" spans="1:14" ht="15.75" hidden="1" customHeight="1" x14ac:dyDescent="0.25">
      <c r="A38" s="163">
        <v>45758</v>
      </c>
      <c r="B38" s="164" t="s">
        <v>11</v>
      </c>
      <c r="C38" s="164" t="s">
        <v>20</v>
      </c>
      <c r="D38" s="165">
        <v>15</v>
      </c>
      <c r="E38" s="166">
        <v>50</v>
      </c>
      <c r="F38" s="166"/>
      <c r="G38" s="166">
        <f>(D38*E38)+F38</f>
        <v>750</v>
      </c>
      <c r="H38" s="167"/>
      <c r="K38" s="139">
        <v>45877</v>
      </c>
      <c r="L38" s="137">
        <v>2</v>
      </c>
      <c r="M38" s="137">
        <v>1</v>
      </c>
      <c r="N38" s="137">
        <v>3</v>
      </c>
    </row>
    <row r="39" spans="1:14" ht="15.75" hidden="1" customHeight="1" x14ac:dyDescent="0.25">
      <c r="A39" s="163">
        <v>45759</v>
      </c>
      <c r="B39" s="164" t="s">
        <v>11</v>
      </c>
      <c r="C39" s="164" t="s">
        <v>19</v>
      </c>
      <c r="D39" s="165">
        <v>56</v>
      </c>
      <c r="E39" s="166">
        <v>38.39</v>
      </c>
      <c r="F39" s="166">
        <v>100.16</v>
      </c>
      <c r="G39" s="166">
        <v>2250</v>
      </c>
      <c r="H39" s="167"/>
      <c r="K39" s="139">
        <v>45891</v>
      </c>
      <c r="L39" s="137">
        <v>2</v>
      </c>
      <c r="M39" s="137"/>
      <c r="N39" s="137">
        <v>2</v>
      </c>
    </row>
    <row r="40" spans="1:14" ht="15.75" customHeight="1" x14ac:dyDescent="0.25">
      <c r="A40" s="163">
        <v>45762</v>
      </c>
      <c r="B40" s="164" t="s">
        <v>9</v>
      </c>
      <c r="C40" s="164" t="s">
        <v>15</v>
      </c>
      <c r="D40" s="165">
        <v>129</v>
      </c>
      <c r="E40" s="166">
        <v>70</v>
      </c>
      <c r="F40" s="166"/>
      <c r="G40" s="166">
        <f t="shared" ref="G40:G45" si="0">(D40*E40)+F40</f>
        <v>9030</v>
      </c>
      <c r="H40" s="167"/>
      <c r="K40" s="139">
        <v>45900</v>
      </c>
      <c r="L40" s="137">
        <v>1</v>
      </c>
      <c r="M40" s="137">
        <v>1</v>
      </c>
      <c r="N40" s="137">
        <v>2</v>
      </c>
    </row>
    <row r="41" spans="1:14" ht="15.75" customHeight="1" x14ac:dyDescent="0.25">
      <c r="A41" s="163">
        <v>45762</v>
      </c>
      <c r="B41" s="164" t="s">
        <v>9</v>
      </c>
      <c r="C41" s="164" t="s">
        <v>15</v>
      </c>
      <c r="D41" s="165">
        <v>87</v>
      </c>
      <c r="E41" s="166">
        <v>75</v>
      </c>
      <c r="F41" s="166">
        <v>1020</v>
      </c>
      <c r="G41" s="166">
        <f t="shared" si="0"/>
        <v>7545</v>
      </c>
      <c r="H41" s="167"/>
      <c r="K41" s="139">
        <v>45903</v>
      </c>
      <c r="L41" s="137">
        <v>1</v>
      </c>
      <c r="M41" s="137">
        <v>1</v>
      </c>
      <c r="N41" s="137">
        <v>2</v>
      </c>
    </row>
    <row r="42" spans="1:14" ht="15.75" hidden="1" customHeight="1" x14ac:dyDescent="0.25">
      <c r="A42" s="163">
        <v>45762</v>
      </c>
      <c r="B42" s="164" t="s">
        <v>11</v>
      </c>
      <c r="C42" s="164" t="s">
        <v>19</v>
      </c>
      <c r="D42" s="165">
        <v>56</v>
      </c>
      <c r="E42" s="166">
        <v>36.6</v>
      </c>
      <c r="F42" s="166">
        <v>100.4</v>
      </c>
      <c r="G42" s="166">
        <f t="shared" si="0"/>
        <v>2150</v>
      </c>
      <c r="H42" s="167"/>
      <c r="K42" s="139">
        <v>45908</v>
      </c>
      <c r="L42" s="137">
        <v>2</v>
      </c>
      <c r="M42" s="137">
        <v>1</v>
      </c>
      <c r="N42" s="137">
        <v>3</v>
      </c>
    </row>
    <row r="43" spans="1:14" ht="15.75" hidden="1" customHeight="1" x14ac:dyDescent="0.25">
      <c r="A43" s="163">
        <v>45766</v>
      </c>
      <c r="B43" s="164" t="s">
        <v>11</v>
      </c>
      <c r="C43" s="164" t="s">
        <v>19</v>
      </c>
      <c r="D43" s="165">
        <v>56</v>
      </c>
      <c r="E43" s="166">
        <v>36.6</v>
      </c>
      <c r="F43" s="166">
        <v>100.4</v>
      </c>
      <c r="G43" s="166">
        <f t="shared" si="0"/>
        <v>2150</v>
      </c>
      <c r="H43" s="167"/>
      <c r="K43" s="139">
        <v>45911</v>
      </c>
      <c r="L43" s="137">
        <v>2</v>
      </c>
      <c r="M43" s="137">
        <v>1</v>
      </c>
      <c r="N43" s="137">
        <v>3</v>
      </c>
    </row>
    <row r="44" spans="1:14" ht="15.75" customHeight="1" x14ac:dyDescent="0.25">
      <c r="A44" s="163">
        <v>45768</v>
      </c>
      <c r="B44" s="164" t="s">
        <v>9</v>
      </c>
      <c r="C44" s="164" t="s">
        <v>15</v>
      </c>
      <c r="D44" s="165">
        <v>192</v>
      </c>
      <c r="E44" s="166">
        <v>75</v>
      </c>
      <c r="F44" s="166">
        <v>1000</v>
      </c>
      <c r="G44" s="166">
        <f t="shared" si="0"/>
        <v>15400</v>
      </c>
      <c r="H44" s="167"/>
      <c r="K44" s="139">
        <v>45930</v>
      </c>
      <c r="L44" s="137">
        <v>2</v>
      </c>
      <c r="M44" s="137"/>
      <c r="N44" s="137">
        <v>2</v>
      </c>
    </row>
    <row r="45" spans="1:14" ht="15.75" hidden="1" customHeight="1" x14ac:dyDescent="0.25">
      <c r="A45" s="163">
        <v>45770</v>
      </c>
      <c r="B45" s="164" t="s">
        <v>11</v>
      </c>
      <c r="C45" s="164" t="s">
        <v>19</v>
      </c>
      <c r="D45" s="165">
        <v>56</v>
      </c>
      <c r="E45" s="166">
        <v>36.6</v>
      </c>
      <c r="F45" s="166">
        <v>100.4</v>
      </c>
      <c r="G45" s="166">
        <f t="shared" si="0"/>
        <v>2150</v>
      </c>
      <c r="H45" s="167"/>
      <c r="K45" s="73" t="s">
        <v>16</v>
      </c>
      <c r="L45" s="137">
        <v>37</v>
      </c>
      <c r="M45" s="137">
        <v>23</v>
      </c>
      <c r="N45" s="137">
        <v>60</v>
      </c>
    </row>
    <row r="46" spans="1:14" ht="15.75" hidden="1" customHeight="1" x14ac:dyDescent="0.25">
      <c r="A46" s="163">
        <v>45773</v>
      </c>
      <c r="B46" s="164" t="s">
        <v>11</v>
      </c>
      <c r="C46" s="164" t="s">
        <v>19</v>
      </c>
      <c r="D46" s="165">
        <v>56</v>
      </c>
      <c r="E46" s="166">
        <v>36.6</v>
      </c>
      <c r="F46" s="166">
        <v>100.4</v>
      </c>
      <c r="G46" s="166">
        <f t="shared" ref="G46:G55" si="1">(D46*E46)+F46</f>
        <v>2150</v>
      </c>
      <c r="H46" s="167"/>
    </row>
    <row r="47" spans="1:14" ht="15.75" hidden="1" customHeight="1" x14ac:dyDescent="0.25">
      <c r="A47" s="173">
        <v>45778</v>
      </c>
      <c r="B47" s="174" t="s">
        <v>11</v>
      </c>
      <c r="C47" s="174" t="s">
        <v>19</v>
      </c>
      <c r="D47" s="175">
        <v>54</v>
      </c>
      <c r="E47" s="176">
        <v>33.33</v>
      </c>
      <c r="F47" s="176">
        <v>100.18</v>
      </c>
      <c r="G47" s="176">
        <f t="shared" si="1"/>
        <v>1900</v>
      </c>
      <c r="H47" s="177"/>
    </row>
    <row r="48" spans="1:14" ht="15.75" customHeight="1" x14ac:dyDescent="0.25">
      <c r="A48" s="173">
        <v>45779</v>
      </c>
      <c r="B48" s="174" t="s">
        <v>9</v>
      </c>
      <c r="C48" s="174" t="s">
        <v>15</v>
      </c>
      <c r="D48" s="175">
        <v>220</v>
      </c>
      <c r="E48" s="176">
        <v>81.5</v>
      </c>
      <c r="F48" s="176">
        <v>0</v>
      </c>
      <c r="G48" s="176">
        <f t="shared" si="1"/>
        <v>17930</v>
      </c>
      <c r="H48" s="177"/>
    </row>
    <row r="49" spans="1:8" ht="15.75" hidden="1" customHeight="1" x14ac:dyDescent="0.25">
      <c r="A49" s="173">
        <v>45783</v>
      </c>
      <c r="B49" s="174" t="s">
        <v>11</v>
      </c>
      <c r="C49" s="174" t="s">
        <v>19</v>
      </c>
      <c r="D49" s="175">
        <v>52</v>
      </c>
      <c r="E49" s="176">
        <v>33.65</v>
      </c>
      <c r="F49" s="176">
        <v>0.2</v>
      </c>
      <c r="G49" s="176">
        <f t="shared" si="1"/>
        <v>1750</v>
      </c>
      <c r="H49" s="177"/>
    </row>
    <row r="50" spans="1:8" ht="15.75" hidden="1" customHeight="1" x14ac:dyDescent="0.25">
      <c r="A50" s="173">
        <v>45787</v>
      </c>
      <c r="B50" s="174" t="s">
        <v>11</v>
      </c>
      <c r="C50" s="174" t="s">
        <v>19</v>
      </c>
      <c r="D50" s="175">
        <v>54</v>
      </c>
      <c r="E50" s="176">
        <v>34.25</v>
      </c>
      <c r="F50" s="176">
        <v>0.5</v>
      </c>
      <c r="G50" s="176">
        <f t="shared" si="1"/>
        <v>1850</v>
      </c>
      <c r="H50" s="177"/>
    </row>
    <row r="51" spans="1:8" ht="15.75" customHeight="1" x14ac:dyDescent="0.25">
      <c r="A51" s="173">
        <v>45791</v>
      </c>
      <c r="B51" s="174" t="s">
        <v>9</v>
      </c>
      <c r="C51" s="174" t="s">
        <v>15</v>
      </c>
      <c r="D51" s="175">
        <v>388</v>
      </c>
      <c r="E51" s="176">
        <v>70</v>
      </c>
      <c r="F51" s="176">
        <v>2900</v>
      </c>
      <c r="G51" s="176">
        <f t="shared" si="1"/>
        <v>30060</v>
      </c>
      <c r="H51" s="177"/>
    </row>
    <row r="52" spans="1:8" ht="15.75" customHeight="1" x14ac:dyDescent="0.25">
      <c r="A52" s="173">
        <v>45791</v>
      </c>
      <c r="B52" s="174" t="s">
        <v>9</v>
      </c>
      <c r="C52" s="174" t="s">
        <v>15</v>
      </c>
      <c r="D52" s="175">
        <v>197</v>
      </c>
      <c r="E52" s="176">
        <v>65</v>
      </c>
      <c r="F52" s="176">
        <v>0</v>
      </c>
      <c r="G52" s="176">
        <f t="shared" si="1"/>
        <v>12805</v>
      </c>
      <c r="H52" s="177"/>
    </row>
    <row r="53" spans="1:8" ht="15.75" hidden="1" customHeight="1" x14ac:dyDescent="0.25">
      <c r="A53" s="173">
        <v>45792</v>
      </c>
      <c r="B53" s="174" t="s">
        <v>11</v>
      </c>
      <c r="C53" s="174" t="s">
        <v>19</v>
      </c>
      <c r="D53" s="175">
        <v>50</v>
      </c>
      <c r="E53" s="176">
        <v>39</v>
      </c>
      <c r="F53" s="176">
        <v>0</v>
      </c>
      <c r="G53" s="176">
        <f t="shared" si="1"/>
        <v>1950</v>
      </c>
      <c r="H53" s="177"/>
    </row>
    <row r="54" spans="1:8" ht="15.75" hidden="1" customHeight="1" x14ac:dyDescent="0.25">
      <c r="A54" s="173">
        <v>45796</v>
      </c>
      <c r="B54" s="174" t="s">
        <v>11</v>
      </c>
      <c r="C54" s="174" t="s">
        <v>289</v>
      </c>
      <c r="D54" s="175">
        <v>250</v>
      </c>
      <c r="E54" s="176">
        <v>35</v>
      </c>
      <c r="F54" s="176">
        <v>0</v>
      </c>
      <c r="G54" s="176">
        <f t="shared" si="1"/>
        <v>8750</v>
      </c>
      <c r="H54" s="177"/>
    </row>
    <row r="55" spans="1:8" ht="15.75" customHeight="1" x14ac:dyDescent="0.25">
      <c r="A55" s="173">
        <v>45800</v>
      </c>
      <c r="B55" s="174" t="s">
        <v>9</v>
      </c>
      <c r="C55" s="178" t="s">
        <v>362</v>
      </c>
      <c r="D55" s="175">
        <v>20</v>
      </c>
      <c r="E55" s="176">
        <v>75</v>
      </c>
      <c r="F55" s="176">
        <v>0</v>
      </c>
      <c r="G55" s="176">
        <f t="shared" si="1"/>
        <v>1500</v>
      </c>
      <c r="H55" s="177"/>
    </row>
    <row r="56" spans="1:8" ht="15.75" hidden="1" customHeight="1" x14ac:dyDescent="0.25">
      <c r="A56" s="173">
        <v>45802</v>
      </c>
      <c r="B56" s="174" t="s">
        <v>11</v>
      </c>
      <c r="C56" s="174" t="s">
        <v>19</v>
      </c>
      <c r="D56" s="175">
        <v>50</v>
      </c>
      <c r="E56" s="176">
        <v>43</v>
      </c>
      <c r="F56" s="176">
        <v>0</v>
      </c>
      <c r="G56" s="176">
        <f t="shared" ref="G56:G61" si="2">(D56*E56)+F56</f>
        <v>2150</v>
      </c>
      <c r="H56" s="177"/>
    </row>
    <row r="57" spans="1:8" ht="15.75" hidden="1" customHeight="1" x14ac:dyDescent="0.25">
      <c r="A57" s="173">
        <v>45804</v>
      </c>
      <c r="B57" s="178" t="s">
        <v>11</v>
      </c>
      <c r="C57" s="174" t="s">
        <v>19</v>
      </c>
      <c r="D57" s="175">
        <v>50</v>
      </c>
      <c r="E57" s="176">
        <v>49</v>
      </c>
      <c r="F57" s="176">
        <v>0</v>
      </c>
      <c r="G57" s="176">
        <f t="shared" si="2"/>
        <v>2450</v>
      </c>
      <c r="H57" s="177"/>
    </row>
    <row r="58" spans="1:8" ht="15.75" hidden="1" customHeight="1" x14ac:dyDescent="0.25">
      <c r="A58" s="173">
        <v>45807</v>
      </c>
      <c r="B58" s="178" t="s">
        <v>11</v>
      </c>
      <c r="C58" s="174" t="s">
        <v>19</v>
      </c>
      <c r="D58" s="175">
        <v>25</v>
      </c>
      <c r="E58" s="176">
        <v>49</v>
      </c>
      <c r="F58" s="176">
        <v>50</v>
      </c>
      <c r="G58" s="176">
        <f t="shared" si="2"/>
        <v>1275</v>
      </c>
      <c r="H58" s="177"/>
    </row>
    <row r="59" spans="1:8" ht="15.75" hidden="1" customHeight="1" x14ac:dyDescent="0.25">
      <c r="A59" s="173">
        <v>45807</v>
      </c>
      <c r="B59" s="178" t="s">
        <v>11</v>
      </c>
      <c r="C59" s="178" t="s">
        <v>362</v>
      </c>
      <c r="D59" s="175">
        <v>8</v>
      </c>
      <c r="E59" s="176">
        <v>50</v>
      </c>
      <c r="F59" s="176">
        <v>0</v>
      </c>
      <c r="G59" s="176">
        <f t="shared" si="2"/>
        <v>400</v>
      </c>
      <c r="H59" s="177"/>
    </row>
    <row r="60" spans="1:8" ht="15.75" customHeight="1" x14ac:dyDescent="0.25">
      <c r="A60" s="173">
        <v>45807</v>
      </c>
      <c r="B60" s="174" t="s">
        <v>9</v>
      </c>
      <c r="C60" s="178" t="s">
        <v>362</v>
      </c>
      <c r="D60" s="175">
        <v>4</v>
      </c>
      <c r="E60" s="176">
        <v>75</v>
      </c>
      <c r="F60" s="176">
        <v>0</v>
      </c>
      <c r="G60" s="176">
        <f t="shared" si="2"/>
        <v>300</v>
      </c>
      <c r="H60" s="177"/>
    </row>
    <row r="61" spans="1:8" ht="15.75" hidden="1" customHeight="1" x14ac:dyDescent="0.25">
      <c r="A61" s="157">
        <v>45809</v>
      </c>
      <c r="B61" s="158" t="s">
        <v>11</v>
      </c>
      <c r="C61" s="159" t="s">
        <v>19</v>
      </c>
      <c r="D61" s="160">
        <v>50</v>
      </c>
      <c r="E61" s="161">
        <v>50</v>
      </c>
      <c r="F61" s="161">
        <v>0</v>
      </c>
      <c r="G61" s="161">
        <f t="shared" si="2"/>
        <v>2500</v>
      </c>
      <c r="H61" s="162"/>
    </row>
    <row r="62" spans="1:8" ht="15.75" hidden="1" customHeight="1" x14ac:dyDescent="0.25">
      <c r="A62" s="157">
        <v>45811</v>
      </c>
      <c r="B62" s="158" t="s">
        <v>11</v>
      </c>
      <c r="C62" s="159" t="s">
        <v>19</v>
      </c>
      <c r="D62" s="160">
        <v>50</v>
      </c>
      <c r="E62" s="161">
        <v>49</v>
      </c>
      <c r="F62" s="161">
        <v>0</v>
      </c>
      <c r="G62" s="161">
        <f>(D62*E62)+F62</f>
        <v>2450</v>
      </c>
      <c r="H62" s="162"/>
    </row>
    <row r="63" spans="1:8" ht="15.75" customHeight="1" x14ac:dyDescent="0.25">
      <c r="A63" s="157">
        <v>45813</v>
      </c>
      <c r="B63" s="159" t="s">
        <v>9</v>
      </c>
      <c r="C63" s="158" t="s">
        <v>362</v>
      </c>
      <c r="D63" s="160">
        <v>350</v>
      </c>
      <c r="E63" s="161">
        <v>75</v>
      </c>
      <c r="F63" s="161">
        <v>200</v>
      </c>
      <c r="G63" s="161">
        <f>(D63*E63)+F63</f>
        <v>26450</v>
      </c>
      <c r="H63" s="162"/>
    </row>
    <row r="64" spans="1:8" ht="15.75" customHeight="1" x14ac:dyDescent="0.25">
      <c r="A64" s="157">
        <v>45813</v>
      </c>
      <c r="B64" s="159" t="s">
        <v>9</v>
      </c>
      <c r="C64" s="158" t="s">
        <v>362</v>
      </c>
      <c r="D64" s="160">
        <v>102</v>
      </c>
      <c r="E64" s="161">
        <v>80</v>
      </c>
      <c r="F64" s="161">
        <v>0</v>
      </c>
      <c r="G64" s="161">
        <f>(D64*E64)+F64</f>
        <v>8160</v>
      </c>
      <c r="H64" s="162"/>
    </row>
    <row r="65" spans="1:8" ht="15.75" hidden="1" customHeight="1" x14ac:dyDescent="0.25">
      <c r="A65" s="157">
        <v>45814</v>
      </c>
      <c r="B65" s="158" t="s">
        <v>11</v>
      </c>
      <c r="C65" s="159" t="s">
        <v>19</v>
      </c>
      <c r="D65" s="160">
        <v>50</v>
      </c>
      <c r="E65" s="161">
        <v>48</v>
      </c>
      <c r="F65" s="161">
        <v>0</v>
      </c>
      <c r="G65" s="161">
        <f>(D65*E65)+F65</f>
        <v>2400</v>
      </c>
      <c r="H65" s="162"/>
    </row>
    <row r="66" spans="1:8" ht="15.75" hidden="1" customHeight="1" x14ac:dyDescent="0.25">
      <c r="A66" s="157">
        <v>45817</v>
      </c>
      <c r="B66" s="158" t="s">
        <v>11</v>
      </c>
      <c r="C66" s="159" t="s">
        <v>19</v>
      </c>
      <c r="D66" s="160">
        <v>50</v>
      </c>
      <c r="E66" s="161">
        <v>46</v>
      </c>
      <c r="F66" s="161">
        <v>0</v>
      </c>
      <c r="G66" s="161">
        <f>(D66*E66)+F66</f>
        <v>2300</v>
      </c>
      <c r="H66" s="162"/>
    </row>
    <row r="67" spans="1:8" ht="15.75" hidden="1" customHeight="1" x14ac:dyDescent="0.25">
      <c r="A67" s="157">
        <v>45822</v>
      </c>
      <c r="B67" s="158" t="s">
        <v>11</v>
      </c>
      <c r="C67" s="159" t="s">
        <v>19</v>
      </c>
      <c r="D67" s="160">
        <v>50</v>
      </c>
      <c r="E67" s="161">
        <v>46</v>
      </c>
      <c r="F67" s="161">
        <v>0</v>
      </c>
      <c r="G67" s="161">
        <f t="shared" ref="G67:G74" si="3">(D67*E67)+F67</f>
        <v>2300</v>
      </c>
      <c r="H67" s="162"/>
    </row>
    <row r="68" spans="1:8" ht="15.75" customHeight="1" x14ac:dyDescent="0.25">
      <c r="A68" s="157">
        <v>45828</v>
      </c>
      <c r="B68" s="159" t="s">
        <v>9</v>
      </c>
      <c r="C68" s="158" t="s">
        <v>362</v>
      </c>
      <c r="D68" s="160">
        <v>19</v>
      </c>
      <c r="E68" s="161">
        <v>90</v>
      </c>
      <c r="F68" s="161">
        <v>0</v>
      </c>
      <c r="G68" s="161">
        <f t="shared" si="3"/>
        <v>1710</v>
      </c>
      <c r="H68" s="162"/>
    </row>
    <row r="69" spans="1:8" ht="15.75" hidden="1" customHeight="1" x14ac:dyDescent="0.25">
      <c r="A69" s="157">
        <v>45829</v>
      </c>
      <c r="B69" s="158" t="s">
        <v>11</v>
      </c>
      <c r="C69" s="159" t="s">
        <v>19</v>
      </c>
      <c r="D69" s="160">
        <v>50</v>
      </c>
      <c r="E69" s="161">
        <v>46</v>
      </c>
      <c r="F69" s="161">
        <v>0</v>
      </c>
      <c r="G69" s="161">
        <f>(D69*E69)+F69</f>
        <v>2300</v>
      </c>
      <c r="H69" s="162"/>
    </row>
    <row r="70" spans="1:8" ht="15.75" customHeight="1" x14ac:dyDescent="0.25">
      <c r="A70" s="157">
        <v>45830</v>
      </c>
      <c r="B70" s="159" t="s">
        <v>9</v>
      </c>
      <c r="C70" s="159" t="s">
        <v>362</v>
      </c>
      <c r="D70" s="160">
        <v>150</v>
      </c>
      <c r="E70" s="161">
        <v>90</v>
      </c>
      <c r="F70" s="161">
        <v>0</v>
      </c>
      <c r="G70" s="161">
        <f t="shared" si="3"/>
        <v>13500</v>
      </c>
      <c r="H70" s="162"/>
    </row>
    <row r="71" spans="1:8" ht="15.75" customHeight="1" x14ac:dyDescent="0.25">
      <c r="A71" s="157">
        <v>45830</v>
      </c>
      <c r="B71" s="159" t="s">
        <v>9</v>
      </c>
      <c r="C71" s="158" t="s">
        <v>362</v>
      </c>
      <c r="D71" s="160">
        <v>39</v>
      </c>
      <c r="E71" s="161">
        <v>95</v>
      </c>
      <c r="F71" s="161">
        <v>0</v>
      </c>
      <c r="G71" s="161">
        <f t="shared" si="3"/>
        <v>3705</v>
      </c>
      <c r="H71" s="162"/>
    </row>
    <row r="72" spans="1:8" ht="15.75" hidden="1" customHeight="1" x14ac:dyDescent="0.25">
      <c r="A72" s="157">
        <v>45832</v>
      </c>
      <c r="B72" s="159" t="s">
        <v>11</v>
      </c>
      <c r="C72" s="159" t="s">
        <v>19</v>
      </c>
      <c r="D72" s="160">
        <v>50</v>
      </c>
      <c r="E72" s="161">
        <v>44</v>
      </c>
      <c r="F72" s="161">
        <v>0</v>
      </c>
      <c r="G72" s="161">
        <f t="shared" si="3"/>
        <v>2200</v>
      </c>
      <c r="H72" s="162"/>
    </row>
    <row r="73" spans="1:8" ht="15.75" customHeight="1" x14ac:dyDescent="0.25">
      <c r="A73" s="157">
        <v>45832</v>
      </c>
      <c r="B73" s="159" t="s">
        <v>9</v>
      </c>
      <c r="C73" s="159" t="s">
        <v>15</v>
      </c>
      <c r="D73" s="160">
        <v>721</v>
      </c>
      <c r="E73" s="161">
        <v>77</v>
      </c>
      <c r="F73" s="161">
        <v>2850</v>
      </c>
      <c r="G73" s="161">
        <f t="shared" si="3"/>
        <v>58367</v>
      </c>
      <c r="H73" s="162"/>
    </row>
    <row r="74" spans="1:8" ht="15.75" hidden="1" customHeight="1" x14ac:dyDescent="0.25">
      <c r="A74" s="157">
        <v>45836</v>
      </c>
      <c r="B74" s="159" t="s">
        <v>11</v>
      </c>
      <c r="C74" s="159" t="s">
        <v>19</v>
      </c>
      <c r="D74" s="160">
        <v>50</v>
      </c>
      <c r="E74" s="161">
        <v>44</v>
      </c>
      <c r="F74" s="161">
        <v>0</v>
      </c>
      <c r="G74" s="161">
        <f t="shared" si="3"/>
        <v>2200</v>
      </c>
      <c r="H74" s="162"/>
    </row>
    <row r="75" spans="1:8" ht="15.75" hidden="1" customHeight="1" x14ac:dyDescent="0.25">
      <c r="A75" s="152">
        <v>45840</v>
      </c>
      <c r="B75" s="153" t="s">
        <v>11</v>
      </c>
      <c r="C75" s="153" t="s">
        <v>19</v>
      </c>
      <c r="D75" s="154">
        <v>54</v>
      </c>
      <c r="E75" s="155">
        <v>40.75</v>
      </c>
      <c r="F75" s="155">
        <v>-0.5</v>
      </c>
      <c r="G75" s="155">
        <f t="shared" ref="G75:G125" si="4">(D75*E75)+F75</f>
        <v>2200</v>
      </c>
      <c r="H75" s="156"/>
    </row>
    <row r="76" spans="1:8" ht="15.75" customHeight="1" x14ac:dyDescent="0.25">
      <c r="A76" s="152">
        <v>45846</v>
      </c>
      <c r="B76" s="153" t="s">
        <v>9</v>
      </c>
      <c r="C76" s="153" t="s">
        <v>362</v>
      </c>
      <c r="D76" s="154">
        <v>20</v>
      </c>
      <c r="E76" s="155">
        <v>90</v>
      </c>
      <c r="F76" s="155">
        <v>0</v>
      </c>
      <c r="G76" s="155">
        <f t="shared" si="4"/>
        <v>1800</v>
      </c>
      <c r="H76" s="156"/>
    </row>
    <row r="77" spans="1:8" ht="15.75" hidden="1" customHeight="1" x14ac:dyDescent="0.25">
      <c r="A77" s="152">
        <v>45849</v>
      </c>
      <c r="B77" s="153" t="s">
        <v>11</v>
      </c>
      <c r="C77" s="153" t="s">
        <v>19</v>
      </c>
      <c r="D77" s="154">
        <v>100</v>
      </c>
      <c r="E77" s="155">
        <v>44</v>
      </c>
      <c r="F77" s="155">
        <v>0</v>
      </c>
      <c r="G77" s="155">
        <f t="shared" si="4"/>
        <v>4400</v>
      </c>
      <c r="H77" s="156"/>
    </row>
    <row r="78" spans="1:8" ht="15.75" customHeight="1" x14ac:dyDescent="0.25">
      <c r="A78" s="152">
        <v>45849</v>
      </c>
      <c r="B78" s="153" t="s">
        <v>9</v>
      </c>
      <c r="C78" s="153" t="s">
        <v>362</v>
      </c>
      <c r="D78" s="154">
        <v>44</v>
      </c>
      <c r="E78" s="155">
        <v>90</v>
      </c>
      <c r="F78" s="155">
        <v>0</v>
      </c>
      <c r="G78" s="155">
        <f t="shared" si="4"/>
        <v>3960</v>
      </c>
      <c r="H78" s="156"/>
    </row>
    <row r="79" spans="1:8" ht="15.75" hidden="1" customHeight="1" x14ac:dyDescent="0.25">
      <c r="A79" s="152">
        <v>45850</v>
      </c>
      <c r="B79" s="153" t="s">
        <v>11</v>
      </c>
      <c r="C79" s="153" t="s">
        <v>19</v>
      </c>
      <c r="D79" s="154">
        <v>50</v>
      </c>
      <c r="E79" s="155">
        <v>42</v>
      </c>
      <c r="F79" s="155">
        <v>0</v>
      </c>
      <c r="G79" s="155">
        <f t="shared" si="4"/>
        <v>2100</v>
      </c>
      <c r="H79" s="156"/>
    </row>
    <row r="80" spans="1:8" ht="15.75" customHeight="1" x14ac:dyDescent="0.25">
      <c r="A80" s="152">
        <v>45850</v>
      </c>
      <c r="B80" s="153" t="s">
        <v>9</v>
      </c>
      <c r="C80" s="153" t="s">
        <v>362</v>
      </c>
      <c r="D80" s="154">
        <v>10</v>
      </c>
      <c r="E80" s="155">
        <v>90</v>
      </c>
      <c r="F80" s="155">
        <v>0</v>
      </c>
      <c r="G80" s="155">
        <f t="shared" si="4"/>
        <v>900</v>
      </c>
      <c r="H80" s="156"/>
    </row>
    <row r="81" spans="1:12" ht="15.75" hidden="1" customHeight="1" x14ac:dyDescent="0.25">
      <c r="A81" s="152">
        <v>45853</v>
      </c>
      <c r="B81" s="153" t="s">
        <v>11</v>
      </c>
      <c r="C81" s="153" t="s">
        <v>19</v>
      </c>
      <c r="D81" s="154">
        <v>50</v>
      </c>
      <c r="E81" s="155">
        <v>44</v>
      </c>
      <c r="F81" s="155">
        <v>0</v>
      </c>
      <c r="G81" s="155">
        <f t="shared" si="4"/>
        <v>2200</v>
      </c>
      <c r="H81" s="156"/>
    </row>
    <row r="82" spans="1:12" ht="15.75" customHeight="1" x14ac:dyDescent="0.25">
      <c r="A82" s="152">
        <v>45853</v>
      </c>
      <c r="B82" s="153" t="s">
        <v>9</v>
      </c>
      <c r="C82" s="153" t="s">
        <v>362</v>
      </c>
      <c r="D82" s="154">
        <v>10</v>
      </c>
      <c r="E82" s="155">
        <v>90</v>
      </c>
      <c r="F82" s="155">
        <v>0</v>
      </c>
      <c r="G82" s="155">
        <f t="shared" si="4"/>
        <v>900</v>
      </c>
      <c r="H82" s="156"/>
    </row>
    <row r="83" spans="1:12" ht="15.75" hidden="1" customHeight="1" x14ac:dyDescent="0.25">
      <c r="A83" s="152">
        <v>45857</v>
      </c>
      <c r="B83" s="153" t="s">
        <v>11</v>
      </c>
      <c r="C83" s="153" t="s">
        <v>19</v>
      </c>
      <c r="D83" s="154">
        <v>50</v>
      </c>
      <c r="E83" s="155">
        <v>50</v>
      </c>
      <c r="F83" s="155">
        <v>0</v>
      </c>
      <c r="G83" s="155">
        <f t="shared" si="4"/>
        <v>2500</v>
      </c>
      <c r="H83" s="156"/>
    </row>
    <row r="84" spans="1:12" ht="15.75" customHeight="1" x14ac:dyDescent="0.25">
      <c r="A84" s="152">
        <v>45857</v>
      </c>
      <c r="B84" s="153" t="s">
        <v>9</v>
      </c>
      <c r="C84" s="153" t="s">
        <v>362</v>
      </c>
      <c r="D84" s="154">
        <v>10</v>
      </c>
      <c r="E84" s="155">
        <v>90</v>
      </c>
      <c r="F84" s="155">
        <v>0</v>
      </c>
      <c r="G84" s="155">
        <f t="shared" si="4"/>
        <v>900</v>
      </c>
      <c r="H84" s="156"/>
      <c r="K84">
        <v>2900</v>
      </c>
      <c r="L84">
        <v>3100</v>
      </c>
    </row>
    <row r="85" spans="1:12" ht="15.75" hidden="1" customHeight="1" x14ac:dyDescent="0.25">
      <c r="A85" s="152">
        <v>45859</v>
      </c>
      <c r="B85" s="153" t="s">
        <v>11</v>
      </c>
      <c r="C85" s="153" t="s">
        <v>19</v>
      </c>
      <c r="D85" s="154">
        <v>50</v>
      </c>
      <c r="E85" s="155">
        <v>58</v>
      </c>
      <c r="F85" s="155">
        <v>0</v>
      </c>
      <c r="G85" s="155">
        <f t="shared" si="4"/>
        <v>2900</v>
      </c>
      <c r="H85" s="156"/>
      <c r="K85">
        <v>50</v>
      </c>
      <c r="L85">
        <v>54.2</v>
      </c>
    </row>
    <row r="86" spans="1:12" ht="15.75" customHeight="1" x14ac:dyDescent="0.25">
      <c r="A86" s="152">
        <v>45859</v>
      </c>
      <c r="B86" s="153" t="s">
        <v>9</v>
      </c>
      <c r="C86" s="153" t="s">
        <v>362</v>
      </c>
      <c r="D86" s="154">
        <v>10</v>
      </c>
      <c r="E86" s="155">
        <v>90</v>
      </c>
      <c r="F86" s="155">
        <v>0</v>
      </c>
      <c r="G86" s="155">
        <f t="shared" si="4"/>
        <v>900</v>
      </c>
      <c r="H86" s="156"/>
      <c r="K86">
        <f>K84/50</f>
        <v>58</v>
      </c>
      <c r="L86">
        <f>L84/L85</f>
        <v>57.195571955719551</v>
      </c>
    </row>
    <row r="87" spans="1:12" ht="15.75" customHeight="1" x14ac:dyDescent="0.25">
      <c r="A87" s="152">
        <v>45861</v>
      </c>
      <c r="B87" s="153" t="s">
        <v>9</v>
      </c>
      <c r="C87" s="153" t="s">
        <v>362</v>
      </c>
      <c r="D87" s="154">
        <v>225</v>
      </c>
      <c r="E87" s="155">
        <v>95</v>
      </c>
      <c r="F87" s="155">
        <v>0</v>
      </c>
      <c r="G87" s="155">
        <f t="shared" si="4"/>
        <v>21375</v>
      </c>
      <c r="H87" s="156"/>
    </row>
    <row r="88" spans="1:12" ht="15.75" hidden="1" customHeight="1" x14ac:dyDescent="0.25">
      <c r="A88" s="152">
        <v>45862</v>
      </c>
      <c r="B88" s="153" t="s">
        <v>11</v>
      </c>
      <c r="C88" s="153" t="s">
        <v>19</v>
      </c>
      <c r="D88" s="154">
        <v>50</v>
      </c>
      <c r="E88" s="155">
        <v>58</v>
      </c>
      <c r="F88" s="155">
        <v>100</v>
      </c>
      <c r="G88" s="155">
        <f t="shared" si="4"/>
        <v>3000</v>
      </c>
      <c r="H88" s="156"/>
    </row>
    <row r="89" spans="1:12" ht="15.75" hidden="1" customHeight="1" x14ac:dyDescent="0.25">
      <c r="A89" s="152">
        <v>45865</v>
      </c>
      <c r="B89" s="153" t="s">
        <v>11</v>
      </c>
      <c r="C89" s="153" t="s">
        <v>19</v>
      </c>
      <c r="D89" s="154">
        <v>56.7</v>
      </c>
      <c r="E89" s="155">
        <v>54.673699999999997</v>
      </c>
      <c r="F89" s="155">
        <v>100</v>
      </c>
      <c r="G89" s="155">
        <f t="shared" si="4"/>
        <v>3199.9987900000001</v>
      </c>
      <c r="H89" s="156"/>
    </row>
    <row r="90" spans="1:12" ht="15.75" hidden="1" customHeight="1" x14ac:dyDescent="0.25">
      <c r="A90" s="152">
        <v>45867</v>
      </c>
      <c r="B90" s="153" t="s">
        <v>11</v>
      </c>
      <c r="C90" s="153" t="s">
        <v>19</v>
      </c>
      <c r="D90" s="154">
        <v>54.2</v>
      </c>
      <c r="E90" s="155">
        <v>57.195500000000003</v>
      </c>
      <c r="F90" s="155">
        <v>100</v>
      </c>
      <c r="G90" s="155">
        <f t="shared" si="4"/>
        <v>3199.9961000000003</v>
      </c>
      <c r="H90" s="156"/>
    </row>
    <row r="91" spans="1:12" ht="15.75" hidden="1" customHeight="1" x14ac:dyDescent="0.25">
      <c r="A91" s="202">
        <v>45871</v>
      </c>
      <c r="B91" s="203" t="s">
        <v>11</v>
      </c>
      <c r="C91" s="203" t="s">
        <v>19</v>
      </c>
      <c r="D91" s="204">
        <v>56</v>
      </c>
      <c r="E91" s="205">
        <v>69.650000000000006</v>
      </c>
      <c r="F91" s="205">
        <v>0</v>
      </c>
      <c r="G91" s="205">
        <f t="shared" si="4"/>
        <v>3900.4000000000005</v>
      </c>
      <c r="H91" s="206"/>
    </row>
    <row r="92" spans="1:12" ht="15.75" customHeight="1" x14ac:dyDescent="0.25">
      <c r="A92" s="202">
        <v>45875</v>
      </c>
      <c r="B92" s="203" t="s">
        <v>9</v>
      </c>
      <c r="C92" s="203" t="s">
        <v>362</v>
      </c>
      <c r="D92" s="204">
        <v>66</v>
      </c>
      <c r="E92" s="205">
        <v>95</v>
      </c>
      <c r="F92" s="205">
        <v>0</v>
      </c>
      <c r="G92" s="205">
        <f t="shared" si="4"/>
        <v>6270</v>
      </c>
      <c r="H92" s="206"/>
    </row>
    <row r="93" spans="1:12" ht="15.75" hidden="1" customHeight="1" x14ac:dyDescent="0.25">
      <c r="A93" s="202">
        <v>45875</v>
      </c>
      <c r="B93" s="203" t="s">
        <v>11</v>
      </c>
      <c r="C93" s="203" t="s">
        <v>19</v>
      </c>
      <c r="D93" s="204">
        <v>56</v>
      </c>
      <c r="E93" s="205">
        <v>67.849999999999994</v>
      </c>
      <c r="F93" s="205">
        <v>0.4</v>
      </c>
      <c r="G93" s="205">
        <f t="shared" si="4"/>
        <v>3799.9999999999995</v>
      </c>
      <c r="H93" s="206"/>
    </row>
    <row r="94" spans="1:12" ht="15.75" hidden="1" customHeight="1" x14ac:dyDescent="0.25">
      <c r="A94" s="202">
        <v>45877</v>
      </c>
      <c r="B94" s="203" t="s">
        <v>11</v>
      </c>
      <c r="C94" s="203" t="s">
        <v>19</v>
      </c>
      <c r="D94" s="204">
        <v>113</v>
      </c>
      <c r="E94" s="205">
        <v>67.260000000000005</v>
      </c>
      <c r="F94" s="205">
        <v>-0.38</v>
      </c>
      <c r="G94" s="205">
        <f t="shared" si="4"/>
        <v>7600.0000000000009</v>
      </c>
      <c r="H94" s="206"/>
    </row>
    <row r="95" spans="1:12" ht="15.75" customHeight="1" x14ac:dyDescent="0.25">
      <c r="A95" s="202">
        <v>45877</v>
      </c>
      <c r="B95" s="203" t="s">
        <v>9</v>
      </c>
      <c r="C95" s="203" t="s">
        <v>362</v>
      </c>
      <c r="D95" s="204">
        <v>34</v>
      </c>
      <c r="E95" s="205">
        <v>95</v>
      </c>
      <c r="F95" s="205">
        <v>0</v>
      </c>
      <c r="G95" s="205">
        <f t="shared" si="4"/>
        <v>3230</v>
      </c>
      <c r="H95" s="206"/>
    </row>
    <row r="96" spans="1:12" ht="15.75" customHeight="1" x14ac:dyDescent="0.25">
      <c r="A96" s="202">
        <v>45877</v>
      </c>
      <c r="B96" s="203" t="s">
        <v>9</v>
      </c>
      <c r="C96" s="203" t="s">
        <v>289</v>
      </c>
      <c r="D96" s="204">
        <v>197</v>
      </c>
      <c r="E96" s="205">
        <v>65</v>
      </c>
      <c r="F96" s="205">
        <v>1050</v>
      </c>
      <c r="G96" s="205">
        <f t="shared" si="4"/>
        <v>13855</v>
      </c>
      <c r="H96" s="206"/>
    </row>
    <row r="97" spans="1:8" ht="15.75" hidden="1" customHeight="1" x14ac:dyDescent="0.25">
      <c r="A97" s="202">
        <v>45881</v>
      </c>
      <c r="B97" s="203" t="s">
        <v>11</v>
      </c>
      <c r="C97" s="203" t="s">
        <v>19</v>
      </c>
      <c r="D97" s="204">
        <v>50</v>
      </c>
      <c r="E97" s="205">
        <v>80</v>
      </c>
      <c r="F97" s="205">
        <v>0</v>
      </c>
      <c r="G97" s="205">
        <f t="shared" si="4"/>
        <v>4000</v>
      </c>
      <c r="H97" s="206"/>
    </row>
    <row r="98" spans="1:8" ht="15.75" hidden="1" customHeight="1" x14ac:dyDescent="0.25">
      <c r="A98" s="202">
        <v>45884</v>
      </c>
      <c r="B98" s="203" t="s">
        <v>11</v>
      </c>
      <c r="C98" s="203" t="s">
        <v>19</v>
      </c>
      <c r="D98" s="204">
        <v>50</v>
      </c>
      <c r="E98" s="205">
        <v>80</v>
      </c>
      <c r="F98" s="205">
        <v>0</v>
      </c>
      <c r="G98" s="205">
        <f t="shared" si="4"/>
        <v>4000</v>
      </c>
      <c r="H98" s="206"/>
    </row>
    <row r="99" spans="1:8" ht="15.75" hidden="1" customHeight="1" x14ac:dyDescent="0.25">
      <c r="A99" s="202">
        <v>45888</v>
      </c>
      <c r="B99" s="203" t="s">
        <v>11</v>
      </c>
      <c r="C99" s="203" t="s">
        <v>19</v>
      </c>
      <c r="D99" s="204">
        <v>50</v>
      </c>
      <c r="E99" s="205">
        <v>78</v>
      </c>
      <c r="F99" s="205">
        <v>0</v>
      </c>
      <c r="G99" s="205">
        <f t="shared" si="4"/>
        <v>3900</v>
      </c>
      <c r="H99" s="206"/>
    </row>
    <row r="100" spans="1:8" ht="15.75" customHeight="1" x14ac:dyDescent="0.25">
      <c r="A100" s="202">
        <v>45891</v>
      </c>
      <c r="B100" s="203" t="s">
        <v>9</v>
      </c>
      <c r="C100" s="203" t="s">
        <v>667</v>
      </c>
      <c r="D100" s="204">
        <v>395</v>
      </c>
      <c r="E100" s="205">
        <v>75</v>
      </c>
      <c r="F100" s="205">
        <v>1800</v>
      </c>
      <c r="G100" s="205">
        <f t="shared" si="4"/>
        <v>31425</v>
      </c>
      <c r="H100" s="206"/>
    </row>
    <row r="101" spans="1:8" ht="15.75" customHeight="1" x14ac:dyDescent="0.25">
      <c r="A101" s="202">
        <v>45891</v>
      </c>
      <c r="B101" s="203" t="s">
        <v>9</v>
      </c>
      <c r="C101" s="203" t="s">
        <v>362</v>
      </c>
      <c r="D101" s="204">
        <v>183</v>
      </c>
      <c r="E101" s="205">
        <v>125</v>
      </c>
      <c r="F101" s="205">
        <v>100</v>
      </c>
      <c r="G101" s="205">
        <f t="shared" si="4"/>
        <v>22975</v>
      </c>
      <c r="H101" s="206"/>
    </row>
    <row r="102" spans="1:8" ht="15.75" hidden="1" customHeight="1" x14ac:dyDescent="0.25">
      <c r="A102" s="202">
        <v>45892</v>
      </c>
      <c r="B102" s="203" t="s">
        <v>11</v>
      </c>
      <c r="C102" s="203" t="s">
        <v>19</v>
      </c>
      <c r="D102" s="204">
        <v>50</v>
      </c>
      <c r="E102" s="205">
        <v>80</v>
      </c>
      <c r="F102" s="205">
        <v>0</v>
      </c>
      <c r="G102" s="205">
        <f t="shared" si="4"/>
        <v>4000</v>
      </c>
      <c r="H102" s="206"/>
    </row>
    <row r="103" spans="1:8" ht="15.75" hidden="1" customHeight="1" x14ac:dyDescent="0.25">
      <c r="A103" s="202">
        <v>45894</v>
      </c>
      <c r="B103" s="203" t="s">
        <v>11</v>
      </c>
      <c r="C103" s="203" t="s">
        <v>19</v>
      </c>
      <c r="D103" s="204">
        <v>50</v>
      </c>
      <c r="E103" s="205">
        <v>76</v>
      </c>
      <c r="F103" s="205">
        <v>0</v>
      </c>
      <c r="G103" s="205">
        <f t="shared" si="4"/>
        <v>3800</v>
      </c>
      <c r="H103" s="206"/>
    </row>
    <row r="104" spans="1:8" ht="15.75" hidden="1" customHeight="1" x14ac:dyDescent="0.25">
      <c r="A104" s="202">
        <v>45898</v>
      </c>
      <c r="B104" s="203" t="s">
        <v>11</v>
      </c>
      <c r="C104" s="203" t="s">
        <v>19</v>
      </c>
      <c r="D104" s="204">
        <v>50</v>
      </c>
      <c r="E104" s="205">
        <v>78</v>
      </c>
      <c r="F104" s="205">
        <v>0</v>
      </c>
      <c r="G104" s="205">
        <f t="shared" si="4"/>
        <v>3900</v>
      </c>
      <c r="H104" s="206"/>
    </row>
    <row r="105" spans="1:8" ht="15.75" hidden="1" customHeight="1" x14ac:dyDescent="0.25">
      <c r="A105" s="202">
        <v>45900</v>
      </c>
      <c r="B105" s="203" t="s">
        <v>11</v>
      </c>
      <c r="C105" s="203" t="s">
        <v>19</v>
      </c>
      <c r="D105" s="204">
        <v>50</v>
      </c>
      <c r="E105" s="205">
        <v>78</v>
      </c>
      <c r="F105" s="205">
        <v>0</v>
      </c>
      <c r="G105" s="205">
        <f t="shared" si="4"/>
        <v>3900</v>
      </c>
      <c r="H105" s="206"/>
    </row>
    <row r="106" spans="1:8" ht="15.75" customHeight="1" x14ac:dyDescent="0.25">
      <c r="A106" s="202">
        <v>45900</v>
      </c>
      <c r="B106" s="203" t="s">
        <v>9</v>
      </c>
      <c r="C106" s="203" t="s">
        <v>362</v>
      </c>
      <c r="D106" s="204">
        <v>14</v>
      </c>
      <c r="E106" s="205">
        <v>107.15</v>
      </c>
      <c r="F106" s="205">
        <v>0</v>
      </c>
      <c r="G106" s="205">
        <f t="shared" si="4"/>
        <v>1500.1000000000001</v>
      </c>
      <c r="H106" s="206"/>
    </row>
    <row r="107" spans="1:8" ht="15.75" hidden="1" customHeight="1" x14ac:dyDescent="0.25">
      <c r="A107" s="157">
        <v>45902</v>
      </c>
      <c r="B107" s="159" t="s">
        <v>11</v>
      </c>
      <c r="C107" s="159" t="s">
        <v>19</v>
      </c>
      <c r="D107" s="160">
        <v>50</v>
      </c>
      <c r="E107" s="161">
        <v>78</v>
      </c>
      <c r="F107" s="161">
        <v>0</v>
      </c>
      <c r="G107" s="161">
        <f t="shared" si="4"/>
        <v>3900</v>
      </c>
      <c r="H107" s="162"/>
    </row>
    <row r="108" spans="1:8" ht="15.75" customHeight="1" x14ac:dyDescent="0.25">
      <c r="A108" s="157">
        <v>45903</v>
      </c>
      <c r="B108" s="159" t="s">
        <v>9</v>
      </c>
      <c r="C108" s="159" t="s">
        <v>667</v>
      </c>
      <c r="D108" s="160">
        <v>125</v>
      </c>
      <c r="E108" s="161">
        <v>75</v>
      </c>
      <c r="F108" s="161">
        <v>450</v>
      </c>
      <c r="G108" s="161">
        <f t="shared" si="4"/>
        <v>9825</v>
      </c>
      <c r="H108" s="162"/>
    </row>
    <row r="109" spans="1:8" ht="15.75" hidden="1" customHeight="1" x14ac:dyDescent="0.25">
      <c r="A109" s="157">
        <v>45903</v>
      </c>
      <c r="B109" s="159" t="s">
        <v>11</v>
      </c>
      <c r="C109" s="159" t="s">
        <v>19</v>
      </c>
      <c r="D109" s="160">
        <v>100</v>
      </c>
      <c r="E109" s="161">
        <v>80</v>
      </c>
      <c r="F109" s="161">
        <v>0</v>
      </c>
      <c r="G109" s="161">
        <f t="shared" si="4"/>
        <v>8000</v>
      </c>
      <c r="H109" s="162"/>
    </row>
    <row r="110" spans="1:8" ht="15.75" hidden="1" customHeight="1" x14ac:dyDescent="0.25">
      <c r="A110" s="157">
        <v>45905</v>
      </c>
      <c r="B110" s="159" t="s">
        <v>11</v>
      </c>
      <c r="C110" s="159" t="s">
        <v>19</v>
      </c>
      <c r="D110" s="160">
        <v>50</v>
      </c>
      <c r="E110" s="161">
        <v>78</v>
      </c>
      <c r="F110" s="161">
        <v>0</v>
      </c>
      <c r="G110" s="161">
        <f t="shared" si="4"/>
        <v>3900</v>
      </c>
      <c r="H110" s="162"/>
    </row>
    <row r="111" spans="1:8" ht="15.75" hidden="1" customHeight="1" x14ac:dyDescent="0.25">
      <c r="A111" s="157">
        <v>45908</v>
      </c>
      <c r="B111" s="159" t="s">
        <v>11</v>
      </c>
      <c r="C111" s="159" t="s">
        <v>19</v>
      </c>
      <c r="D111" s="160">
        <v>50</v>
      </c>
      <c r="E111" s="161">
        <v>78</v>
      </c>
      <c r="F111" s="161">
        <v>0</v>
      </c>
      <c r="G111" s="161">
        <f t="shared" si="4"/>
        <v>3900</v>
      </c>
      <c r="H111" s="162"/>
    </row>
    <row r="112" spans="1:8" ht="15.75" customHeight="1" x14ac:dyDescent="0.25">
      <c r="A112" s="157">
        <v>45908</v>
      </c>
      <c r="B112" s="159" t="s">
        <v>9</v>
      </c>
      <c r="C112" s="159" t="s">
        <v>667</v>
      </c>
      <c r="D112" s="160">
        <v>140</v>
      </c>
      <c r="E112" s="161">
        <v>60</v>
      </c>
      <c r="F112" s="161">
        <v>600</v>
      </c>
      <c r="G112" s="161">
        <f t="shared" si="4"/>
        <v>9000</v>
      </c>
      <c r="H112" s="162"/>
    </row>
    <row r="113" spans="1:8" x14ac:dyDescent="0.25">
      <c r="A113" s="157">
        <v>45908</v>
      </c>
      <c r="B113" s="159" t="s">
        <v>9</v>
      </c>
      <c r="C113" s="159" t="s">
        <v>667</v>
      </c>
      <c r="D113" s="160">
        <v>10</v>
      </c>
      <c r="E113" s="161">
        <v>60</v>
      </c>
      <c r="F113" s="161">
        <v>0</v>
      </c>
      <c r="G113" s="161">
        <f t="shared" si="4"/>
        <v>600</v>
      </c>
      <c r="H113" s="162"/>
    </row>
    <row r="114" spans="1:8" ht="15.75" customHeight="1" x14ac:dyDescent="0.25">
      <c r="A114" s="157">
        <v>45911</v>
      </c>
      <c r="B114" s="159" t="s">
        <v>9</v>
      </c>
      <c r="C114" s="159" t="s">
        <v>548</v>
      </c>
      <c r="D114" s="160">
        <v>390</v>
      </c>
      <c r="E114" s="161">
        <v>65</v>
      </c>
      <c r="F114" s="161">
        <v>2100</v>
      </c>
      <c r="G114" s="161">
        <f t="shared" si="4"/>
        <v>27450</v>
      </c>
      <c r="H114" s="162"/>
    </row>
    <row r="115" spans="1:8" ht="15.75" customHeight="1" x14ac:dyDescent="0.25">
      <c r="A115" s="157">
        <v>45911</v>
      </c>
      <c r="B115" s="159" t="s">
        <v>9</v>
      </c>
      <c r="C115" s="159" t="s">
        <v>548</v>
      </c>
      <c r="D115" s="160">
        <v>78</v>
      </c>
      <c r="E115" s="161">
        <v>80</v>
      </c>
      <c r="F115" s="161">
        <v>0</v>
      </c>
      <c r="G115" s="161">
        <f t="shared" si="4"/>
        <v>6240</v>
      </c>
      <c r="H115" s="162"/>
    </row>
    <row r="116" spans="1:8" ht="15.75" hidden="1" customHeight="1" x14ac:dyDescent="0.25">
      <c r="A116" s="157">
        <v>45911</v>
      </c>
      <c r="B116" s="159" t="s">
        <v>11</v>
      </c>
      <c r="C116" s="159" t="s">
        <v>19</v>
      </c>
      <c r="D116" s="160">
        <v>50</v>
      </c>
      <c r="E116" s="161">
        <v>78</v>
      </c>
      <c r="F116" s="161">
        <v>0</v>
      </c>
      <c r="G116" s="161">
        <f t="shared" si="4"/>
        <v>3900</v>
      </c>
      <c r="H116" s="162"/>
    </row>
    <row r="117" spans="1:8" ht="15.75" hidden="1" customHeight="1" x14ac:dyDescent="0.25">
      <c r="A117" s="157">
        <v>45913</v>
      </c>
      <c r="B117" s="159" t="s">
        <v>11</v>
      </c>
      <c r="C117" s="159" t="s">
        <v>19</v>
      </c>
      <c r="D117" s="160">
        <v>50</v>
      </c>
      <c r="E117" s="161">
        <v>74</v>
      </c>
      <c r="F117" s="161">
        <v>0</v>
      </c>
      <c r="G117" s="161">
        <f t="shared" si="4"/>
        <v>3700</v>
      </c>
      <c r="H117" s="162"/>
    </row>
    <row r="118" spans="1:8" ht="15.75" hidden="1" customHeight="1" x14ac:dyDescent="0.25">
      <c r="A118" s="157">
        <v>45915</v>
      </c>
      <c r="B118" s="159" t="s">
        <v>11</v>
      </c>
      <c r="C118" s="159" t="s">
        <v>19</v>
      </c>
      <c r="D118" s="160">
        <v>28</v>
      </c>
      <c r="E118" s="161">
        <v>67.849999999999994</v>
      </c>
      <c r="F118" s="161">
        <v>0</v>
      </c>
      <c r="G118" s="161">
        <f t="shared" si="4"/>
        <v>1899.7999999999997</v>
      </c>
      <c r="H118" s="162"/>
    </row>
    <row r="119" spans="1:8" ht="15.75" hidden="1" customHeight="1" x14ac:dyDescent="0.25">
      <c r="A119" s="157">
        <v>45916</v>
      </c>
      <c r="B119" s="159" t="s">
        <v>11</v>
      </c>
      <c r="C119" s="159" t="s">
        <v>19</v>
      </c>
      <c r="D119" s="160">
        <v>50</v>
      </c>
      <c r="E119" s="161">
        <v>74</v>
      </c>
      <c r="F119" s="161">
        <v>0</v>
      </c>
      <c r="G119" s="161">
        <f t="shared" si="4"/>
        <v>3700</v>
      </c>
      <c r="H119" s="162"/>
    </row>
    <row r="120" spans="1:8" ht="15.75" hidden="1" customHeight="1" x14ac:dyDescent="0.25">
      <c r="A120" s="157">
        <v>45918</v>
      </c>
      <c r="B120" s="159" t="s">
        <v>11</v>
      </c>
      <c r="C120" s="159" t="s">
        <v>19</v>
      </c>
      <c r="D120" s="160">
        <v>112</v>
      </c>
      <c r="E120" s="161">
        <v>44.64</v>
      </c>
      <c r="F120" s="161">
        <v>510</v>
      </c>
      <c r="G120" s="161">
        <f t="shared" si="4"/>
        <v>5509.68</v>
      </c>
      <c r="H120" s="162"/>
    </row>
    <row r="121" spans="1:8" ht="15.75" customHeight="1" x14ac:dyDescent="0.25">
      <c r="A121" s="157">
        <v>45919</v>
      </c>
      <c r="B121" s="159" t="s">
        <v>9</v>
      </c>
      <c r="C121" s="159" t="s">
        <v>667</v>
      </c>
      <c r="D121" s="160">
        <v>171</v>
      </c>
      <c r="E121" s="161">
        <v>65</v>
      </c>
      <c r="F121" s="161">
        <v>1150</v>
      </c>
      <c r="G121" s="161">
        <f t="shared" si="4"/>
        <v>12265</v>
      </c>
      <c r="H121" s="162"/>
    </row>
    <row r="122" spans="1:8" ht="15.75" hidden="1" customHeight="1" x14ac:dyDescent="0.25">
      <c r="A122" s="157">
        <v>45925</v>
      </c>
      <c r="B122" s="159" t="s">
        <v>11</v>
      </c>
      <c r="C122" s="159" t="s">
        <v>19</v>
      </c>
      <c r="D122" s="160">
        <v>50</v>
      </c>
      <c r="E122" s="161">
        <v>72</v>
      </c>
      <c r="F122" s="161"/>
      <c r="G122" s="161">
        <f t="shared" si="4"/>
        <v>3600</v>
      </c>
      <c r="H122" s="162"/>
    </row>
    <row r="123" spans="1:8" ht="15.75" hidden="1" customHeight="1" x14ac:dyDescent="0.25">
      <c r="A123" s="157">
        <v>45929</v>
      </c>
      <c r="B123" s="159" t="s">
        <v>11</v>
      </c>
      <c r="C123" s="159" t="s">
        <v>19</v>
      </c>
      <c r="D123" s="160">
        <v>50</v>
      </c>
      <c r="E123" s="161">
        <v>72</v>
      </c>
      <c r="F123" s="161"/>
      <c r="G123" s="161">
        <f t="shared" si="4"/>
        <v>3600</v>
      </c>
      <c r="H123" s="162"/>
    </row>
    <row r="124" spans="1:8" ht="15.75" customHeight="1" x14ac:dyDescent="0.25">
      <c r="A124" s="157">
        <v>45930</v>
      </c>
      <c r="B124" s="159" t="s">
        <v>9</v>
      </c>
      <c r="C124" s="159" t="s">
        <v>667</v>
      </c>
      <c r="D124" s="160">
        <v>80</v>
      </c>
      <c r="E124" s="161">
        <v>65</v>
      </c>
      <c r="F124" s="161">
        <v>1170</v>
      </c>
      <c r="G124" s="161">
        <f t="shared" si="4"/>
        <v>6370</v>
      </c>
      <c r="H124" s="162"/>
    </row>
    <row r="125" spans="1:8" ht="15.75" customHeight="1" x14ac:dyDescent="0.25">
      <c r="A125" s="157">
        <v>45930</v>
      </c>
      <c r="B125" s="159" t="s">
        <v>9</v>
      </c>
      <c r="C125" s="159" t="s">
        <v>667</v>
      </c>
      <c r="D125" s="160">
        <v>160</v>
      </c>
      <c r="E125" s="161">
        <v>60</v>
      </c>
      <c r="F125" s="161">
        <v>0</v>
      </c>
      <c r="G125" s="161">
        <f t="shared" si="4"/>
        <v>9600</v>
      </c>
      <c r="H125" s="162"/>
    </row>
    <row r="126" spans="1:8" ht="15.75" hidden="1" customHeight="1" x14ac:dyDescent="0.25">
      <c r="A126" s="157"/>
      <c r="B126" s="159"/>
      <c r="C126" s="159"/>
      <c r="D126" s="160"/>
      <c r="E126" s="161"/>
      <c r="F126" s="161"/>
      <c r="G126" s="161"/>
      <c r="H126" s="162"/>
    </row>
    <row r="127" spans="1:8" ht="15.75" hidden="1" customHeight="1" x14ac:dyDescent="0.25">
      <c r="A127" s="157"/>
      <c r="B127" s="159"/>
      <c r="C127" s="159"/>
      <c r="D127" s="160"/>
      <c r="E127" s="161"/>
      <c r="F127" s="161"/>
      <c r="G127" s="161"/>
      <c r="H127" s="162"/>
    </row>
    <row r="128" spans="1:8" ht="15.75" hidden="1" customHeight="1" x14ac:dyDescent="0.25">
      <c r="A128" s="157"/>
      <c r="B128" s="159"/>
      <c r="C128" s="159"/>
      <c r="D128" s="160"/>
      <c r="E128" s="161"/>
      <c r="F128" s="161"/>
      <c r="G128" s="161"/>
      <c r="H128" s="162"/>
    </row>
    <row r="129" spans="1:16" ht="15.75" hidden="1" customHeight="1" x14ac:dyDescent="0.25">
      <c r="A129" s="157"/>
      <c r="B129" s="159"/>
      <c r="C129" s="159"/>
      <c r="D129" s="160"/>
      <c r="E129" s="161"/>
      <c r="F129" s="161"/>
      <c r="G129" s="161"/>
      <c r="H129" s="162"/>
    </row>
    <row r="130" spans="1:16" ht="15.75" hidden="1" customHeight="1" x14ac:dyDescent="0.25">
      <c r="A130" s="6"/>
      <c r="B130" s="7" t="s">
        <v>21</v>
      </c>
      <c r="C130" s="6"/>
      <c r="D130" s="8">
        <f>SUM(D3:D121)</f>
        <v>10153.9</v>
      </c>
      <c r="E130" s="6"/>
      <c r="F130" s="6"/>
      <c r="G130" s="9">
        <f>SUM(G3:G129)</f>
        <v>730891.97489000007</v>
      </c>
      <c r="H130" s="6"/>
    </row>
    <row r="131" spans="1:16" ht="15.75" customHeight="1" x14ac:dyDescent="0.25"/>
    <row r="132" spans="1:16" ht="15.75" customHeight="1" x14ac:dyDescent="0.25"/>
    <row r="133" spans="1:16" ht="15.75" customHeight="1" x14ac:dyDescent="0.25"/>
    <row r="134" spans="1:16" ht="15.75" customHeight="1" x14ac:dyDescent="0.25"/>
    <row r="135" spans="1:16" ht="15.75" customHeight="1" x14ac:dyDescent="0.25">
      <c r="A135" s="10"/>
      <c r="B135" s="10"/>
      <c r="C135" s="10" t="s">
        <v>22</v>
      </c>
      <c r="D135" s="11">
        <v>1362</v>
      </c>
      <c r="E135" s="10"/>
    </row>
    <row r="136" spans="1:16" ht="15.75" customHeight="1" x14ac:dyDescent="0.25">
      <c r="A136" s="10"/>
      <c r="B136" s="10"/>
      <c r="C136" s="10" t="s">
        <v>23</v>
      </c>
      <c r="D136" s="11">
        <v>272.39999999999998</v>
      </c>
      <c r="E136" s="11">
        <v>20</v>
      </c>
    </row>
    <row r="137" spans="1:16" ht="15.75" customHeight="1" x14ac:dyDescent="0.25">
      <c r="A137" s="10"/>
      <c r="B137" s="10"/>
      <c r="C137" s="10" t="s">
        <v>24</v>
      </c>
      <c r="D137" s="11">
        <v>1362</v>
      </c>
      <c r="E137" s="12">
        <v>1089.5999999999999</v>
      </c>
    </row>
    <row r="138" spans="1:16" ht="15.75" customHeight="1" x14ac:dyDescent="0.25">
      <c r="A138" s="10"/>
      <c r="B138" s="10"/>
      <c r="C138" s="10"/>
      <c r="D138" s="10"/>
      <c r="E138" s="10"/>
    </row>
    <row r="139" spans="1:16" ht="15.75" customHeight="1" x14ac:dyDescent="0.25">
      <c r="A139" s="10"/>
      <c r="B139" s="10"/>
      <c r="C139" s="10" t="s">
        <v>25</v>
      </c>
      <c r="D139" s="11">
        <v>190680</v>
      </c>
      <c r="E139" s="10"/>
    </row>
    <row r="140" spans="1:16" ht="15.75" customHeight="1" x14ac:dyDescent="0.25">
      <c r="A140" s="10"/>
      <c r="B140" s="10"/>
      <c r="C140" s="10"/>
      <c r="D140" s="10"/>
      <c r="E140" s="10"/>
    </row>
    <row r="141" spans="1:16" ht="15.75" customHeight="1" x14ac:dyDescent="0.25">
      <c r="A141" s="10"/>
      <c r="B141" s="10"/>
      <c r="C141" s="10"/>
      <c r="D141" s="10"/>
      <c r="E141" s="10"/>
    </row>
    <row r="142" spans="1:16" x14ac:dyDescent="0.25">
      <c r="A142" s="10"/>
      <c r="B142" s="10"/>
      <c r="C142" s="10"/>
      <c r="D142" s="10"/>
      <c r="E142" s="10"/>
    </row>
    <row r="143" spans="1:16" ht="26.25" x14ac:dyDescent="0.25">
      <c r="A143" s="3" t="s">
        <v>26</v>
      </c>
      <c r="B143" s="3" t="s">
        <v>27</v>
      </c>
      <c r="C143" s="3" t="s">
        <v>28</v>
      </c>
      <c r="D143" s="3" t="s">
        <v>29</v>
      </c>
      <c r="E143" s="3" t="s">
        <v>30</v>
      </c>
      <c r="F143" s="3" t="s">
        <v>31</v>
      </c>
      <c r="L143" s="72" t="s">
        <v>163</v>
      </c>
      <c r="M143" t="s">
        <v>381</v>
      </c>
      <c r="N143" t="s">
        <v>382</v>
      </c>
      <c r="O143" t="s">
        <v>449</v>
      </c>
      <c r="P143" t="s">
        <v>450</v>
      </c>
    </row>
    <row r="144" spans="1:16" ht="15.75" customHeight="1" x14ac:dyDescent="0.25">
      <c r="A144" s="13">
        <v>45689</v>
      </c>
      <c r="B144" s="80">
        <v>130</v>
      </c>
      <c r="C144" s="15">
        <v>5900</v>
      </c>
      <c r="D144" s="14">
        <v>364</v>
      </c>
      <c r="E144" s="15">
        <v>32250</v>
      </c>
      <c r="F144" s="15">
        <f t="shared" ref="F144:F151" si="5">SUM(C144,E144)</f>
        <v>38150</v>
      </c>
      <c r="L144" s="139">
        <v>45689</v>
      </c>
      <c r="M144" s="137">
        <v>130</v>
      </c>
      <c r="N144" s="137">
        <v>364</v>
      </c>
      <c r="O144" s="137">
        <v>5900</v>
      </c>
      <c r="P144" s="137">
        <v>32250</v>
      </c>
    </row>
    <row r="145" spans="1:16" ht="15.75" customHeight="1" x14ac:dyDescent="0.25">
      <c r="A145" s="13">
        <v>45717</v>
      </c>
      <c r="B145" s="80">
        <v>921</v>
      </c>
      <c r="C145" s="15">
        <v>38200</v>
      </c>
      <c r="D145" s="14">
        <v>1004</v>
      </c>
      <c r="E145" s="15">
        <v>86875</v>
      </c>
      <c r="F145" s="15">
        <f t="shared" si="5"/>
        <v>125075</v>
      </c>
      <c r="L145" s="139">
        <v>45717</v>
      </c>
      <c r="M145" s="137">
        <v>921</v>
      </c>
      <c r="N145" s="137">
        <v>1004</v>
      </c>
      <c r="O145" s="137">
        <v>38200</v>
      </c>
      <c r="P145" s="137">
        <v>86875</v>
      </c>
    </row>
    <row r="146" spans="1:16" ht="15.75" customHeight="1" x14ac:dyDescent="0.25">
      <c r="A146" s="13">
        <v>45748</v>
      </c>
      <c r="B146" s="80">
        <v>295</v>
      </c>
      <c r="C146" s="15">
        <v>13750</v>
      </c>
      <c r="D146" s="14">
        <v>419</v>
      </c>
      <c r="E146" s="15">
        <v>32855</v>
      </c>
      <c r="F146" s="15">
        <f t="shared" si="5"/>
        <v>46605</v>
      </c>
      <c r="L146" s="139">
        <v>45748</v>
      </c>
      <c r="M146" s="137">
        <v>295</v>
      </c>
      <c r="N146" s="137">
        <v>419</v>
      </c>
      <c r="O146" s="137">
        <v>13750</v>
      </c>
      <c r="P146" s="137">
        <v>32855</v>
      </c>
    </row>
    <row r="147" spans="1:16" ht="15.75" customHeight="1" x14ac:dyDescent="0.25">
      <c r="A147" s="13">
        <v>45778</v>
      </c>
      <c r="B147" s="80">
        <v>593</v>
      </c>
      <c r="C147" s="15">
        <v>22475</v>
      </c>
      <c r="D147" s="14">
        <v>829</v>
      </c>
      <c r="E147" s="15">
        <v>62595</v>
      </c>
      <c r="F147" s="15">
        <f t="shared" si="5"/>
        <v>85070</v>
      </c>
      <c r="L147" s="139">
        <v>45778</v>
      </c>
      <c r="M147" s="137">
        <v>593</v>
      </c>
      <c r="N147" s="137">
        <v>829</v>
      </c>
      <c r="O147" s="137">
        <v>22475</v>
      </c>
      <c r="P147" s="137">
        <v>62595</v>
      </c>
    </row>
    <row r="148" spans="1:16" ht="15.75" customHeight="1" x14ac:dyDescent="0.25">
      <c r="A148" s="13">
        <v>45809</v>
      </c>
      <c r="B148" s="80">
        <v>350</v>
      </c>
      <c r="C148" s="15">
        <v>16450</v>
      </c>
      <c r="D148" s="14">
        <v>1381</v>
      </c>
      <c r="E148" s="15">
        <v>111892</v>
      </c>
      <c r="F148" s="15">
        <f t="shared" si="5"/>
        <v>128342</v>
      </c>
      <c r="L148" s="139">
        <v>45809</v>
      </c>
      <c r="M148" s="137">
        <v>350</v>
      </c>
      <c r="N148" s="137">
        <v>1381</v>
      </c>
      <c r="O148" s="137">
        <v>16450</v>
      </c>
      <c r="P148" s="137">
        <v>111892</v>
      </c>
    </row>
    <row r="149" spans="1:16" ht="15.75" customHeight="1" x14ac:dyDescent="0.25">
      <c r="A149" s="13">
        <v>45839</v>
      </c>
      <c r="B149" s="80">
        <v>514.9</v>
      </c>
      <c r="C149" s="15">
        <v>25700</v>
      </c>
      <c r="D149" s="14">
        <v>329</v>
      </c>
      <c r="E149" s="15">
        <v>30735</v>
      </c>
      <c r="F149" s="184">
        <f t="shared" si="5"/>
        <v>56435</v>
      </c>
      <c r="L149" s="139">
        <v>45839</v>
      </c>
      <c r="M149" s="137">
        <v>514.9</v>
      </c>
      <c r="N149" s="137">
        <v>329</v>
      </c>
      <c r="O149" s="137">
        <v>25700</v>
      </c>
      <c r="P149" s="137">
        <v>30735</v>
      </c>
    </row>
    <row r="150" spans="1:16" ht="15.75" customHeight="1" x14ac:dyDescent="0.25">
      <c r="A150" s="13">
        <v>45870</v>
      </c>
      <c r="B150" s="80">
        <v>575</v>
      </c>
      <c r="C150" s="15">
        <v>42800</v>
      </c>
      <c r="D150" s="14">
        <v>889</v>
      </c>
      <c r="E150" s="15">
        <v>82205</v>
      </c>
      <c r="F150" s="70">
        <f t="shared" si="5"/>
        <v>125005</v>
      </c>
      <c r="L150" s="73" t="s">
        <v>16</v>
      </c>
      <c r="M150" s="137">
        <v>2803.9</v>
      </c>
      <c r="N150" s="137">
        <v>4326</v>
      </c>
      <c r="O150" s="137">
        <v>122475</v>
      </c>
      <c r="P150" s="137">
        <v>357202</v>
      </c>
    </row>
    <row r="151" spans="1:16" ht="15.75" customHeight="1" x14ac:dyDescent="0.25">
      <c r="A151" s="13">
        <v>45901</v>
      </c>
      <c r="B151" s="80">
        <v>640</v>
      </c>
      <c r="C151" s="15">
        <v>45609.48</v>
      </c>
      <c r="D151" s="14">
        <v>1154</v>
      </c>
      <c r="E151" s="15">
        <v>81350</v>
      </c>
      <c r="F151" s="70">
        <f t="shared" si="5"/>
        <v>126959.48000000001</v>
      </c>
    </row>
    <row r="152" spans="1:16" ht="15.75" customHeight="1" x14ac:dyDescent="0.25">
      <c r="A152" s="13">
        <v>45931</v>
      </c>
      <c r="B152" s="80"/>
      <c r="C152" s="15"/>
      <c r="D152" s="14"/>
      <c r="E152" s="15"/>
      <c r="F152" s="2"/>
    </row>
    <row r="153" spans="1:16" ht="15.75" customHeight="1" x14ac:dyDescent="0.25">
      <c r="A153" s="13">
        <v>45962</v>
      </c>
      <c r="B153" s="80"/>
      <c r="C153" s="15"/>
      <c r="D153" s="14"/>
      <c r="E153" s="15"/>
      <c r="F153" s="2"/>
    </row>
    <row r="154" spans="1:16" ht="15.75" customHeight="1" x14ac:dyDescent="0.25">
      <c r="A154" s="13">
        <v>45992</v>
      </c>
      <c r="B154" s="80"/>
      <c r="C154" s="15"/>
      <c r="D154" s="14"/>
      <c r="E154" s="15"/>
      <c r="F154" s="2"/>
    </row>
    <row r="155" spans="1:16" ht="15.75" customHeight="1" x14ac:dyDescent="0.25">
      <c r="A155" s="16" t="s">
        <v>21</v>
      </c>
      <c r="B155" s="16">
        <f>SUBTOTAL(9,B144:B154)</f>
        <v>4018.9</v>
      </c>
      <c r="C155" s="17">
        <f>SUBTOTAL(9,C144:C154)</f>
        <v>210884.48000000001</v>
      </c>
      <c r="D155" s="16">
        <f>SUBTOTAL(9,D144:D154)</f>
        <v>6369</v>
      </c>
      <c r="E155" s="17">
        <f>SUBTOTAL(9,E144:E154)</f>
        <v>520757</v>
      </c>
      <c r="F155" s="17">
        <f>SUBTOTAL(9,F144:F154)</f>
        <v>731641.48</v>
      </c>
    </row>
    <row r="156" spans="1:16" ht="15.75" customHeight="1" x14ac:dyDescent="0.25"/>
    <row r="157" spans="1:16" ht="15.75" customHeight="1" x14ac:dyDescent="0.25"/>
    <row r="158" spans="1:16" ht="15.75" customHeight="1" x14ac:dyDescent="0.25"/>
    <row r="159" spans="1:16" ht="15.75" customHeight="1" x14ac:dyDescent="0.25"/>
    <row r="160" spans="1:16"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row r="1015" ht="15.75" customHeight="1" x14ac:dyDescent="0.25"/>
    <row r="1016" ht="15.75" customHeight="1" x14ac:dyDescent="0.25"/>
    <row r="1017" ht="15.75" customHeight="1" x14ac:dyDescent="0.25"/>
    <row r="1018" ht="15.75" customHeight="1" x14ac:dyDescent="0.25"/>
    <row r="1019" ht="15.75" customHeight="1" x14ac:dyDescent="0.25"/>
    <row r="1020" ht="15.75" customHeight="1" x14ac:dyDescent="0.25"/>
    <row r="1021" ht="15.75" customHeight="1" x14ac:dyDescent="0.25"/>
    <row r="1022" ht="15.75" customHeight="1" x14ac:dyDescent="0.25"/>
    <row r="1023" ht="15.75" customHeight="1" x14ac:dyDescent="0.25"/>
    <row r="1024" ht="15.75" customHeight="1" x14ac:dyDescent="0.25"/>
    <row r="1025" ht="15.75" customHeight="1" x14ac:dyDescent="0.25"/>
    <row r="1026" ht="15.75" customHeight="1" x14ac:dyDescent="0.25"/>
    <row r="1027" ht="15.75" customHeight="1" x14ac:dyDescent="0.25"/>
    <row r="1028" ht="15.75" customHeight="1" x14ac:dyDescent="0.25"/>
    <row r="1029" ht="15.75" customHeight="1" x14ac:dyDescent="0.25"/>
    <row r="1030" ht="15.75" customHeight="1" x14ac:dyDescent="0.25"/>
    <row r="1031" ht="15.75" customHeight="1" x14ac:dyDescent="0.25"/>
    <row r="1032" ht="15.75" customHeight="1" x14ac:dyDescent="0.25"/>
    <row r="1033" ht="15.75" customHeight="1" x14ac:dyDescent="0.25"/>
    <row r="1034" ht="15.75" customHeight="1" x14ac:dyDescent="0.25"/>
    <row r="1035" ht="15.75" customHeight="1" x14ac:dyDescent="0.25"/>
    <row r="1036" ht="15.75" customHeight="1" x14ac:dyDescent="0.25"/>
    <row r="1037" ht="15.75" customHeight="1" x14ac:dyDescent="0.25"/>
    <row r="1038" ht="15.75" customHeight="1" x14ac:dyDescent="0.25"/>
    <row r="1039" ht="15.75" customHeight="1" x14ac:dyDescent="0.25"/>
    <row r="1040" ht="15.75" customHeight="1" x14ac:dyDescent="0.25"/>
    <row r="1041" ht="15.75" customHeight="1" x14ac:dyDescent="0.25"/>
    <row r="1042" ht="15.75" customHeight="1" x14ac:dyDescent="0.25"/>
    <row r="1043" ht="15.75" customHeight="1" x14ac:dyDescent="0.25"/>
    <row r="1044" ht="15.75" customHeight="1" x14ac:dyDescent="0.25"/>
    <row r="1045" ht="15.75" customHeight="1" x14ac:dyDescent="0.25"/>
    <row r="1046" ht="15.75" customHeight="1" x14ac:dyDescent="0.25"/>
    <row r="1047" ht="15.75" customHeight="1" x14ac:dyDescent="0.25"/>
    <row r="1048" ht="15.75" customHeight="1" x14ac:dyDescent="0.25"/>
    <row r="1049" ht="15.75" customHeight="1" x14ac:dyDescent="0.25"/>
    <row r="1050" ht="15.75" customHeight="1" x14ac:dyDescent="0.25"/>
    <row r="1051" ht="15.75" customHeight="1" x14ac:dyDescent="0.25"/>
    <row r="1052" ht="15.75" customHeight="1" x14ac:dyDescent="0.25"/>
    <row r="1053" ht="15.75" customHeight="1" x14ac:dyDescent="0.25"/>
    <row r="1054" ht="15.75" customHeight="1" x14ac:dyDescent="0.25"/>
    <row r="1055" ht="15.75" customHeight="1" x14ac:dyDescent="0.25"/>
    <row r="1056" ht="15.75" customHeight="1" x14ac:dyDescent="0.25"/>
    <row r="1057" ht="15.75" customHeight="1" x14ac:dyDescent="0.25"/>
    <row r="1058" ht="15.75" customHeight="1" x14ac:dyDescent="0.25"/>
    <row r="1059" ht="15.75" customHeight="1" x14ac:dyDescent="0.25"/>
    <row r="1060" ht="15.75" customHeight="1" x14ac:dyDescent="0.25"/>
    <row r="1061" ht="15.75" customHeight="1" x14ac:dyDescent="0.25"/>
    <row r="1062" ht="15.75" customHeight="1" x14ac:dyDescent="0.25"/>
    <row r="1063" ht="15.75" customHeight="1" x14ac:dyDescent="0.25"/>
    <row r="1064" ht="15.75" customHeight="1" x14ac:dyDescent="0.25"/>
    <row r="1065" ht="15.75" customHeight="1" x14ac:dyDescent="0.25"/>
    <row r="1066" ht="15.75" customHeight="1" x14ac:dyDescent="0.25"/>
    <row r="1067" ht="15.75" customHeight="1" x14ac:dyDescent="0.25"/>
    <row r="1068" ht="15.75" customHeight="1" x14ac:dyDescent="0.25"/>
    <row r="1069" ht="15.75" customHeight="1" x14ac:dyDescent="0.25"/>
    <row r="1070" ht="15.75" customHeight="1" x14ac:dyDescent="0.25"/>
    <row r="1071" ht="15.75" customHeight="1" x14ac:dyDescent="0.25"/>
    <row r="1072" ht="15.75" customHeight="1" x14ac:dyDescent="0.25"/>
    <row r="1073" ht="15.75" customHeight="1" x14ac:dyDescent="0.25"/>
    <row r="1074" ht="15.75" customHeight="1" x14ac:dyDescent="0.25"/>
    <row r="1075" ht="15.75" customHeight="1" x14ac:dyDescent="0.25"/>
    <row r="1076" ht="15.75" customHeight="1" x14ac:dyDescent="0.25"/>
    <row r="1077" ht="15.75" customHeight="1" x14ac:dyDescent="0.25"/>
    <row r="1078" ht="15.75" customHeight="1" x14ac:dyDescent="0.25"/>
    <row r="1079" ht="15.75" customHeight="1" x14ac:dyDescent="0.25"/>
    <row r="1080" ht="15.75" customHeight="1" x14ac:dyDescent="0.25"/>
    <row r="1081" ht="15.75" customHeight="1" x14ac:dyDescent="0.25"/>
    <row r="1082" ht="15.75" customHeight="1" x14ac:dyDescent="0.25"/>
    <row r="1083" ht="15.75" customHeight="1" x14ac:dyDescent="0.25"/>
    <row r="1084" ht="15.75" customHeight="1" x14ac:dyDescent="0.25"/>
    <row r="1085" ht="15.75" customHeight="1" x14ac:dyDescent="0.25"/>
    <row r="1086" ht="15.75" customHeight="1" x14ac:dyDescent="0.25"/>
    <row r="1087" ht="15.75" customHeight="1" x14ac:dyDescent="0.25"/>
    <row r="1088" ht="15.75" customHeight="1" x14ac:dyDescent="0.25"/>
    <row r="1089" ht="15.75" customHeight="1" x14ac:dyDescent="0.25"/>
    <row r="1090" ht="15.75" customHeight="1" x14ac:dyDescent="0.25"/>
    <row r="1091" ht="15.75" customHeight="1" x14ac:dyDescent="0.25"/>
    <row r="1092" ht="15.75" customHeight="1" x14ac:dyDescent="0.25"/>
    <row r="1093" ht="15.75" customHeight="1" x14ac:dyDescent="0.25"/>
    <row r="1094" ht="15.75" customHeight="1" x14ac:dyDescent="0.25"/>
    <row r="1095" ht="15.75" customHeight="1" x14ac:dyDescent="0.25"/>
    <row r="1096" ht="15.75" customHeight="1" x14ac:dyDescent="0.25"/>
    <row r="1097" ht="15.75" customHeight="1" x14ac:dyDescent="0.25"/>
    <row r="1098" ht="15.75" customHeight="1" x14ac:dyDescent="0.25"/>
    <row r="1099" ht="15.75" customHeight="1" x14ac:dyDescent="0.25"/>
    <row r="1100" ht="15.75" customHeight="1" x14ac:dyDescent="0.25"/>
    <row r="1101" ht="15.75" customHeight="1" x14ac:dyDescent="0.25"/>
    <row r="1102" ht="15.75" customHeight="1" x14ac:dyDescent="0.25"/>
    <row r="1103" ht="15.75" customHeight="1" x14ac:dyDescent="0.25"/>
    <row r="1104" ht="15.75" customHeight="1" x14ac:dyDescent="0.25"/>
    <row r="1105" ht="15.75" customHeight="1" x14ac:dyDescent="0.25"/>
  </sheetData>
  <autoFilter ref="A2:H130">
    <filterColumn colId="1">
      <filters>
        <filter val="Garlic"/>
      </filters>
    </filterColumn>
  </autoFilter>
  <pageMargins left="0.7" right="0.7" top="0.75" bottom="0.75" header="0" footer="0"/>
  <pageSetup orientation="landscape" r:id="rId4"/>
  <drawing r:id="rId5"/>
  <extLst>
    <ext xmlns:x14="http://schemas.microsoft.com/office/spreadsheetml/2009/9/main" uri="{CCE6A557-97BC-4b89-ADB6-D9C93CAAB3DF}">
      <x14:dataValidations xmlns:xm="http://schemas.microsoft.com/office/excel/2006/main" count="3">
        <x14:dataValidation type="list" allowBlank="1" showInputMessage="1" showErrorMessage="1">
          <x14:formula1>
            <xm:f>Sheet2!$B$1:$B$2</xm:f>
          </x14:formula1>
          <xm:sqref>B91:B129</xm:sqref>
        </x14:dataValidation>
        <x14:dataValidation type="list" allowBlank="1" showInputMessage="1" showErrorMessage="1">
          <x14:formula1>
            <xm:f>Sheet2!$C$1:$C$4</xm:f>
          </x14:formula1>
          <xm:sqref>C3:C99</xm:sqref>
        </x14:dataValidation>
        <x14:dataValidation type="list" allowBlank="1" showInputMessage="1" showErrorMessage="1">
          <x14:formula1>
            <xm:f>Sheet2!$C$1:$C$5</xm:f>
          </x14:formula1>
          <xm:sqref>C100:C129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0"/>
  <sheetViews>
    <sheetView workbookViewId="0">
      <pane ySplit="1" topLeftCell="A2" activePane="bottomLeft" state="frozen"/>
      <selection pane="bottomLeft" activeCell="A19" sqref="A19"/>
    </sheetView>
  </sheetViews>
  <sheetFormatPr defaultColWidth="14.42578125" defaultRowHeight="15" customHeight="1" x14ac:dyDescent="0.25"/>
  <cols>
    <col min="1" max="1" width="10.140625" customWidth="1"/>
    <col min="2" max="2" width="25" customWidth="1"/>
    <col min="3" max="4" width="10.7109375" customWidth="1"/>
    <col min="5" max="5" width="9.7109375" customWidth="1"/>
    <col min="6" max="6" width="18.85546875" customWidth="1"/>
    <col min="7" max="26" width="8.7109375" customWidth="1"/>
  </cols>
  <sheetData>
    <row r="1" spans="1:6" x14ac:dyDescent="0.25">
      <c r="A1" s="4" t="s">
        <v>1</v>
      </c>
      <c r="B1" s="4" t="s">
        <v>2</v>
      </c>
      <c r="C1" s="4" t="s">
        <v>32</v>
      </c>
      <c r="D1" s="4" t="s">
        <v>33</v>
      </c>
      <c r="E1" s="4" t="s">
        <v>34</v>
      </c>
      <c r="F1" s="4" t="s">
        <v>8</v>
      </c>
    </row>
    <row r="2" spans="1:6" ht="77.25" x14ac:dyDescent="0.25">
      <c r="A2" s="18"/>
      <c r="B2" s="19" t="s">
        <v>35</v>
      </c>
      <c r="C2" s="20">
        <v>42928</v>
      </c>
      <c r="D2" s="19"/>
      <c r="E2" s="19"/>
      <c r="F2" s="19" t="s">
        <v>36</v>
      </c>
    </row>
    <row r="3" spans="1:6" x14ac:dyDescent="0.25">
      <c r="A3" s="21">
        <v>45708</v>
      </c>
      <c r="B3" s="2" t="s">
        <v>37</v>
      </c>
      <c r="C3" s="22">
        <v>4710</v>
      </c>
      <c r="D3" s="2"/>
      <c r="E3" s="2"/>
      <c r="F3" s="2"/>
    </row>
    <row r="4" spans="1:6" ht="26.25" x14ac:dyDescent="0.25">
      <c r="A4" s="21">
        <v>45709</v>
      </c>
      <c r="B4" s="2" t="s">
        <v>38</v>
      </c>
      <c r="C4" s="22">
        <v>1040</v>
      </c>
      <c r="D4" s="2"/>
      <c r="E4" s="2"/>
      <c r="F4" s="2"/>
    </row>
    <row r="5" spans="1:6" ht="64.5" x14ac:dyDescent="0.25">
      <c r="A5" s="21">
        <v>45710</v>
      </c>
      <c r="B5" s="2" t="s">
        <v>39</v>
      </c>
      <c r="C5" s="22">
        <v>2300</v>
      </c>
      <c r="D5" s="2"/>
      <c r="E5" s="2"/>
      <c r="F5" s="2"/>
    </row>
    <row r="6" spans="1:6" x14ac:dyDescent="0.25">
      <c r="A6" s="23">
        <v>45710</v>
      </c>
      <c r="B6" s="2" t="s">
        <v>40</v>
      </c>
      <c r="C6" s="2"/>
      <c r="D6" s="22">
        <v>140</v>
      </c>
      <c r="E6" s="2"/>
      <c r="F6" s="2"/>
    </row>
    <row r="7" spans="1:6" ht="26.25" x14ac:dyDescent="0.25">
      <c r="A7" s="23">
        <v>45710</v>
      </c>
      <c r="B7" s="2" t="s">
        <v>41</v>
      </c>
      <c r="C7" s="22">
        <v>770</v>
      </c>
      <c r="D7" s="2"/>
      <c r="E7" s="2"/>
      <c r="F7" s="2"/>
    </row>
    <row r="8" spans="1:6" ht="26.25" x14ac:dyDescent="0.25">
      <c r="A8" s="23">
        <v>45711</v>
      </c>
      <c r="B8" s="2" t="s">
        <v>42</v>
      </c>
      <c r="C8" s="22">
        <v>1040</v>
      </c>
      <c r="D8" s="2"/>
      <c r="E8" s="2"/>
      <c r="F8" s="2"/>
    </row>
    <row r="9" spans="1:6" ht="51.75" x14ac:dyDescent="0.25">
      <c r="A9" s="23">
        <v>45711</v>
      </c>
      <c r="B9" s="2" t="s">
        <v>43</v>
      </c>
      <c r="C9" s="2"/>
      <c r="D9" s="22">
        <v>625</v>
      </c>
      <c r="E9" s="2"/>
      <c r="F9" s="2"/>
    </row>
    <row r="10" spans="1:6" ht="77.25" x14ac:dyDescent="0.25">
      <c r="A10" s="23">
        <v>45712</v>
      </c>
      <c r="B10" s="2" t="s">
        <v>44</v>
      </c>
      <c r="C10" s="22">
        <v>1780</v>
      </c>
      <c r="D10" s="2"/>
      <c r="E10" s="2"/>
      <c r="F10" s="2"/>
    </row>
    <row r="11" spans="1:6" ht="39" x14ac:dyDescent="0.25">
      <c r="A11" s="23">
        <v>45713</v>
      </c>
      <c r="B11" s="2" t="s">
        <v>45</v>
      </c>
      <c r="C11" s="22">
        <v>280</v>
      </c>
      <c r="D11" s="2"/>
      <c r="E11" s="2"/>
      <c r="F11" s="2"/>
    </row>
    <row r="12" spans="1:6" x14ac:dyDescent="0.25">
      <c r="A12" s="23">
        <v>45713</v>
      </c>
      <c r="B12" s="2" t="s">
        <v>46</v>
      </c>
      <c r="C12" s="2"/>
      <c r="D12" s="22">
        <v>50</v>
      </c>
      <c r="E12" s="2"/>
      <c r="F12" s="2"/>
    </row>
    <row r="13" spans="1:6" ht="77.25" x14ac:dyDescent="0.25">
      <c r="A13" s="23">
        <v>45714</v>
      </c>
      <c r="B13" s="2" t="s">
        <v>47</v>
      </c>
      <c r="C13" s="22">
        <v>2930</v>
      </c>
      <c r="D13" s="2"/>
      <c r="E13" s="2"/>
      <c r="F13" s="2"/>
    </row>
    <row r="14" spans="1:6" x14ac:dyDescent="0.25">
      <c r="A14" s="23">
        <v>45714</v>
      </c>
      <c r="B14" s="2" t="s">
        <v>48</v>
      </c>
      <c r="C14" s="2"/>
      <c r="D14" s="22">
        <v>50</v>
      </c>
      <c r="E14" s="2"/>
      <c r="F14" s="2"/>
    </row>
    <row r="15" spans="1:6" x14ac:dyDescent="0.25">
      <c r="A15" s="23">
        <v>45714</v>
      </c>
      <c r="B15" s="2" t="s">
        <v>49</v>
      </c>
      <c r="C15" s="2"/>
      <c r="D15" s="22">
        <v>2400</v>
      </c>
      <c r="E15" s="2"/>
      <c r="F15" s="2"/>
    </row>
    <row r="16" spans="1:6" x14ac:dyDescent="0.25">
      <c r="A16" s="23">
        <v>45714</v>
      </c>
      <c r="B16" s="2" t="s">
        <v>50</v>
      </c>
      <c r="C16" s="2"/>
      <c r="D16" s="22">
        <v>100</v>
      </c>
      <c r="E16" s="2"/>
      <c r="F16" s="2"/>
    </row>
    <row r="17" spans="1:6" x14ac:dyDescent="0.25">
      <c r="A17" s="23">
        <v>45714</v>
      </c>
      <c r="B17" s="2" t="s">
        <v>51</v>
      </c>
      <c r="C17" s="2"/>
      <c r="D17" s="22">
        <v>710</v>
      </c>
      <c r="E17" s="2"/>
      <c r="F17" s="2"/>
    </row>
    <row r="18" spans="1:6" x14ac:dyDescent="0.25">
      <c r="A18" s="23">
        <v>45714</v>
      </c>
      <c r="B18" s="2" t="s">
        <v>52</v>
      </c>
      <c r="C18" s="2"/>
      <c r="D18" s="22">
        <v>9000</v>
      </c>
      <c r="E18" s="2"/>
      <c r="F18" s="2"/>
    </row>
    <row r="19" spans="1:6" ht="39" x14ac:dyDescent="0.25">
      <c r="A19" s="23">
        <v>45715</v>
      </c>
      <c r="B19" s="2" t="s">
        <v>53</v>
      </c>
      <c r="C19" s="22">
        <v>1620</v>
      </c>
      <c r="D19" s="2"/>
      <c r="E19" s="24">
        <v>1290</v>
      </c>
      <c r="F19" s="25" t="s">
        <v>54</v>
      </c>
    </row>
    <row r="20" spans="1:6" x14ac:dyDescent="0.25">
      <c r="A20" s="23">
        <v>45715</v>
      </c>
      <c r="B20" s="26" t="s">
        <v>55</v>
      </c>
      <c r="C20" s="22">
        <v>1290</v>
      </c>
      <c r="D20" s="2"/>
      <c r="E20" s="2"/>
      <c r="F20" s="2"/>
    </row>
    <row r="21" spans="1:6" ht="15.75" customHeight="1" x14ac:dyDescent="0.25">
      <c r="A21" s="23">
        <v>45716</v>
      </c>
      <c r="B21" s="2" t="s">
        <v>56</v>
      </c>
      <c r="C21" s="2"/>
      <c r="D21" s="22">
        <v>13850</v>
      </c>
      <c r="E21" s="2"/>
      <c r="F21" s="2"/>
    </row>
    <row r="22" spans="1:6" ht="15.75" customHeight="1" x14ac:dyDescent="0.25">
      <c r="A22" s="23">
        <v>45716</v>
      </c>
      <c r="B22" s="2" t="s">
        <v>57</v>
      </c>
      <c r="C22" s="22">
        <v>3690</v>
      </c>
      <c r="D22" s="2"/>
      <c r="E22" s="2"/>
      <c r="F22" s="2"/>
    </row>
    <row r="23" spans="1:6" ht="15.75" customHeight="1" x14ac:dyDescent="0.25">
      <c r="A23" s="23">
        <v>45716</v>
      </c>
      <c r="B23" s="2" t="s">
        <v>58</v>
      </c>
      <c r="C23" s="2"/>
      <c r="D23" s="22">
        <v>50</v>
      </c>
      <c r="E23" s="2"/>
      <c r="F23" s="2"/>
    </row>
    <row r="24" spans="1:6" ht="15.75" customHeight="1" x14ac:dyDescent="0.25">
      <c r="A24" s="2"/>
      <c r="B24" s="2" t="s">
        <v>59</v>
      </c>
      <c r="C24" s="22">
        <f>SUM(C3:C23)</f>
        <v>21450</v>
      </c>
      <c r="D24" s="2"/>
      <c r="E24" s="2"/>
      <c r="F24" s="2"/>
    </row>
    <row r="25" spans="1:6" ht="15.75" customHeight="1" x14ac:dyDescent="0.25">
      <c r="A25" s="2"/>
      <c r="B25" s="27" t="s">
        <v>21</v>
      </c>
      <c r="C25" s="28">
        <f>SUM(C24,C2)</f>
        <v>64378</v>
      </c>
      <c r="D25" s="28">
        <f>SUM(D3:D24)</f>
        <v>26975</v>
      </c>
      <c r="E25" s="2"/>
      <c r="F25" s="2"/>
    </row>
    <row r="26" spans="1:6" ht="15.75" customHeight="1" x14ac:dyDescent="0.25">
      <c r="A26" s="10"/>
      <c r="B26" s="10"/>
      <c r="C26" s="10"/>
      <c r="D26" s="10"/>
      <c r="E26" s="10"/>
      <c r="F26" s="10"/>
    </row>
    <row r="27" spans="1:6" ht="15.75" customHeight="1" x14ac:dyDescent="0.25">
      <c r="A27" s="10"/>
      <c r="B27" s="10"/>
      <c r="C27" s="10"/>
      <c r="D27" s="10"/>
      <c r="E27" s="10"/>
      <c r="F27" s="10"/>
    </row>
    <row r="28" spans="1:6" ht="15.75" customHeight="1" x14ac:dyDescent="0.25">
      <c r="A28" s="10"/>
      <c r="B28" s="29" t="s">
        <v>60</v>
      </c>
      <c r="C28" s="30">
        <f>C25-D25</f>
        <v>37403</v>
      </c>
      <c r="D28" s="10"/>
      <c r="E28" s="10"/>
      <c r="F28" s="10"/>
    </row>
    <row r="29" spans="1:6" ht="15.75" customHeight="1" x14ac:dyDescent="0.25"/>
    <row r="30" spans="1:6" ht="15.75" customHeight="1" x14ac:dyDescent="0.25"/>
    <row r="31" spans="1:6" ht="15.75" customHeight="1" x14ac:dyDescent="0.25"/>
    <row r="32" spans="1: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38"/>
  <sheetViews>
    <sheetView zoomScaleNormal="100" workbookViewId="0">
      <pane ySplit="1" topLeftCell="A2" activePane="bottomLeft" state="frozen"/>
      <selection pane="bottomLeft" activeCell="L36" sqref="L36"/>
    </sheetView>
  </sheetViews>
  <sheetFormatPr defaultColWidth="14.42578125" defaultRowHeight="15" customHeight="1" x14ac:dyDescent="0.25"/>
  <cols>
    <col min="1" max="1" width="10.140625" customWidth="1"/>
    <col min="2" max="2" width="10.5703125" customWidth="1"/>
    <col min="3" max="3" width="21.42578125" customWidth="1"/>
    <col min="4" max="4" width="12.28515625" customWidth="1"/>
    <col min="5" max="5" width="12.5703125" customWidth="1"/>
    <col min="6" max="6" width="12.140625" hidden="1" customWidth="1"/>
    <col min="7" max="7" width="26.7109375" customWidth="1"/>
    <col min="8" max="8" width="8.7109375" customWidth="1"/>
    <col min="9" max="9" width="13.85546875" customWidth="1"/>
    <col min="10" max="10" width="16" customWidth="1"/>
    <col min="11" max="11" width="12.28515625" customWidth="1"/>
    <col min="12" max="12" width="16" customWidth="1"/>
    <col min="13" max="27" width="4" customWidth="1"/>
    <col min="28" max="60" width="5" customWidth="1"/>
    <col min="61" max="63" width="6" customWidth="1"/>
    <col min="64" max="64" width="7.28515625" customWidth="1"/>
    <col min="65" max="65" width="11.28515625" customWidth="1"/>
  </cols>
  <sheetData>
    <row r="1" spans="1:12" x14ac:dyDescent="0.25">
      <c r="A1" s="4" t="s">
        <v>1</v>
      </c>
      <c r="B1" s="4" t="s">
        <v>61</v>
      </c>
      <c r="C1" s="4" t="s">
        <v>2</v>
      </c>
      <c r="D1" s="4" t="s">
        <v>32</v>
      </c>
      <c r="E1" s="4" t="s">
        <v>33</v>
      </c>
      <c r="F1" s="4" t="s">
        <v>34</v>
      </c>
      <c r="G1" s="4" t="s">
        <v>8</v>
      </c>
    </row>
    <row r="2" spans="1:12" x14ac:dyDescent="0.25">
      <c r="A2" s="31">
        <v>45717</v>
      </c>
      <c r="B2" s="2"/>
      <c r="C2" s="2" t="s">
        <v>62</v>
      </c>
      <c r="D2" s="30">
        <v>37403</v>
      </c>
      <c r="E2" s="2"/>
      <c r="F2" s="2"/>
      <c r="G2" s="2"/>
    </row>
    <row r="3" spans="1:12" x14ac:dyDescent="0.25">
      <c r="A3" s="31">
        <v>45717</v>
      </c>
      <c r="B3" s="2"/>
      <c r="C3" s="2" t="s">
        <v>32</v>
      </c>
      <c r="D3" s="22">
        <v>7915</v>
      </c>
      <c r="E3" s="2"/>
      <c r="F3" s="2"/>
      <c r="G3" s="2"/>
    </row>
    <row r="4" spans="1:12" x14ac:dyDescent="0.25">
      <c r="A4" s="31">
        <v>45717</v>
      </c>
      <c r="B4" s="2"/>
      <c r="C4" s="2" t="s">
        <v>32</v>
      </c>
      <c r="D4" s="22">
        <v>1200</v>
      </c>
      <c r="E4" s="2"/>
      <c r="F4" s="2"/>
      <c r="G4" s="2"/>
    </row>
    <row r="5" spans="1:12" x14ac:dyDescent="0.25">
      <c r="A5" s="31">
        <v>45717</v>
      </c>
      <c r="B5" s="2"/>
      <c r="C5" s="36" t="s">
        <v>69</v>
      </c>
      <c r="D5" s="2"/>
      <c r="E5" s="22">
        <v>560</v>
      </c>
      <c r="F5" s="2"/>
      <c r="G5" s="2" t="s">
        <v>63</v>
      </c>
    </row>
    <row r="6" spans="1:12" x14ac:dyDescent="0.25">
      <c r="A6" s="32">
        <v>45718</v>
      </c>
      <c r="B6" s="2"/>
      <c r="C6" s="2" t="s">
        <v>32</v>
      </c>
      <c r="D6" s="22">
        <v>7950</v>
      </c>
      <c r="E6" s="2"/>
      <c r="F6" s="2"/>
      <c r="G6" s="2"/>
      <c r="J6" s="72" t="s">
        <v>163</v>
      </c>
      <c r="K6" t="s">
        <v>165</v>
      </c>
      <c r="L6" t="s">
        <v>164</v>
      </c>
    </row>
    <row r="7" spans="1:12" x14ac:dyDescent="0.25">
      <c r="A7" s="32">
        <v>45718</v>
      </c>
      <c r="B7" s="2"/>
      <c r="C7" s="2" t="s">
        <v>69</v>
      </c>
      <c r="D7" s="2"/>
      <c r="E7" s="22">
        <v>1110</v>
      </c>
      <c r="F7" s="2"/>
      <c r="G7" s="2"/>
      <c r="J7" s="73" t="s">
        <v>69</v>
      </c>
      <c r="K7" s="79"/>
      <c r="L7" s="79">
        <v>9940</v>
      </c>
    </row>
    <row r="8" spans="1:12" x14ac:dyDescent="0.25">
      <c r="A8" s="32">
        <v>45719</v>
      </c>
      <c r="B8" s="2"/>
      <c r="C8" s="2" t="s">
        <v>32</v>
      </c>
      <c r="D8" s="22">
        <v>2260</v>
      </c>
      <c r="E8" s="2"/>
      <c r="F8" s="2"/>
      <c r="G8" s="2"/>
      <c r="J8" s="73" t="s">
        <v>151</v>
      </c>
      <c r="K8" s="79"/>
      <c r="L8" s="79">
        <v>86875</v>
      </c>
    </row>
    <row r="9" spans="1:12" x14ac:dyDescent="0.25">
      <c r="A9" s="32">
        <v>45719</v>
      </c>
      <c r="B9" s="2"/>
      <c r="C9" s="33" t="s">
        <v>145</v>
      </c>
      <c r="D9" s="2"/>
      <c r="E9" s="34">
        <v>1200</v>
      </c>
      <c r="F9" s="2"/>
      <c r="G9" s="2" t="s">
        <v>146</v>
      </c>
      <c r="J9" s="73" t="s">
        <v>145</v>
      </c>
      <c r="K9" s="79"/>
      <c r="L9" s="79">
        <v>35950</v>
      </c>
    </row>
    <row r="10" spans="1:12" x14ac:dyDescent="0.25">
      <c r="A10" s="32">
        <v>45719</v>
      </c>
      <c r="B10" s="2"/>
      <c r="C10" s="36" t="s">
        <v>69</v>
      </c>
      <c r="D10" s="2"/>
      <c r="E10" s="22">
        <v>575</v>
      </c>
      <c r="F10" s="2"/>
      <c r="G10" s="2"/>
      <c r="J10" s="73" t="s">
        <v>62</v>
      </c>
      <c r="K10" s="79">
        <v>37403</v>
      </c>
      <c r="L10" s="79"/>
    </row>
    <row r="11" spans="1:12" x14ac:dyDescent="0.25">
      <c r="A11" s="32">
        <v>45720</v>
      </c>
      <c r="B11" s="2"/>
      <c r="C11" s="33" t="s">
        <v>151</v>
      </c>
      <c r="D11" s="2"/>
      <c r="E11" s="34">
        <v>8525</v>
      </c>
      <c r="F11" s="2"/>
      <c r="G11" s="2" t="s">
        <v>148</v>
      </c>
      <c r="J11" s="73" t="s">
        <v>109</v>
      </c>
      <c r="K11" s="79"/>
      <c r="L11" s="79">
        <v>600</v>
      </c>
    </row>
    <row r="12" spans="1:12" x14ac:dyDescent="0.25">
      <c r="A12" s="32">
        <v>45720</v>
      </c>
      <c r="B12" s="2" t="s">
        <v>64</v>
      </c>
      <c r="C12" s="2" t="s">
        <v>32</v>
      </c>
      <c r="D12" s="22">
        <v>4490</v>
      </c>
      <c r="E12" s="2"/>
      <c r="F12" s="2"/>
      <c r="G12" s="2"/>
      <c r="J12" s="73" t="s">
        <v>77</v>
      </c>
      <c r="K12" s="79"/>
      <c r="L12" s="79">
        <v>9000</v>
      </c>
    </row>
    <row r="13" spans="1:12" x14ac:dyDescent="0.25">
      <c r="A13" s="32">
        <v>45720</v>
      </c>
      <c r="B13" s="2"/>
      <c r="C13" s="36" t="s">
        <v>69</v>
      </c>
      <c r="D13" s="2"/>
      <c r="E13" s="22">
        <v>100</v>
      </c>
      <c r="F13" s="2"/>
      <c r="G13" s="2"/>
      <c r="J13" s="73" t="s">
        <v>32</v>
      </c>
      <c r="K13" s="79">
        <v>188580</v>
      </c>
      <c r="L13" s="79"/>
    </row>
    <row r="14" spans="1:12" x14ac:dyDescent="0.25">
      <c r="A14" s="32">
        <v>45720</v>
      </c>
      <c r="B14" s="2"/>
      <c r="C14" s="33" t="s">
        <v>145</v>
      </c>
      <c r="D14" s="2"/>
      <c r="E14" s="34">
        <v>2500</v>
      </c>
      <c r="F14" s="2"/>
      <c r="G14" s="2" t="s">
        <v>149</v>
      </c>
      <c r="J14" s="73" t="s">
        <v>161</v>
      </c>
      <c r="K14" s="79"/>
      <c r="L14" s="79">
        <v>19220</v>
      </c>
    </row>
    <row r="15" spans="1:12" x14ac:dyDescent="0.25">
      <c r="A15" s="32">
        <v>45720</v>
      </c>
      <c r="B15" s="2"/>
      <c r="C15" s="36" t="s">
        <v>69</v>
      </c>
      <c r="D15" s="2"/>
      <c r="E15" s="22">
        <v>800</v>
      </c>
      <c r="F15" s="2"/>
      <c r="G15" s="2" t="s">
        <v>65</v>
      </c>
      <c r="J15" s="73" t="s">
        <v>99</v>
      </c>
      <c r="K15" s="79"/>
      <c r="L15" s="79">
        <v>550</v>
      </c>
    </row>
    <row r="16" spans="1:12" x14ac:dyDescent="0.25">
      <c r="A16" s="32">
        <v>45721</v>
      </c>
      <c r="B16" s="2" t="s">
        <v>64</v>
      </c>
      <c r="C16" s="2" t="s">
        <v>32</v>
      </c>
      <c r="D16" s="22">
        <v>1920</v>
      </c>
      <c r="E16" s="2"/>
      <c r="F16" s="2"/>
      <c r="G16" s="2"/>
      <c r="J16" s="73" t="s">
        <v>16</v>
      </c>
      <c r="K16" s="79">
        <v>225983</v>
      </c>
      <c r="L16" s="79">
        <v>162135</v>
      </c>
    </row>
    <row r="17" spans="1:7" x14ac:dyDescent="0.25">
      <c r="A17" s="32">
        <v>45721</v>
      </c>
      <c r="B17" s="2" t="s">
        <v>66</v>
      </c>
      <c r="C17" s="2" t="s">
        <v>32</v>
      </c>
      <c r="D17" s="22">
        <v>720</v>
      </c>
      <c r="E17" s="2"/>
      <c r="F17" s="2"/>
      <c r="G17" s="2"/>
    </row>
    <row r="18" spans="1:7" x14ac:dyDescent="0.25">
      <c r="A18" s="32">
        <v>45721</v>
      </c>
      <c r="B18" s="2"/>
      <c r="C18" s="36" t="s">
        <v>69</v>
      </c>
      <c r="D18" s="2"/>
      <c r="E18" s="22">
        <v>140</v>
      </c>
      <c r="F18" s="2"/>
      <c r="G18" s="2"/>
    </row>
    <row r="19" spans="1:7" x14ac:dyDescent="0.25">
      <c r="A19" s="32">
        <v>45722</v>
      </c>
      <c r="B19" s="2" t="s">
        <v>67</v>
      </c>
      <c r="C19" s="2" t="s">
        <v>32</v>
      </c>
      <c r="D19" s="22">
        <v>5860</v>
      </c>
      <c r="E19" s="2"/>
      <c r="F19" s="2"/>
      <c r="G19" s="2"/>
    </row>
    <row r="20" spans="1:7" x14ac:dyDescent="0.25">
      <c r="A20" s="32">
        <v>45722</v>
      </c>
      <c r="B20" s="2" t="s">
        <v>68</v>
      </c>
      <c r="C20" s="2" t="s">
        <v>32</v>
      </c>
      <c r="D20" s="22">
        <v>470</v>
      </c>
      <c r="E20" s="2"/>
      <c r="F20" s="2"/>
      <c r="G20" s="2"/>
    </row>
    <row r="21" spans="1:7" ht="15.75" customHeight="1" x14ac:dyDescent="0.25">
      <c r="A21" s="32">
        <v>45722</v>
      </c>
      <c r="B21" s="2"/>
      <c r="C21" s="36" t="s">
        <v>69</v>
      </c>
      <c r="D21" s="2"/>
      <c r="E21" s="22">
        <v>25</v>
      </c>
      <c r="F21" s="2"/>
      <c r="G21" s="2"/>
    </row>
    <row r="22" spans="1:7" ht="15.75" customHeight="1" x14ac:dyDescent="0.25">
      <c r="A22" s="32">
        <v>45723</v>
      </c>
      <c r="B22" s="2" t="s">
        <v>70</v>
      </c>
      <c r="C22" s="2" t="s">
        <v>32</v>
      </c>
      <c r="D22" s="22">
        <v>3150</v>
      </c>
      <c r="E22" s="2"/>
      <c r="F22" s="2"/>
      <c r="G22" s="2"/>
    </row>
    <row r="23" spans="1:7" ht="15.75" customHeight="1" x14ac:dyDescent="0.25">
      <c r="A23" s="32">
        <v>45723</v>
      </c>
      <c r="B23" s="2"/>
      <c r="C23" s="33" t="s">
        <v>145</v>
      </c>
      <c r="D23" s="2"/>
      <c r="E23" s="34">
        <v>2500</v>
      </c>
      <c r="F23" s="2"/>
      <c r="G23" s="2" t="s">
        <v>150</v>
      </c>
    </row>
    <row r="24" spans="1:7" ht="15.75" customHeight="1" x14ac:dyDescent="0.25">
      <c r="A24" s="32">
        <v>45723</v>
      </c>
      <c r="B24" s="2"/>
      <c r="C24" s="36" t="s">
        <v>69</v>
      </c>
      <c r="D24" s="2"/>
      <c r="E24" s="22">
        <v>1822</v>
      </c>
      <c r="F24" s="2"/>
      <c r="G24" s="36" t="s">
        <v>71</v>
      </c>
    </row>
    <row r="25" spans="1:7" ht="15.75" customHeight="1" x14ac:dyDescent="0.25">
      <c r="A25" s="32">
        <v>45723</v>
      </c>
      <c r="B25" s="2"/>
      <c r="C25" s="36" t="s">
        <v>69</v>
      </c>
      <c r="D25" s="2"/>
      <c r="E25" s="22">
        <v>370</v>
      </c>
      <c r="F25" s="2"/>
      <c r="G25" s="36" t="s">
        <v>72</v>
      </c>
    </row>
    <row r="26" spans="1:7" ht="15.75" customHeight="1" x14ac:dyDescent="0.25">
      <c r="A26" s="32">
        <v>45724</v>
      </c>
      <c r="B26" s="2"/>
      <c r="C26" s="33" t="s">
        <v>151</v>
      </c>
      <c r="D26" s="2"/>
      <c r="E26" s="34">
        <v>11770</v>
      </c>
      <c r="F26" s="2"/>
      <c r="G26" s="2" t="s">
        <v>152</v>
      </c>
    </row>
    <row r="27" spans="1:7" ht="15.75" customHeight="1" x14ac:dyDescent="0.25">
      <c r="A27" s="32">
        <v>45724</v>
      </c>
      <c r="B27" s="2" t="s">
        <v>73</v>
      </c>
      <c r="C27" s="2" t="s">
        <v>32</v>
      </c>
      <c r="D27" s="22">
        <v>5940</v>
      </c>
      <c r="E27" s="2"/>
      <c r="F27" s="2"/>
      <c r="G27" s="2"/>
    </row>
    <row r="28" spans="1:7" ht="15.75" customHeight="1" x14ac:dyDescent="0.25">
      <c r="A28" s="32">
        <v>45724</v>
      </c>
      <c r="B28" s="2" t="s">
        <v>74</v>
      </c>
      <c r="C28" s="2" t="s">
        <v>32</v>
      </c>
      <c r="D28" s="22">
        <v>200</v>
      </c>
      <c r="E28" s="2"/>
      <c r="F28" s="2"/>
      <c r="G28" s="2"/>
    </row>
    <row r="29" spans="1:7" ht="15.75" customHeight="1" x14ac:dyDescent="0.25">
      <c r="A29" s="32">
        <v>45724</v>
      </c>
      <c r="B29" s="2"/>
      <c r="C29" s="36" t="s">
        <v>69</v>
      </c>
      <c r="D29" s="2"/>
      <c r="E29" s="22">
        <v>25</v>
      </c>
      <c r="F29" s="2"/>
      <c r="G29" s="2"/>
    </row>
    <row r="30" spans="1:7" ht="15.75" customHeight="1" x14ac:dyDescent="0.25">
      <c r="A30" s="32">
        <v>45725</v>
      </c>
      <c r="B30" s="2" t="s">
        <v>75</v>
      </c>
      <c r="C30" s="2" t="s">
        <v>32</v>
      </c>
      <c r="D30" s="22">
        <v>3000</v>
      </c>
      <c r="E30" s="2"/>
      <c r="F30" s="2"/>
      <c r="G30" s="2"/>
    </row>
    <row r="31" spans="1:7" ht="15.75" customHeight="1" x14ac:dyDescent="0.25">
      <c r="A31" s="32">
        <v>45726</v>
      </c>
      <c r="B31" s="2" t="s">
        <v>76</v>
      </c>
      <c r="C31" s="2" t="s">
        <v>32</v>
      </c>
      <c r="D31" s="22">
        <v>6080</v>
      </c>
      <c r="E31" s="2"/>
      <c r="F31" s="2"/>
      <c r="G31" s="2"/>
    </row>
    <row r="32" spans="1:7" ht="15.75" customHeight="1" x14ac:dyDescent="0.25">
      <c r="A32" s="32">
        <v>45726</v>
      </c>
      <c r="B32" s="2"/>
      <c r="C32" s="36" t="s">
        <v>69</v>
      </c>
      <c r="D32" s="2"/>
      <c r="E32" s="22">
        <v>50</v>
      </c>
      <c r="F32" s="2"/>
      <c r="G32" s="2"/>
    </row>
    <row r="33" spans="1:7" ht="15.75" customHeight="1" x14ac:dyDescent="0.25">
      <c r="A33" s="32">
        <v>45727</v>
      </c>
      <c r="B33" s="2"/>
      <c r="C33" s="2" t="s">
        <v>77</v>
      </c>
      <c r="D33" s="2"/>
      <c r="E33" s="22">
        <v>9000</v>
      </c>
      <c r="F33" s="2"/>
      <c r="G33" s="2"/>
    </row>
    <row r="34" spans="1:7" ht="15.75" customHeight="1" x14ac:dyDescent="0.25">
      <c r="A34" s="32">
        <v>45727</v>
      </c>
      <c r="B34" s="2" t="s">
        <v>78</v>
      </c>
      <c r="C34" s="2" t="s">
        <v>32</v>
      </c>
      <c r="D34" s="22">
        <v>1080</v>
      </c>
      <c r="E34" s="2"/>
      <c r="F34" s="2"/>
      <c r="G34" s="2"/>
    </row>
    <row r="35" spans="1:7" ht="15.75" customHeight="1" x14ac:dyDescent="0.25">
      <c r="A35" s="32">
        <v>45728</v>
      </c>
      <c r="B35" s="2" t="s">
        <v>79</v>
      </c>
      <c r="C35" s="2" t="s">
        <v>32</v>
      </c>
      <c r="D35" s="22">
        <v>2760</v>
      </c>
      <c r="E35" s="2"/>
      <c r="F35" s="2"/>
      <c r="G35" s="2"/>
    </row>
    <row r="36" spans="1:7" ht="15.75" customHeight="1" x14ac:dyDescent="0.25">
      <c r="A36" s="32">
        <v>45728</v>
      </c>
      <c r="B36" s="2" t="s">
        <v>80</v>
      </c>
      <c r="C36" s="2" t="s">
        <v>32</v>
      </c>
      <c r="D36" s="22">
        <v>600</v>
      </c>
      <c r="E36" s="2"/>
      <c r="F36" s="2"/>
      <c r="G36" s="2"/>
    </row>
    <row r="37" spans="1:7" ht="15.75" customHeight="1" x14ac:dyDescent="0.25">
      <c r="A37" s="32">
        <v>45728</v>
      </c>
      <c r="B37" s="2" t="s">
        <v>81</v>
      </c>
      <c r="C37" s="2" t="s">
        <v>32</v>
      </c>
      <c r="D37" s="22">
        <v>40</v>
      </c>
      <c r="E37" s="2"/>
      <c r="F37" s="2"/>
      <c r="G37" s="2"/>
    </row>
    <row r="38" spans="1:7" ht="15.75" customHeight="1" x14ac:dyDescent="0.25">
      <c r="A38" s="32">
        <v>45728</v>
      </c>
      <c r="B38" s="2"/>
      <c r="C38" s="36" t="s">
        <v>69</v>
      </c>
      <c r="D38" s="2"/>
      <c r="E38" s="22">
        <v>30</v>
      </c>
      <c r="F38" s="2"/>
      <c r="G38" s="2"/>
    </row>
    <row r="39" spans="1:7" ht="15.75" customHeight="1" x14ac:dyDescent="0.25">
      <c r="A39" s="32">
        <v>45729</v>
      </c>
      <c r="B39" s="2" t="s">
        <v>82</v>
      </c>
      <c r="C39" s="2" t="s">
        <v>32</v>
      </c>
      <c r="D39" s="22">
        <v>3730</v>
      </c>
      <c r="E39" s="2"/>
      <c r="F39" s="2"/>
      <c r="G39" s="2"/>
    </row>
    <row r="40" spans="1:7" ht="15.75" customHeight="1" x14ac:dyDescent="0.25">
      <c r="A40" s="32">
        <v>45729</v>
      </c>
      <c r="B40" s="2"/>
      <c r="C40" s="33" t="s">
        <v>145</v>
      </c>
      <c r="D40" s="2"/>
      <c r="E40" s="34">
        <v>2500</v>
      </c>
      <c r="F40" s="2"/>
      <c r="G40" s="2" t="s">
        <v>153</v>
      </c>
    </row>
    <row r="41" spans="1:7" ht="15.75" customHeight="1" x14ac:dyDescent="0.25">
      <c r="A41" s="32">
        <v>45729</v>
      </c>
      <c r="B41" s="2"/>
      <c r="C41" s="36" t="s">
        <v>69</v>
      </c>
      <c r="D41" s="2"/>
      <c r="E41" s="22">
        <v>1370</v>
      </c>
      <c r="F41" s="2"/>
      <c r="G41" s="36" t="s">
        <v>83</v>
      </c>
    </row>
    <row r="42" spans="1:7" ht="15.75" customHeight="1" x14ac:dyDescent="0.25">
      <c r="A42" s="32">
        <v>45729</v>
      </c>
      <c r="B42" s="2"/>
      <c r="C42" s="36" t="s">
        <v>161</v>
      </c>
      <c r="D42" s="2"/>
      <c r="E42" s="22">
        <v>1000</v>
      </c>
      <c r="F42" s="2"/>
      <c r="G42" s="2" t="s">
        <v>162</v>
      </c>
    </row>
    <row r="43" spans="1:7" ht="15.75" customHeight="1" x14ac:dyDescent="0.25">
      <c r="A43" s="32">
        <v>45729</v>
      </c>
      <c r="B43" s="2"/>
      <c r="C43" s="36" t="s">
        <v>69</v>
      </c>
      <c r="D43" s="2"/>
      <c r="E43" s="22">
        <v>213</v>
      </c>
      <c r="F43" s="2"/>
      <c r="G43" s="2"/>
    </row>
    <row r="44" spans="1:7" ht="15.75" customHeight="1" x14ac:dyDescent="0.25">
      <c r="A44" s="32">
        <v>45730</v>
      </c>
      <c r="B44" s="2" t="s">
        <v>84</v>
      </c>
      <c r="C44" s="2" t="s">
        <v>32</v>
      </c>
      <c r="D44" s="22">
        <v>3960</v>
      </c>
      <c r="E44" s="2"/>
      <c r="F44" s="2"/>
      <c r="G44" s="2"/>
    </row>
    <row r="45" spans="1:7" ht="15.75" customHeight="1" x14ac:dyDescent="0.25">
      <c r="A45" s="32">
        <v>45730</v>
      </c>
      <c r="B45" s="2" t="s">
        <v>85</v>
      </c>
      <c r="C45" s="2" t="s">
        <v>32</v>
      </c>
      <c r="D45" s="22">
        <v>40</v>
      </c>
      <c r="E45" s="2"/>
      <c r="F45" s="2"/>
      <c r="G45" s="2"/>
    </row>
    <row r="46" spans="1:7" ht="15.75" customHeight="1" x14ac:dyDescent="0.25">
      <c r="A46" s="32">
        <v>45730</v>
      </c>
      <c r="B46" s="2" t="s">
        <v>86</v>
      </c>
      <c r="C46" s="2" t="s">
        <v>32</v>
      </c>
      <c r="D46" s="22">
        <v>600</v>
      </c>
      <c r="E46" s="2"/>
      <c r="F46" s="2"/>
      <c r="G46" s="2"/>
    </row>
    <row r="47" spans="1:7" ht="15.75" customHeight="1" x14ac:dyDescent="0.25">
      <c r="A47" s="32">
        <v>45730</v>
      </c>
      <c r="B47" s="2"/>
      <c r="C47" s="36" t="s">
        <v>69</v>
      </c>
      <c r="D47" s="2"/>
      <c r="E47" s="22">
        <v>345</v>
      </c>
      <c r="F47" s="2"/>
      <c r="G47" s="2"/>
    </row>
    <row r="48" spans="1:7" ht="15.75" customHeight="1" x14ac:dyDescent="0.25">
      <c r="A48" s="32">
        <v>45731</v>
      </c>
      <c r="B48" s="2" t="s">
        <v>87</v>
      </c>
      <c r="C48" s="2" t="s">
        <v>32</v>
      </c>
      <c r="D48" s="22">
        <v>8645</v>
      </c>
      <c r="E48" s="2"/>
      <c r="F48" s="2"/>
      <c r="G48" s="2"/>
    </row>
    <row r="49" spans="1:7" ht="15.75" customHeight="1" x14ac:dyDescent="0.25">
      <c r="A49" s="32">
        <v>45731</v>
      </c>
      <c r="B49" s="2"/>
      <c r="C49" s="33" t="s">
        <v>151</v>
      </c>
      <c r="D49" s="2"/>
      <c r="E49" s="34">
        <v>14210</v>
      </c>
      <c r="F49" s="2"/>
      <c r="G49" s="2" t="s">
        <v>154</v>
      </c>
    </row>
    <row r="50" spans="1:7" ht="15.75" customHeight="1" x14ac:dyDescent="0.25">
      <c r="A50" s="32">
        <v>45731</v>
      </c>
      <c r="B50" s="2"/>
      <c r="C50" s="33" t="s">
        <v>145</v>
      </c>
      <c r="D50" s="2"/>
      <c r="E50" s="34">
        <v>2250</v>
      </c>
      <c r="F50" s="2"/>
      <c r="G50" s="2" t="s">
        <v>155</v>
      </c>
    </row>
    <row r="51" spans="1:7" ht="15.75" customHeight="1" x14ac:dyDescent="0.25">
      <c r="A51" s="32">
        <v>45731</v>
      </c>
      <c r="B51" s="2"/>
      <c r="C51" s="36" t="s">
        <v>69</v>
      </c>
      <c r="D51" s="2"/>
      <c r="E51" s="22">
        <v>50</v>
      </c>
      <c r="F51" s="2"/>
      <c r="G51" s="2"/>
    </row>
    <row r="52" spans="1:7" ht="15.75" customHeight="1" x14ac:dyDescent="0.25">
      <c r="A52" s="32">
        <v>45732</v>
      </c>
      <c r="B52" s="2" t="s">
        <v>88</v>
      </c>
      <c r="C52" s="2" t="s">
        <v>32</v>
      </c>
      <c r="D52" s="22">
        <v>1430</v>
      </c>
      <c r="E52" s="2"/>
      <c r="F52" s="2"/>
      <c r="G52" s="2"/>
    </row>
    <row r="53" spans="1:7" ht="15.75" customHeight="1" x14ac:dyDescent="0.25">
      <c r="A53" s="32">
        <v>45732</v>
      </c>
      <c r="B53" s="2" t="s">
        <v>89</v>
      </c>
      <c r="C53" s="2" t="s">
        <v>32</v>
      </c>
      <c r="D53" s="22">
        <v>2705</v>
      </c>
      <c r="E53" s="2"/>
      <c r="F53" s="2"/>
      <c r="G53" s="2"/>
    </row>
    <row r="54" spans="1:7" ht="15.75" customHeight="1" x14ac:dyDescent="0.25">
      <c r="A54" s="32">
        <v>45732</v>
      </c>
      <c r="B54" s="2" t="s">
        <v>90</v>
      </c>
      <c r="C54" s="2" t="s">
        <v>32</v>
      </c>
      <c r="D54" s="22">
        <v>120</v>
      </c>
      <c r="E54" s="2"/>
      <c r="F54" s="2"/>
      <c r="G54" s="2"/>
    </row>
    <row r="55" spans="1:7" ht="15.75" customHeight="1" x14ac:dyDescent="0.25">
      <c r="A55" s="32">
        <v>45732</v>
      </c>
      <c r="B55" s="2"/>
      <c r="C55" s="36" t="s">
        <v>69</v>
      </c>
      <c r="D55" s="2"/>
      <c r="E55" s="22">
        <v>25</v>
      </c>
      <c r="F55" s="2"/>
      <c r="G55" s="2"/>
    </row>
    <row r="56" spans="1:7" ht="15.75" customHeight="1" x14ac:dyDescent="0.25">
      <c r="A56" s="32">
        <v>45732</v>
      </c>
      <c r="B56" s="2"/>
      <c r="C56" s="36" t="s">
        <v>161</v>
      </c>
      <c r="D56" s="2"/>
      <c r="E56" s="22">
        <v>3000</v>
      </c>
      <c r="F56" s="2"/>
      <c r="G56" s="2" t="s">
        <v>162</v>
      </c>
    </row>
    <row r="57" spans="1:7" ht="15.75" customHeight="1" x14ac:dyDescent="0.25">
      <c r="A57" s="32">
        <v>45733</v>
      </c>
      <c r="B57" s="2" t="s">
        <v>91</v>
      </c>
      <c r="C57" s="2" t="s">
        <v>32</v>
      </c>
      <c r="D57" s="22">
        <v>720</v>
      </c>
      <c r="E57" s="2"/>
      <c r="F57" s="2"/>
      <c r="G57" s="2"/>
    </row>
    <row r="58" spans="1:7" ht="15.75" customHeight="1" x14ac:dyDescent="0.25">
      <c r="A58" s="32">
        <v>45733</v>
      </c>
      <c r="B58" s="2" t="s">
        <v>92</v>
      </c>
      <c r="C58" s="2" t="s">
        <v>32</v>
      </c>
      <c r="D58" s="22">
        <v>840</v>
      </c>
      <c r="E58" s="2"/>
      <c r="F58" s="2"/>
      <c r="G58" s="2"/>
    </row>
    <row r="59" spans="1:7" ht="15.75" customHeight="1" x14ac:dyDescent="0.25">
      <c r="A59" s="32">
        <v>45733</v>
      </c>
      <c r="B59" s="2" t="s">
        <v>93</v>
      </c>
      <c r="C59" s="2" t="s">
        <v>32</v>
      </c>
      <c r="D59" s="22">
        <v>560</v>
      </c>
      <c r="E59" s="2"/>
      <c r="F59" s="2"/>
      <c r="G59" s="2"/>
    </row>
    <row r="60" spans="1:7" ht="15.75" customHeight="1" x14ac:dyDescent="0.25">
      <c r="A60" s="32">
        <v>45733</v>
      </c>
      <c r="B60" s="2"/>
      <c r="C60" s="33" t="s">
        <v>145</v>
      </c>
      <c r="D60" s="2"/>
      <c r="E60" s="34">
        <v>2250</v>
      </c>
      <c r="F60" s="2"/>
      <c r="G60" s="2" t="s">
        <v>155</v>
      </c>
    </row>
    <row r="61" spans="1:7" ht="15.75" customHeight="1" x14ac:dyDescent="0.25">
      <c r="A61" s="32">
        <v>45733</v>
      </c>
      <c r="B61" s="2" t="s">
        <v>94</v>
      </c>
      <c r="C61" s="2" t="s">
        <v>32</v>
      </c>
      <c r="D61" s="22">
        <v>2460</v>
      </c>
      <c r="E61" s="2"/>
      <c r="F61" s="2"/>
      <c r="G61" s="2"/>
    </row>
    <row r="62" spans="1:7" ht="15.75" customHeight="1" x14ac:dyDescent="0.25">
      <c r="A62" s="32">
        <v>45733</v>
      </c>
      <c r="B62" s="2"/>
      <c r="C62" s="36" t="s">
        <v>69</v>
      </c>
      <c r="D62" s="2"/>
      <c r="E62" s="22">
        <v>335</v>
      </c>
      <c r="F62" s="2"/>
      <c r="G62" s="2"/>
    </row>
    <row r="63" spans="1:7" ht="15.75" customHeight="1" x14ac:dyDescent="0.25">
      <c r="A63" s="32">
        <v>45734</v>
      </c>
      <c r="B63" s="2" t="s">
        <v>95</v>
      </c>
      <c r="C63" s="2" t="s">
        <v>32</v>
      </c>
      <c r="D63" s="22">
        <v>6315</v>
      </c>
      <c r="E63" s="2"/>
      <c r="F63" s="2"/>
      <c r="G63" s="2"/>
    </row>
    <row r="64" spans="1:7" ht="15.75" customHeight="1" x14ac:dyDescent="0.25">
      <c r="A64" s="32">
        <v>45734</v>
      </c>
      <c r="B64" s="2" t="s">
        <v>96</v>
      </c>
      <c r="C64" s="2" t="s">
        <v>32</v>
      </c>
      <c r="D64" s="22">
        <v>240</v>
      </c>
      <c r="E64" s="2"/>
      <c r="F64" s="2"/>
      <c r="G64" s="2"/>
    </row>
    <row r="65" spans="1:7" ht="15.75" customHeight="1" x14ac:dyDescent="0.25">
      <c r="A65" s="32">
        <v>45734</v>
      </c>
      <c r="B65" s="2"/>
      <c r="C65" s="36" t="s">
        <v>69</v>
      </c>
      <c r="D65" s="2"/>
      <c r="E65" s="22">
        <v>50</v>
      </c>
      <c r="F65" s="2"/>
      <c r="G65" s="2"/>
    </row>
    <row r="66" spans="1:7" ht="15.75" customHeight="1" x14ac:dyDescent="0.25">
      <c r="A66" s="32">
        <v>45735</v>
      </c>
      <c r="B66" s="2" t="s">
        <v>97</v>
      </c>
      <c r="C66" s="2" t="s">
        <v>32</v>
      </c>
      <c r="D66" s="22">
        <v>5685</v>
      </c>
      <c r="E66" s="2"/>
      <c r="F66" s="2"/>
      <c r="G66" s="2"/>
    </row>
    <row r="67" spans="1:7" ht="15.75" customHeight="1" x14ac:dyDescent="0.25">
      <c r="A67" s="32">
        <v>45735</v>
      </c>
      <c r="B67" s="2" t="s">
        <v>98</v>
      </c>
      <c r="C67" s="2" t="s">
        <v>32</v>
      </c>
      <c r="D67" s="22">
        <v>1200</v>
      </c>
      <c r="E67" s="2"/>
      <c r="F67" s="2"/>
      <c r="G67" s="2"/>
    </row>
    <row r="68" spans="1:7" ht="15.75" customHeight="1" x14ac:dyDescent="0.25">
      <c r="A68" s="32">
        <v>45735</v>
      </c>
      <c r="B68" s="2"/>
      <c r="C68" s="33" t="s">
        <v>145</v>
      </c>
      <c r="D68" s="2"/>
      <c r="E68" s="34">
        <v>2250</v>
      </c>
      <c r="F68" s="2"/>
      <c r="G68" s="2" t="s">
        <v>156</v>
      </c>
    </row>
    <row r="69" spans="1:7" ht="15.75" customHeight="1" x14ac:dyDescent="0.25">
      <c r="A69" s="32">
        <v>45735</v>
      </c>
      <c r="B69" s="2"/>
      <c r="C69" s="2" t="s">
        <v>99</v>
      </c>
      <c r="D69" s="2"/>
      <c r="E69" s="22">
        <v>550</v>
      </c>
      <c r="F69" s="2"/>
      <c r="G69" s="2"/>
    </row>
    <row r="70" spans="1:7" ht="15.75" customHeight="1" x14ac:dyDescent="0.25">
      <c r="A70" s="32">
        <v>45735</v>
      </c>
      <c r="B70" s="2"/>
      <c r="C70" s="36" t="s">
        <v>69</v>
      </c>
      <c r="D70" s="2"/>
      <c r="E70" s="22">
        <v>350</v>
      </c>
      <c r="F70" s="2"/>
      <c r="G70" s="2"/>
    </row>
    <row r="71" spans="1:7" ht="15.75" customHeight="1" x14ac:dyDescent="0.25">
      <c r="A71" s="32">
        <v>45736</v>
      </c>
      <c r="B71" s="2" t="s">
        <v>100</v>
      </c>
      <c r="C71" s="2" t="s">
        <v>32</v>
      </c>
      <c r="D71" s="22">
        <v>1200</v>
      </c>
      <c r="E71" s="2"/>
      <c r="F71" s="2"/>
      <c r="G71" s="2"/>
    </row>
    <row r="72" spans="1:7" ht="15.75" customHeight="1" x14ac:dyDescent="0.25">
      <c r="A72" s="32">
        <v>45736</v>
      </c>
      <c r="B72" s="2" t="s">
        <v>101</v>
      </c>
      <c r="C72" s="2" t="s">
        <v>32</v>
      </c>
      <c r="D72" s="22">
        <v>650</v>
      </c>
      <c r="E72" s="2"/>
      <c r="F72" s="2"/>
      <c r="G72" s="2"/>
    </row>
    <row r="73" spans="1:7" ht="15.75" customHeight="1" x14ac:dyDescent="0.25">
      <c r="A73" s="32">
        <v>45736</v>
      </c>
      <c r="B73" s="2" t="s">
        <v>102</v>
      </c>
      <c r="C73" s="2" t="s">
        <v>32</v>
      </c>
      <c r="D73" s="22">
        <v>3820</v>
      </c>
      <c r="E73" s="2"/>
      <c r="F73" s="2"/>
      <c r="G73" s="2"/>
    </row>
    <row r="74" spans="1:7" ht="15.75" customHeight="1" x14ac:dyDescent="0.25">
      <c r="A74" s="32">
        <v>45736</v>
      </c>
      <c r="B74" s="2"/>
      <c r="C74" s="33" t="s">
        <v>145</v>
      </c>
      <c r="D74" s="2"/>
      <c r="E74" s="34">
        <v>2250</v>
      </c>
      <c r="F74" s="2"/>
      <c r="G74" s="2" t="s">
        <v>156</v>
      </c>
    </row>
    <row r="75" spans="1:7" ht="15.75" customHeight="1" x14ac:dyDescent="0.25">
      <c r="A75" s="32">
        <v>45736</v>
      </c>
      <c r="B75" s="2"/>
      <c r="C75" s="36" t="s">
        <v>69</v>
      </c>
      <c r="D75" s="2"/>
      <c r="E75" s="22">
        <v>160</v>
      </c>
      <c r="F75" s="2"/>
      <c r="G75" s="2"/>
    </row>
    <row r="76" spans="1:7" ht="15.75" customHeight="1" x14ac:dyDescent="0.25">
      <c r="A76" s="32">
        <v>45737</v>
      </c>
      <c r="B76" s="2" t="s">
        <v>103</v>
      </c>
      <c r="C76" s="2" t="s">
        <v>32</v>
      </c>
      <c r="D76" s="22">
        <v>4750</v>
      </c>
      <c r="E76" s="2"/>
      <c r="F76" s="2"/>
      <c r="G76" s="2"/>
    </row>
    <row r="77" spans="1:7" ht="15.75" customHeight="1" x14ac:dyDescent="0.25">
      <c r="A77" s="32">
        <v>45737</v>
      </c>
      <c r="B77" s="2"/>
      <c r="C77" s="33" t="s">
        <v>145</v>
      </c>
      <c r="D77" s="2"/>
      <c r="E77" s="34">
        <v>2250</v>
      </c>
      <c r="F77" s="2"/>
      <c r="G77" s="2" t="s">
        <v>156</v>
      </c>
    </row>
    <row r="78" spans="1:7" ht="15.75" customHeight="1" x14ac:dyDescent="0.25">
      <c r="A78" s="32">
        <v>45737</v>
      </c>
      <c r="B78" s="2"/>
      <c r="C78" s="36" t="s">
        <v>69</v>
      </c>
      <c r="D78" s="2"/>
      <c r="E78" s="22">
        <v>250</v>
      </c>
      <c r="F78" s="2"/>
      <c r="G78" s="35" t="s">
        <v>104</v>
      </c>
    </row>
    <row r="79" spans="1:7" ht="15.75" customHeight="1" x14ac:dyDescent="0.25">
      <c r="A79" s="32">
        <v>45738</v>
      </c>
      <c r="B79" s="2"/>
      <c r="C79" s="36" t="s">
        <v>69</v>
      </c>
      <c r="D79" s="2"/>
      <c r="E79" s="22">
        <v>440</v>
      </c>
      <c r="F79" s="2"/>
      <c r="G79" s="36" t="s">
        <v>105</v>
      </c>
    </row>
    <row r="80" spans="1:7" ht="15.75" customHeight="1" x14ac:dyDescent="0.25">
      <c r="A80" s="32">
        <v>45738</v>
      </c>
      <c r="B80" s="2" t="s">
        <v>106</v>
      </c>
      <c r="C80" s="2" t="s">
        <v>32</v>
      </c>
      <c r="D80" s="22">
        <v>340</v>
      </c>
      <c r="E80" s="2"/>
      <c r="F80" s="2"/>
      <c r="G80" s="2"/>
    </row>
    <row r="81" spans="1:7" ht="15.75" customHeight="1" x14ac:dyDescent="0.25">
      <c r="A81" s="32">
        <v>45738</v>
      </c>
      <c r="B81" s="2"/>
      <c r="C81" s="33" t="s">
        <v>145</v>
      </c>
      <c r="D81" s="2"/>
      <c r="E81" s="34">
        <v>250</v>
      </c>
      <c r="F81" s="2"/>
      <c r="G81" s="2" t="s">
        <v>157</v>
      </c>
    </row>
    <row r="82" spans="1:7" ht="15.75" customHeight="1" x14ac:dyDescent="0.25">
      <c r="A82" s="32">
        <v>45738</v>
      </c>
      <c r="B82" s="2"/>
      <c r="C82" s="33" t="s">
        <v>151</v>
      </c>
      <c r="D82" s="2"/>
      <c r="E82" s="34">
        <v>750</v>
      </c>
      <c r="F82" s="2"/>
      <c r="G82" s="2" t="s">
        <v>158</v>
      </c>
    </row>
    <row r="83" spans="1:7" ht="15.75" customHeight="1" x14ac:dyDescent="0.25">
      <c r="A83" s="32">
        <v>45738</v>
      </c>
      <c r="B83" s="2"/>
      <c r="C83" s="33" t="s">
        <v>151</v>
      </c>
      <c r="D83" s="2"/>
      <c r="E83" s="34">
        <v>13390</v>
      </c>
      <c r="F83" s="2"/>
      <c r="G83" s="2" t="s">
        <v>154</v>
      </c>
    </row>
    <row r="84" spans="1:7" ht="15.75" customHeight="1" x14ac:dyDescent="0.25">
      <c r="A84" s="32">
        <v>45738</v>
      </c>
      <c r="B84" s="2"/>
      <c r="C84" s="36" t="s">
        <v>69</v>
      </c>
      <c r="D84" s="2"/>
      <c r="E84" s="22">
        <v>50</v>
      </c>
      <c r="F84" s="2"/>
      <c r="G84" s="2"/>
    </row>
    <row r="85" spans="1:7" ht="15.75" customHeight="1" x14ac:dyDescent="0.25">
      <c r="A85" s="32">
        <v>45738</v>
      </c>
      <c r="B85" s="2" t="s">
        <v>107</v>
      </c>
      <c r="C85" s="2" t="s">
        <v>32</v>
      </c>
      <c r="D85" s="22">
        <v>6460</v>
      </c>
      <c r="E85" s="22"/>
      <c r="F85" s="2"/>
      <c r="G85" s="2"/>
    </row>
    <row r="86" spans="1:7" ht="15.75" customHeight="1" x14ac:dyDescent="0.25">
      <c r="A86" s="32">
        <v>45739</v>
      </c>
      <c r="B86" s="2" t="s">
        <v>108</v>
      </c>
      <c r="C86" s="2" t="s">
        <v>32</v>
      </c>
      <c r="D86" s="22">
        <v>6670</v>
      </c>
      <c r="E86" s="22"/>
      <c r="F86" s="2"/>
      <c r="G86" s="2"/>
    </row>
    <row r="87" spans="1:7" ht="15.75" customHeight="1" x14ac:dyDescent="0.25">
      <c r="A87" s="32">
        <v>45739</v>
      </c>
      <c r="B87" s="2"/>
      <c r="C87" s="2" t="s">
        <v>109</v>
      </c>
      <c r="D87" s="22"/>
      <c r="E87" s="22">
        <v>300</v>
      </c>
      <c r="F87" s="2"/>
      <c r="G87" s="2"/>
    </row>
    <row r="88" spans="1:7" ht="15.75" customHeight="1" x14ac:dyDescent="0.25">
      <c r="A88" s="32">
        <v>45740</v>
      </c>
      <c r="B88" s="2"/>
      <c r="C88" s="33" t="s">
        <v>145</v>
      </c>
      <c r="D88" s="2"/>
      <c r="E88" s="34">
        <v>2250</v>
      </c>
      <c r="F88" s="2"/>
      <c r="G88" s="2" t="s">
        <v>155</v>
      </c>
    </row>
    <row r="89" spans="1:7" ht="15.75" customHeight="1" x14ac:dyDescent="0.25">
      <c r="A89" s="32">
        <v>45740</v>
      </c>
      <c r="B89" s="2"/>
      <c r="C89" s="36" t="s">
        <v>161</v>
      </c>
      <c r="D89" s="22"/>
      <c r="E89" s="22">
        <v>2610</v>
      </c>
      <c r="F89" s="2"/>
      <c r="G89" s="2" t="s">
        <v>110</v>
      </c>
    </row>
    <row r="90" spans="1:7" ht="15.75" customHeight="1" x14ac:dyDescent="0.25">
      <c r="A90" s="32">
        <v>45740</v>
      </c>
      <c r="B90" s="2"/>
      <c r="C90" s="2" t="s">
        <v>161</v>
      </c>
      <c r="D90" s="22"/>
      <c r="E90" s="22">
        <v>5310</v>
      </c>
      <c r="F90" s="2"/>
      <c r="G90" s="2" t="s">
        <v>111</v>
      </c>
    </row>
    <row r="91" spans="1:7" ht="15.75" customHeight="1" x14ac:dyDescent="0.25">
      <c r="A91" s="32">
        <v>45740</v>
      </c>
      <c r="B91" s="2" t="s">
        <v>112</v>
      </c>
      <c r="C91" s="2" t="s">
        <v>32</v>
      </c>
      <c r="D91" s="22">
        <v>1800</v>
      </c>
      <c r="E91" s="22"/>
      <c r="F91" s="2"/>
      <c r="G91" s="2"/>
    </row>
    <row r="92" spans="1:7" ht="15.75" customHeight="1" x14ac:dyDescent="0.25">
      <c r="A92" s="32">
        <v>45740</v>
      </c>
      <c r="B92" s="2" t="s">
        <v>113</v>
      </c>
      <c r="C92" s="2" t="s">
        <v>32</v>
      </c>
      <c r="D92" s="22">
        <v>7620</v>
      </c>
      <c r="E92" s="22"/>
      <c r="F92" s="2"/>
      <c r="G92" s="2"/>
    </row>
    <row r="93" spans="1:7" ht="15.75" customHeight="1" x14ac:dyDescent="0.25">
      <c r="A93" s="32">
        <v>45740</v>
      </c>
      <c r="B93" s="2" t="s">
        <v>114</v>
      </c>
      <c r="C93" s="2" t="s">
        <v>32</v>
      </c>
      <c r="D93" s="22">
        <v>40</v>
      </c>
      <c r="E93" s="22"/>
      <c r="F93" s="2"/>
      <c r="G93" s="2"/>
    </row>
    <row r="94" spans="1:7" ht="15.75" customHeight="1" x14ac:dyDescent="0.25">
      <c r="A94" s="32">
        <v>45740</v>
      </c>
      <c r="B94" s="2"/>
      <c r="C94" s="36" t="s">
        <v>69</v>
      </c>
      <c r="D94" s="22"/>
      <c r="E94" s="22">
        <v>205</v>
      </c>
      <c r="F94" s="2"/>
      <c r="G94" s="2"/>
    </row>
    <row r="95" spans="1:7" ht="15.75" customHeight="1" x14ac:dyDescent="0.25">
      <c r="A95" s="32">
        <v>45741</v>
      </c>
      <c r="B95" s="2" t="s">
        <v>115</v>
      </c>
      <c r="C95" s="2" t="s">
        <v>32</v>
      </c>
      <c r="D95" s="22">
        <v>7715</v>
      </c>
      <c r="E95" s="22"/>
      <c r="F95" s="2"/>
      <c r="G95" s="2"/>
    </row>
    <row r="96" spans="1:7" ht="15.75" customHeight="1" x14ac:dyDescent="0.25">
      <c r="A96" s="32">
        <v>45741</v>
      </c>
      <c r="B96" s="2" t="s">
        <v>116</v>
      </c>
      <c r="C96" s="2" t="s">
        <v>32</v>
      </c>
      <c r="D96" s="22">
        <v>180</v>
      </c>
      <c r="E96" s="22"/>
      <c r="F96" s="2"/>
      <c r="G96" s="2"/>
    </row>
    <row r="97" spans="1:7" ht="15.75" customHeight="1" x14ac:dyDescent="0.25">
      <c r="A97" s="32">
        <v>45741</v>
      </c>
      <c r="B97" s="2"/>
      <c r="C97" s="33" t="s">
        <v>145</v>
      </c>
      <c r="D97" s="2"/>
      <c r="E97" s="34">
        <v>2250</v>
      </c>
      <c r="F97" s="2"/>
      <c r="G97" s="2" t="s">
        <v>155</v>
      </c>
    </row>
    <row r="98" spans="1:7" ht="15.75" customHeight="1" x14ac:dyDescent="0.25">
      <c r="A98" s="32">
        <v>45741</v>
      </c>
      <c r="B98" s="2"/>
      <c r="C98" s="36" t="s">
        <v>69</v>
      </c>
      <c r="D98" s="22"/>
      <c r="E98" s="22">
        <v>150</v>
      </c>
      <c r="F98" s="2"/>
      <c r="G98" s="2"/>
    </row>
    <row r="99" spans="1:7" ht="15.75" customHeight="1" x14ac:dyDescent="0.25">
      <c r="A99" s="32">
        <v>45742</v>
      </c>
      <c r="B99" s="2" t="s">
        <v>117</v>
      </c>
      <c r="C99" s="2" t="s">
        <v>32</v>
      </c>
      <c r="D99" s="22">
        <v>12375</v>
      </c>
      <c r="E99" s="22"/>
      <c r="F99" s="2"/>
      <c r="G99" s="2"/>
    </row>
    <row r="100" spans="1:7" ht="15.75" customHeight="1" x14ac:dyDescent="0.25">
      <c r="A100" s="32">
        <v>45742</v>
      </c>
      <c r="B100" s="2" t="s">
        <v>118</v>
      </c>
      <c r="C100" s="2" t="s">
        <v>32</v>
      </c>
      <c r="D100" s="22">
        <v>190</v>
      </c>
      <c r="E100" s="22"/>
      <c r="F100" s="2"/>
      <c r="G100" s="2"/>
    </row>
    <row r="101" spans="1:7" ht="15.75" customHeight="1" x14ac:dyDescent="0.25">
      <c r="A101" s="32">
        <v>45742</v>
      </c>
      <c r="B101" s="2"/>
      <c r="C101" s="33" t="s">
        <v>145</v>
      </c>
      <c r="D101" s="2"/>
      <c r="E101" s="34">
        <v>2250</v>
      </c>
      <c r="F101" s="2"/>
      <c r="G101" s="2" t="s">
        <v>155</v>
      </c>
    </row>
    <row r="102" spans="1:7" ht="15.75" customHeight="1" x14ac:dyDescent="0.25">
      <c r="A102" s="32">
        <v>45742</v>
      </c>
      <c r="B102" s="2"/>
      <c r="C102" s="36" t="s">
        <v>69</v>
      </c>
      <c r="D102" s="22"/>
      <c r="E102" s="22">
        <v>50</v>
      </c>
      <c r="F102" s="2"/>
      <c r="G102" s="2"/>
    </row>
    <row r="103" spans="1:7" ht="15.75" customHeight="1" x14ac:dyDescent="0.25">
      <c r="A103" s="32">
        <v>45743</v>
      </c>
      <c r="B103" s="2"/>
      <c r="C103" s="36" t="s">
        <v>69</v>
      </c>
      <c r="D103" s="22"/>
      <c r="E103" s="22">
        <v>190</v>
      </c>
      <c r="F103" s="2"/>
      <c r="G103" s="2"/>
    </row>
    <row r="104" spans="1:7" ht="15.75" customHeight="1" x14ac:dyDescent="0.25">
      <c r="A104" s="32">
        <v>45743</v>
      </c>
      <c r="B104" s="2"/>
      <c r="C104" s="33" t="s">
        <v>151</v>
      </c>
      <c r="D104" s="22"/>
      <c r="E104" s="34">
        <v>24570</v>
      </c>
      <c r="F104" s="2"/>
      <c r="G104" s="2" t="s">
        <v>159</v>
      </c>
    </row>
    <row r="105" spans="1:7" ht="15.75" customHeight="1" x14ac:dyDescent="0.25">
      <c r="A105" s="32">
        <v>45743</v>
      </c>
      <c r="B105" s="2"/>
      <c r="C105" s="33" t="s">
        <v>145</v>
      </c>
      <c r="D105" s="2"/>
      <c r="E105" s="34">
        <v>2250</v>
      </c>
      <c r="F105" s="2"/>
      <c r="G105" s="2" t="s">
        <v>155</v>
      </c>
    </row>
    <row r="106" spans="1:7" ht="15.75" customHeight="1" x14ac:dyDescent="0.25">
      <c r="A106" s="32">
        <v>45743</v>
      </c>
      <c r="B106" s="2" t="s">
        <v>119</v>
      </c>
      <c r="C106" s="2" t="s">
        <v>32</v>
      </c>
      <c r="D106" s="22">
        <v>1920</v>
      </c>
      <c r="E106" s="22"/>
      <c r="F106" s="2"/>
      <c r="G106" s="2"/>
    </row>
    <row r="107" spans="1:7" ht="15.75" customHeight="1" x14ac:dyDescent="0.25">
      <c r="A107" s="32">
        <v>45743</v>
      </c>
      <c r="B107" s="2" t="s">
        <v>120</v>
      </c>
      <c r="C107" s="2" t="s">
        <v>32</v>
      </c>
      <c r="D107" s="22">
        <v>15495</v>
      </c>
      <c r="E107" s="22"/>
      <c r="F107" s="2"/>
      <c r="G107" s="2"/>
    </row>
    <row r="108" spans="1:7" ht="15.75" customHeight="1" x14ac:dyDescent="0.25">
      <c r="A108" s="32">
        <v>45744</v>
      </c>
      <c r="B108" s="2" t="s">
        <v>121</v>
      </c>
      <c r="C108" s="2" t="s">
        <v>32</v>
      </c>
      <c r="D108" s="22">
        <v>2340</v>
      </c>
      <c r="E108" s="22"/>
      <c r="F108" s="2"/>
      <c r="G108" s="2"/>
    </row>
    <row r="109" spans="1:7" ht="15.75" customHeight="1" x14ac:dyDescent="0.25">
      <c r="A109" s="32">
        <v>45744</v>
      </c>
      <c r="B109" s="2" t="s">
        <v>122</v>
      </c>
      <c r="C109" s="2" t="s">
        <v>32</v>
      </c>
      <c r="D109" s="22">
        <v>960</v>
      </c>
      <c r="E109" s="22"/>
      <c r="F109" s="2"/>
      <c r="G109" s="2"/>
    </row>
    <row r="110" spans="1:7" ht="15.75" customHeight="1" x14ac:dyDescent="0.25">
      <c r="A110" s="32">
        <v>45744</v>
      </c>
      <c r="B110" s="2" t="s">
        <v>123</v>
      </c>
      <c r="C110" s="2" t="s">
        <v>32</v>
      </c>
      <c r="D110" s="22">
        <v>5595</v>
      </c>
      <c r="E110" s="22"/>
      <c r="F110" s="2"/>
      <c r="G110" s="2"/>
    </row>
    <row r="111" spans="1:7" ht="15.75" customHeight="1" x14ac:dyDescent="0.25">
      <c r="A111" s="32">
        <v>45744</v>
      </c>
      <c r="B111" s="2" t="s">
        <v>124</v>
      </c>
      <c r="C111" s="2" t="s">
        <v>32</v>
      </c>
      <c r="D111" s="22">
        <v>150</v>
      </c>
      <c r="E111" s="22"/>
      <c r="F111" s="2"/>
      <c r="G111" s="2"/>
    </row>
    <row r="112" spans="1:7" ht="15.75" customHeight="1" x14ac:dyDescent="0.25">
      <c r="A112" s="32">
        <v>45744</v>
      </c>
      <c r="B112" s="2"/>
      <c r="C112" s="33" t="s">
        <v>145</v>
      </c>
      <c r="D112" s="2"/>
      <c r="E112" s="34">
        <v>2250</v>
      </c>
      <c r="F112" s="2"/>
      <c r="G112" s="2" t="s">
        <v>155</v>
      </c>
    </row>
    <row r="113" spans="1:7" ht="15.75" customHeight="1" x14ac:dyDescent="0.25">
      <c r="A113" s="32">
        <v>45744</v>
      </c>
      <c r="B113" s="2"/>
      <c r="C113" s="36" t="s">
        <v>69</v>
      </c>
      <c r="D113" s="22"/>
      <c r="E113" s="22">
        <v>50</v>
      </c>
      <c r="F113" s="2"/>
      <c r="G113" s="2"/>
    </row>
    <row r="114" spans="1:7" ht="15.75" customHeight="1" x14ac:dyDescent="0.25">
      <c r="A114" s="32">
        <v>45744</v>
      </c>
      <c r="B114" s="2"/>
      <c r="C114" s="2" t="s">
        <v>109</v>
      </c>
      <c r="D114" s="22"/>
      <c r="E114" s="22">
        <v>300</v>
      </c>
      <c r="F114" s="2"/>
      <c r="G114" s="2"/>
    </row>
    <row r="115" spans="1:7" ht="15.75" customHeight="1" x14ac:dyDescent="0.25">
      <c r="A115" s="32">
        <v>45745</v>
      </c>
      <c r="B115" s="36" t="s">
        <v>125</v>
      </c>
      <c r="C115" s="36" t="s">
        <v>32</v>
      </c>
      <c r="D115" s="37">
        <v>7365</v>
      </c>
      <c r="E115" s="22"/>
      <c r="F115" s="2"/>
      <c r="G115" s="2"/>
    </row>
    <row r="116" spans="1:7" ht="15.75" customHeight="1" x14ac:dyDescent="0.25">
      <c r="A116" s="32">
        <v>45745</v>
      </c>
      <c r="B116" s="2"/>
      <c r="C116" s="36" t="s">
        <v>69</v>
      </c>
      <c r="D116" s="22"/>
      <c r="E116" s="37">
        <v>50</v>
      </c>
      <c r="F116" s="2"/>
      <c r="G116" s="2"/>
    </row>
    <row r="117" spans="1:7" ht="15.75" customHeight="1" x14ac:dyDescent="0.25">
      <c r="A117" s="32">
        <v>45745</v>
      </c>
      <c r="B117" s="2"/>
      <c r="C117" s="33" t="s">
        <v>145</v>
      </c>
      <c r="D117" s="2"/>
      <c r="E117" s="38">
        <v>2250</v>
      </c>
      <c r="F117" s="2"/>
      <c r="G117" s="2" t="s">
        <v>155</v>
      </c>
    </row>
    <row r="118" spans="1:7" ht="15.75" customHeight="1" x14ac:dyDescent="0.25">
      <c r="A118" s="32">
        <v>45746</v>
      </c>
      <c r="B118" s="36" t="s">
        <v>134</v>
      </c>
      <c r="C118" s="2" t="s">
        <v>32</v>
      </c>
      <c r="D118" s="22">
        <v>4190</v>
      </c>
      <c r="E118" s="22"/>
      <c r="F118" s="2"/>
      <c r="G118" s="2"/>
    </row>
    <row r="119" spans="1:7" ht="15.75" customHeight="1" x14ac:dyDescent="0.25">
      <c r="A119" s="32">
        <v>45746</v>
      </c>
      <c r="B119" s="36" t="s">
        <v>135</v>
      </c>
      <c r="C119" s="2" t="s">
        <v>32</v>
      </c>
      <c r="D119" s="22">
        <v>280</v>
      </c>
      <c r="E119" s="22"/>
      <c r="F119" s="2"/>
      <c r="G119" s="2"/>
    </row>
    <row r="120" spans="1:7" ht="15.75" customHeight="1" x14ac:dyDescent="0.25">
      <c r="A120" s="32">
        <v>45746</v>
      </c>
      <c r="B120" s="36" t="s">
        <v>136</v>
      </c>
      <c r="C120" s="2" t="s">
        <v>32</v>
      </c>
      <c r="D120" s="22">
        <v>1240</v>
      </c>
      <c r="E120" s="22"/>
      <c r="F120" s="2"/>
      <c r="G120" s="2"/>
    </row>
    <row r="121" spans="1:7" ht="15.75" customHeight="1" x14ac:dyDescent="0.25">
      <c r="A121" s="32">
        <v>45746</v>
      </c>
      <c r="B121" s="36"/>
      <c r="C121" s="33" t="s">
        <v>151</v>
      </c>
      <c r="D121" s="37"/>
      <c r="E121" s="38">
        <v>13660</v>
      </c>
      <c r="F121" s="36"/>
      <c r="G121" s="36" t="s">
        <v>160</v>
      </c>
    </row>
    <row r="122" spans="1:7" ht="15.75" customHeight="1" x14ac:dyDescent="0.25">
      <c r="A122" s="32">
        <v>45746</v>
      </c>
      <c r="B122" s="36"/>
      <c r="C122" s="33" t="s">
        <v>145</v>
      </c>
      <c r="D122" s="36"/>
      <c r="E122" s="38">
        <v>2250</v>
      </c>
      <c r="F122" s="36"/>
      <c r="G122" s="36" t="s">
        <v>155</v>
      </c>
    </row>
    <row r="123" spans="1:7" ht="15.75" customHeight="1" x14ac:dyDescent="0.25">
      <c r="A123" s="32">
        <v>45747</v>
      </c>
      <c r="B123" s="36"/>
      <c r="C123" s="36" t="s">
        <v>32</v>
      </c>
      <c r="D123" s="37">
        <v>350</v>
      </c>
      <c r="E123" s="37"/>
      <c r="F123" s="36"/>
      <c r="G123" s="36"/>
    </row>
    <row r="124" spans="1:7" ht="15.75" customHeight="1" x14ac:dyDescent="0.25">
      <c r="A124" s="32">
        <v>45747</v>
      </c>
      <c r="B124" s="36"/>
      <c r="C124" s="36" t="s">
        <v>161</v>
      </c>
      <c r="D124" s="37"/>
      <c r="E124" s="37">
        <v>1400</v>
      </c>
      <c r="F124" s="36"/>
      <c r="G124" s="36" t="s">
        <v>110</v>
      </c>
    </row>
    <row r="125" spans="1:7" ht="15.75" customHeight="1" x14ac:dyDescent="0.25">
      <c r="A125" s="32">
        <v>45747</v>
      </c>
      <c r="B125" s="36"/>
      <c r="C125" s="36" t="s">
        <v>161</v>
      </c>
      <c r="D125" s="37"/>
      <c r="E125" s="37">
        <v>1200</v>
      </c>
      <c r="F125" s="36"/>
      <c r="G125" s="36" t="s">
        <v>111</v>
      </c>
    </row>
    <row r="126" spans="1:7" ht="15.75" customHeight="1" x14ac:dyDescent="0.25">
      <c r="A126" s="32">
        <v>45747</v>
      </c>
      <c r="B126" s="36"/>
      <c r="C126" s="36" t="s">
        <v>161</v>
      </c>
      <c r="D126" s="37"/>
      <c r="E126" s="37">
        <v>4700</v>
      </c>
      <c r="F126" s="36"/>
      <c r="G126" s="36" t="s">
        <v>166</v>
      </c>
    </row>
    <row r="127" spans="1:7" ht="15.75" customHeight="1" x14ac:dyDescent="0.25">
      <c r="A127" s="32"/>
      <c r="B127" s="2"/>
      <c r="C127" s="2"/>
      <c r="D127" s="22"/>
      <c r="E127" s="22"/>
      <c r="F127" s="2"/>
      <c r="G127" s="2"/>
    </row>
    <row r="128" spans="1:7" ht="15.75" customHeight="1" x14ac:dyDescent="0.25">
      <c r="A128" s="2"/>
      <c r="B128" s="2"/>
      <c r="C128" s="7" t="s">
        <v>126</v>
      </c>
      <c r="D128" s="9">
        <f>SUM(D3:D127)</f>
        <v>188580</v>
      </c>
      <c r="E128" s="2"/>
      <c r="F128" s="2"/>
      <c r="G128" s="2"/>
    </row>
    <row r="129" spans="1:7" ht="15.75" customHeight="1" x14ac:dyDescent="0.25">
      <c r="A129" s="2"/>
      <c r="B129" s="2"/>
      <c r="C129" s="39" t="s">
        <v>21</v>
      </c>
      <c r="D129" s="40">
        <f>SUM(D128,D2)</f>
        <v>225983</v>
      </c>
      <c r="E129" s="40">
        <f>SUM(E3:E128)</f>
        <v>162135</v>
      </c>
      <c r="F129" s="2"/>
      <c r="G129" s="2"/>
    </row>
    <row r="130" spans="1:7" ht="15.75" customHeight="1" x14ac:dyDescent="0.25">
      <c r="A130" s="10"/>
      <c r="B130" s="10"/>
      <c r="C130" s="10"/>
      <c r="D130" s="10"/>
      <c r="E130" s="10"/>
      <c r="F130" s="10"/>
      <c r="G130" s="10"/>
    </row>
    <row r="131" spans="1:7" ht="15.75" customHeight="1" x14ac:dyDescent="0.25">
      <c r="A131" s="10"/>
      <c r="B131" s="10"/>
      <c r="C131" s="29" t="s">
        <v>127</v>
      </c>
      <c r="D131" s="41">
        <f>D128-E129</f>
        <v>26445</v>
      </c>
      <c r="E131" s="10"/>
      <c r="F131" s="10"/>
      <c r="G131" s="10"/>
    </row>
    <row r="132" spans="1:7" ht="15.75" customHeight="1" x14ac:dyDescent="0.25">
      <c r="A132" s="10"/>
      <c r="B132" s="10"/>
      <c r="C132" s="29" t="s">
        <v>60</v>
      </c>
      <c r="D132" s="30">
        <f>D129-E129</f>
        <v>63848</v>
      </c>
      <c r="E132" s="10"/>
      <c r="F132" s="10"/>
      <c r="G132" s="10"/>
    </row>
    <row r="133" spans="1:7" ht="15.75" customHeight="1" x14ac:dyDescent="0.25"/>
    <row r="134" spans="1:7" ht="15.75" customHeight="1" x14ac:dyDescent="0.25"/>
    <row r="135" spans="1:7" ht="15.75" customHeight="1" x14ac:dyDescent="0.25"/>
    <row r="136" spans="1:7" ht="15.75" customHeight="1" x14ac:dyDescent="0.25"/>
    <row r="137" spans="1:7" ht="15.75" customHeight="1" x14ac:dyDescent="0.25"/>
    <row r="138" spans="1:7" ht="15.75" customHeight="1" x14ac:dyDescent="0.25"/>
    <row r="139" spans="1:7" ht="15.75" customHeight="1" x14ac:dyDescent="0.25"/>
    <row r="140" spans="1:7" ht="15.75" customHeight="1" x14ac:dyDescent="0.25"/>
    <row r="141" spans="1:7" ht="15.75" customHeight="1" x14ac:dyDescent="0.25"/>
    <row r="142" spans="1:7" ht="15.75" customHeight="1" x14ac:dyDescent="0.25"/>
    <row r="143" spans="1:7" ht="15.75" customHeight="1" x14ac:dyDescent="0.25"/>
    <row r="144" spans="1:7"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row r="1015" ht="15.75" customHeight="1" x14ac:dyDescent="0.25"/>
    <row r="1016" ht="15.75" customHeight="1" x14ac:dyDescent="0.25"/>
    <row r="1017" ht="15.75" customHeight="1" x14ac:dyDescent="0.25"/>
    <row r="1018" ht="15.75" customHeight="1" x14ac:dyDescent="0.25"/>
    <row r="1019" ht="15.75" customHeight="1" x14ac:dyDescent="0.25"/>
    <row r="1020" ht="15.75" customHeight="1" x14ac:dyDescent="0.25"/>
    <row r="1021" ht="15.75" customHeight="1" x14ac:dyDescent="0.25"/>
    <row r="1022" ht="15.75" customHeight="1" x14ac:dyDescent="0.25"/>
    <row r="1023" ht="15.75" customHeight="1" x14ac:dyDescent="0.25"/>
    <row r="1024" ht="15.75" customHeight="1" x14ac:dyDescent="0.25"/>
    <row r="1025" ht="15.75" customHeight="1" x14ac:dyDescent="0.25"/>
    <row r="1026" ht="15.75" customHeight="1" x14ac:dyDescent="0.25"/>
    <row r="1027" ht="15.75" customHeight="1" x14ac:dyDescent="0.25"/>
    <row r="1028" ht="15.75" customHeight="1" x14ac:dyDescent="0.25"/>
    <row r="1029" ht="15.75" customHeight="1" x14ac:dyDescent="0.25"/>
    <row r="1030" ht="15.75" customHeight="1" x14ac:dyDescent="0.25"/>
    <row r="1031" ht="15.75" customHeight="1" x14ac:dyDescent="0.25"/>
    <row r="1032" ht="15.75" customHeight="1" x14ac:dyDescent="0.25"/>
    <row r="1033" ht="15.75" customHeight="1" x14ac:dyDescent="0.25"/>
    <row r="1034" ht="15.75" customHeight="1" x14ac:dyDescent="0.25"/>
    <row r="1035" ht="15.75" customHeight="1" x14ac:dyDescent="0.25"/>
    <row r="1036" ht="15.75" customHeight="1" x14ac:dyDescent="0.25"/>
    <row r="1037" ht="15.75" customHeight="1" x14ac:dyDescent="0.25"/>
    <row r="1038" ht="15.75" customHeight="1" x14ac:dyDescent="0.25"/>
  </sheetData>
  <autoFilter ref="A1:G126"/>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14"/>
  <sheetViews>
    <sheetView zoomScaleNormal="100" workbookViewId="0">
      <pane ySplit="1" topLeftCell="A2" activePane="bottomLeft" state="frozen"/>
      <selection pane="bottomLeft" activeCell="F121" sqref="F121"/>
    </sheetView>
  </sheetViews>
  <sheetFormatPr defaultColWidth="14.42578125" defaultRowHeight="15" customHeight="1" x14ac:dyDescent="0.25"/>
  <cols>
    <col min="1" max="1" width="11.140625" customWidth="1"/>
    <col min="2" max="2" width="8.7109375" customWidth="1"/>
    <col min="3" max="3" width="22" bestFit="1" customWidth="1"/>
    <col min="4" max="4" width="12.28515625" customWidth="1"/>
    <col min="5" max="5" width="12.5703125" customWidth="1"/>
    <col min="6" max="6" width="11" bestFit="1" customWidth="1"/>
    <col min="7" max="7" width="13.42578125" bestFit="1" customWidth="1"/>
    <col min="8" max="8" width="8.7109375" customWidth="1"/>
    <col min="9" max="9" width="23" customWidth="1"/>
    <col min="10" max="10" width="12.28515625" customWidth="1"/>
    <col min="11" max="11" width="16" customWidth="1"/>
    <col min="12" max="23" width="4" customWidth="1"/>
    <col min="24" max="54" width="5" customWidth="1"/>
    <col min="55" max="55" width="6" customWidth="1"/>
    <col min="56" max="56" width="7.28515625" customWidth="1"/>
    <col min="57" max="57" width="11.28515625" customWidth="1"/>
  </cols>
  <sheetData>
    <row r="1" spans="1:11" ht="26.25" x14ac:dyDescent="0.25">
      <c r="A1" s="3" t="s">
        <v>1</v>
      </c>
      <c r="B1" s="3" t="s">
        <v>61</v>
      </c>
      <c r="C1" s="3" t="s">
        <v>2</v>
      </c>
      <c r="D1" s="3" t="s">
        <v>32</v>
      </c>
      <c r="E1" s="3" t="s">
        <v>33</v>
      </c>
      <c r="F1" s="3" t="s">
        <v>34</v>
      </c>
      <c r="G1" s="3" t="s">
        <v>8</v>
      </c>
    </row>
    <row r="2" spans="1:11" x14ac:dyDescent="0.25">
      <c r="A2" s="31">
        <v>45748</v>
      </c>
      <c r="B2" s="36"/>
      <c r="C2" s="36" t="s">
        <v>62</v>
      </c>
      <c r="D2" s="30">
        <f>'Mar 2025 - Sales'!D132</f>
        <v>63848</v>
      </c>
      <c r="E2" s="36"/>
      <c r="F2" s="36"/>
      <c r="G2" s="36"/>
    </row>
    <row r="3" spans="1:11" x14ac:dyDescent="0.25">
      <c r="A3" s="87">
        <v>45748</v>
      </c>
      <c r="B3" s="84"/>
      <c r="C3" s="84" t="s">
        <v>184</v>
      </c>
      <c r="D3" s="85"/>
      <c r="E3" s="88">
        <v>20460</v>
      </c>
      <c r="F3" s="84"/>
      <c r="G3" s="84"/>
    </row>
    <row r="4" spans="1:11" x14ac:dyDescent="0.25">
      <c r="A4" s="31">
        <v>45748</v>
      </c>
      <c r="B4" s="36" t="s">
        <v>144</v>
      </c>
      <c r="C4" s="69" t="s">
        <v>32</v>
      </c>
      <c r="D4" s="37">
        <v>1115</v>
      </c>
      <c r="E4" s="36"/>
      <c r="F4" s="36"/>
      <c r="G4" s="36"/>
    </row>
    <row r="5" spans="1:11" x14ac:dyDescent="0.25">
      <c r="A5" s="31">
        <v>45748</v>
      </c>
      <c r="B5" s="36"/>
      <c r="C5" s="69" t="s">
        <v>33</v>
      </c>
      <c r="D5" s="37"/>
      <c r="E5" s="70">
        <v>789</v>
      </c>
      <c r="F5" s="36"/>
      <c r="G5" s="36"/>
    </row>
    <row r="6" spans="1:11" x14ac:dyDescent="0.25">
      <c r="A6" s="31">
        <v>45749</v>
      </c>
      <c r="B6" s="36" t="s">
        <v>167</v>
      </c>
      <c r="C6" s="69" t="s">
        <v>32</v>
      </c>
      <c r="D6" s="37">
        <v>2295</v>
      </c>
      <c r="E6" s="70"/>
      <c r="F6" s="36"/>
      <c r="G6" s="36"/>
    </row>
    <row r="7" spans="1:11" x14ac:dyDescent="0.25">
      <c r="A7" s="31">
        <v>45749</v>
      </c>
      <c r="B7" s="36"/>
      <c r="C7" s="69" t="s">
        <v>33</v>
      </c>
      <c r="D7" s="37"/>
      <c r="E7" s="70">
        <v>50</v>
      </c>
      <c r="F7" s="36"/>
      <c r="G7" s="36"/>
    </row>
    <row r="8" spans="1:11" x14ac:dyDescent="0.25">
      <c r="A8" s="31">
        <v>45750</v>
      </c>
      <c r="B8" s="36" t="s">
        <v>169</v>
      </c>
      <c r="C8" s="69" t="s">
        <v>32</v>
      </c>
      <c r="D8" s="37">
        <v>2350</v>
      </c>
      <c r="E8" s="70"/>
      <c r="F8" s="36"/>
      <c r="G8" s="36"/>
    </row>
    <row r="9" spans="1:11" x14ac:dyDescent="0.25">
      <c r="A9" s="31">
        <v>45750</v>
      </c>
      <c r="B9" s="36" t="s">
        <v>170</v>
      </c>
      <c r="C9" s="69" t="s">
        <v>32</v>
      </c>
      <c r="D9" s="37">
        <v>3250</v>
      </c>
      <c r="E9" s="70"/>
      <c r="F9" s="36"/>
      <c r="G9" s="36"/>
    </row>
    <row r="10" spans="1:11" x14ac:dyDescent="0.25">
      <c r="A10" s="31">
        <v>45750</v>
      </c>
      <c r="B10" s="36"/>
      <c r="C10" s="69" t="s">
        <v>33</v>
      </c>
      <c r="D10" s="37"/>
      <c r="E10" s="70">
        <v>50</v>
      </c>
      <c r="F10" s="36"/>
      <c r="G10" s="36"/>
    </row>
    <row r="11" spans="1:11" x14ac:dyDescent="0.25">
      <c r="A11" s="31">
        <v>45751</v>
      </c>
      <c r="B11" s="36"/>
      <c r="C11" s="76" t="s">
        <v>145</v>
      </c>
      <c r="D11" s="77"/>
      <c r="E11" s="78">
        <v>2150</v>
      </c>
      <c r="F11" s="36"/>
      <c r="G11" s="36"/>
      <c r="I11" s="125" t="s">
        <v>163</v>
      </c>
      <c r="J11" s="125" t="s">
        <v>165</v>
      </c>
      <c r="K11" s="125" t="s">
        <v>164</v>
      </c>
    </row>
    <row r="12" spans="1:11" x14ac:dyDescent="0.25">
      <c r="A12" s="31">
        <v>45751</v>
      </c>
      <c r="B12" s="36" t="s">
        <v>171</v>
      </c>
      <c r="C12" s="69" t="s">
        <v>32</v>
      </c>
      <c r="D12" s="37">
        <v>4260</v>
      </c>
      <c r="E12" s="70"/>
      <c r="F12" s="36"/>
      <c r="G12" s="36"/>
      <c r="I12" s="380" t="s">
        <v>168</v>
      </c>
      <c r="J12" s="124"/>
      <c r="K12" s="124">
        <v>19884</v>
      </c>
    </row>
    <row r="13" spans="1:11" x14ac:dyDescent="0.25">
      <c r="A13" s="31">
        <v>45751</v>
      </c>
      <c r="B13" s="36"/>
      <c r="C13" s="69" t="s">
        <v>109</v>
      </c>
      <c r="D13" s="37"/>
      <c r="E13" s="70">
        <v>300</v>
      </c>
      <c r="F13" s="36"/>
      <c r="G13" s="36"/>
      <c r="I13" s="380" t="s">
        <v>33</v>
      </c>
      <c r="J13" s="124"/>
      <c r="K13" s="124">
        <v>6384</v>
      </c>
    </row>
    <row r="14" spans="1:11" x14ac:dyDescent="0.25">
      <c r="A14" s="31">
        <v>45751</v>
      </c>
      <c r="B14" s="36"/>
      <c r="C14" s="69" t="s">
        <v>33</v>
      </c>
      <c r="D14" s="37"/>
      <c r="E14" s="70">
        <v>50</v>
      </c>
      <c r="F14" s="36"/>
      <c r="G14" s="36"/>
      <c r="I14" s="380" t="s">
        <v>147</v>
      </c>
      <c r="J14" s="124"/>
      <c r="K14" s="124">
        <v>32855</v>
      </c>
    </row>
    <row r="15" spans="1:11" x14ac:dyDescent="0.25">
      <c r="A15" s="31">
        <v>45752</v>
      </c>
      <c r="B15" s="36" t="s">
        <v>172</v>
      </c>
      <c r="C15" s="69" t="s">
        <v>32</v>
      </c>
      <c r="D15" s="37">
        <v>3795</v>
      </c>
      <c r="E15" s="70"/>
      <c r="F15" s="36"/>
      <c r="G15" s="36"/>
      <c r="I15" s="380" t="s">
        <v>145</v>
      </c>
      <c r="J15" s="124"/>
      <c r="K15" s="124">
        <v>13650</v>
      </c>
    </row>
    <row r="16" spans="1:11" x14ac:dyDescent="0.25">
      <c r="A16" s="31">
        <v>45753</v>
      </c>
      <c r="B16" s="36" t="s">
        <v>173</v>
      </c>
      <c r="C16" s="69" t="s">
        <v>32</v>
      </c>
      <c r="D16" s="37">
        <v>1955</v>
      </c>
      <c r="E16" s="70"/>
      <c r="F16" s="36"/>
      <c r="G16" s="36"/>
      <c r="I16" s="380" t="s">
        <v>184</v>
      </c>
      <c r="J16" s="124"/>
      <c r="K16" s="124">
        <v>20460</v>
      </c>
    </row>
    <row r="17" spans="1:11" x14ac:dyDescent="0.25">
      <c r="A17" s="31">
        <v>45753</v>
      </c>
      <c r="B17" s="36" t="s">
        <v>174</v>
      </c>
      <c r="C17" s="69" t="s">
        <v>32</v>
      </c>
      <c r="D17" s="37">
        <v>480</v>
      </c>
      <c r="E17" s="70"/>
      <c r="F17" s="36"/>
      <c r="G17" s="36"/>
      <c r="I17" s="380" t="s">
        <v>62</v>
      </c>
      <c r="J17" s="124">
        <v>63848</v>
      </c>
      <c r="K17" s="124"/>
    </row>
    <row r="18" spans="1:11" x14ac:dyDescent="0.25">
      <c r="A18" s="31">
        <v>45754</v>
      </c>
      <c r="B18" s="36" t="s">
        <v>175</v>
      </c>
      <c r="C18" s="69" t="s">
        <v>32</v>
      </c>
      <c r="D18" s="37">
        <v>350</v>
      </c>
      <c r="E18" s="70"/>
      <c r="F18" s="36"/>
      <c r="G18" s="36"/>
      <c r="I18" s="380" t="s">
        <v>207</v>
      </c>
      <c r="J18" s="124"/>
      <c r="K18" s="124"/>
    </row>
    <row r="19" spans="1:11" x14ac:dyDescent="0.25">
      <c r="A19" s="31">
        <v>45754</v>
      </c>
      <c r="B19" s="36" t="s">
        <v>176</v>
      </c>
      <c r="C19" s="69" t="s">
        <v>32</v>
      </c>
      <c r="D19" s="37">
        <v>755</v>
      </c>
      <c r="E19" s="70"/>
      <c r="F19" s="36"/>
      <c r="G19" s="36"/>
      <c r="I19" s="380" t="s">
        <v>109</v>
      </c>
      <c r="J19" s="124"/>
      <c r="K19" s="124">
        <v>2100</v>
      </c>
    </row>
    <row r="20" spans="1:11" x14ac:dyDescent="0.25">
      <c r="A20" s="31">
        <v>45754</v>
      </c>
      <c r="B20" s="36"/>
      <c r="C20" s="69" t="s">
        <v>33</v>
      </c>
      <c r="D20" s="37"/>
      <c r="E20" s="70">
        <v>50</v>
      </c>
      <c r="F20" s="36"/>
      <c r="G20" s="36"/>
      <c r="I20" s="380" t="s">
        <v>77</v>
      </c>
      <c r="J20" s="124"/>
      <c r="K20" s="124">
        <v>9000</v>
      </c>
    </row>
    <row r="21" spans="1:11" x14ac:dyDescent="0.25">
      <c r="A21" s="31">
        <v>45755</v>
      </c>
      <c r="B21" s="36" t="s">
        <v>177</v>
      </c>
      <c r="C21" s="69" t="s">
        <v>32</v>
      </c>
      <c r="D21" s="37">
        <v>2330</v>
      </c>
      <c r="E21" s="70"/>
      <c r="F21" s="36"/>
      <c r="G21" s="36"/>
      <c r="I21" s="380" t="s">
        <v>32</v>
      </c>
      <c r="J21" s="124">
        <v>105060</v>
      </c>
      <c r="K21" s="124"/>
    </row>
    <row r="22" spans="1:11" x14ac:dyDescent="0.25">
      <c r="A22" s="31">
        <v>45755</v>
      </c>
      <c r="B22" s="36" t="s">
        <v>178</v>
      </c>
      <c r="C22" s="69" t="s">
        <v>32</v>
      </c>
      <c r="D22" s="37">
        <v>480</v>
      </c>
      <c r="E22" s="70"/>
      <c r="F22" s="36"/>
      <c r="G22" s="36"/>
      <c r="I22" s="380" t="s">
        <v>161</v>
      </c>
      <c r="J22" s="124"/>
      <c r="K22" s="124">
        <v>10500</v>
      </c>
    </row>
    <row r="23" spans="1:11" x14ac:dyDescent="0.25">
      <c r="A23" s="31">
        <v>45756</v>
      </c>
      <c r="B23" s="36"/>
      <c r="C23" s="69" t="s">
        <v>109</v>
      </c>
      <c r="D23" s="37"/>
      <c r="E23" s="70">
        <v>300</v>
      </c>
      <c r="F23" s="36"/>
      <c r="G23" s="36"/>
      <c r="I23" s="380" t="s">
        <v>234</v>
      </c>
      <c r="J23" s="124"/>
      <c r="K23" s="124"/>
    </row>
    <row r="24" spans="1:11" x14ac:dyDescent="0.25">
      <c r="A24" s="31">
        <v>45756</v>
      </c>
      <c r="B24" s="36"/>
      <c r="C24" s="69" t="s">
        <v>33</v>
      </c>
      <c r="D24" s="37"/>
      <c r="E24" s="70">
        <v>280</v>
      </c>
      <c r="F24" s="36"/>
      <c r="G24" s="36"/>
      <c r="I24" s="126" t="s">
        <v>16</v>
      </c>
      <c r="J24" s="127">
        <v>168908</v>
      </c>
      <c r="K24" s="127">
        <v>114833</v>
      </c>
    </row>
    <row r="25" spans="1:11" x14ac:dyDescent="0.25">
      <c r="A25" s="31">
        <v>45757</v>
      </c>
      <c r="B25" s="36" t="s">
        <v>180</v>
      </c>
      <c r="C25" s="69" t="s">
        <v>32</v>
      </c>
      <c r="D25" s="37">
        <v>1325</v>
      </c>
      <c r="E25" s="70"/>
      <c r="F25" s="36"/>
      <c r="G25" s="36"/>
    </row>
    <row r="26" spans="1:11" x14ac:dyDescent="0.25">
      <c r="A26" s="31">
        <v>45757</v>
      </c>
      <c r="B26" s="36" t="s">
        <v>181</v>
      </c>
      <c r="C26" s="69" t="s">
        <v>32</v>
      </c>
      <c r="D26" s="37">
        <v>3120</v>
      </c>
      <c r="E26" s="70"/>
      <c r="F26" s="36"/>
      <c r="G26" s="36"/>
    </row>
    <row r="27" spans="1:11" x14ac:dyDescent="0.25">
      <c r="A27" s="31">
        <v>45758</v>
      </c>
      <c r="B27" s="36"/>
      <c r="C27" s="69" t="s">
        <v>147</v>
      </c>
      <c r="D27" s="37"/>
      <c r="E27" s="78">
        <v>880</v>
      </c>
      <c r="F27" s="36"/>
      <c r="G27" s="36"/>
    </row>
    <row r="28" spans="1:11" x14ac:dyDescent="0.25">
      <c r="A28" s="31">
        <v>45758</v>
      </c>
      <c r="B28" s="36"/>
      <c r="C28" s="69" t="s">
        <v>145</v>
      </c>
      <c r="D28" s="37"/>
      <c r="E28" s="78">
        <v>750</v>
      </c>
      <c r="F28" s="36"/>
      <c r="G28" s="36"/>
    </row>
    <row r="29" spans="1:11" x14ac:dyDescent="0.25">
      <c r="A29" s="31">
        <v>45758</v>
      </c>
      <c r="B29" s="36"/>
      <c r="C29" s="69" t="s">
        <v>33</v>
      </c>
      <c r="D29" s="37"/>
      <c r="E29" s="70">
        <v>397</v>
      </c>
      <c r="F29" s="36"/>
      <c r="G29" s="36"/>
    </row>
    <row r="30" spans="1:11" x14ac:dyDescent="0.25">
      <c r="A30" s="31">
        <v>45758</v>
      </c>
      <c r="B30" s="36" t="s">
        <v>182</v>
      </c>
      <c r="C30" s="69" t="s">
        <v>32</v>
      </c>
      <c r="D30" s="37">
        <v>5310</v>
      </c>
      <c r="E30" s="70"/>
      <c r="F30" s="36"/>
      <c r="G30" s="36"/>
    </row>
    <row r="31" spans="1:11" x14ac:dyDescent="0.25">
      <c r="A31" s="31">
        <v>45758</v>
      </c>
      <c r="B31" s="36" t="s">
        <v>183</v>
      </c>
      <c r="C31" s="69" t="s">
        <v>32</v>
      </c>
      <c r="D31" s="37">
        <v>640</v>
      </c>
      <c r="E31" s="70"/>
      <c r="F31" s="36"/>
      <c r="G31" s="36"/>
    </row>
    <row r="32" spans="1:11" x14ac:dyDescent="0.25">
      <c r="A32" s="31">
        <v>45759</v>
      </c>
      <c r="B32" s="36"/>
      <c r="C32" s="69" t="s">
        <v>145</v>
      </c>
      <c r="D32" s="37"/>
      <c r="E32" s="78">
        <v>2150</v>
      </c>
      <c r="F32" s="36"/>
      <c r="G32" s="36"/>
    </row>
    <row r="33" spans="1:7" x14ac:dyDescent="0.25">
      <c r="A33" s="31">
        <v>45759</v>
      </c>
      <c r="B33" s="36"/>
      <c r="C33" s="69" t="s">
        <v>33</v>
      </c>
      <c r="D33" s="37"/>
      <c r="E33" s="70">
        <v>50</v>
      </c>
      <c r="F33" s="36"/>
      <c r="G33" s="36"/>
    </row>
    <row r="34" spans="1:7" x14ac:dyDescent="0.25">
      <c r="A34" s="31">
        <v>45759</v>
      </c>
      <c r="B34" s="36" t="s">
        <v>185</v>
      </c>
      <c r="C34" s="69" t="s">
        <v>32</v>
      </c>
      <c r="D34" s="37">
        <v>5020</v>
      </c>
      <c r="E34" s="70"/>
      <c r="F34" s="36"/>
      <c r="G34" s="36"/>
    </row>
    <row r="35" spans="1:7" x14ac:dyDescent="0.25">
      <c r="A35" s="31">
        <v>45760</v>
      </c>
      <c r="B35" s="36" t="s">
        <v>195</v>
      </c>
      <c r="C35" s="69" t="s">
        <v>32</v>
      </c>
      <c r="D35" s="37">
        <v>3690</v>
      </c>
      <c r="E35" s="70"/>
      <c r="F35" s="36"/>
      <c r="G35" s="36"/>
    </row>
    <row r="36" spans="1:7" x14ac:dyDescent="0.25">
      <c r="A36" s="31">
        <v>45760</v>
      </c>
      <c r="B36" s="36"/>
      <c r="C36" s="69" t="s">
        <v>109</v>
      </c>
      <c r="D36" s="37"/>
      <c r="E36" s="70">
        <v>300</v>
      </c>
      <c r="F36" s="36"/>
      <c r="G36" s="36"/>
    </row>
    <row r="37" spans="1:7" x14ac:dyDescent="0.25">
      <c r="A37" s="31">
        <v>45761</v>
      </c>
      <c r="B37" s="36" t="s">
        <v>197</v>
      </c>
      <c r="C37" s="69" t="s">
        <v>32</v>
      </c>
      <c r="D37" s="37">
        <v>2610</v>
      </c>
      <c r="E37" s="70"/>
      <c r="F37" s="36"/>
      <c r="G37" s="36"/>
    </row>
    <row r="38" spans="1:7" x14ac:dyDescent="0.25">
      <c r="A38" s="31">
        <v>45761</v>
      </c>
      <c r="B38" s="36"/>
      <c r="C38" s="69" t="s">
        <v>77</v>
      </c>
      <c r="D38" s="37"/>
      <c r="E38" s="70">
        <v>9000</v>
      </c>
      <c r="F38" s="36"/>
      <c r="G38" s="36"/>
    </row>
    <row r="39" spans="1:7" x14ac:dyDescent="0.25">
      <c r="A39" s="31">
        <v>45761</v>
      </c>
      <c r="B39" s="36"/>
      <c r="C39" s="69" t="s">
        <v>33</v>
      </c>
      <c r="D39" s="37"/>
      <c r="E39" s="70">
        <v>25</v>
      </c>
      <c r="F39" s="36"/>
      <c r="G39" s="36"/>
    </row>
    <row r="40" spans="1:7" x14ac:dyDescent="0.25">
      <c r="A40" s="31">
        <v>45762</v>
      </c>
      <c r="B40" s="36"/>
      <c r="C40" s="69" t="s">
        <v>147</v>
      </c>
      <c r="D40" s="37"/>
      <c r="E40" s="78">
        <v>16575</v>
      </c>
      <c r="F40" s="36"/>
      <c r="G40" s="36"/>
    </row>
    <row r="41" spans="1:7" x14ac:dyDescent="0.25">
      <c r="A41" s="31">
        <v>45762</v>
      </c>
      <c r="B41" s="36"/>
      <c r="C41" s="69" t="s">
        <v>145</v>
      </c>
      <c r="D41" s="37"/>
      <c r="E41" s="78">
        <v>2150</v>
      </c>
      <c r="F41" s="36"/>
      <c r="G41" s="36"/>
    </row>
    <row r="42" spans="1:7" x14ac:dyDescent="0.25">
      <c r="A42" s="31">
        <v>45762</v>
      </c>
      <c r="B42" s="36" t="s">
        <v>198</v>
      </c>
      <c r="C42" s="69" t="s">
        <v>32</v>
      </c>
      <c r="D42" s="37">
        <v>800</v>
      </c>
      <c r="E42" s="70"/>
      <c r="F42" s="36"/>
      <c r="G42" s="36"/>
    </row>
    <row r="43" spans="1:7" x14ac:dyDescent="0.25">
      <c r="A43" s="31">
        <v>45762</v>
      </c>
      <c r="B43" s="36"/>
      <c r="C43" s="69" t="s">
        <v>33</v>
      </c>
      <c r="D43" s="37"/>
      <c r="E43" s="70">
        <v>50</v>
      </c>
      <c r="F43" s="36"/>
      <c r="G43" s="36"/>
    </row>
    <row r="44" spans="1:7" x14ac:dyDescent="0.25">
      <c r="A44" s="31">
        <v>45763</v>
      </c>
      <c r="B44" s="36" t="s">
        <v>199</v>
      </c>
      <c r="C44" s="69" t="s">
        <v>32</v>
      </c>
      <c r="D44" s="37">
        <v>2580</v>
      </c>
      <c r="E44" s="70"/>
      <c r="F44" s="36"/>
      <c r="G44" s="36"/>
    </row>
    <row r="45" spans="1:7" x14ac:dyDescent="0.25">
      <c r="A45" s="31">
        <v>45763</v>
      </c>
      <c r="B45" s="36"/>
      <c r="C45" s="69" t="s">
        <v>33</v>
      </c>
      <c r="D45" s="37"/>
      <c r="E45" s="70">
        <v>25</v>
      </c>
      <c r="F45" s="36"/>
      <c r="G45" s="36"/>
    </row>
    <row r="46" spans="1:7" x14ac:dyDescent="0.25">
      <c r="A46" s="31">
        <v>45764</v>
      </c>
      <c r="B46" s="36" t="s">
        <v>200</v>
      </c>
      <c r="C46" s="69" t="s">
        <v>32</v>
      </c>
      <c r="D46" s="37">
        <v>160</v>
      </c>
      <c r="E46" s="70"/>
      <c r="F46" s="36"/>
      <c r="G46" s="36"/>
    </row>
    <row r="47" spans="1:7" x14ac:dyDescent="0.25">
      <c r="A47" s="31">
        <v>45764</v>
      </c>
      <c r="B47" s="36" t="s">
        <v>201</v>
      </c>
      <c r="C47" s="69" t="s">
        <v>32</v>
      </c>
      <c r="D47" s="37">
        <v>3185</v>
      </c>
      <c r="E47" s="70"/>
      <c r="F47" s="36"/>
      <c r="G47" s="36"/>
    </row>
    <row r="48" spans="1:7" x14ac:dyDescent="0.25">
      <c r="A48" s="31">
        <v>45764</v>
      </c>
      <c r="B48" s="36"/>
      <c r="C48" s="69" t="s">
        <v>109</v>
      </c>
      <c r="D48" s="37"/>
      <c r="E48" s="70">
        <v>300</v>
      </c>
      <c r="F48" s="36"/>
      <c r="G48" s="36"/>
    </row>
    <row r="49" spans="1:7" x14ac:dyDescent="0.25">
      <c r="A49" s="31">
        <v>45765</v>
      </c>
      <c r="B49" s="36" t="s">
        <v>205</v>
      </c>
      <c r="C49" s="69" t="s">
        <v>32</v>
      </c>
      <c r="D49" s="37">
        <v>290</v>
      </c>
      <c r="E49" s="70"/>
      <c r="F49" s="36"/>
      <c r="G49" s="36"/>
    </row>
    <row r="50" spans="1:7" x14ac:dyDescent="0.25">
      <c r="A50" s="31">
        <v>45765</v>
      </c>
      <c r="B50" s="36" t="s">
        <v>202</v>
      </c>
      <c r="C50" s="69" t="s">
        <v>32</v>
      </c>
      <c r="D50" s="37">
        <v>3550</v>
      </c>
      <c r="E50" s="70"/>
      <c r="F50" s="36"/>
      <c r="G50" s="36"/>
    </row>
    <row r="51" spans="1:7" x14ac:dyDescent="0.25">
      <c r="A51" s="31">
        <v>45765</v>
      </c>
      <c r="B51" s="36"/>
      <c r="C51" s="69" t="s">
        <v>33</v>
      </c>
      <c r="D51" s="37"/>
      <c r="E51" s="70">
        <v>50</v>
      </c>
      <c r="F51" s="36"/>
      <c r="G51" s="36"/>
    </row>
    <row r="52" spans="1:7" x14ac:dyDescent="0.25">
      <c r="A52" s="31">
        <v>45765</v>
      </c>
      <c r="B52" s="36"/>
      <c r="C52" s="69" t="s">
        <v>168</v>
      </c>
      <c r="D52" s="37"/>
      <c r="E52" s="70">
        <v>550</v>
      </c>
      <c r="F52" s="36"/>
      <c r="G52" s="36"/>
    </row>
    <row r="53" spans="1:7" x14ac:dyDescent="0.25">
      <c r="A53" s="31">
        <v>45766</v>
      </c>
      <c r="B53" s="36"/>
      <c r="C53" s="69" t="s">
        <v>33</v>
      </c>
      <c r="D53" s="37"/>
      <c r="E53" s="70">
        <v>100</v>
      </c>
      <c r="F53" s="36"/>
      <c r="G53" s="36"/>
    </row>
    <row r="54" spans="1:7" x14ac:dyDescent="0.25">
      <c r="A54" s="31">
        <v>45766</v>
      </c>
      <c r="B54" s="36"/>
      <c r="C54" s="69" t="s">
        <v>145</v>
      </c>
      <c r="D54" s="37"/>
      <c r="E54" s="78">
        <v>2150</v>
      </c>
      <c r="F54" s="36"/>
      <c r="G54" s="36"/>
    </row>
    <row r="55" spans="1:7" x14ac:dyDescent="0.25">
      <c r="A55" s="31">
        <v>45766</v>
      </c>
      <c r="B55" s="36" t="s">
        <v>203</v>
      </c>
      <c r="C55" s="69" t="s">
        <v>32</v>
      </c>
      <c r="D55" s="37">
        <v>5825</v>
      </c>
      <c r="E55" s="78"/>
      <c r="F55" s="36"/>
      <c r="G55" s="36"/>
    </row>
    <row r="56" spans="1:7" x14ac:dyDescent="0.25">
      <c r="A56" s="31">
        <v>45766</v>
      </c>
      <c r="B56" s="36" t="s">
        <v>206</v>
      </c>
      <c r="C56" s="69" t="s">
        <v>207</v>
      </c>
      <c r="D56" s="37"/>
      <c r="E56" s="78"/>
      <c r="F56" s="36"/>
      <c r="G56" s="69" t="s">
        <v>213</v>
      </c>
    </row>
    <row r="57" spans="1:7" x14ac:dyDescent="0.25">
      <c r="A57" s="31">
        <v>45766</v>
      </c>
      <c r="B57" s="36" t="s">
        <v>204</v>
      </c>
      <c r="C57" s="69" t="s">
        <v>32</v>
      </c>
      <c r="D57" s="37">
        <v>3500</v>
      </c>
      <c r="E57" s="78"/>
      <c r="F57" s="36"/>
      <c r="G57" s="36"/>
    </row>
    <row r="58" spans="1:7" x14ac:dyDescent="0.25">
      <c r="A58" s="31">
        <v>45767</v>
      </c>
      <c r="B58" s="69" t="s">
        <v>208</v>
      </c>
      <c r="C58" s="69" t="s">
        <v>32</v>
      </c>
      <c r="D58" s="37"/>
      <c r="E58" s="78"/>
      <c r="F58" s="36"/>
      <c r="G58" s="36"/>
    </row>
    <row r="59" spans="1:7" x14ac:dyDescent="0.25">
      <c r="A59" s="31">
        <v>45767</v>
      </c>
      <c r="B59" s="69" t="s">
        <v>209</v>
      </c>
      <c r="C59" s="69" t="s">
        <v>32</v>
      </c>
      <c r="D59" s="37">
        <v>1240</v>
      </c>
      <c r="E59" s="78"/>
      <c r="F59" s="36"/>
      <c r="G59" s="36"/>
    </row>
    <row r="60" spans="1:7" x14ac:dyDescent="0.25">
      <c r="A60" s="31">
        <v>45767</v>
      </c>
      <c r="B60" s="69"/>
      <c r="C60" s="69" t="s">
        <v>33</v>
      </c>
      <c r="D60" s="37"/>
      <c r="E60" s="122">
        <v>165</v>
      </c>
      <c r="F60" s="36"/>
      <c r="G60" s="36"/>
    </row>
    <row r="61" spans="1:7" x14ac:dyDescent="0.25">
      <c r="A61" s="31">
        <v>45768</v>
      </c>
      <c r="B61" s="69" t="s">
        <v>210</v>
      </c>
      <c r="C61" s="69" t="s">
        <v>32</v>
      </c>
      <c r="D61" s="37">
        <v>2190</v>
      </c>
      <c r="E61" s="78"/>
      <c r="F61" s="36"/>
      <c r="G61" s="36"/>
    </row>
    <row r="62" spans="1:7" x14ac:dyDescent="0.25">
      <c r="A62" s="31">
        <v>45768</v>
      </c>
      <c r="B62" s="36" t="s">
        <v>211</v>
      </c>
      <c r="C62" s="69" t="s">
        <v>32</v>
      </c>
      <c r="D62" s="37">
        <v>180</v>
      </c>
      <c r="E62" s="78"/>
      <c r="F62" s="36"/>
      <c r="G62" s="36"/>
    </row>
    <row r="63" spans="1:7" x14ac:dyDescent="0.25">
      <c r="A63" s="31">
        <v>45768</v>
      </c>
      <c r="B63" s="36" t="s">
        <v>212</v>
      </c>
      <c r="C63" s="69" t="s">
        <v>207</v>
      </c>
      <c r="D63" s="37"/>
      <c r="E63" s="78"/>
      <c r="F63" s="36"/>
      <c r="G63" s="69" t="s">
        <v>213</v>
      </c>
    </row>
    <row r="64" spans="1:7" x14ac:dyDescent="0.25">
      <c r="A64" s="31">
        <v>45768</v>
      </c>
      <c r="B64" s="36"/>
      <c r="C64" s="69" t="s">
        <v>109</v>
      </c>
      <c r="D64" s="37"/>
      <c r="E64" s="122">
        <v>300</v>
      </c>
      <c r="F64" s="36"/>
      <c r="G64" s="36"/>
    </row>
    <row r="65" spans="1:7" x14ac:dyDescent="0.25">
      <c r="A65" s="31">
        <v>45768</v>
      </c>
      <c r="B65" s="36"/>
      <c r="C65" s="69" t="s">
        <v>33</v>
      </c>
      <c r="D65" s="37"/>
      <c r="E65" s="122">
        <v>903</v>
      </c>
      <c r="F65" s="36"/>
      <c r="G65" s="36"/>
    </row>
    <row r="66" spans="1:7" x14ac:dyDescent="0.25">
      <c r="A66" s="31">
        <v>45769</v>
      </c>
      <c r="B66" s="36"/>
      <c r="C66" s="69" t="s">
        <v>168</v>
      </c>
      <c r="D66" s="37"/>
      <c r="E66" s="122">
        <v>19334</v>
      </c>
      <c r="F66" s="36"/>
      <c r="G66" s="36"/>
    </row>
    <row r="67" spans="1:7" x14ac:dyDescent="0.25">
      <c r="A67" s="31">
        <v>45769</v>
      </c>
      <c r="B67" s="36" t="s">
        <v>214</v>
      </c>
      <c r="C67" s="69" t="s">
        <v>32</v>
      </c>
      <c r="D67" s="37">
        <v>1725</v>
      </c>
      <c r="E67" s="122"/>
      <c r="F67" s="36"/>
      <c r="G67" s="36"/>
    </row>
    <row r="68" spans="1:7" x14ac:dyDescent="0.25">
      <c r="A68" s="31">
        <v>45769</v>
      </c>
      <c r="B68" s="36" t="s">
        <v>215</v>
      </c>
      <c r="C68" s="69" t="s">
        <v>32</v>
      </c>
      <c r="D68" s="37">
        <v>760</v>
      </c>
      <c r="E68" s="122"/>
      <c r="F68" s="36"/>
      <c r="G68" s="36"/>
    </row>
    <row r="69" spans="1:7" x14ac:dyDescent="0.25">
      <c r="A69" s="31">
        <v>45769</v>
      </c>
      <c r="B69" s="36"/>
      <c r="C69" s="69" t="s">
        <v>147</v>
      </c>
      <c r="D69" s="37"/>
      <c r="E69" s="78">
        <v>15400</v>
      </c>
      <c r="F69" s="36"/>
      <c r="G69" s="36"/>
    </row>
    <row r="70" spans="1:7" x14ac:dyDescent="0.25">
      <c r="A70" s="31">
        <v>45769</v>
      </c>
      <c r="B70" s="36"/>
      <c r="C70" s="69" t="s">
        <v>33</v>
      </c>
      <c r="D70" s="37"/>
      <c r="E70" s="122">
        <v>50</v>
      </c>
      <c r="F70" s="36"/>
      <c r="G70" s="36"/>
    </row>
    <row r="71" spans="1:7" x14ac:dyDescent="0.25">
      <c r="A71" s="31">
        <v>45770</v>
      </c>
      <c r="B71" s="36"/>
      <c r="C71" s="69" t="s">
        <v>145</v>
      </c>
      <c r="D71" s="37"/>
      <c r="E71" s="78">
        <v>2150</v>
      </c>
      <c r="F71" s="36"/>
      <c r="G71" s="36"/>
    </row>
    <row r="72" spans="1:7" x14ac:dyDescent="0.25">
      <c r="A72" s="31">
        <v>45770</v>
      </c>
      <c r="B72" s="36" t="s">
        <v>216</v>
      </c>
      <c r="C72" s="69" t="s">
        <v>32</v>
      </c>
      <c r="D72" s="37">
        <v>5570</v>
      </c>
      <c r="E72" s="122"/>
      <c r="F72" s="36"/>
      <c r="G72" s="36"/>
    </row>
    <row r="73" spans="1:7" x14ac:dyDescent="0.25">
      <c r="A73" s="31">
        <v>45770</v>
      </c>
      <c r="B73" s="36" t="s">
        <v>217</v>
      </c>
      <c r="C73" s="69" t="s">
        <v>32</v>
      </c>
      <c r="D73" s="37">
        <v>80</v>
      </c>
      <c r="E73" s="122"/>
      <c r="F73" s="36"/>
      <c r="G73" s="36"/>
    </row>
    <row r="74" spans="1:7" x14ac:dyDescent="0.25">
      <c r="A74" s="31">
        <v>45770</v>
      </c>
      <c r="B74" s="36" t="s">
        <v>218</v>
      </c>
      <c r="C74" s="69" t="s">
        <v>32</v>
      </c>
      <c r="D74" s="37">
        <v>560</v>
      </c>
      <c r="E74" s="122"/>
      <c r="F74" s="36"/>
      <c r="G74" s="36"/>
    </row>
    <row r="75" spans="1:7" x14ac:dyDescent="0.25">
      <c r="A75" s="31">
        <v>45770</v>
      </c>
      <c r="B75" s="36"/>
      <c r="C75" s="69" t="s">
        <v>33</v>
      </c>
      <c r="D75" s="37"/>
      <c r="E75" s="122">
        <v>50</v>
      </c>
      <c r="F75" s="36"/>
      <c r="G75" s="36"/>
    </row>
    <row r="76" spans="1:7" x14ac:dyDescent="0.25">
      <c r="A76" s="31">
        <v>45771</v>
      </c>
      <c r="B76" s="36" t="s">
        <v>219</v>
      </c>
      <c r="C76" s="69" t="s">
        <v>32</v>
      </c>
      <c r="D76" s="37">
        <v>5305</v>
      </c>
      <c r="E76" s="122"/>
      <c r="F76" s="36"/>
      <c r="G76" s="36"/>
    </row>
    <row r="77" spans="1:7" x14ac:dyDescent="0.25">
      <c r="A77" s="31">
        <v>45771</v>
      </c>
      <c r="B77" s="36" t="s">
        <v>224</v>
      </c>
      <c r="C77" s="69" t="s">
        <v>32</v>
      </c>
      <c r="D77" s="37"/>
      <c r="E77" s="122"/>
      <c r="F77" s="36"/>
      <c r="G77" s="36" t="s">
        <v>213</v>
      </c>
    </row>
    <row r="78" spans="1:7" x14ac:dyDescent="0.25">
      <c r="A78" s="31">
        <v>45771</v>
      </c>
      <c r="B78" s="36"/>
      <c r="C78" s="69" t="s">
        <v>33</v>
      </c>
      <c r="D78" s="37"/>
      <c r="E78" s="122">
        <v>50</v>
      </c>
      <c r="F78" s="36"/>
      <c r="G78" s="36"/>
    </row>
    <row r="79" spans="1:7" x14ac:dyDescent="0.25">
      <c r="A79" s="31">
        <v>45771</v>
      </c>
      <c r="B79" s="36"/>
      <c r="C79" s="69" t="s">
        <v>109</v>
      </c>
      <c r="D79" s="37"/>
      <c r="E79" s="122">
        <v>300</v>
      </c>
      <c r="F79" s="36"/>
      <c r="G79" s="36"/>
    </row>
    <row r="80" spans="1:7" x14ac:dyDescent="0.25">
      <c r="A80" s="31">
        <v>45772</v>
      </c>
      <c r="B80" s="36" t="s">
        <v>220</v>
      </c>
      <c r="C80" s="69" t="s">
        <v>32</v>
      </c>
      <c r="D80" s="37">
        <v>2825</v>
      </c>
      <c r="E80" s="122"/>
      <c r="F80" s="36"/>
      <c r="G80" s="36"/>
    </row>
    <row r="81" spans="1:7" x14ac:dyDescent="0.25">
      <c r="A81" s="31">
        <v>45772</v>
      </c>
      <c r="B81" s="36" t="s">
        <v>225</v>
      </c>
      <c r="C81" s="69" t="s">
        <v>32</v>
      </c>
      <c r="D81" s="37"/>
      <c r="E81" s="122"/>
      <c r="F81" s="36"/>
      <c r="G81" s="36" t="s">
        <v>213</v>
      </c>
    </row>
    <row r="82" spans="1:7" x14ac:dyDescent="0.25">
      <c r="A82" s="31">
        <v>45772</v>
      </c>
      <c r="B82" s="36"/>
      <c r="C82" s="69" t="s">
        <v>33</v>
      </c>
      <c r="D82" s="37"/>
      <c r="E82" s="122">
        <v>50</v>
      </c>
      <c r="F82" s="36"/>
      <c r="G82" s="36"/>
    </row>
    <row r="83" spans="1:7" x14ac:dyDescent="0.25">
      <c r="A83" s="31">
        <v>45773</v>
      </c>
      <c r="B83" s="36"/>
      <c r="C83" s="69" t="s">
        <v>33</v>
      </c>
      <c r="D83" s="37"/>
      <c r="E83" s="122">
        <v>25</v>
      </c>
      <c r="F83" s="36"/>
      <c r="G83" s="36"/>
    </row>
    <row r="84" spans="1:7" x14ac:dyDescent="0.25">
      <c r="A84" s="31">
        <v>45773</v>
      </c>
      <c r="B84" s="36"/>
      <c r="C84" s="69" t="s">
        <v>145</v>
      </c>
      <c r="D84" s="37"/>
      <c r="E84" s="78">
        <v>2150</v>
      </c>
      <c r="F84" s="36"/>
      <c r="G84" s="36"/>
    </row>
    <row r="85" spans="1:7" x14ac:dyDescent="0.25">
      <c r="A85" s="31">
        <v>45773</v>
      </c>
      <c r="B85" s="36" t="s">
        <v>221</v>
      </c>
      <c r="C85" s="69" t="s">
        <v>32</v>
      </c>
      <c r="D85" s="37">
        <v>120</v>
      </c>
      <c r="E85" s="122"/>
      <c r="F85" s="36"/>
      <c r="G85" s="36"/>
    </row>
    <row r="86" spans="1:7" x14ac:dyDescent="0.25">
      <c r="A86" s="31">
        <v>45773</v>
      </c>
      <c r="B86" s="36" t="s">
        <v>222</v>
      </c>
      <c r="C86" s="69" t="s">
        <v>32</v>
      </c>
      <c r="D86" s="37">
        <v>4100</v>
      </c>
      <c r="E86" s="122"/>
      <c r="F86" s="36"/>
      <c r="G86" s="36"/>
    </row>
    <row r="87" spans="1:7" x14ac:dyDescent="0.25">
      <c r="A87" s="31">
        <v>45774</v>
      </c>
      <c r="B87" s="36" t="s">
        <v>223</v>
      </c>
      <c r="C87" s="69" t="s">
        <v>32</v>
      </c>
      <c r="D87" s="37">
        <v>3450</v>
      </c>
      <c r="E87" s="122"/>
      <c r="F87" s="36"/>
      <c r="G87" s="36"/>
    </row>
    <row r="88" spans="1:7" x14ac:dyDescent="0.25">
      <c r="A88" s="31">
        <v>45775</v>
      </c>
      <c r="B88" s="36"/>
      <c r="C88" s="69" t="s">
        <v>109</v>
      </c>
      <c r="D88" s="37"/>
      <c r="E88" s="122">
        <v>300</v>
      </c>
      <c r="F88" s="36"/>
      <c r="G88" s="36"/>
    </row>
    <row r="89" spans="1:7" x14ac:dyDescent="0.25">
      <c r="A89" s="31">
        <v>45775</v>
      </c>
      <c r="B89" s="36"/>
      <c r="C89" s="69" t="s">
        <v>33</v>
      </c>
      <c r="D89" s="37"/>
      <c r="E89" s="122">
        <v>75</v>
      </c>
      <c r="F89" s="36"/>
      <c r="G89" s="36"/>
    </row>
    <row r="90" spans="1:7" x14ac:dyDescent="0.25">
      <c r="A90" s="31">
        <v>45775</v>
      </c>
      <c r="B90" s="36" t="s">
        <v>226</v>
      </c>
      <c r="C90" s="69" t="s">
        <v>32</v>
      </c>
      <c r="D90" s="37">
        <v>40</v>
      </c>
      <c r="E90" s="122"/>
      <c r="F90" s="36"/>
      <c r="G90" s="36"/>
    </row>
    <row r="91" spans="1:7" x14ac:dyDescent="0.25">
      <c r="A91" s="31">
        <v>45775</v>
      </c>
      <c r="B91" s="36" t="s">
        <v>227</v>
      </c>
      <c r="C91" s="69" t="s">
        <v>32</v>
      </c>
      <c r="D91" s="37">
        <v>2375</v>
      </c>
      <c r="E91" s="122"/>
      <c r="F91" s="36"/>
      <c r="G91" s="36"/>
    </row>
    <row r="92" spans="1:7" x14ac:dyDescent="0.25">
      <c r="A92" s="31">
        <v>45775</v>
      </c>
      <c r="B92" s="36" t="s">
        <v>228</v>
      </c>
      <c r="C92" s="69" t="s">
        <v>32</v>
      </c>
      <c r="D92" s="37">
        <v>340</v>
      </c>
      <c r="E92" s="122"/>
      <c r="F92" s="36"/>
      <c r="G92" s="36"/>
    </row>
    <row r="93" spans="1:7" x14ac:dyDescent="0.25">
      <c r="A93" s="31">
        <v>45775</v>
      </c>
      <c r="B93" s="36" t="s">
        <v>229</v>
      </c>
      <c r="C93" s="69"/>
      <c r="D93" s="37"/>
      <c r="E93" s="122"/>
      <c r="F93" s="36"/>
      <c r="G93" s="36" t="s">
        <v>213</v>
      </c>
    </row>
    <row r="94" spans="1:7" x14ac:dyDescent="0.25">
      <c r="A94" s="31">
        <v>45776</v>
      </c>
      <c r="B94" s="36"/>
      <c r="C94" s="69" t="s">
        <v>33</v>
      </c>
      <c r="D94" s="37"/>
      <c r="E94" s="122">
        <v>50</v>
      </c>
      <c r="F94" s="36"/>
      <c r="G94" s="36"/>
    </row>
    <row r="95" spans="1:7" x14ac:dyDescent="0.25">
      <c r="A95" s="31">
        <v>45776</v>
      </c>
      <c r="B95" s="36"/>
      <c r="C95" s="69" t="s">
        <v>32</v>
      </c>
      <c r="D95" s="37">
        <v>2950</v>
      </c>
      <c r="E95" s="122"/>
      <c r="F95" s="36"/>
      <c r="G95" s="36"/>
    </row>
    <row r="96" spans="1:7" x14ac:dyDescent="0.25">
      <c r="A96" s="31">
        <v>45777</v>
      </c>
      <c r="B96" s="36"/>
      <c r="C96" s="69" t="s">
        <v>33</v>
      </c>
      <c r="D96" s="37"/>
      <c r="E96" s="122">
        <v>3000</v>
      </c>
      <c r="F96" s="36"/>
      <c r="G96" s="36"/>
    </row>
    <row r="97" spans="1:7" x14ac:dyDescent="0.25">
      <c r="A97" s="31">
        <v>45777</v>
      </c>
      <c r="B97" s="36" t="s">
        <v>230</v>
      </c>
      <c r="C97" s="69" t="s">
        <v>32</v>
      </c>
      <c r="D97" s="37">
        <v>40</v>
      </c>
      <c r="E97" s="122"/>
      <c r="F97" s="36"/>
      <c r="G97" s="36"/>
    </row>
    <row r="98" spans="1:7" x14ac:dyDescent="0.25">
      <c r="A98" s="31">
        <v>45777</v>
      </c>
      <c r="B98" s="36" t="s">
        <v>231</v>
      </c>
      <c r="C98" s="69" t="s">
        <v>32</v>
      </c>
      <c r="D98" s="37">
        <v>3990</v>
      </c>
      <c r="E98" s="122"/>
      <c r="F98" s="36"/>
      <c r="G98" s="36"/>
    </row>
    <row r="99" spans="1:7" x14ac:dyDescent="0.25">
      <c r="A99" s="31">
        <v>45777</v>
      </c>
      <c r="B99" s="36" t="s">
        <v>232</v>
      </c>
      <c r="C99" s="69" t="s">
        <v>32</v>
      </c>
      <c r="D99" s="37">
        <v>2200</v>
      </c>
      <c r="E99" s="122"/>
      <c r="F99" s="36"/>
      <c r="G99" s="36"/>
    </row>
    <row r="100" spans="1:7" x14ac:dyDescent="0.25">
      <c r="A100" s="31">
        <v>45777</v>
      </c>
      <c r="B100" s="36" t="s">
        <v>233</v>
      </c>
      <c r="C100" s="69" t="s">
        <v>32</v>
      </c>
      <c r="D100" s="37"/>
      <c r="E100" s="122"/>
      <c r="F100" s="36"/>
      <c r="G100" s="36" t="s">
        <v>213</v>
      </c>
    </row>
    <row r="101" spans="1:7" x14ac:dyDescent="0.25">
      <c r="A101" s="31">
        <v>45777</v>
      </c>
      <c r="B101" s="36"/>
      <c r="C101" s="69" t="s">
        <v>161</v>
      </c>
      <c r="D101" s="37"/>
      <c r="E101" s="122">
        <v>5250</v>
      </c>
      <c r="F101" s="36"/>
      <c r="G101" s="36" t="s">
        <v>110</v>
      </c>
    </row>
    <row r="102" spans="1:7" x14ac:dyDescent="0.25">
      <c r="A102" s="31">
        <v>45777</v>
      </c>
      <c r="B102" s="36"/>
      <c r="C102" s="69" t="s">
        <v>161</v>
      </c>
      <c r="D102" s="37"/>
      <c r="E102" s="122">
        <v>5250</v>
      </c>
      <c r="F102" s="36"/>
      <c r="G102" s="36" t="s">
        <v>166</v>
      </c>
    </row>
    <row r="103" spans="1:7" x14ac:dyDescent="0.25">
      <c r="A103" s="31"/>
      <c r="B103" s="36"/>
      <c r="C103" s="69"/>
      <c r="D103" s="37"/>
      <c r="E103" s="70"/>
      <c r="F103" s="36"/>
      <c r="G103" s="36"/>
    </row>
    <row r="104" spans="1:7" ht="15.75" customHeight="1" x14ac:dyDescent="0.25">
      <c r="A104" s="36"/>
      <c r="B104" s="36"/>
      <c r="C104" s="7" t="s">
        <v>126</v>
      </c>
      <c r="D104" s="9">
        <f>SUM(D4:D103)</f>
        <v>105060</v>
      </c>
      <c r="E104" s="36"/>
      <c r="F104" s="36"/>
      <c r="G104" s="36"/>
    </row>
    <row r="105" spans="1:7" ht="15.75" customHeight="1" x14ac:dyDescent="0.25">
      <c r="A105" s="36"/>
      <c r="B105" s="36"/>
      <c r="C105" s="39" t="s">
        <v>21</v>
      </c>
      <c r="D105" s="40">
        <f>SUM(D104,D2)</f>
        <v>168908</v>
      </c>
      <c r="E105" s="40">
        <f>SUM(E2:E104)</f>
        <v>114833</v>
      </c>
      <c r="F105" s="36"/>
      <c r="G105" s="36"/>
    </row>
    <row r="106" spans="1:7" ht="15.75" customHeight="1" x14ac:dyDescent="0.25">
      <c r="A106" s="10"/>
      <c r="B106" s="10"/>
      <c r="C106" s="10"/>
      <c r="D106" s="10"/>
      <c r="E106" s="10"/>
      <c r="F106" s="10"/>
      <c r="G106" s="10"/>
    </row>
    <row r="107" spans="1:7" ht="15.75" customHeight="1" x14ac:dyDescent="0.25">
      <c r="A107" s="10"/>
      <c r="B107" s="10"/>
      <c r="C107" s="29" t="s">
        <v>127</v>
      </c>
      <c r="D107" s="41">
        <f>D104-E105</f>
        <v>-9773</v>
      </c>
      <c r="E107" s="10"/>
      <c r="F107" s="10"/>
      <c r="G107" s="10"/>
    </row>
    <row r="108" spans="1:7" ht="15.75" customHeight="1" x14ac:dyDescent="0.25">
      <c r="A108" s="10"/>
      <c r="B108" s="10"/>
      <c r="C108" s="29" t="s">
        <v>60</v>
      </c>
      <c r="D108" s="30">
        <f>D105-E105</f>
        <v>54075</v>
      </c>
      <c r="E108" s="10"/>
      <c r="F108" s="10"/>
      <c r="G108" s="10"/>
    </row>
    <row r="109" spans="1:7" ht="15.75" customHeight="1" x14ac:dyDescent="0.25"/>
    <row r="110" spans="1:7" ht="15.75" customHeight="1" x14ac:dyDescent="0.25">
      <c r="C110" s="119" t="s">
        <v>196</v>
      </c>
      <c r="D110" s="120">
        <f>D108-'Feb 2025 - Sales'!C2</f>
        <v>11147</v>
      </c>
    </row>
    <row r="111" spans="1:7" ht="15.75" customHeight="1" x14ac:dyDescent="0.25"/>
    <row r="112" spans="1:7"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sheetData>
  <autoFilter ref="A1:G93"/>
  <conditionalFormatting sqref="C4:E103">
    <cfRule type="containsText" dxfId="25012" priority="7" operator="containsText" text="Garlic Purchase">
      <formula>NOT(ISERROR(SEARCH("Garlic Purchase",C4)))</formula>
    </cfRule>
    <cfRule type="containsText" dxfId="25011" priority="8" operator="containsText" text="Ginger Purchase">
      <formula>NOT(ISERROR(SEARCH("Ginger Purchase",C4)))</formula>
    </cfRule>
    <cfRule type="containsText" dxfId="25010" priority="9" operator="containsText" text="Expences">
      <formula>NOT(ISERROR(SEARCH("Expences",C4)))</formula>
    </cfRule>
  </conditionalFormatting>
  <conditionalFormatting sqref="E3">
    <cfRule type="containsText" dxfId="25009" priority="3" operator="containsText" text="Garlic Purchase">
      <formula>NOT(ISERROR(SEARCH("Garlic Purchase",E3)))</formula>
    </cfRule>
    <cfRule type="containsText" dxfId="25008" priority="4" operator="containsText" text="Ginger Purchase">
      <formula>NOT(ISERROR(SEARCH("Ginger Purchase",E3)))</formula>
    </cfRule>
    <cfRule type="containsText" dxfId="25007" priority="5" operator="containsText" text="Expences">
      <formula>NOT(ISERROR(SEARCH("Expences",E3)))</formula>
    </cfRule>
  </conditionalFormatting>
  <conditionalFormatting sqref="D110">
    <cfRule type="cellIs" dxfId="25006" priority="1" operator="lessThan">
      <formula>0</formula>
    </cfRule>
    <cfRule type="cellIs" dxfId="25005" priority="2" operator="greaterThan">
      <formula>0</formula>
    </cfRule>
  </conditionalFormatting>
  <pageMargins left="0.7" right="0.7" top="0.75" bottom="0.75" header="0" footer="0"/>
  <pageSetup paperSize="9" orientation="portrait" r:id="rId2"/>
  <extLst>
    <ext xmlns:x14="http://schemas.microsoft.com/office/spreadsheetml/2009/9/main" uri="{78C0D931-6437-407d-A8EE-F0AAD7539E65}">
      <x14:conditionalFormattings>
        <x14:conditionalFormatting xmlns:xm="http://schemas.microsoft.com/office/excel/2006/main">
          <x14:cfRule type="containsText" priority="10" operator="containsText" id="{B863D184-9B25-4A48-A252-7CAE651BF273}">
            <xm:f>NOT(ISERROR(SEARCH($C$4,C4)))</xm:f>
            <xm:f>$C$4</xm:f>
            <x14:dxf>
              <font>
                <color rgb="FF33CC33"/>
              </font>
            </x14:dxf>
          </x14:cfRule>
          <xm:sqref>C4:E103</xm:sqref>
        </x14:conditionalFormatting>
        <x14:conditionalFormatting xmlns:xm="http://schemas.microsoft.com/office/excel/2006/main">
          <x14:cfRule type="containsText" priority="6" operator="containsText" id="{B12B8DDB-6E32-438A-AF34-885FDA336929}">
            <xm:f>NOT(ISERROR(SEARCH($C$4,E3)))</xm:f>
            <xm:f>$C$4</xm:f>
            <x14:dxf>
              <font>
                <color rgb="FF33CC33"/>
              </font>
            </x14:dxf>
          </x14:cfRule>
          <xm:sqref>E3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Sheet2!$A$1:$A$9</xm:f>
          </x14:formula1>
          <xm:sqref>C4:C103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43"/>
  <sheetViews>
    <sheetView zoomScale="80" zoomScaleNormal="80" workbookViewId="0">
      <pane ySplit="1" topLeftCell="A2" activePane="bottomLeft" state="frozen"/>
      <selection pane="bottomLeft"/>
    </sheetView>
  </sheetViews>
  <sheetFormatPr defaultColWidth="14.42578125" defaultRowHeight="15" customHeight="1" x14ac:dyDescent="0.25"/>
  <cols>
    <col min="1" max="1" width="13.140625" customWidth="1"/>
    <col min="2" max="2" width="10.5703125" customWidth="1"/>
    <col min="3" max="3" width="34.42578125" customWidth="1"/>
    <col min="4" max="4" width="14.85546875" customWidth="1"/>
    <col min="5" max="5" width="14.28515625" customWidth="1"/>
    <col min="6" max="6" width="12.140625" customWidth="1"/>
    <col min="7" max="7" width="32.85546875" customWidth="1"/>
    <col min="8" max="8" width="8.7109375" customWidth="1"/>
    <col min="9" max="9" width="18" customWidth="1"/>
    <col min="10" max="10" width="13" customWidth="1"/>
    <col min="11" max="11" width="16.42578125" customWidth="1"/>
    <col min="12" max="23" width="4" customWidth="1"/>
    <col min="24" max="54" width="5" customWidth="1"/>
    <col min="55" max="55" width="6" customWidth="1"/>
    <col min="56" max="56" width="7.28515625" customWidth="1"/>
    <col min="57" max="57" width="11.28515625" customWidth="1"/>
  </cols>
  <sheetData>
    <row r="1" spans="1:11" x14ac:dyDescent="0.25">
      <c r="A1" s="4" t="s">
        <v>1</v>
      </c>
      <c r="B1" s="4" t="s">
        <v>61</v>
      </c>
      <c r="C1" s="4" t="s">
        <v>2</v>
      </c>
      <c r="D1" s="4" t="s">
        <v>32</v>
      </c>
      <c r="E1" s="4" t="s">
        <v>33</v>
      </c>
      <c r="F1" s="4" t="s">
        <v>34</v>
      </c>
      <c r="G1" s="4" t="s">
        <v>8</v>
      </c>
    </row>
    <row r="2" spans="1:11" x14ac:dyDescent="0.25">
      <c r="A2" s="31">
        <v>45778</v>
      </c>
      <c r="B2" s="36"/>
      <c r="C2" s="36" t="s">
        <v>62</v>
      </c>
      <c r="D2" s="30">
        <f>'Apr 2025 - Sales'!D108</f>
        <v>54075</v>
      </c>
      <c r="E2" s="36"/>
      <c r="F2" s="36"/>
      <c r="G2" s="36"/>
    </row>
    <row r="3" spans="1:11" x14ac:dyDescent="0.25">
      <c r="A3" s="31">
        <v>45778</v>
      </c>
      <c r="B3" s="36"/>
      <c r="C3" s="69" t="s">
        <v>33</v>
      </c>
      <c r="D3" s="37"/>
      <c r="E3" s="129">
        <v>630</v>
      </c>
      <c r="F3" s="36"/>
      <c r="G3" s="36"/>
    </row>
    <row r="4" spans="1:11" x14ac:dyDescent="0.25">
      <c r="A4" s="31">
        <v>45778</v>
      </c>
      <c r="B4" s="36"/>
      <c r="C4" s="69" t="s">
        <v>145</v>
      </c>
      <c r="D4" s="37"/>
      <c r="E4" s="78">
        <v>1900</v>
      </c>
      <c r="F4" s="36"/>
      <c r="G4" s="36"/>
    </row>
    <row r="5" spans="1:11" x14ac:dyDescent="0.25">
      <c r="A5" s="31">
        <v>45778</v>
      </c>
      <c r="B5" s="36" t="s">
        <v>235</v>
      </c>
      <c r="C5" s="69" t="s">
        <v>32</v>
      </c>
      <c r="D5" s="37">
        <v>1440</v>
      </c>
      <c r="E5" s="70"/>
      <c r="F5" s="36"/>
      <c r="G5" s="36"/>
    </row>
    <row r="6" spans="1:11" x14ac:dyDescent="0.25">
      <c r="A6" s="31">
        <v>45778</v>
      </c>
      <c r="B6" s="36" t="s">
        <v>236</v>
      </c>
      <c r="C6" s="69" t="s">
        <v>32</v>
      </c>
      <c r="D6" s="37">
        <v>2100</v>
      </c>
      <c r="E6" s="70"/>
      <c r="F6" s="36"/>
      <c r="G6" s="36"/>
    </row>
    <row r="7" spans="1:11" x14ac:dyDescent="0.25">
      <c r="A7" s="31">
        <v>45779</v>
      </c>
      <c r="B7" s="36"/>
      <c r="C7" s="69" t="s">
        <v>147</v>
      </c>
      <c r="D7" s="37"/>
      <c r="E7" s="78">
        <v>17930</v>
      </c>
      <c r="F7" s="36"/>
      <c r="G7" s="36"/>
    </row>
    <row r="8" spans="1:11" x14ac:dyDescent="0.25">
      <c r="A8" s="31">
        <v>45779</v>
      </c>
      <c r="B8" s="36" t="s">
        <v>237</v>
      </c>
      <c r="C8" s="69" t="s">
        <v>32</v>
      </c>
      <c r="D8" s="37">
        <v>2925</v>
      </c>
      <c r="E8" s="70"/>
      <c r="F8" s="36"/>
      <c r="G8" s="36"/>
    </row>
    <row r="9" spans="1:11" x14ac:dyDescent="0.25">
      <c r="A9" s="31">
        <v>45779</v>
      </c>
      <c r="B9" s="36"/>
      <c r="C9" s="69" t="s">
        <v>33</v>
      </c>
      <c r="D9" s="37"/>
      <c r="E9" s="129">
        <v>123</v>
      </c>
      <c r="F9" s="36"/>
      <c r="G9" s="36"/>
    </row>
    <row r="10" spans="1:11" x14ac:dyDescent="0.25">
      <c r="A10" s="31">
        <v>45780</v>
      </c>
      <c r="B10" s="36" t="s">
        <v>238</v>
      </c>
      <c r="C10" s="69" t="s">
        <v>32</v>
      </c>
      <c r="D10" s="37">
        <v>1150</v>
      </c>
      <c r="E10" s="129"/>
      <c r="F10" s="36"/>
      <c r="G10" s="36"/>
      <c r="I10" s="72" t="s">
        <v>163</v>
      </c>
      <c r="J10" t="s">
        <v>165</v>
      </c>
      <c r="K10" t="s">
        <v>164</v>
      </c>
    </row>
    <row r="11" spans="1:11" x14ac:dyDescent="0.25">
      <c r="A11" s="31">
        <v>45780</v>
      </c>
      <c r="B11" s="36"/>
      <c r="C11" s="69" t="s">
        <v>33</v>
      </c>
      <c r="D11" s="37"/>
      <c r="E11" s="129">
        <v>1052</v>
      </c>
      <c r="F11" s="36"/>
      <c r="G11" s="36"/>
      <c r="I11" s="73" t="s">
        <v>62</v>
      </c>
      <c r="J11" s="79">
        <v>54075</v>
      </c>
      <c r="K11" s="79"/>
    </row>
    <row r="12" spans="1:11" x14ac:dyDescent="0.25">
      <c r="A12" s="31">
        <v>45781</v>
      </c>
      <c r="B12" s="36" t="s">
        <v>239</v>
      </c>
      <c r="C12" s="69" t="s">
        <v>32</v>
      </c>
      <c r="D12" s="37">
        <v>4570</v>
      </c>
      <c r="E12" s="129"/>
      <c r="F12" s="36"/>
      <c r="G12" s="36"/>
      <c r="I12" s="73" t="s">
        <v>234</v>
      </c>
      <c r="J12" s="79"/>
      <c r="K12" s="79"/>
    </row>
    <row r="13" spans="1:11" x14ac:dyDescent="0.25">
      <c r="A13" s="31">
        <v>45781</v>
      </c>
      <c r="B13" s="36"/>
      <c r="C13" s="69" t="s">
        <v>109</v>
      </c>
      <c r="D13" s="37"/>
      <c r="E13" s="129">
        <v>300</v>
      </c>
      <c r="F13" s="36"/>
      <c r="G13" s="36"/>
      <c r="I13" s="73" t="s">
        <v>33</v>
      </c>
      <c r="J13" s="79"/>
      <c r="K13" s="79">
        <v>47672</v>
      </c>
    </row>
    <row r="14" spans="1:11" x14ac:dyDescent="0.25">
      <c r="A14" s="31">
        <v>45782</v>
      </c>
      <c r="B14" s="36"/>
      <c r="C14" s="69" t="s">
        <v>33</v>
      </c>
      <c r="D14" s="37"/>
      <c r="E14" s="129">
        <v>225</v>
      </c>
      <c r="F14" s="36"/>
      <c r="G14" s="69" t="s">
        <v>240</v>
      </c>
      <c r="I14" s="73" t="s">
        <v>145</v>
      </c>
      <c r="J14" s="79"/>
      <c r="K14" s="79">
        <v>22475</v>
      </c>
    </row>
    <row r="15" spans="1:11" x14ac:dyDescent="0.25">
      <c r="A15" s="31">
        <v>45782</v>
      </c>
      <c r="B15" s="36"/>
      <c r="C15" s="69" t="s">
        <v>33</v>
      </c>
      <c r="D15" s="37"/>
      <c r="E15" s="129">
        <v>650</v>
      </c>
      <c r="F15" s="36"/>
      <c r="G15" s="36"/>
      <c r="I15" s="73" t="s">
        <v>32</v>
      </c>
      <c r="J15" s="79">
        <v>133160</v>
      </c>
      <c r="K15" s="79"/>
    </row>
    <row r="16" spans="1:11" x14ac:dyDescent="0.25">
      <c r="A16" s="31">
        <v>45782</v>
      </c>
      <c r="B16" s="36" t="s">
        <v>241</v>
      </c>
      <c r="C16" s="69" t="s">
        <v>32</v>
      </c>
      <c r="D16" s="37">
        <v>3525</v>
      </c>
      <c r="E16" s="129"/>
      <c r="F16" s="36"/>
      <c r="G16" s="36"/>
      <c r="I16" s="73" t="s">
        <v>147</v>
      </c>
      <c r="J16" s="79"/>
      <c r="K16" s="79">
        <v>62595</v>
      </c>
    </row>
    <row r="17" spans="1:11" x14ac:dyDescent="0.25">
      <c r="A17" s="31">
        <v>45782</v>
      </c>
      <c r="B17" s="36" t="s">
        <v>242</v>
      </c>
      <c r="C17" s="69" t="s">
        <v>32</v>
      </c>
      <c r="D17" s="37">
        <v>40</v>
      </c>
      <c r="E17" s="129"/>
      <c r="F17" s="36"/>
      <c r="G17" s="36"/>
      <c r="I17" s="73" t="s">
        <v>109</v>
      </c>
      <c r="J17" s="79"/>
      <c r="K17" s="79">
        <v>1900</v>
      </c>
    </row>
    <row r="18" spans="1:11" x14ac:dyDescent="0.25">
      <c r="A18" s="31">
        <v>45783</v>
      </c>
      <c r="B18" s="36"/>
      <c r="C18" s="69" t="s">
        <v>77</v>
      </c>
      <c r="D18" s="37"/>
      <c r="E18" s="129">
        <v>9000</v>
      </c>
      <c r="F18" s="36"/>
      <c r="G18" s="36"/>
      <c r="I18" s="73" t="s">
        <v>77</v>
      </c>
      <c r="J18" s="79"/>
      <c r="K18" s="79">
        <v>9000</v>
      </c>
    </row>
    <row r="19" spans="1:11" x14ac:dyDescent="0.25">
      <c r="A19" s="31">
        <v>45783</v>
      </c>
      <c r="B19" s="36"/>
      <c r="C19" s="69" t="s">
        <v>145</v>
      </c>
      <c r="D19" s="37"/>
      <c r="E19" s="78">
        <v>1750</v>
      </c>
      <c r="F19" s="36"/>
      <c r="G19" s="36"/>
      <c r="I19" s="73" t="s">
        <v>161</v>
      </c>
      <c r="J19" s="79"/>
      <c r="K19" s="79">
        <v>9250</v>
      </c>
    </row>
    <row r="20" spans="1:11" x14ac:dyDescent="0.25">
      <c r="A20" s="31">
        <v>45783</v>
      </c>
      <c r="B20" s="36"/>
      <c r="C20" s="69" t="s">
        <v>33</v>
      </c>
      <c r="D20" s="37"/>
      <c r="E20" s="78">
        <v>25</v>
      </c>
      <c r="F20" s="36"/>
      <c r="G20" s="36"/>
      <c r="I20" s="73" t="s">
        <v>168</v>
      </c>
      <c r="J20" s="79"/>
      <c r="K20" s="79">
        <v>550</v>
      </c>
    </row>
    <row r="21" spans="1:11" x14ac:dyDescent="0.25">
      <c r="A21" s="31">
        <v>45783</v>
      </c>
      <c r="B21" s="36" t="s">
        <v>243</v>
      </c>
      <c r="C21" s="69" t="s">
        <v>32</v>
      </c>
      <c r="D21" s="37">
        <v>1990</v>
      </c>
      <c r="E21" s="78"/>
      <c r="F21" s="36"/>
      <c r="G21" s="36"/>
      <c r="I21" s="73" t="s">
        <v>207</v>
      </c>
      <c r="J21" s="79"/>
      <c r="K21" s="79">
        <v>1120</v>
      </c>
    </row>
    <row r="22" spans="1:11" x14ac:dyDescent="0.25">
      <c r="A22" s="31">
        <v>45783</v>
      </c>
      <c r="B22" s="36" t="s">
        <v>244</v>
      </c>
      <c r="C22" s="69" t="s">
        <v>32</v>
      </c>
      <c r="D22" s="37">
        <v>80</v>
      </c>
      <c r="E22" s="78"/>
      <c r="F22" s="36"/>
      <c r="G22" s="36"/>
      <c r="I22" s="73" t="s">
        <v>16</v>
      </c>
      <c r="J22" s="79">
        <v>187235</v>
      </c>
      <c r="K22" s="79">
        <v>154562</v>
      </c>
    </row>
    <row r="23" spans="1:11" x14ac:dyDescent="0.25">
      <c r="A23" s="31">
        <v>45784</v>
      </c>
      <c r="B23" s="36"/>
      <c r="C23" s="69" t="s">
        <v>33</v>
      </c>
      <c r="D23" s="37"/>
      <c r="E23" s="78">
        <v>2360</v>
      </c>
      <c r="F23" s="36"/>
      <c r="G23" s="36" t="s">
        <v>245</v>
      </c>
    </row>
    <row r="24" spans="1:11" x14ac:dyDescent="0.25">
      <c r="A24" s="31">
        <v>45784</v>
      </c>
      <c r="B24" s="36"/>
      <c r="C24" s="69" t="s">
        <v>33</v>
      </c>
      <c r="D24" s="37"/>
      <c r="E24" s="78">
        <v>25</v>
      </c>
      <c r="F24" s="36"/>
      <c r="G24" s="36"/>
    </row>
    <row r="25" spans="1:11" x14ac:dyDescent="0.25">
      <c r="A25" s="31">
        <v>45784</v>
      </c>
      <c r="B25" s="36" t="s">
        <v>246</v>
      </c>
      <c r="C25" s="69" t="s">
        <v>32</v>
      </c>
      <c r="D25" s="37">
        <v>700</v>
      </c>
      <c r="E25" s="78"/>
      <c r="F25" s="36"/>
      <c r="G25" s="36"/>
    </row>
    <row r="26" spans="1:11" x14ac:dyDescent="0.25">
      <c r="A26" s="31">
        <v>45784</v>
      </c>
      <c r="B26" s="36" t="s">
        <v>247</v>
      </c>
      <c r="C26" s="69" t="s">
        <v>32</v>
      </c>
      <c r="D26" s="37">
        <v>2925</v>
      </c>
      <c r="E26" s="78"/>
      <c r="F26" s="36"/>
      <c r="G26" s="36"/>
    </row>
    <row r="27" spans="1:11" x14ac:dyDescent="0.25">
      <c r="A27" s="31">
        <v>45785</v>
      </c>
      <c r="B27" s="36"/>
      <c r="C27" s="69" t="s">
        <v>109</v>
      </c>
      <c r="D27" s="37"/>
      <c r="E27" s="78">
        <v>300</v>
      </c>
      <c r="F27" s="36"/>
      <c r="G27" s="36"/>
    </row>
    <row r="28" spans="1:11" x14ac:dyDescent="0.25">
      <c r="A28" s="31">
        <v>45785</v>
      </c>
      <c r="B28" s="36"/>
      <c r="C28" s="69" t="s">
        <v>33</v>
      </c>
      <c r="D28" s="37"/>
      <c r="E28" s="78">
        <v>18500</v>
      </c>
      <c r="F28" s="36"/>
      <c r="G28" s="36" t="s">
        <v>248</v>
      </c>
    </row>
    <row r="29" spans="1:11" x14ac:dyDescent="0.25">
      <c r="A29" s="31">
        <v>45785</v>
      </c>
      <c r="B29" s="36"/>
      <c r="C29" s="69" t="s">
        <v>33</v>
      </c>
      <c r="D29" s="37"/>
      <c r="E29" s="78">
        <v>50</v>
      </c>
      <c r="F29" s="36"/>
      <c r="G29" s="36"/>
    </row>
    <row r="30" spans="1:11" x14ac:dyDescent="0.25">
      <c r="A30" s="31">
        <v>45785</v>
      </c>
      <c r="B30" s="36"/>
      <c r="C30" s="69" t="s">
        <v>161</v>
      </c>
      <c r="D30" s="37"/>
      <c r="E30" s="78">
        <v>3000</v>
      </c>
      <c r="F30" s="36"/>
      <c r="G30" s="36" t="s">
        <v>252</v>
      </c>
    </row>
    <row r="31" spans="1:11" x14ac:dyDescent="0.25">
      <c r="A31" s="31">
        <v>45785</v>
      </c>
      <c r="B31" s="36" t="s">
        <v>249</v>
      </c>
      <c r="C31" s="69" t="s">
        <v>32</v>
      </c>
      <c r="D31" s="37">
        <v>3225</v>
      </c>
      <c r="E31" s="78"/>
      <c r="F31" s="36"/>
      <c r="G31" s="36"/>
    </row>
    <row r="32" spans="1:11" x14ac:dyDescent="0.25">
      <c r="A32" s="31">
        <v>45786</v>
      </c>
      <c r="B32" s="36" t="s">
        <v>250</v>
      </c>
      <c r="C32" s="69" t="s">
        <v>32</v>
      </c>
      <c r="D32" s="37">
        <v>1415</v>
      </c>
      <c r="E32" s="78"/>
      <c r="F32" s="36"/>
      <c r="G32" s="36"/>
    </row>
    <row r="33" spans="1:7" x14ac:dyDescent="0.25">
      <c r="A33" s="31">
        <v>45786</v>
      </c>
      <c r="B33" s="36" t="s">
        <v>250</v>
      </c>
      <c r="C33" s="69" t="s">
        <v>32</v>
      </c>
      <c r="D33" s="37">
        <v>450</v>
      </c>
      <c r="E33" s="78"/>
      <c r="F33" s="36"/>
      <c r="G33" s="36"/>
    </row>
    <row r="34" spans="1:7" x14ac:dyDescent="0.25">
      <c r="A34" s="31">
        <v>45786</v>
      </c>
      <c r="B34" s="36"/>
      <c r="C34" s="69" t="s">
        <v>33</v>
      </c>
      <c r="D34" s="37"/>
      <c r="E34" s="78">
        <v>1110</v>
      </c>
      <c r="F34" s="36"/>
      <c r="G34" s="36"/>
    </row>
    <row r="35" spans="1:7" x14ac:dyDescent="0.25">
      <c r="A35" s="31">
        <v>45787</v>
      </c>
      <c r="B35" s="36"/>
      <c r="C35" s="69" t="s">
        <v>145</v>
      </c>
      <c r="D35" s="37"/>
      <c r="E35" s="78">
        <v>1850</v>
      </c>
      <c r="F35" s="36"/>
      <c r="G35" s="36"/>
    </row>
    <row r="36" spans="1:7" x14ac:dyDescent="0.25">
      <c r="A36" s="31">
        <v>45787</v>
      </c>
      <c r="B36" s="36"/>
      <c r="C36" s="69" t="s">
        <v>33</v>
      </c>
      <c r="D36" s="37"/>
      <c r="E36" s="78">
        <v>25</v>
      </c>
      <c r="F36" s="36"/>
      <c r="G36" s="36"/>
    </row>
    <row r="37" spans="1:7" x14ac:dyDescent="0.25">
      <c r="A37" s="31">
        <v>45787</v>
      </c>
      <c r="B37" s="36" t="s">
        <v>251</v>
      </c>
      <c r="C37" s="69" t="s">
        <v>32</v>
      </c>
      <c r="D37" s="37">
        <v>8300</v>
      </c>
      <c r="E37" s="78"/>
      <c r="F37" s="36"/>
      <c r="G37" s="36"/>
    </row>
    <row r="38" spans="1:7" x14ac:dyDescent="0.25">
      <c r="A38" s="31">
        <v>45788</v>
      </c>
      <c r="B38" s="36" t="s">
        <v>253</v>
      </c>
      <c r="C38" s="69" t="s">
        <v>32</v>
      </c>
      <c r="D38" s="37">
        <v>1920</v>
      </c>
      <c r="E38" s="78"/>
      <c r="F38" s="36"/>
      <c r="G38" s="36"/>
    </row>
    <row r="39" spans="1:7" x14ac:dyDescent="0.25">
      <c r="A39" s="31">
        <v>45788</v>
      </c>
      <c r="B39" s="36" t="s">
        <v>254</v>
      </c>
      <c r="C39" s="69" t="s">
        <v>32</v>
      </c>
      <c r="D39" s="37">
        <v>120</v>
      </c>
      <c r="E39" s="78"/>
      <c r="F39" s="36"/>
      <c r="G39" s="36"/>
    </row>
    <row r="40" spans="1:7" x14ac:dyDescent="0.25">
      <c r="A40" s="31">
        <v>45788</v>
      </c>
      <c r="B40" s="36"/>
      <c r="C40" s="69" t="s">
        <v>33</v>
      </c>
      <c r="D40" s="37"/>
      <c r="E40" s="78">
        <v>14200</v>
      </c>
      <c r="F40" s="36"/>
      <c r="G40" s="36" t="s">
        <v>255</v>
      </c>
    </row>
    <row r="41" spans="1:7" x14ac:dyDescent="0.25">
      <c r="A41" s="31">
        <v>45788</v>
      </c>
      <c r="B41" s="36"/>
      <c r="C41" s="69" t="s">
        <v>33</v>
      </c>
      <c r="D41" s="37"/>
      <c r="E41" s="78">
        <v>140</v>
      </c>
      <c r="F41" s="36"/>
      <c r="G41" s="36"/>
    </row>
    <row r="42" spans="1:7" x14ac:dyDescent="0.25">
      <c r="A42" s="31">
        <v>45789</v>
      </c>
      <c r="B42" s="36" t="s">
        <v>256</v>
      </c>
      <c r="C42" s="69" t="s">
        <v>32</v>
      </c>
      <c r="D42" s="37">
        <v>2650</v>
      </c>
      <c r="E42" s="78"/>
      <c r="F42" s="36"/>
      <c r="G42" s="36"/>
    </row>
    <row r="43" spans="1:7" x14ac:dyDescent="0.25">
      <c r="A43" s="31">
        <v>45789</v>
      </c>
      <c r="B43" s="36" t="s">
        <v>257</v>
      </c>
      <c r="C43" s="69" t="s">
        <v>32</v>
      </c>
      <c r="D43" s="37">
        <v>280</v>
      </c>
      <c r="E43" s="78"/>
      <c r="F43" s="36"/>
      <c r="G43" s="36"/>
    </row>
    <row r="44" spans="1:7" x14ac:dyDescent="0.25">
      <c r="A44" s="31">
        <v>45789</v>
      </c>
      <c r="B44" s="36"/>
      <c r="C44" s="69" t="s">
        <v>33</v>
      </c>
      <c r="D44" s="37"/>
      <c r="E44" s="78">
        <v>165</v>
      </c>
      <c r="F44" s="36"/>
      <c r="G44" s="36"/>
    </row>
    <row r="45" spans="1:7" x14ac:dyDescent="0.25">
      <c r="A45" s="31">
        <v>45790</v>
      </c>
      <c r="B45" s="36" t="s">
        <v>258</v>
      </c>
      <c r="C45" s="69" t="s">
        <v>32</v>
      </c>
      <c r="D45" s="37">
        <v>2470</v>
      </c>
      <c r="E45" s="78"/>
      <c r="F45" s="36"/>
      <c r="G45" s="36"/>
    </row>
    <row r="46" spans="1:7" x14ac:dyDescent="0.25">
      <c r="A46" s="31">
        <v>45790</v>
      </c>
      <c r="B46" s="36" t="s">
        <v>259</v>
      </c>
      <c r="C46" s="69" t="s">
        <v>32</v>
      </c>
      <c r="D46" s="37">
        <v>600</v>
      </c>
      <c r="E46" s="78"/>
      <c r="F46" s="36"/>
      <c r="G46" s="36"/>
    </row>
    <row r="47" spans="1:7" x14ac:dyDescent="0.25">
      <c r="A47" s="31">
        <v>45790</v>
      </c>
      <c r="B47" s="36" t="s">
        <v>260</v>
      </c>
      <c r="C47" s="69" t="s">
        <v>32</v>
      </c>
      <c r="D47" s="37">
        <v>150</v>
      </c>
      <c r="E47" s="78"/>
      <c r="F47" s="36"/>
      <c r="G47" s="36"/>
    </row>
    <row r="48" spans="1:7" x14ac:dyDescent="0.25">
      <c r="A48" s="31">
        <v>45790</v>
      </c>
      <c r="B48" s="36"/>
      <c r="C48" s="69" t="s">
        <v>109</v>
      </c>
      <c r="D48" s="37"/>
      <c r="E48" s="78">
        <v>300</v>
      </c>
      <c r="F48" s="36"/>
      <c r="G48" s="36"/>
    </row>
    <row r="49" spans="1:7" x14ac:dyDescent="0.25">
      <c r="A49" s="31">
        <v>45790</v>
      </c>
      <c r="B49" s="36"/>
      <c r="C49" s="69" t="s">
        <v>161</v>
      </c>
      <c r="D49" s="37"/>
      <c r="E49" s="78">
        <v>300</v>
      </c>
      <c r="F49" s="36"/>
      <c r="G49" s="36" t="s">
        <v>261</v>
      </c>
    </row>
    <row r="50" spans="1:7" x14ac:dyDescent="0.25">
      <c r="A50" s="31">
        <v>45790</v>
      </c>
      <c r="B50" s="36"/>
      <c r="C50" s="69" t="s">
        <v>33</v>
      </c>
      <c r="D50" s="37"/>
      <c r="E50" s="78">
        <v>20</v>
      </c>
      <c r="F50" s="36"/>
      <c r="G50" s="36"/>
    </row>
    <row r="51" spans="1:7" x14ac:dyDescent="0.25">
      <c r="A51" s="31">
        <v>45791</v>
      </c>
      <c r="B51" s="36"/>
      <c r="C51" s="69" t="s">
        <v>147</v>
      </c>
      <c r="D51" s="37"/>
      <c r="E51" s="78">
        <v>42865</v>
      </c>
      <c r="F51" s="36"/>
      <c r="G51" s="36"/>
    </row>
    <row r="52" spans="1:7" x14ac:dyDescent="0.25">
      <c r="A52" s="31">
        <v>45791</v>
      </c>
      <c r="B52" s="36"/>
      <c r="C52" s="69" t="s">
        <v>145</v>
      </c>
      <c r="D52" s="37"/>
      <c r="E52" s="78">
        <v>1950</v>
      </c>
      <c r="F52" s="36"/>
      <c r="G52" s="36"/>
    </row>
    <row r="53" spans="1:7" x14ac:dyDescent="0.25">
      <c r="A53" s="31">
        <v>45791</v>
      </c>
      <c r="B53" s="130" t="s">
        <v>263</v>
      </c>
      <c r="C53" s="69" t="s">
        <v>32</v>
      </c>
      <c r="D53" s="37">
        <v>2160</v>
      </c>
      <c r="E53" s="78"/>
      <c r="F53" s="36"/>
      <c r="G53" s="36"/>
    </row>
    <row r="54" spans="1:7" x14ac:dyDescent="0.25">
      <c r="A54" s="31">
        <v>45791</v>
      </c>
      <c r="B54" s="36" t="s">
        <v>262</v>
      </c>
      <c r="C54" s="69" t="s">
        <v>32</v>
      </c>
      <c r="D54" s="37">
        <v>840</v>
      </c>
      <c r="E54" s="78"/>
      <c r="F54" s="36"/>
      <c r="G54" s="36"/>
    </row>
    <row r="55" spans="1:7" x14ac:dyDescent="0.25">
      <c r="A55" s="31">
        <v>45791</v>
      </c>
      <c r="B55" s="36" t="s">
        <v>264</v>
      </c>
      <c r="C55" s="69" t="s">
        <v>32</v>
      </c>
      <c r="D55" s="37">
        <v>470</v>
      </c>
      <c r="E55" s="78"/>
      <c r="F55" s="36"/>
      <c r="G55" s="36"/>
    </row>
    <row r="56" spans="1:7" x14ac:dyDescent="0.25">
      <c r="A56" s="31">
        <v>45791</v>
      </c>
      <c r="B56" s="36"/>
      <c r="C56" s="69" t="s">
        <v>33</v>
      </c>
      <c r="D56" s="37"/>
      <c r="E56" s="78">
        <v>186</v>
      </c>
      <c r="F56" s="36"/>
      <c r="G56" s="36"/>
    </row>
    <row r="57" spans="1:7" x14ac:dyDescent="0.25">
      <c r="A57" s="31">
        <v>45792</v>
      </c>
      <c r="B57" s="36" t="s">
        <v>265</v>
      </c>
      <c r="C57" s="69" t="s">
        <v>32</v>
      </c>
      <c r="D57" s="37">
        <v>6680</v>
      </c>
      <c r="E57" s="78"/>
      <c r="F57" s="36"/>
      <c r="G57" s="36"/>
    </row>
    <row r="58" spans="1:7" x14ac:dyDescent="0.25">
      <c r="A58" s="31">
        <v>45792</v>
      </c>
      <c r="B58" s="36" t="s">
        <v>266</v>
      </c>
      <c r="C58" s="69" t="s">
        <v>32</v>
      </c>
      <c r="D58" s="37">
        <v>100</v>
      </c>
      <c r="E58" s="78"/>
      <c r="F58" s="36"/>
      <c r="G58" s="36"/>
    </row>
    <row r="59" spans="1:7" x14ac:dyDescent="0.25">
      <c r="A59" s="31">
        <v>45792</v>
      </c>
      <c r="B59" s="36"/>
      <c r="C59" s="69" t="s">
        <v>33</v>
      </c>
      <c r="D59" s="37"/>
      <c r="E59" s="78">
        <v>20</v>
      </c>
      <c r="F59" s="36"/>
      <c r="G59" s="36"/>
    </row>
    <row r="60" spans="1:7" x14ac:dyDescent="0.25">
      <c r="A60" s="31">
        <v>45793</v>
      </c>
      <c r="B60" s="36" t="s">
        <v>268</v>
      </c>
      <c r="C60" s="69" t="s">
        <v>32</v>
      </c>
      <c r="D60" s="37">
        <v>80</v>
      </c>
      <c r="E60" s="78"/>
      <c r="F60" s="36"/>
      <c r="G60" s="36"/>
    </row>
    <row r="61" spans="1:7" x14ac:dyDescent="0.25">
      <c r="A61" s="31">
        <v>45793</v>
      </c>
      <c r="B61" s="36" t="s">
        <v>269</v>
      </c>
      <c r="C61" s="69" t="s">
        <v>32</v>
      </c>
      <c r="D61" s="37">
        <v>1800</v>
      </c>
      <c r="E61" s="78"/>
      <c r="F61" s="36"/>
      <c r="G61" s="36"/>
    </row>
    <row r="62" spans="1:7" x14ac:dyDescent="0.25">
      <c r="A62" s="31">
        <v>45793</v>
      </c>
      <c r="B62" s="36" t="s">
        <v>267</v>
      </c>
      <c r="C62" s="69" t="s">
        <v>32</v>
      </c>
      <c r="D62" s="37">
        <v>720</v>
      </c>
      <c r="E62" s="78"/>
      <c r="F62" s="36"/>
      <c r="G62" s="36"/>
    </row>
    <row r="63" spans="1:7" x14ac:dyDescent="0.25">
      <c r="A63" s="31">
        <v>45793</v>
      </c>
      <c r="B63" s="36"/>
      <c r="C63" s="69" t="s">
        <v>33</v>
      </c>
      <c r="D63" s="37"/>
      <c r="E63" s="78">
        <v>70</v>
      </c>
      <c r="F63" s="36"/>
      <c r="G63" s="36"/>
    </row>
    <row r="64" spans="1:7" x14ac:dyDescent="0.25">
      <c r="A64" s="31">
        <v>45793</v>
      </c>
      <c r="B64" s="36"/>
      <c r="C64" s="69" t="s">
        <v>33</v>
      </c>
      <c r="D64" s="37"/>
      <c r="E64" s="78">
        <v>3700</v>
      </c>
      <c r="F64" s="36"/>
      <c r="G64" s="36" t="s">
        <v>270</v>
      </c>
    </row>
    <row r="65" spans="1:7" x14ac:dyDescent="0.25">
      <c r="A65" s="31">
        <v>45794</v>
      </c>
      <c r="B65" s="36" t="s">
        <v>271</v>
      </c>
      <c r="C65" s="69" t="s">
        <v>32</v>
      </c>
      <c r="D65" s="37">
        <v>2420</v>
      </c>
      <c r="E65" s="78"/>
      <c r="F65" s="36"/>
      <c r="G65" s="36"/>
    </row>
    <row r="66" spans="1:7" x14ac:dyDescent="0.25">
      <c r="A66" s="31">
        <v>45794</v>
      </c>
      <c r="B66" s="36" t="s">
        <v>272</v>
      </c>
      <c r="C66" s="69" t="s">
        <v>32</v>
      </c>
      <c r="D66" s="37">
        <v>1190</v>
      </c>
      <c r="E66" s="78"/>
      <c r="F66" s="36"/>
      <c r="G66" s="36"/>
    </row>
    <row r="67" spans="1:7" x14ac:dyDescent="0.25">
      <c r="A67" s="31">
        <v>45794</v>
      </c>
      <c r="B67" s="36" t="s">
        <v>273</v>
      </c>
      <c r="C67" s="69" t="s">
        <v>32</v>
      </c>
      <c r="D67" s="37">
        <v>700</v>
      </c>
      <c r="E67" s="78"/>
      <c r="F67" s="36"/>
      <c r="G67" s="36"/>
    </row>
    <row r="68" spans="1:7" x14ac:dyDescent="0.25">
      <c r="A68" s="31">
        <v>45794</v>
      </c>
      <c r="B68" s="36"/>
      <c r="C68" s="69" t="s">
        <v>33</v>
      </c>
      <c r="D68" s="37"/>
      <c r="E68" s="78">
        <v>220</v>
      </c>
      <c r="F68" s="36"/>
      <c r="G68" s="36"/>
    </row>
    <row r="69" spans="1:7" x14ac:dyDescent="0.25">
      <c r="A69" s="31">
        <v>45794</v>
      </c>
      <c r="B69" s="36"/>
      <c r="C69" s="69" t="s">
        <v>109</v>
      </c>
      <c r="D69" s="37"/>
      <c r="E69" s="78">
        <v>300</v>
      </c>
      <c r="F69" s="36"/>
      <c r="G69" s="36"/>
    </row>
    <row r="70" spans="1:7" x14ac:dyDescent="0.25">
      <c r="A70" s="31">
        <v>45795</v>
      </c>
      <c r="B70" s="36" t="s">
        <v>275</v>
      </c>
      <c r="C70" s="69" t="s">
        <v>32</v>
      </c>
      <c r="D70" s="37">
        <v>3525</v>
      </c>
      <c r="E70" s="78"/>
      <c r="F70" s="36"/>
      <c r="G70" s="36"/>
    </row>
    <row r="71" spans="1:7" x14ac:dyDescent="0.25">
      <c r="A71" s="131">
        <v>45796</v>
      </c>
      <c r="B71" s="132"/>
      <c r="C71" s="133" t="s">
        <v>145</v>
      </c>
      <c r="D71" s="134"/>
      <c r="E71" s="135">
        <v>8750</v>
      </c>
      <c r="F71" s="132"/>
      <c r="G71" s="132"/>
    </row>
    <row r="72" spans="1:7" x14ac:dyDescent="0.25">
      <c r="A72" s="31">
        <v>45796</v>
      </c>
      <c r="B72" s="36" t="s">
        <v>274</v>
      </c>
      <c r="C72" s="69" t="s">
        <v>32</v>
      </c>
      <c r="D72" s="37">
        <v>340</v>
      </c>
      <c r="E72" s="129"/>
      <c r="F72" s="36"/>
      <c r="G72" s="36"/>
    </row>
    <row r="73" spans="1:7" x14ac:dyDescent="0.25">
      <c r="A73" s="31">
        <v>45796</v>
      </c>
      <c r="B73" s="36" t="s">
        <v>276</v>
      </c>
      <c r="C73" s="69" t="s">
        <v>32</v>
      </c>
      <c r="D73" s="37">
        <v>280</v>
      </c>
      <c r="E73" s="129"/>
      <c r="F73" s="36"/>
      <c r="G73" s="36"/>
    </row>
    <row r="74" spans="1:7" x14ac:dyDescent="0.25">
      <c r="A74" s="31">
        <v>45796</v>
      </c>
      <c r="B74" s="36" t="s">
        <v>277</v>
      </c>
      <c r="C74" s="69" t="s">
        <v>32</v>
      </c>
      <c r="D74" s="37">
        <v>700</v>
      </c>
      <c r="E74" s="129"/>
      <c r="F74" s="36"/>
      <c r="G74" s="36"/>
    </row>
    <row r="75" spans="1:7" x14ac:dyDescent="0.25">
      <c r="A75" s="31">
        <v>45796</v>
      </c>
      <c r="B75" s="36"/>
      <c r="C75" s="69" t="s">
        <v>168</v>
      </c>
      <c r="D75" s="37"/>
      <c r="E75" s="129">
        <v>550</v>
      </c>
      <c r="F75" s="36"/>
      <c r="G75" s="36" t="s">
        <v>99</v>
      </c>
    </row>
    <row r="76" spans="1:7" x14ac:dyDescent="0.25">
      <c r="A76" s="31">
        <v>45796</v>
      </c>
      <c r="B76" s="36"/>
      <c r="C76" s="69" t="s">
        <v>33</v>
      </c>
      <c r="D76" s="37"/>
      <c r="E76" s="129">
        <v>20</v>
      </c>
      <c r="F76" s="36"/>
      <c r="G76" s="36"/>
    </row>
    <row r="77" spans="1:7" x14ac:dyDescent="0.25">
      <c r="A77" s="31">
        <v>45797</v>
      </c>
      <c r="B77" s="36" t="s">
        <v>278</v>
      </c>
      <c r="C77" s="69" t="s">
        <v>32</v>
      </c>
      <c r="D77" s="37">
        <v>230</v>
      </c>
      <c r="E77" s="129"/>
      <c r="F77" s="36"/>
      <c r="G77" s="36"/>
    </row>
    <row r="78" spans="1:7" x14ac:dyDescent="0.25">
      <c r="A78" s="31">
        <v>45797</v>
      </c>
      <c r="B78" s="36" t="s">
        <v>279</v>
      </c>
      <c r="C78" s="69" t="s">
        <v>32</v>
      </c>
      <c r="D78" s="37">
        <v>5270</v>
      </c>
      <c r="E78" s="129"/>
      <c r="F78" s="36"/>
      <c r="G78" s="36"/>
    </row>
    <row r="79" spans="1:7" x14ac:dyDescent="0.25">
      <c r="A79" s="31">
        <v>45797</v>
      </c>
      <c r="B79" s="36" t="s">
        <v>280</v>
      </c>
      <c r="C79" s="69" t="s">
        <v>32</v>
      </c>
      <c r="D79" s="37">
        <v>2430</v>
      </c>
      <c r="E79" s="129"/>
      <c r="F79" s="36"/>
      <c r="G79" s="36"/>
    </row>
    <row r="80" spans="1:7" x14ac:dyDescent="0.25">
      <c r="A80" s="31">
        <v>45797</v>
      </c>
      <c r="B80" s="36" t="s">
        <v>281</v>
      </c>
      <c r="C80" s="69" t="s">
        <v>32</v>
      </c>
      <c r="D80" s="37">
        <v>1020</v>
      </c>
      <c r="E80" s="129"/>
      <c r="F80" s="36"/>
      <c r="G80" s="36"/>
    </row>
    <row r="81" spans="1:7" x14ac:dyDescent="0.25">
      <c r="A81" s="31">
        <v>45797</v>
      </c>
      <c r="B81" s="36"/>
      <c r="C81" s="69" t="s">
        <v>161</v>
      </c>
      <c r="D81" s="37"/>
      <c r="E81" s="129">
        <v>200</v>
      </c>
      <c r="F81" s="36"/>
      <c r="G81" s="36" t="s">
        <v>261</v>
      </c>
    </row>
    <row r="82" spans="1:7" x14ac:dyDescent="0.25">
      <c r="A82" s="31">
        <v>45797</v>
      </c>
      <c r="B82" s="36"/>
      <c r="C82" s="69" t="s">
        <v>33</v>
      </c>
      <c r="D82" s="37"/>
      <c r="E82" s="129">
        <v>220</v>
      </c>
      <c r="F82" s="36"/>
      <c r="G82" s="36"/>
    </row>
    <row r="83" spans="1:7" x14ac:dyDescent="0.25">
      <c r="A83" s="31">
        <v>45797</v>
      </c>
      <c r="B83" s="36"/>
      <c r="C83" s="69" t="s">
        <v>207</v>
      </c>
      <c r="D83" s="37"/>
      <c r="E83" s="129">
        <v>1120</v>
      </c>
      <c r="F83" s="36"/>
      <c r="G83" s="36" t="s">
        <v>282</v>
      </c>
    </row>
    <row r="84" spans="1:7" x14ac:dyDescent="0.25">
      <c r="A84" s="31">
        <v>45798</v>
      </c>
      <c r="B84" s="36" t="s">
        <v>283</v>
      </c>
      <c r="C84" s="69" t="s">
        <v>32</v>
      </c>
      <c r="D84" s="37">
        <v>960</v>
      </c>
      <c r="E84" s="129"/>
      <c r="F84" s="36"/>
      <c r="G84" s="36"/>
    </row>
    <row r="85" spans="1:7" x14ac:dyDescent="0.25">
      <c r="A85" s="31">
        <v>45798</v>
      </c>
      <c r="B85" s="36" t="s">
        <v>284</v>
      </c>
      <c r="C85" s="69" t="s">
        <v>32</v>
      </c>
      <c r="D85" s="37">
        <v>850</v>
      </c>
      <c r="E85" s="129"/>
      <c r="F85" s="36"/>
      <c r="G85" s="36"/>
    </row>
    <row r="86" spans="1:7" x14ac:dyDescent="0.25">
      <c r="A86" s="31">
        <v>45798</v>
      </c>
      <c r="B86" s="36"/>
      <c r="C86" s="69" t="s">
        <v>33</v>
      </c>
      <c r="D86" s="37"/>
      <c r="E86" s="129">
        <v>20</v>
      </c>
      <c r="F86" s="36"/>
      <c r="G86" s="36"/>
    </row>
    <row r="87" spans="1:7" x14ac:dyDescent="0.25">
      <c r="A87" s="31">
        <v>45799</v>
      </c>
      <c r="B87" s="36" t="s">
        <v>285</v>
      </c>
      <c r="C87" s="69" t="s">
        <v>32</v>
      </c>
      <c r="D87" s="37">
        <v>1080</v>
      </c>
      <c r="E87" s="129"/>
      <c r="F87" s="36"/>
      <c r="G87" s="36"/>
    </row>
    <row r="88" spans="1:7" x14ac:dyDescent="0.25">
      <c r="A88" s="31">
        <v>45799</v>
      </c>
      <c r="B88" s="36" t="s">
        <v>286</v>
      </c>
      <c r="C88" s="69" t="s">
        <v>32</v>
      </c>
      <c r="D88" s="37">
        <v>100</v>
      </c>
      <c r="E88" s="129"/>
      <c r="F88" s="36"/>
      <c r="G88" s="36"/>
    </row>
    <row r="89" spans="1:7" x14ac:dyDescent="0.25">
      <c r="A89" s="31">
        <v>45799</v>
      </c>
      <c r="B89" s="36"/>
      <c r="C89" s="69" t="s">
        <v>33</v>
      </c>
      <c r="D89" s="37"/>
      <c r="E89" s="129">
        <v>75</v>
      </c>
      <c r="F89" s="36"/>
      <c r="G89" s="36"/>
    </row>
    <row r="90" spans="1:7" x14ac:dyDescent="0.25">
      <c r="A90" s="31">
        <v>45800</v>
      </c>
      <c r="B90" s="36" t="s">
        <v>287</v>
      </c>
      <c r="C90" s="69" t="s">
        <v>32</v>
      </c>
      <c r="D90" s="37">
        <v>7120</v>
      </c>
      <c r="E90" s="122"/>
      <c r="F90" s="36"/>
      <c r="G90" s="36"/>
    </row>
    <row r="91" spans="1:7" x14ac:dyDescent="0.25">
      <c r="A91" s="31">
        <v>45800</v>
      </c>
      <c r="B91" s="36" t="s">
        <v>288</v>
      </c>
      <c r="C91" s="69" t="s">
        <v>32</v>
      </c>
      <c r="D91" s="37">
        <v>800</v>
      </c>
      <c r="E91" s="122"/>
      <c r="F91" s="36"/>
      <c r="G91" s="36"/>
    </row>
    <row r="92" spans="1:7" x14ac:dyDescent="0.25">
      <c r="A92" s="31">
        <v>45800</v>
      </c>
      <c r="B92" s="36"/>
      <c r="C92" s="69" t="s">
        <v>147</v>
      </c>
      <c r="D92" s="37"/>
      <c r="E92" s="78">
        <v>1500</v>
      </c>
      <c r="F92" s="36"/>
      <c r="G92" s="36"/>
    </row>
    <row r="93" spans="1:7" x14ac:dyDescent="0.25">
      <c r="A93" s="31">
        <v>45800</v>
      </c>
      <c r="B93" s="36"/>
      <c r="C93" s="69" t="s">
        <v>109</v>
      </c>
      <c r="D93" s="37"/>
      <c r="E93" s="122">
        <v>400</v>
      </c>
      <c r="F93" s="36"/>
      <c r="G93" s="36"/>
    </row>
    <row r="94" spans="1:7" x14ac:dyDescent="0.25">
      <c r="A94" s="31">
        <v>45800</v>
      </c>
      <c r="B94" s="36"/>
      <c r="C94" s="69" t="s">
        <v>33</v>
      </c>
      <c r="D94" s="37"/>
      <c r="E94" s="129">
        <v>220</v>
      </c>
      <c r="F94" s="36"/>
      <c r="G94" s="36"/>
    </row>
    <row r="95" spans="1:7" x14ac:dyDescent="0.25">
      <c r="A95" s="31">
        <v>45801</v>
      </c>
      <c r="B95" s="36" t="s">
        <v>290</v>
      </c>
      <c r="C95" s="69" t="s">
        <v>32</v>
      </c>
      <c r="D95" s="37">
        <v>5310</v>
      </c>
      <c r="E95" s="122"/>
      <c r="F95" s="36"/>
      <c r="G95" s="36"/>
    </row>
    <row r="96" spans="1:7" x14ac:dyDescent="0.25">
      <c r="A96" s="31">
        <v>45801</v>
      </c>
      <c r="B96" s="36" t="s">
        <v>291</v>
      </c>
      <c r="C96" s="69" t="s">
        <v>32</v>
      </c>
      <c r="D96" s="37">
        <v>3920</v>
      </c>
      <c r="E96" s="122"/>
      <c r="F96" s="36"/>
      <c r="G96" s="36"/>
    </row>
    <row r="97" spans="1:7" x14ac:dyDescent="0.25">
      <c r="A97" s="31">
        <v>45801</v>
      </c>
      <c r="B97" s="36"/>
      <c r="C97" s="69" t="s">
        <v>33</v>
      </c>
      <c r="D97" s="37"/>
      <c r="E97" s="129">
        <v>390</v>
      </c>
      <c r="F97" s="36"/>
      <c r="G97" s="36"/>
    </row>
    <row r="98" spans="1:7" x14ac:dyDescent="0.25">
      <c r="A98" s="31">
        <v>45802</v>
      </c>
      <c r="B98" s="36"/>
      <c r="C98" s="69" t="s">
        <v>145</v>
      </c>
      <c r="D98" s="37"/>
      <c r="E98" s="78">
        <v>2150</v>
      </c>
      <c r="F98" s="36"/>
      <c r="G98" s="36"/>
    </row>
    <row r="99" spans="1:7" x14ac:dyDescent="0.25">
      <c r="A99" s="31">
        <v>45802</v>
      </c>
      <c r="B99" s="36" t="s">
        <v>292</v>
      </c>
      <c r="C99" s="69" t="s">
        <v>32</v>
      </c>
      <c r="D99" s="37">
        <v>2400</v>
      </c>
      <c r="E99" s="122"/>
      <c r="F99" s="36"/>
      <c r="G99" s="36"/>
    </row>
    <row r="100" spans="1:7" x14ac:dyDescent="0.25">
      <c r="A100" s="31">
        <v>45802</v>
      </c>
      <c r="B100" s="36" t="s">
        <v>293</v>
      </c>
      <c r="C100" s="69" t="s">
        <v>32</v>
      </c>
      <c r="D100" s="37">
        <v>720</v>
      </c>
      <c r="E100" s="122"/>
      <c r="F100" s="36"/>
      <c r="G100" s="36"/>
    </row>
    <row r="101" spans="1:7" x14ac:dyDescent="0.25">
      <c r="A101" s="31">
        <v>45802</v>
      </c>
      <c r="B101" s="36" t="s">
        <v>294</v>
      </c>
      <c r="C101" s="69" t="s">
        <v>32</v>
      </c>
      <c r="D101" s="37">
        <v>260</v>
      </c>
      <c r="E101" s="122"/>
      <c r="F101" s="36"/>
      <c r="G101" s="36"/>
    </row>
    <row r="102" spans="1:7" x14ac:dyDescent="0.25">
      <c r="A102" s="31">
        <v>45802</v>
      </c>
      <c r="B102" s="36"/>
      <c r="C102" s="69" t="s">
        <v>33</v>
      </c>
      <c r="D102" s="37"/>
      <c r="E102" s="129">
        <v>815</v>
      </c>
      <c r="F102" s="36"/>
      <c r="G102" s="36"/>
    </row>
    <row r="103" spans="1:7" x14ac:dyDescent="0.25">
      <c r="A103" s="31">
        <v>45803</v>
      </c>
      <c r="B103" s="36" t="s">
        <v>295</v>
      </c>
      <c r="C103" s="69" t="s">
        <v>32</v>
      </c>
      <c r="D103" s="37">
        <v>2415</v>
      </c>
      <c r="E103" s="129"/>
      <c r="F103" s="36"/>
      <c r="G103" s="36"/>
    </row>
    <row r="104" spans="1:7" x14ac:dyDescent="0.25">
      <c r="A104" s="31">
        <v>45803</v>
      </c>
      <c r="B104" s="36" t="s">
        <v>296</v>
      </c>
      <c r="C104" s="69" t="s">
        <v>32</v>
      </c>
      <c r="D104" s="37">
        <v>1200</v>
      </c>
      <c r="E104" s="129"/>
      <c r="F104" s="36"/>
      <c r="G104" s="36"/>
    </row>
    <row r="105" spans="1:7" x14ac:dyDescent="0.25">
      <c r="A105" s="31">
        <v>45803</v>
      </c>
      <c r="B105" s="36" t="s">
        <v>297</v>
      </c>
      <c r="C105" s="69" t="s">
        <v>32</v>
      </c>
      <c r="D105" s="37">
        <v>200</v>
      </c>
      <c r="E105" s="129"/>
      <c r="F105" s="36"/>
      <c r="G105" s="36"/>
    </row>
    <row r="106" spans="1:7" x14ac:dyDescent="0.25">
      <c r="A106" s="31">
        <v>45803</v>
      </c>
      <c r="B106" s="36" t="s">
        <v>298</v>
      </c>
      <c r="C106" s="69" t="s">
        <v>32</v>
      </c>
      <c r="D106" s="37">
        <v>140</v>
      </c>
      <c r="E106" s="129"/>
      <c r="F106" s="36"/>
      <c r="G106" s="36"/>
    </row>
    <row r="107" spans="1:7" x14ac:dyDescent="0.25">
      <c r="A107" s="31">
        <v>45803</v>
      </c>
      <c r="B107" s="36"/>
      <c r="C107" s="69" t="s">
        <v>33</v>
      </c>
      <c r="D107" s="37"/>
      <c r="E107" s="129">
        <v>720</v>
      </c>
      <c r="F107" s="36"/>
      <c r="G107" s="36"/>
    </row>
    <row r="108" spans="1:7" x14ac:dyDescent="0.25">
      <c r="A108" s="31">
        <v>45804</v>
      </c>
      <c r="B108" s="36"/>
      <c r="C108" s="69" t="s">
        <v>145</v>
      </c>
      <c r="D108" s="37"/>
      <c r="E108" s="78">
        <v>2450</v>
      </c>
      <c r="F108" s="36"/>
      <c r="G108" s="36"/>
    </row>
    <row r="109" spans="1:7" x14ac:dyDescent="0.25">
      <c r="A109" s="31">
        <v>45804</v>
      </c>
      <c r="B109" s="36" t="s">
        <v>299</v>
      </c>
      <c r="C109" s="69" t="s">
        <v>32</v>
      </c>
      <c r="D109" s="37">
        <v>80</v>
      </c>
      <c r="E109" s="129"/>
      <c r="F109" s="36"/>
      <c r="G109" s="36"/>
    </row>
    <row r="110" spans="1:7" x14ac:dyDescent="0.25">
      <c r="A110" s="31">
        <v>45804</v>
      </c>
      <c r="B110" s="36" t="s">
        <v>300</v>
      </c>
      <c r="C110" s="69" t="s">
        <v>32</v>
      </c>
      <c r="D110" s="37">
        <v>2600</v>
      </c>
      <c r="E110" s="129"/>
      <c r="F110" s="36"/>
      <c r="G110" s="36"/>
    </row>
    <row r="111" spans="1:7" x14ac:dyDescent="0.25">
      <c r="A111" s="31">
        <v>45804</v>
      </c>
      <c r="B111" s="36"/>
      <c r="C111" s="69" t="s">
        <v>33</v>
      </c>
      <c r="D111" s="37"/>
      <c r="E111" s="129">
        <v>260</v>
      </c>
      <c r="F111" s="36"/>
      <c r="G111" s="36"/>
    </row>
    <row r="112" spans="1:7" x14ac:dyDescent="0.25">
      <c r="A112" s="31">
        <v>45805</v>
      </c>
      <c r="B112" s="36" t="s">
        <v>301</v>
      </c>
      <c r="C112" s="69" t="s">
        <v>32</v>
      </c>
      <c r="D112" s="37">
        <v>2080</v>
      </c>
      <c r="E112" s="122"/>
      <c r="F112" s="36"/>
      <c r="G112" s="36"/>
    </row>
    <row r="113" spans="1:7" x14ac:dyDescent="0.25">
      <c r="A113" s="31">
        <v>45805</v>
      </c>
      <c r="B113" s="36"/>
      <c r="C113" s="69" t="s">
        <v>33</v>
      </c>
      <c r="D113" s="37"/>
      <c r="E113" s="122">
        <v>20</v>
      </c>
      <c r="F113" s="36"/>
      <c r="G113" s="36"/>
    </row>
    <row r="114" spans="1:7" x14ac:dyDescent="0.25">
      <c r="A114" s="31">
        <v>45805</v>
      </c>
      <c r="B114" s="36"/>
      <c r="C114" s="69" t="s">
        <v>109</v>
      </c>
      <c r="D114" s="37"/>
      <c r="E114" s="122">
        <v>300</v>
      </c>
      <c r="F114" s="36"/>
      <c r="G114" s="36"/>
    </row>
    <row r="115" spans="1:7" x14ac:dyDescent="0.25">
      <c r="A115" s="31">
        <v>45806</v>
      </c>
      <c r="B115" s="36"/>
      <c r="C115" s="69" t="s">
        <v>33</v>
      </c>
      <c r="D115" s="37"/>
      <c r="E115" s="122">
        <v>20</v>
      </c>
      <c r="F115" s="36"/>
      <c r="G115" s="36"/>
    </row>
    <row r="116" spans="1:7" x14ac:dyDescent="0.25">
      <c r="A116" s="31">
        <v>45806</v>
      </c>
      <c r="B116" s="36" t="s">
        <v>302</v>
      </c>
      <c r="C116" s="69" t="s">
        <v>32</v>
      </c>
      <c r="D116" s="37">
        <v>3800</v>
      </c>
      <c r="E116" s="122"/>
      <c r="F116" s="36"/>
      <c r="G116" s="36"/>
    </row>
    <row r="117" spans="1:7" x14ac:dyDescent="0.25">
      <c r="A117" s="31">
        <v>45806</v>
      </c>
      <c r="B117" s="36" t="s">
        <v>303</v>
      </c>
      <c r="C117" s="69" t="s">
        <v>32</v>
      </c>
      <c r="D117" s="37">
        <v>840</v>
      </c>
      <c r="E117" s="122"/>
      <c r="F117" s="36"/>
      <c r="G117" s="36"/>
    </row>
    <row r="118" spans="1:7" x14ac:dyDescent="0.25">
      <c r="A118" s="31">
        <v>45807</v>
      </c>
      <c r="B118" s="36"/>
      <c r="C118" s="69" t="s">
        <v>33</v>
      </c>
      <c r="D118" s="37"/>
      <c r="E118" s="122">
        <v>40</v>
      </c>
      <c r="F118" s="36"/>
      <c r="G118" s="36"/>
    </row>
    <row r="119" spans="1:7" x14ac:dyDescent="0.25">
      <c r="A119" s="31">
        <v>45807</v>
      </c>
      <c r="B119" s="36"/>
      <c r="C119" s="69" t="s">
        <v>145</v>
      </c>
      <c r="D119" s="37"/>
      <c r="E119" s="122">
        <v>1275</v>
      </c>
      <c r="F119" s="36"/>
      <c r="G119" s="36" t="s">
        <v>304</v>
      </c>
    </row>
    <row r="120" spans="1:7" x14ac:dyDescent="0.25">
      <c r="A120" s="31">
        <v>45807</v>
      </c>
      <c r="B120" s="36"/>
      <c r="C120" s="69" t="s">
        <v>145</v>
      </c>
      <c r="D120" s="37"/>
      <c r="E120" s="122">
        <v>400</v>
      </c>
      <c r="F120" s="36"/>
      <c r="G120" s="36" t="s">
        <v>304</v>
      </c>
    </row>
    <row r="121" spans="1:7" x14ac:dyDescent="0.25">
      <c r="A121" s="31">
        <v>45807</v>
      </c>
      <c r="B121" s="36"/>
      <c r="C121" s="69" t="s">
        <v>147</v>
      </c>
      <c r="D121" s="37"/>
      <c r="E121" s="122">
        <v>300</v>
      </c>
      <c r="F121" s="36"/>
      <c r="G121" s="36"/>
    </row>
    <row r="122" spans="1:7" x14ac:dyDescent="0.25">
      <c r="A122" s="31">
        <v>45807</v>
      </c>
      <c r="B122" s="36" t="s">
        <v>305</v>
      </c>
      <c r="C122" s="69" t="s">
        <v>32</v>
      </c>
      <c r="D122" s="37">
        <v>6090</v>
      </c>
      <c r="E122" s="122"/>
      <c r="F122" s="36"/>
      <c r="G122" s="36"/>
    </row>
    <row r="123" spans="1:7" x14ac:dyDescent="0.25">
      <c r="A123" s="31">
        <v>45807</v>
      </c>
      <c r="B123" s="36" t="s">
        <v>306</v>
      </c>
      <c r="C123" s="69" t="s">
        <v>32</v>
      </c>
      <c r="D123" s="37">
        <v>2820</v>
      </c>
      <c r="E123" s="122"/>
      <c r="F123" s="36"/>
      <c r="G123" s="36"/>
    </row>
    <row r="124" spans="1:7" x14ac:dyDescent="0.25">
      <c r="A124" s="31">
        <v>45807</v>
      </c>
      <c r="B124" s="36" t="s">
        <v>307</v>
      </c>
      <c r="C124" s="69" t="s">
        <v>32</v>
      </c>
      <c r="D124" s="37">
        <v>280</v>
      </c>
      <c r="E124" s="122"/>
      <c r="F124" s="36"/>
      <c r="G124" s="36"/>
    </row>
    <row r="125" spans="1:7" x14ac:dyDescent="0.25">
      <c r="A125" s="31">
        <v>45808</v>
      </c>
      <c r="B125" s="36"/>
      <c r="C125" s="69" t="s">
        <v>33</v>
      </c>
      <c r="D125" s="37"/>
      <c r="E125" s="122">
        <v>1356</v>
      </c>
      <c r="F125" s="36"/>
      <c r="G125" s="36"/>
    </row>
    <row r="126" spans="1:7" x14ac:dyDescent="0.25">
      <c r="A126" s="31">
        <v>45808</v>
      </c>
      <c r="B126" s="36" t="s">
        <v>308</v>
      </c>
      <c r="C126" s="69" t="s">
        <v>32</v>
      </c>
      <c r="D126" s="37">
        <v>4330</v>
      </c>
      <c r="E126" s="122"/>
      <c r="F126" s="36"/>
      <c r="G126" s="36"/>
    </row>
    <row r="127" spans="1:7" x14ac:dyDescent="0.25">
      <c r="A127" s="31">
        <v>45808</v>
      </c>
      <c r="B127" s="36" t="s">
        <v>309</v>
      </c>
      <c r="C127" s="69" t="s">
        <v>32</v>
      </c>
      <c r="D127" s="37">
        <v>6900</v>
      </c>
      <c r="E127" s="122"/>
      <c r="F127" s="36"/>
      <c r="G127" s="36"/>
    </row>
    <row r="128" spans="1:7" x14ac:dyDescent="0.25">
      <c r="A128" s="31">
        <v>45808</v>
      </c>
      <c r="B128" s="36" t="s">
        <v>310</v>
      </c>
      <c r="C128" s="69" t="s">
        <v>32</v>
      </c>
      <c r="D128" s="37">
        <v>1285</v>
      </c>
      <c r="E128" s="122"/>
      <c r="F128" s="36"/>
      <c r="G128" s="36"/>
    </row>
    <row r="129" spans="1:7" x14ac:dyDescent="0.25">
      <c r="A129" s="31">
        <v>45808</v>
      </c>
      <c r="B129" s="36" t="s">
        <v>311</v>
      </c>
      <c r="C129" s="69" t="s">
        <v>32</v>
      </c>
      <c r="D129" s="37">
        <v>600</v>
      </c>
      <c r="E129" s="122"/>
      <c r="F129" s="36"/>
      <c r="G129" s="36"/>
    </row>
    <row r="130" spans="1:7" x14ac:dyDescent="0.25">
      <c r="A130" s="31">
        <v>45808</v>
      </c>
      <c r="B130" s="36"/>
      <c r="C130" s="69" t="s">
        <v>161</v>
      </c>
      <c r="D130" s="37"/>
      <c r="E130" s="122">
        <v>2250</v>
      </c>
      <c r="F130" s="36"/>
      <c r="G130" s="36" t="s">
        <v>312</v>
      </c>
    </row>
    <row r="131" spans="1:7" x14ac:dyDescent="0.25">
      <c r="A131" s="31">
        <v>45808</v>
      </c>
      <c r="B131" s="36"/>
      <c r="C131" s="69" t="s">
        <v>161</v>
      </c>
      <c r="D131" s="37"/>
      <c r="E131" s="122">
        <v>3500</v>
      </c>
      <c r="F131" s="36"/>
      <c r="G131" s="36" t="s">
        <v>313</v>
      </c>
    </row>
    <row r="132" spans="1:7" x14ac:dyDescent="0.25">
      <c r="A132" s="31"/>
      <c r="B132" s="36"/>
      <c r="C132" s="69"/>
      <c r="D132" s="37"/>
      <c r="E132" s="122"/>
      <c r="F132" s="36"/>
      <c r="G132" s="36"/>
    </row>
    <row r="133" spans="1:7" ht="15.75" customHeight="1" x14ac:dyDescent="0.25">
      <c r="A133" s="36"/>
      <c r="B133" s="36"/>
      <c r="C133" s="7" t="s">
        <v>126</v>
      </c>
      <c r="D133" s="9">
        <f>SUM(D3:D132)</f>
        <v>133160</v>
      </c>
      <c r="E133" s="36"/>
      <c r="F133" s="36"/>
      <c r="G133" s="36"/>
    </row>
    <row r="134" spans="1:7" ht="15.75" customHeight="1" x14ac:dyDescent="0.25">
      <c r="A134" s="36"/>
      <c r="B134" s="36"/>
      <c r="C134" s="39" t="s">
        <v>21</v>
      </c>
      <c r="D134" s="40">
        <f>SUM(D133,D2)</f>
        <v>187235</v>
      </c>
      <c r="E134" s="40">
        <f>SUM(E2:E133)</f>
        <v>154562</v>
      </c>
      <c r="F134" s="36"/>
      <c r="G134" s="36"/>
    </row>
    <row r="135" spans="1:7" ht="15.75" customHeight="1" x14ac:dyDescent="0.25">
      <c r="A135" s="10"/>
      <c r="B135" s="10"/>
      <c r="C135" s="10"/>
      <c r="D135" s="10"/>
      <c r="E135" s="10"/>
      <c r="F135" s="10"/>
      <c r="G135" s="10"/>
    </row>
    <row r="136" spans="1:7" ht="15.75" customHeight="1" x14ac:dyDescent="0.25">
      <c r="A136" s="10"/>
      <c r="B136" s="10"/>
      <c r="C136" s="29" t="s">
        <v>127</v>
      </c>
      <c r="D136" s="41">
        <f>D133-E134</f>
        <v>-21402</v>
      </c>
      <c r="E136" s="10"/>
      <c r="F136" s="10"/>
      <c r="G136" s="10"/>
    </row>
    <row r="137" spans="1:7" ht="15.75" customHeight="1" x14ac:dyDescent="0.25">
      <c r="A137" s="10"/>
      <c r="B137" s="10"/>
      <c r="C137" s="29" t="s">
        <v>60</v>
      </c>
      <c r="D137" s="30">
        <f>D134-E134</f>
        <v>32673</v>
      </c>
      <c r="E137" s="10"/>
      <c r="F137" s="10"/>
      <c r="G137" s="10"/>
    </row>
    <row r="138" spans="1:7" ht="15.75" customHeight="1" x14ac:dyDescent="0.25"/>
    <row r="139" spans="1:7" ht="15.75" customHeight="1" x14ac:dyDescent="0.25">
      <c r="C139" s="119" t="s">
        <v>196</v>
      </c>
      <c r="D139" s="120">
        <f>D137-'Feb 2025 - Sales'!C2</f>
        <v>-10255</v>
      </c>
    </row>
    <row r="140" spans="1:7" ht="15.75" customHeight="1" x14ac:dyDescent="0.25"/>
    <row r="141" spans="1:7" ht="15.75" customHeight="1" x14ac:dyDescent="0.25"/>
    <row r="142" spans="1:7" ht="15.75" customHeight="1" x14ac:dyDescent="0.25"/>
    <row r="143" spans="1:7" ht="15.75" customHeight="1" x14ac:dyDescent="0.25"/>
    <row r="144" spans="1:7"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row r="1015" ht="15.75" customHeight="1" x14ac:dyDescent="0.25"/>
    <row r="1016" ht="15.75" customHeight="1" x14ac:dyDescent="0.25"/>
    <row r="1017" ht="15.75" customHeight="1" x14ac:dyDescent="0.25"/>
    <row r="1018" ht="15.75" customHeight="1" x14ac:dyDescent="0.25"/>
    <row r="1019" ht="15.75" customHeight="1" x14ac:dyDescent="0.25"/>
    <row r="1020" ht="15.75" customHeight="1" x14ac:dyDescent="0.25"/>
    <row r="1021" ht="15.75" customHeight="1" x14ac:dyDescent="0.25"/>
    <row r="1022" ht="15.75" customHeight="1" x14ac:dyDescent="0.25"/>
    <row r="1023" ht="15.75" customHeight="1" x14ac:dyDescent="0.25"/>
    <row r="1024" ht="15.75" customHeight="1" x14ac:dyDescent="0.25"/>
    <row r="1025" ht="15.75" customHeight="1" x14ac:dyDescent="0.25"/>
    <row r="1026" ht="15.75" customHeight="1" x14ac:dyDescent="0.25"/>
    <row r="1027" ht="15.75" customHeight="1" x14ac:dyDescent="0.25"/>
    <row r="1028" ht="15.75" customHeight="1" x14ac:dyDescent="0.25"/>
    <row r="1029" ht="15.75" customHeight="1" x14ac:dyDescent="0.25"/>
    <row r="1030" ht="15.75" customHeight="1" x14ac:dyDescent="0.25"/>
    <row r="1031" ht="15.75" customHeight="1" x14ac:dyDescent="0.25"/>
    <row r="1032" ht="15.75" customHeight="1" x14ac:dyDescent="0.25"/>
    <row r="1033" ht="15.75" customHeight="1" x14ac:dyDescent="0.25"/>
    <row r="1034" ht="15.75" customHeight="1" x14ac:dyDescent="0.25"/>
    <row r="1035" ht="15.75" customHeight="1" x14ac:dyDescent="0.25"/>
    <row r="1036" ht="15.75" customHeight="1" x14ac:dyDescent="0.25"/>
    <row r="1037" ht="15.75" customHeight="1" x14ac:dyDescent="0.25"/>
    <row r="1038" ht="15.75" customHeight="1" x14ac:dyDescent="0.25"/>
    <row r="1039" ht="15.75" customHeight="1" x14ac:dyDescent="0.25"/>
    <row r="1040" ht="15.75" customHeight="1" x14ac:dyDescent="0.25"/>
    <row r="1041" ht="15.75" customHeight="1" x14ac:dyDescent="0.25"/>
    <row r="1042" ht="15.75" customHeight="1" x14ac:dyDescent="0.25"/>
    <row r="1043" ht="15.75" customHeight="1" x14ac:dyDescent="0.25"/>
  </sheetData>
  <autoFilter ref="A1:G131"/>
  <conditionalFormatting sqref="C5:E6 C7:D7 C19:D34 C3:E3 C90:E91 D67 C68:D89 C36:D66 C8:E18 E72:E89 C93:E93 C92:D92">
    <cfRule type="containsText" dxfId="25002" priority="83" operator="containsText" text="Garlic Purchase">
      <formula>NOT(ISERROR(SEARCH("Garlic Purchase",C3)))</formula>
    </cfRule>
    <cfRule type="containsText" dxfId="25001" priority="84" operator="containsText" text="Ginger Purchase">
      <formula>NOT(ISERROR(SEARCH("Ginger Purchase",C3)))</formula>
    </cfRule>
    <cfRule type="containsText" dxfId="25000" priority="85" operator="containsText" text="Expences">
      <formula>NOT(ISERROR(SEARCH("Expences",C3)))</formula>
    </cfRule>
  </conditionalFormatting>
  <conditionalFormatting sqref="D139">
    <cfRule type="cellIs" dxfId="24999" priority="77" operator="lessThan">
      <formula>0</formula>
    </cfRule>
    <cfRule type="cellIs" dxfId="24998" priority="78" operator="greaterThan">
      <formula>0</formula>
    </cfRule>
  </conditionalFormatting>
  <conditionalFormatting sqref="C4:E4">
    <cfRule type="containsText" dxfId="24997" priority="73" operator="containsText" text="Garlic Purchase">
      <formula>NOT(ISERROR(SEARCH("Garlic Purchase",C4)))</formula>
    </cfRule>
    <cfRule type="containsText" dxfId="24996" priority="74" operator="containsText" text="Ginger Purchase">
      <formula>NOT(ISERROR(SEARCH("Ginger Purchase",C4)))</formula>
    </cfRule>
    <cfRule type="containsText" dxfId="24995" priority="75" operator="containsText" text="Expences">
      <formula>NOT(ISERROR(SEARCH("Expences",C4)))</formula>
    </cfRule>
  </conditionalFormatting>
  <conditionalFormatting sqref="E7">
    <cfRule type="containsText" dxfId="24994" priority="69" operator="containsText" text="Garlic Purchase">
      <formula>NOT(ISERROR(SEARCH("Garlic Purchase",E7)))</formula>
    </cfRule>
    <cfRule type="containsText" dxfId="24993" priority="70" operator="containsText" text="Ginger Purchase">
      <formula>NOT(ISERROR(SEARCH("Ginger Purchase",E7)))</formula>
    </cfRule>
    <cfRule type="containsText" dxfId="24992" priority="71" operator="containsText" text="Expences">
      <formula>NOT(ISERROR(SEARCH("Expences",E7)))</formula>
    </cfRule>
  </conditionalFormatting>
  <conditionalFormatting sqref="C35:D35">
    <cfRule type="containsText" dxfId="24991" priority="61" operator="containsText" text="Garlic Purchase">
      <formula>NOT(ISERROR(SEARCH("Garlic Purchase",C35)))</formula>
    </cfRule>
    <cfRule type="containsText" dxfId="24990" priority="62" operator="containsText" text="Ginger Purchase">
      <formula>NOT(ISERROR(SEARCH("Ginger Purchase",C35)))</formula>
    </cfRule>
    <cfRule type="containsText" dxfId="24989" priority="63" operator="containsText" text="Expences">
      <formula>NOT(ISERROR(SEARCH("Expences",C35)))</formula>
    </cfRule>
  </conditionalFormatting>
  <conditionalFormatting sqref="E72:E89">
    <cfRule type="containsText" dxfId="24988" priority="49" operator="containsText" text="Garlic Purchase">
      <formula>NOT(ISERROR(SEARCH("Garlic Purchase",E72)))</formula>
    </cfRule>
    <cfRule type="containsText" dxfId="24987" priority="50" operator="containsText" text="Ginger Purchase">
      <formula>NOT(ISERROR(SEARCH("Ginger Purchase",E72)))</formula>
    </cfRule>
    <cfRule type="containsText" dxfId="24986" priority="51" operator="containsText" text="Expences">
      <formula>NOT(ISERROR(SEARCH("Expences",E72)))</formula>
    </cfRule>
  </conditionalFormatting>
  <conditionalFormatting sqref="C67">
    <cfRule type="containsText" dxfId="24985" priority="53" operator="containsText" text="Garlic Purchase">
      <formula>NOT(ISERROR(SEARCH("Garlic Purchase",C67)))</formula>
    </cfRule>
    <cfRule type="containsText" dxfId="24984" priority="54" operator="containsText" text="Ginger Purchase">
      <formula>NOT(ISERROR(SEARCH("Ginger Purchase",C67)))</formula>
    </cfRule>
    <cfRule type="containsText" dxfId="24983" priority="55" operator="containsText" text="Expences">
      <formula>NOT(ISERROR(SEARCH("Expences",C67)))</formula>
    </cfRule>
  </conditionalFormatting>
  <conditionalFormatting sqref="C95:E96 C94:D94 C99:E101 C102:D111 C97:D98 C112:E132">
    <cfRule type="containsText" dxfId="24982" priority="37" operator="containsText" text="Garlic Purchase">
      <formula>NOT(ISERROR(SEARCH("Garlic Purchase",C94)))</formula>
    </cfRule>
    <cfRule type="containsText" dxfId="24981" priority="38" operator="containsText" text="Ginger Purchase">
      <formula>NOT(ISERROR(SEARCH("Ginger Purchase",C94)))</formula>
    </cfRule>
    <cfRule type="containsText" dxfId="24980" priority="39" operator="containsText" text="Expences">
      <formula>NOT(ISERROR(SEARCH("Expences",C94)))</formula>
    </cfRule>
  </conditionalFormatting>
  <conditionalFormatting sqref="E94">
    <cfRule type="containsText" dxfId="24979" priority="25" operator="containsText" text="Garlic Purchase">
      <formula>NOT(ISERROR(SEARCH("Garlic Purchase",E94)))</formula>
    </cfRule>
    <cfRule type="containsText" dxfId="24978" priority="26" operator="containsText" text="Ginger Purchase">
      <formula>NOT(ISERROR(SEARCH("Ginger Purchase",E94)))</formula>
    </cfRule>
    <cfRule type="containsText" dxfId="24977" priority="27" operator="containsText" text="Expences">
      <formula>NOT(ISERROR(SEARCH("Expences",E94)))</formula>
    </cfRule>
  </conditionalFormatting>
  <conditionalFormatting sqref="E19:E71">
    <cfRule type="containsText" dxfId="24976" priority="41" operator="containsText" text="Garlic Purchase">
      <formula>NOT(ISERROR(SEARCH("Garlic Purchase",E19)))</formula>
    </cfRule>
    <cfRule type="containsText" dxfId="24975" priority="42" operator="containsText" text="Ginger Purchase">
      <formula>NOT(ISERROR(SEARCH("Ginger Purchase",E19)))</formula>
    </cfRule>
    <cfRule type="containsText" dxfId="24974" priority="43" operator="containsText" text="Expences">
      <formula>NOT(ISERROR(SEARCH("Expences",E19)))</formula>
    </cfRule>
  </conditionalFormatting>
  <conditionalFormatting sqref="E92">
    <cfRule type="containsText" dxfId="24973" priority="33" operator="containsText" text="Garlic Purchase">
      <formula>NOT(ISERROR(SEARCH("Garlic Purchase",E92)))</formula>
    </cfRule>
    <cfRule type="containsText" dxfId="24972" priority="34" operator="containsText" text="Ginger Purchase">
      <formula>NOT(ISERROR(SEARCH("Ginger Purchase",E92)))</formula>
    </cfRule>
    <cfRule type="containsText" dxfId="24971" priority="35" operator="containsText" text="Expences">
      <formula>NOT(ISERROR(SEARCH("Expences",E92)))</formula>
    </cfRule>
  </conditionalFormatting>
  <conditionalFormatting sqref="E94">
    <cfRule type="containsText" dxfId="24970" priority="29" operator="containsText" text="Garlic Purchase">
      <formula>NOT(ISERROR(SEARCH("Garlic Purchase",E94)))</formula>
    </cfRule>
    <cfRule type="containsText" dxfId="24969" priority="30" operator="containsText" text="Ginger Purchase">
      <formula>NOT(ISERROR(SEARCH("Ginger Purchase",E94)))</formula>
    </cfRule>
    <cfRule type="containsText" dxfId="24968" priority="31" operator="containsText" text="Expences">
      <formula>NOT(ISERROR(SEARCH("Expences",E94)))</formula>
    </cfRule>
  </conditionalFormatting>
  <conditionalFormatting sqref="E98">
    <cfRule type="containsText" dxfId="24967" priority="5" operator="containsText" text="Garlic Purchase">
      <formula>NOT(ISERROR(SEARCH("Garlic Purchase",E98)))</formula>
    </cfRule>
    <cfRule type="containsText" dxfId="24966" priority="6" operator="containsText" text="Ginger Purchase">
      <formula>NOT(ISERROR(SEARCH("Ginger Purchase",E98)))</formula>
    </cfRule>
    <cfRule type="containsText" dxfId="24965" priority="7" operator="containsText" text="Expences">
      <formula>NOT(ISERROR(SEARCH("Expences",E98)))</formula>
    </cfRule>
  </conditionalFormatting>
  <conditionalFormatting sqref="E108">
    <cfRule type="containsText" dxfId="24964" priority="1" operator="containsText" text="Garlic Purchase">
      <formula>NOT(ISERROR(SEARCH("Garlic Purchase",E108)))</formula>
    </cfRule>
    <cfRule type="containsText" dxfId="24963" priority="2" operator="containsText" text="Ginger Purchase">
      <formula>NOT(ISERROR(SEARCH("Ginger Purchase",E108)))</formula>
    </cfRule>
    <cfRule type="containsText" dxfId="24962" priority="3" operator="containsText" text="Expences">
      <formula>NOT(ISERROR(SEARCH("Expences",E108)))</formula>
    </cfRule>
  </conditionalFormatting>
  <conditionalFormatting sqref="E97">
    <cfRule type="containsText" dxfId="24961" priority="17" operator="containsText" text="Garlic Purchase">
      <formula>NOT(ISERROR(SEARCH("Garlic Purchase",E97)))</formula>
    </cfRule>
    <cfRule type="containsText" dxfId="24960" priority="18" operator="containsText" text="Ginger Purchase">
      <formula>NOT(ISERROR(SEARCH("Ginger Purchase",E97)))</formula>
    </cfRule>
    <cfRule type="containsText" dxfId="24959" priority="19" operator="containsText" text="Expences">
      <formula>NOT(ISERROR(SEARCH("Expences",E97)))</formula>
    </cfRule>
  </conditionalFormatting>
  <conditionalFormatting sqref="E97">
    <cfRule type="containsText" dxfId="24958" priority="21" operator="containsText" text="Garlic Purchase">
      <formula>NOT(ISERROR(SEARCH("Garlic Purchase",E97)))</formula>
    </cfRule>
    <cfRule type="containsText" dxfId="24957" priority="22" operator="containsText" text="Ginger Purchase">
      <formula>NOT(ISERROR(SEARCH("Ginger Purchase",E97)))</formula>
    </cfRule>
    <cfRule type="containsText" dxfId="24956" priority="23" operator="containsText" text="Expences">
      <formula>NOT(ISERROR(SEARCH("Expences",E97)))</formula>
    </cfRule>
  </conditionalFormatting>
  <conditionalFormatting sqref="E102:E107 E109:E111">
    <cfRule type="containsText" dxfId="24955" priority="9" operator="containsText" text="Garlic Purchase">
      <formula>NOT(ISERROR(SEARCH("Garlic Purchase",E102)))</formula>
    </cfRule>
    <cfRule type="containsText" dxfId="24954" priority="10" operator="containsText" text="Ginger Purchase">
      <formula>NOT(ISERROR(SEARCH("Ginger Purchase",E102)))</formula>
    </cfRule>
    <cfRule type="containsText" dxfId="24953" priority="11" operator="containsText" text="Expences">
      <formula>NOT(ISERROR(SEARCH("Expences",E102)))</formula>
    </cfRule>
  </conditionalFormatting>
  <conditionalFormatting sqref="E102:E107 E109:E111">
    <cfRule type="containsText" dxfId="24952" priority="13" operator="containsText" text="Garlic Purchase">
      <formula>NOT(ISERROR(SEARCH("Garlic Purchase",E102)))</formula>
    </cfRule>
    <cfRule type="containsText" dxfId="24951" priority="14" operator="containsText" text="Ginger Purchase">
      <formula>NOT(ISERROR(SEARCH("Ginger Purchase",E102)))</formula>
    </cfRule>
    <cfRule type="containsText" dxfId="24950" priority="15" operator="containsText" text="Expences">
      <formula>NOT(ISERROR(SEARCH("Expences",E102)))</formula>
    </cfRule>
  </conditionalFormatting>
  <pageMargins left="0.7" right="0.7" top="0.75" bottom="0.75" header="0" footer="0"/>
  <pageSetup paperSize="9" orientation="portrait" r:id="rId2"/>
  <extLst>
    <ext xmlns:x14="http://schemas.microsoft.com/office/spreadsheetml/2009/9/main" uri="{78C0D931-6437-407d-A8EE-F0AAD7539E65}">
      <x14:conditionalFormattings>
        <x14:conditionalFormatting xmlns:xm="http://schemas.microsoft.com/office/excel/2006/main">
          <x14:cfRule type="containsText" priority="86" operator="containsText" id="{36FD898C-BD81-43F7-8006-25DF670ED1BA}">
            <xm:f>NOT(ISERROR(SEARCH($C$3,C3)))</xm:f>
            <xm:f>$C$3</xm:f>
            <x14:dxf>
              <font>
                <color rgb="FF33CC33"/>
              </font>
            </x14:dxf>
          </x14:cfRule>
          <xm:sqref>C5:E6 C7:D7 C19:D34 C3:E3 C90:E91 D67 C68:D89 C36:D66 C8:E18 E72:E89 C93:E93 C92:D92</xm:sqref>
        </x14:conditionalFormatting>
        <x14:conditionalFormatting xmlns:xm="http://schemas.microsoft.com/office/excel/2006/main">
          <x14:cfRule type="containsText" priority="76" operator="containsText" id="{5334E168-916B-4F3B-9ADC-84D9F06E5F35}">
            <xm:f>NOT(ISERROR(SEARCH($C$4,C4)))</xm:f>
            <xm:f>$C$4</xm:f>
            <x14:dxf>
              <font>
                <color rgb="FF33CC33"/>
              </font>
            </x14:dxf>
          </x14:cfRule>
          <xm:sqref>C4:E4</xm:sqref>
        </x14:conditionalFormatting>
        <x14:conditionalFormatting xmlns:xm="http://schemas.microsoft.com/office/excel/2006/main">
          <x14:cfRule type="containsText" priority="72" operator="containsText" id="{07E8ED66-93C3-4E31-A509-DA5E17E3B97E}">
            <xm:f>NOT(ISERROR(SEARCH($C$4,E7)))</xm:f>
            <xm:f>$C$4</xm:f>
            <x14:dxf>
              <font>
                <color rgb="FF33CC33"/>
              </font>
            </x14:dxf>
          </x14:cfRule>
          <xm:sqref>E7</xm:sqref>
        </x14:conditionalFormatting>
        <x14:conditionalFormatting xmlns:xm="http://schemas.microsoft.com/office/excel/2006/main">
          <x14:cfRule type="containsText" priority="64" operator="containsText" id="{D8DF8DDA-3028-46E5-A6EA-553FAA96C342}">
            <xm:f>NOT(ISERROR(SEARCH($C$3,C35)))</xm:f>
            <xm:f>$C$3</xm:f>
            <x14:dxf>
              <font>
                <color rgb="FF33CC33"/>
              </font>
            </x14:dxf>
          </x14:cfRule>
          <xm:sqref>C35:D35</xm:sqref>
        </x14:conditionalFormatting>
        <x14:conditionalFormatting xmlns:xm="http://schemas.microsoft.com/office/excel/2006/main">
          <x14:cfRule type="containsText" priority="56" operator="containsText" id="{48D38483-F418-407B-AFE3-482616C61801}">
            <xm:f>NOT(ISERROR(SEARCH($C$3,C67)))</xm:f>
            <xm:f>$C$3</xm:f>
            <x14:dxf>
              <font>
                <color rgb="FF33CC33"/>
              </font>
            </x14:dxf>
          </x14:cfRule>
          <xm:sqref>C67</xm:sqref>
        </x14:conditionalFormatting>
        <x14:conditionalFormatting xmlns:xm="http://schemas.microsoft.com/office/excel/2006/main">
          <x14:cfRule type="containsText" priority="52" operator="containsText" id="{D2021241-F2A2-4511-97E0-3149D5840B03}">
            <xm:f>NOT(ISERROR(SEARCH($C$3,E72)))</xm:f>
            <xm:f>$C$3</xm:f>
            <x14:dxf>
              <font>
                <color rgb="FF33CC33"/>
              </font>
            </x14:dxf>
          </x14:cfRule>
          <xm:sqref>E72:E89</xm:sqref>
        </x14:conditionalFormatting>
        <x14:conditionalFormatting xmlns:xm="http://schemas.microsoft.com/office/excel/2006/main">
          <x14:cfRule type="containsText" priority="44" operator="containsText" id="{69248AEB-E7F9-4077-9827-29C0D931D637}">
            <xm:f>NOT(ISERROR(SEARCH($C$4,E19)))</xm:f>
            <xm:f>$C$4</xm:f>
            <x14:dxf>
              <font>
                <color rgb="FF33CC33"/>
              </font>
            </x14:dxf>
          </x14:cfRule>
          <xm:sqref>E19:E71</xm:sqref>
        </x14:conditionalFormatting>
        <x14:conditionalFormatting xmlns:xm="http://schemas.microsoft.com/office/excel/2006/main">
          <x14:cfRule type="containsText" priority="40" operator="containsText" id="{73DD7625-58F2-4510-94B2-7272BD545ED3}">
            <xm:f>NOT(ISERROR(SEARCH($C$3,C94)))</xm:f>
            <xm:f>$C$3</xm:f>
            <x14:dxf>
              <font>
                <color rgb="FF33CC33"/>
              </font>
            </x14:dxf>
          </x14:cfRule>
          <xm:sqref>C95:E96 C94:D94 C99:E101 C102:D111 C97:D98 C112:E132</xm:sqref>
        </x14:conditionalFormatting>
        <x14:conditionalFormatting xmlns:xm="http://schemas.microsoft.com/office/excel/2006/main">
          <x14:cfRule type="containsText" priority="36" operator="containsText" id="{09F3D484-9CD9-4813-B5C8-E9CDA5B8F156}">
            <xm:f>NOT(ISERROR(SEARCH($C$4,E92)))</xm:f>
            <xm:f>$C$4</xm:f>
            <x14:dxf>
              <font>
                <color rgb="FF33CC33"/>
              </font>
            </x14:dxf>
          </x14:cfRule>
          <xm:sqref>E92</xm:sqref>
        </x14:conditionalFormatting>
        <x14:conditionalFormatting xmlns:xm="http://schemas.microsoft.com/office/excel/2006/main">
          <x14:cfRule type="containsText" priority="32" operator="containsText" id="{A65121F9-7EAB-4463-90FA-61C5B4893778}">
            <xm:f>NOT(ISERROR(SEARCH($C$3,E94)))</xm:f>
            <xm:f>$C$3</xm:f>
            <x14:dxf>
              <font>
                <color rgb="FF33CC33"/>
              </font>
            </x14:dxf>
          </x14:cfRule>
          <xm:sqref>E94</xm:sqref>
        </x14:conditionalFormatting>
        <x14:conditionalFormatting xmlns:xm="http://schemas.microsoft.com/office/excel/2006/main">
          <x14:cfRule type="containsText" priority="28" operator="containsText" id="{0C51828E-505B-476F-9398-EAF36BBFDE5F}">
            <xm:f>NOT(ISERROR(SEARCH($C$3,E94)))</xm:f>
            <xm:f>$C$3</xm:f>
            <x14:dxf>
              <font>
                <color rgb="FF33CC33"/>
              </font>
            </x14:dxf>
          </x14:cfRule>
          <xm:sqref>E94</xm:sqref>
        </x14:conditionalFormatting>
        <x14:conditionalFormatting xmlns:xm="http://schemas.microsoft.com/office/excel/2006/main">
          <x14:cfRule type="containsText" priority="24" operator="containsText" id="{24811A0D-87C8-48BC-BBC8-4086D917714C}">
            <xm:f>NOT(ISERROR(SEARCH($C$3,E97)))</xm:f>
            <xm:f>$C$3</xm:f>
            <x14:dxf>
              <font>
                <color rgb="FF33CC33"/>
              </font>
            </x14:dxf>
          </x14:cfRule>
          <xm:sqref>E97</xm:sqref>
        </x14:conditionalFormatting>
        <x14:conditionalFormatting xmlns:xm="http://schemas.microsoft.com/office/excel/2006/main">
          <x14:cfRule type="containsText" priority="20" operator="containsText" id="{66201560-79AA-43B5-9EF3-CE87B5E490C5}">
            <xm:f>NOT(ISERROR(SEARCH($C$3,E97)))</xm:f>
            <xm:f>$C$3</xm:f>
            <x14:dxf>
              <font>
                <color rgb="FF33CC33"/>
              </font>
            </x14:dxf>
          </x14:cfRule>
          <xm:sqref>E97</xm:sqref>
        </x14:conditionalFormatting>
        <x14:conditionalFormatting xmlns:xm="http://schemas.microsoft.com/office/excel/2006/main">
          <x14:cfRule type="containsText" priority="16" operator="containsText" id="{8CBB97CE-801C-4911-80DD-7DAC3051BA64}">
            <xm:f>NOT(ISERROR(SEARCH($C$3,E102)))</xm:f>
            <xm:f>$C$3</xm:f>
            <x14:dxf>
              <font>
                <color rgb="FF33CC33"/>
              </font>
            </x14:dxf>
          </x14:cfRule>
          <xm:sqref>E102:E107 E109:E111</xm:sqref>
        </x14:conditionalFormatting>
        <x14:conditionalFormatting xmlns:xm="http://schemas.microsoft.com/office/excel/2006/main">
          <x14:cfRule type="containsText" priority="12" operator="containsText" id="{CF73F361-BD61-4349-8B5F-323A593257C1}">
            <xm:f>NOT(ISERROR(SEARCH($C$3,E102)))</xm:f>
            <xm:f>$C$3</xm:f>
            <x14:dxf>
              <font>
                <color rgb="FF33CC33"/>
              </font>
            </x14:dxf>
          </x14:cfRule>
          <xm:sqref>E102:E107 E109:E111</xm:sqref>
        </x14:conditionalFormatting>
        <x14:conditionalFormatting xmlns:xm="http://schemas.microsoft.com/office/excel/2006/main">
          <x14:cfRule type="containsText" priority="8" operator="containsText" id="{2E471AFC-B62D-42A0-989D-79A679626FB9}">
            <xm:f>NOT(ISERROR(SEARCH($C$4,E98)))</xm:f>
            <xm:f>$C$4</xm:f>
            <x14:dxf>
              <font>
                <color rgb="FF33CC33"/>
              </font>
            </x14:dxf>
          </x14:cfRule>
          <xm:sqref>E98</xm:sqref>
        </x14:conditionalFormatting>
        <x14:conditionalFormatting xmlns:xm="http://schemas.microsoft.com/office/excel/2006/main">
          <x14:cfRule type="containsText" priority="4" operator="containsText" id="{64793527-2D16-43E9-AE53-621963F17AED}">
            <xm:f>NOT(ISERROR(SEARCH($C$4,E108)))</xm:f>
            <xm:f>$C$4</xm:f>
            <x14:dxf>
              <font>
                <color rgb="FF33CC33"/>
              </font>
            </x14:dxf>
          </x14:cfRule>
          <xm:sqref>E108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Sheet2!$A$1:$A$9</xm:f>
          </x14:formula1>
          <xm:sqref>C3:C132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053"/>
  <sheetViews>
    <sheetView zoomScale="90" zoomScaleNormal="90" workbookViewId="0">
      <pane ySplit="1" topLeftCell="A134" activePane="bottomLeft" state="frozen"/>
      <selection pane="bottomLeft" activeCell="G163" sqref="G163"/>
    </sheetView>
  </sheetViews>
  <sheetFormatPr defaultColWidth="14.42578125" defaultRowHeight="15" customHeight="1" x14ac:dyDescent="0.25"/>
  <cols>
    <col min="1" max="1" width="14.85546875" customWidth="1"/>
    <col min="2" max="2" width="10.5703125" customWidth="1"/>
    <col min="3" max="3" width="34.42578125" customWidth="1"/>
    <col min="4" max="5" width="13" bestFit="1" customWidth="1"/>
    <col min="6" max="6" width="12.140625" customWidth="1"/>
    <col min="7" max="7" width="23.140625" customWidth="1"/>
    <col min="8" max="8" width="8.7109375" customWidth="1"/>
    <col min="9" max="9" width="16" customWidth="1"/>
    <col min="10" max="10" width="13" customWidth="1"/>
    <col min="11" max="11" width="16" customWidth="1"/>
    <col min="12" max="23" width="4" customWidth="1"/>
    <col min="24" max="54" width="5" customWidth="1"/>
    <col min="55" max="55" width="6" customWidth="1"/>
    <col min="56" max="56" width="7.28515625" customWidth="1"/>
    <col min="57" max="57" width="11.28515625" customWidth="1"/>
  </cols>
  <sheetData>
    <row r="1" spans="1:11" x14ac:dyDescent="0.25">
      <c r="A1" s="4" t="s">
        <v>1</v>
      </c>
      <c r="B1" s="4" t="s">
        <v>61</v>
      </c>
      <c r="C1" s="4" t="s">
        <v>2</v>
      </c>
      <c r="D1" s="4" t="s">
        <v>32</v>
      </c>
      <c r="E1" s="4" t="s">
        <v>33</v>
      </c>
      <c r="F1" s="4" t="s">
        <v>34</v>
      </c>
      <c r="G1" s="4" t="s">
        <v>8</v>
      </c>
    </row>
    <row r="2" spans="1:11" x14ac:dyDescent="0.25">
      <c r="A2" s="31">
        <v>45809</v>
      </c>
      <c r="B2" s="36"/>
      <c r="C2" s="36" t="s">
        <v>62</v>
      </c>
      <c r="D2" s="30">
        <f>'May 2025 - Sales'!D137</f>
        <v>32673</v>
      </c>
      <c r="E2" s="36"/>
      <c r="F2" s="36"/>
      <c r="G2" s="36"/>
    </row>
    <row r="3" spans="1:11" x14ac:dyDescent="0.25">
      <c r="A3" s="31">
        <v>45809</v>
      </c>
      <c r="B3" s="36"/>
      <c r="C3" s="69" t="s">
        <v>145</v>
      </c>
      <c r="D3" s="37"/>
      <c r="E3" s="78">
        <v>2500</v>
      </c>
      <c r="F3" s="36"/>
      <c r="G3" s="36"/>
    </row>
    <row r="4" spans="1:11" x14ac:dyDescent="0.25">
      <c r="A4" s="31">
        <v>45809</v>
      </c>
      <c r="B4" s="36" t="s">
        <v>314</v>
      </c>
      <c r="C4" s="69" t="s">
        <v>32</v>
      </c>
      <c r="D4" s="37">
        <v>1760</v>
      </c>
      <c r="E4" s="78"/>
      <c r="F4" s="36"/>
      <c r="G4" s="36"/>
    </row>
    <row r="5" spans="1:11" x14ac:dyDescent="0.25">
      <c r="A5" s="31">
        <v>45809</v>
      </c>
      <c r="B5" s="36" t="s">
        <v>315</v>
      </c>
      <c r="C5" s="69" t="s">
        <v>32</v>
      </c>
      <c r="D5" s="37">
        <v>2600</v>
      </c>
      <c r="E5" s="70"/>
      <c r="F5" s="36"/>
      <c r="G5" s="36"/>
    </row>
    <row r="6" spans="1:11" x14ac:dyDescent="0.25">
      <c r="A6" s="31">
        <v>45809</v>
      </c>
      <c r="B6" s="36"/>
      <c r="C6" s="69" t="s">
        <v>33</v>
      </c>
      <c r="D6" s="37"/>
      <c r="E6" s="70">
        <v>20</v>
      </c>
      <c r="F6" s="36"/>
      <c r="G6" s="36"/>
    </row>
    <row r="7" spans="1:11" x14ac:dyDescent="0.25">
      <c r="A7" s="31">
        <v>45809</v>
      </c>
      <c r="B7" s="36"/>
      <c r="C7" s="69" t="s">
        <v>161</v>
      </c>
      <c r="D7" s="37"/>
      <c r="E7" s="70">
        <v>3000</v>
      </c>
      <c r="F7" s="36"/>
      <c r="G7" s="36" t="s">
        <v>367</v>
      </c>
    </row>
    <row r="8" spans="1:11" x14ac:dyDescent="0.25">
      <c r="A8" s="31">
        <v>45810</v>
      </c>
      <c r="B8" s="36" t="s">
        <v>316</v>
      </c>
      <c r="C8" s="69" t="s">
        <v>32</v>
      </c>
      <c r="D8" s="37">
        <v>120</v>
      </c>
      <c r="E8" s="78"/>
      <c r="F8" s="36"/>
      <c r="G8" s="36"/>
    </row>
    <row r="9" spans="1:11" x14ac:dyDescent="0.25">
      <c r="A9" s="31">
        <v>45810</v>
      </c>
      <c r="B9" s="36" t="s">
        <v>317</v>
      </c>
      <c r="C9" s="69" t="s">
        <v>32</v>
      </c>
      <c r="D9" s="37">
        <v>1900</v>
      </c>
      <c r="E9" s="70"/>
      <c r="F9" s="36"/>
      <c r="G9" s="36"/>
    </row>
    <row r="10" spans="1:11" x14ac:dyDescent="0.25">
      <c r="A10" s="31">
        <v>45810</v>
      </c>
      <c r="B10" s="36"/>
      <c r="C10" s="69" t="s">
        <v>33</v>
      </c>
      <c r="D10" s="37"/>
      <c r="E10" s="129">
        <v>210</v>
      </c>
      <c r="F10" s="36"/>
      <c r="G10" s="36"/>
    </row>
    <row r="11" spans="1:11" x14ac:dyDescent="0.25">
      <c r="A11" s="31">
        <v>45810</v>
      </c>
      <c r="B11" s="36"/>
      <c r="C11" s="69" t="s">
        <v>109</v>
      </c>
      <c r="D11" s="37"/>
      <c r="E11" s="129">
        <v>300</v>
      </c>
      <c r="F11" s="36"/>
      <c r="G11" s="36"/>
      <c r="I11" s="72" t="s">
        <v>163</v>
      </c>
      <c r="J11" t="s">
        <v>165</v>
      </c>
      <c r="K11" t="s">
        <v>164</v>
      </c>
    </row>
    <row r="12" spans="1:11" x14ac:dyDescent="0.25">
      <c r="A12" s="31">
        <v>45811</v>
      </c>
      <c r="B12" s="36"/>
      <c r="C12" s="69" t="s">
        <v>145</v>
      </c>
      <c r="D12" s="37"/>
      <c r="E12" s="78">
        <v>2400</v>
      </c>
      <c r="F12" s="36"/>
      <c r="G12" s="36"/>
      <c r="I12" s="73" t="s">
        <v>62</v>
      </c>
      <c r="J12" s="79">
        <v>32673</v>
      </c>
      <c r="K12" s="79"/>
    </row>
    <row r="13" spans="1:11" x14ac:dyDescent="0.25">
      <c r="A13" s="31">
        <v>45811</v>
      </c>
      <c r="B13" s="69" t="s">
        <v>318</v>
      </c>
      <c r="C13" s="69" t="s">
        <v>32</v>
      </c>
      <c r="D13" s="37">
        <v>40</v>
      </c>
      <c r="E13" s="129"/>
      <c r="F13" s="36"/>
      <c r="G13" s="36"/>
      <c r="I13" s="73" t="s">
        <v>145</v>
      </c>
      <c r="J13" s="79"/>
      <c r="K13" s="79">
        <v>18600</v>
      </c>
    </row>
    <row r="14" spans="1:11" x14ac:dyDescent="0.25">
      <c r="A14" s="31">
        <v>45811</v>
      </c>
      <c r="B14" s="69" t="s">
        <v>319</v>
      </c>
      <c r="C14" s="69" t="s">
        <v>32</v>
      </c>
      <c r="D14" s="37">
        <v>560</v>
      </c>
      <c r="E14" s="129"/>
      <c r="F14" s="36"/>
      <c r="G14" s="36"/>
      <c r="I14" s="73" t="s">
        <v>32</v>
      </c>
      <c r="J14" s="79">
        <v>126385</v>
      </c>
      <c r="K14" s="79"/>
    </row>
    <row r="15" spans="1:11" x14ac:dyDescent="0.25">
      <c r="A15" s="31">
        <v>45811</v>
      </c>
      <c r="B15" s="69" t="s">
        <v>320</v>
      </c>
      <c r="C15" s="69" t="s">
        <v>32</v>
      </c>
      <c r="D15" s="37">
        <v>1400</v>
      </c>
      <c r="E15" s="129"/>
      <c r="F15" s="36"/>
      <c r="G15" s="69"/>
      <c r="I15" s="73" t="s">
        <v>33</v>
      </c>
      <c r="J15" s="79"/>
      <c r="K15" s="79">
        <v>10525</v>
      </c>
    </row>
    <row r="16" spans="1:11" x14ac:dyDescent="0.25">
      <c r="A16" s="31">
        <v>45811</v>
      </c>
      <c r="B16" s="36"/>
      <c r="C16" s="69" t="s">
        <v>33</v>
      </c>
      <c r="D16" s="37"/>
      <c r="E16" s="129">
        <v>75</v>
      </c>
      <c r="F16" s="36"/>
      <c r="G16" s="36"/>
      <c r="I16" s="73" t="s">
        <v>109</v>
      </c>
      <c r="J16" s="79"/>
      <c r="K16" s="79">
        <v>1600</v>
      </c>
    </row>
    <row r="17" spans="1:11" x14ac:dyDescent="0.25">
      <c r="A17" s="31">
        <v>45812</v>
      </c>
      <c r="B17" s="36" t="s">
        <v>322</v>
      </c>
      <c r="C17" s="69" t="s">
        <v>32</v>
      </c>
      <c r="D17" s="37">
        <v>3540</v>
      </c>
      <c r="E17" s="129"/>
      <c r="F17" s="36"/>
      <c r="G17" s="36"/>
      <c r="I17" s="73" t="s">
        <v>147</v>
      </c>
      <c r="J17" s="79"/>
      <c r="K17" s="79">
        <v>111892</v>
      </c>
    </row>
    <row r="18" spans="1:11" x14ac:dyDescent="0.25">
      <c r="A18" s="31">
        <v>45812</v>
      </c>
      <c r="B18" s="36" t="s">
        <v>321</v>
      </c>
      <c r="C18" s="69" t="s">
        <v>32</v>
      </c>
      <c r="D18" s="37">
        <v>1560</v>
      </c>
      <c r="E18" s="129"/>
      <c r="F18" s="36"/>
      <c r="G18" s="36"/>
      <c r="I18" s="73" t="s">
        <v>161</v>
      </c>
      <c r="J18" s="79"/>
      <c r="K18" s="79">
        <v>10200</v>
      </c>
    </row>
    <row r="19" spans="1:11" x14ac:dyDescent="0.25">
      <c r="A19" s="31">
        <v>45812</v>
      </c>
      <c r="B19" s="36" t="s">
        <v>323</v>
      </c>
      <c r="C19" s="69" t="s">
        <v>32</v>
      </c>
      <c r="D19" s="37">
        <v>2780</v>
      </c>
      <c r="E19" s="129"/>
      <c r="F19" s="36"/>
      <c r="G19" s="36"/>
      <c r="I19" s="73" t="s">
        <v>77</v>
      </c>
      <c r="J19" s="79"/>
      <c r="K19" s="79">
        <v>9000</v>
      </c>
    </row>
    <row r="20" spans="1:11" x14ac:dyDescent="0.25">
      <c r="A20" s="31">
        <v>45812</v>
      </c>
      <c r="B20" s="36"/>
      <c r="C20" s="69" t="s">
        <v>33</v>
      </c>
      <c r="D20" s="37"/>
      <c r="E20" s="129">
        <v>50</v>
      </c>
      <c r="F20" s="36"/>
      <c r="G20" s="36"/>
      <c r="I20" s="73" t="s">
        <v>168</v>
      </c>
      <c r="J20" s="79"/>
      <c r="K20" s="79">
        <v>11852</v>
      </c>
    </row>
    <row r="21" spans="1:11" x14ac:dyDescent="0.25">
      <c r="A21" s="31">
        <v>45813</v>
      </c>
      <c r="B21" s="36"/>
      <c r="C21" s="69" t="s">
        <v>147</v>
      </c>
      <c r="D21" s="37"/>
      <c r="E21" s="78">
        <v>34610</v>
      </c>
      <c r="F21" s="36"/>
      <c r="G21" s="36" t="s">
        <v>324</v>
      </c>
      <c r="I21" s="73" t="s">
        <v>162</v>
      </c>
      <c r="J21" s="79">
        <v>0</v>
      </c>
      <c r="K21" s="79"/>
    </row>
    <row r="22" spans="1:11" x14ac:dyDescent="0.25">
      <c r="A22" s="31">
        <v>45813</v>
      </c>
      <c r="B22" s="36"/>
      <c r="C22" s="69" t="s">
        <v>161</v>
      </c>
      <c r="D22" s="37"/>
      <c r="E22" s="129">
        <v>300</v>
      </c>
      <c r="F22" s="36"/>
      <c r="G22" s="36" t="s">
        <v>325</v>
      </c>
      <c r="I22" s="73" t="s">
        <v>16</v>
      </c>
      <c r="J22" s="79">
        <v>159058</v>
      </c>
      <c r="K22" s="79">
        <v>173669</v>
      </c>
    </row>
    <row r="23" spans="1:11" x14ac:dyDescent="0.25">
      <c r="A23" s="31">
        <v>45813</v>
      </c>
      <c r="B23" s="36"/>
      <c r="C23" s="69" t="s">
        <v>33</v>
      </c>
      <c r="D23" s="37"/>
      <c r="E23" s="129">
        <v>25</v>
      </c>
      <c r="F23" s="36"/>
      <c r="G23" s="36"/>
    </row>
    <row r="24" spans="1:11" x14ac:dyDescent="0.25">
      <c r="A24" s="31">
        <v>45813</v>
      </c>
      <c r="B24" s="36" t="s">
        <v>326</v>
      </c>
      <c r="C24" s="69" t="s">
        <v>32</v>
      </c>
      <c r="D24" s="37">
        <v>4300</v>
      </c>
      <c r="E24" s="129"/>
      <c r="F24" s="36"/>
      <c r="G24" s="36"/>
    </row>
    <row r="25" spans="1:11" x14ac:dyDescent="0.25">
      <c r="A25" s="31">
        <v>45813</v>
      </c>
      <c r="B25" s="36" t="s">
        <v>327</v>
      </c>
      <c r="C25" s="69" t="s">
        <v>32</v>
      </c>
      <c r="D25" s="37">
        <v>1950</v>
      </c>
      <c r="E25" s="129"/>
      <c r="F25" s="36"/>
      <c r="G25" s="36"/>
    </row>
    <row r="26" spans="1:11" x14ac:dyDescent="0.25">
      <c r="A26" s="31">
        <v>45813</v>
      </c>
      <c r="B26" s="36" t="s">
        <v>328</v>
      </c>
      <c r="C26" s="69" t="s">
        <v>32</v>
      </c>
      <c r="D26" s="37">
        <v>790</v>
      </c>
      <c r="E26" s="129"/>
      <c r="F26" s="36"/>
      <c r="G26" s="36"/>
    </row>
    <row r="27" spans="1:11" x14ac:dyDescent="0.25">
      <c r="A27" s="31">
        <v>45813</v>
      </c>
      <c r="B27" s="36" t="s">
        <v>329</v>
      </c>
      <c r="C27" s="69" t="s">
        <v>32</v>
      </c>
      <c r="D27" s="37">
        <v>660</v>
      </c>
      <c r="E27" s="129"/>
      <c r="F27" s="36"/>
      <c r="G27" s="36"/>
    </row>
    <row r="28" spans="1:11" x14ac:dyDescent="0.25">
      <c r="A28" s="31">
        <v>45814</v>
      </c>
      <c r="B28" s="36" t="s">
        <v>330</v>
      </c>
      <c r="C28" s="69" t="s">
        <v>32</v>
      </c>
      <c r="D28" s="37">
        <v>120</v>
      </c>
      <c r="E28" s="129"/>
      <c r="F28" s="36"/>
      <c r="G28" s="36"/>
    </row>
    <row r="29" spans="1:11" ht="15.75" x14ac:dyDescent="0.25">
      <c r="A29" s="31">
        <v>45814</v>
      </c>
      <c r="B29" s="36" t="s">
        <v>331</v>
      </c>
      <c r="C29" s="69" t="s">
        <v>32</v>
      </c>
      <c r="D29" s="37">
        <v>2650</v>
      </c>
      <c r="E29" s="129"/>
      <c r="F29" s="36"/>
      <c r="G29" s="36"/>
      <c r="I29" s="145" t="s">
        <v>414</v>
      </c>
    </row>
    <row r="30" spans="1:11" x14ac:dyDescent="0.25">
      <c r="A30" s="31">
        <v>45814</v>
      </c>
      <c r="B30" s="36" t="s">
        <v>332</v>
      </c>
      <c r="C30" s="69" t="s">
        <v>32</v>
      </c>
      <c r="D30" s="37">
        <v>100</v>
      </c>
      <c r="E30" s="129"/>
      <c r="F30" s="36"/>
      <c r="G30" s="36"/>
      <c r="I30" s="142" t="s">
        <v>163</v>
      </c>
      <c r="J30" s="142" t="s">
        <v>165</v>
      </c>
      <c r="K30" s="142" t="s">
        <v>164</v>
      </c>
    </row>
    <row r="31" spans="1:11" x14ac:dyDescent="0.25">
      <c r="A31" s="31">
        <v>45814</v>
      </c>
      <c r="B31" s="36" t="s">
        <v>333</v>
      </c>
      <c r="C31" s="69" t="s">
        <v>32</v>
      </c>
      <c r="D31" s="37">
        <v>100</v>
      </c>
      <c r="E31" s="129"/>
      <c r="F31" s="36"/>
      <c r="G31" s="36"/>
      <c r="I31" s="143" t="s">
        <v>162</v>
      </c>
      <c r="J31" s="141">
        <v>0</v>
      </c>
      <c r="K31" s="141"/>
    </row>
    <row r="32" spans="1:11" x14ac:dyDescent="0.25">
      <c r="A32" s="31">
        <v>45814</v>
      </c>
      <c r="B32" s="36" t="s">
        <v>334</v>
      </c>
      <c r="C32" s="69" t="s">
        <v>32</v>
      </c>
      <c r="D32" s="37">
        <v>1280</v>
      </c>
      <c r="E32" s="129"/>
      <c r="F32" s="36"/>
      <c r="G32" s="36"/>
      <c r="I32" s="143" t="s">
        <v>168</v>
      </c>
      <c r="J32" s="141"/>
      <c r="K32" s="141">
        <v>11852</v>
      </c>
    </row>
    <row r="33" spans="1:11" x14ac:dyDescent="0.25">
      <c r="A33" s="31">
        <v>45814</v>
      </c>
      <c r="B33" s="36"/>
      <c r="C33" s="69" t="s">
        <v>161</v>
      </c>
      <c r="D33" s="37"/>
      <c r="E33" s="136">
        <v>100</v>
      </c>
      <c r="F33" s="36"/>
      <c r="G33" s="36"/>
      <c r="I33" s="143" t="s">
        <v>33</v>
      </c>
      <c r="J33" s="141"/>
      <c r="K33" s="141">
        <v>10335</v>
      </c>
    </row>
    <row r="34" spans="1:11" x14ac:dyDescent="0.25">
      <c r="A34" s="31">
        <v>45814</v>
      </c>
      <c r="B34" s="36"/>
      <c r="C34" s="69" t="s">
        <v>33</v>
      </c>
      <c r="D34" s="37"/>
      <c r="E34" s="129">
        <v>50</v>
      </c>
      <c r="F34" s="36"/>
      <c r="G34" s="36"/>
      <c r="I34" s="143" t="s">
        <v>147</v>
      </c>
      <c r="J34" s="141"/>
      <c r="K34" s="141">
        <v>111892</v>
      </c>
    </row>
    <row r="35" spans="1:11" x14ac:dyDescent="0.25">
      <c r="A35" s="31">
        <v>45814</v>
      </c>
      <c r="B35" s="36"/>
      <c r="C35" s="69" t="s">
        <v>145</v>
      </c>
      <c r="D35" s="37"/>
      <c r="E35" s="78">
        <v>2400</v>
      </c>
      <c r="F35" s="36"/>
      <c r="G35" s="36"/>
      <c r="I35" s="143" t="s">
        <v>145</v>
      </c>
      <c r="J35" s="141"/>
      <c r="K35" s="141">
        <v>18600</v>
      </c>
    </row>
    <row r="36" spans="1:11" x14ac:dyDescent="0.25">
      <c r="A36" s="31">
        <v>45815</v>
      </c>
      <c r="B36" s="69" t="s">
        <v>335</v>
      </c>
      <c r="C36" s="69" t="s">
        <v>32</v>
      </c>
      <c r="D36" s="37">
        <v>1915</v>
      </c>
      <c r="E36" s="129"/>
      <c r="F36" s="36"/>
      <c r="G36" s="36"/>
      <c r="I36" s="143" t="s">
        <v>62</v>
      </c>
      <c r="J36" s="141">
        <v>32673</v>
      </c>
      <c r="K36" s="141"/>
    </row>
    <row r="37" spans="1:11" x14ac:dyDescent="0.25">
      <c r="A37" s="31">
        <v>45815</v>
      </c>
      <c r="B37" s="36"/>
      <c r="C37" s="69" t="s">
        <v>33</v>
      </c>
      <c r="D37" s="37"/>
      <c r="E37" s="129">
        <v>50</v>
      </c>
      <c r="F37" s="36"/>
      <c r="G37" s="36"/>
      <c r="I37" s="143" t="s">
        <v>109</v>
      </c>
      <c r="J37" s="141"/>
      <c r="K37" s="141">
        <v>1600</v>
      </c>
    </row>
    <row r="38" spans="1:11" x14ac:dyDescent="0.25">
      <c r="A38" s="31">
        <v>45816</v>
      </c>
      <c r="B38" s="69" t="s">
        <v>336</v>
      </c>
      <c r="C38" s="69" t="s">
        <v>32</v>
      </c>
      <c r="D38" s="37">
        <v>7380</v>
      </c>
      <c r="E38" s="129"/>
      <c r="F38" s="36"/>
      <c r="G38" s="36"/>
      <c r="I38" s="143" t="s">
        <v>77</v>
      </c>
      <c r="J38" s="141"/>
      <c r="K38" s="141">
        <v>9000</v>
      </c>
    </row>
    <row r="39" spans="1:11" x14ac:dyDescent="0.25">
      <c r="A39" s="31">
        <v>45816</v>
      </c>
      <c r="B39" s="69" t="s">
        <v>337</v>
      </c>
      <c r="C39" s="69" t="s">
        <v>32</v>
      </c>
      <c r="D39" s="37">
        <v>2245</v>
      </c>
      <c r="E39" s="129"/>
      <c r="F39" s="36"/>
      <c r="G39" s="36"/>
      <c r="I39" s="143" t="s">
        <v>32</v>
      </c>
      <c r="J39" s="141">
        <v>126385</v>
      </c>
      <c r="K39" s="141"/>
    </row>
    <row r="40" spans="1:11" x14ac:dyDescent="0.25">
      <c r="A40" s="31">
        <v>45816</v>
      </c>
      <c r="B40" s="36"/>
      <c r="C40" s="69" t="s">
        <v>109</v>
      </c>
      <c r="D40" s="37"/>
      <c r="E40" s="129">
        <v>300</v>
      </c>
      <c r="F40" s="36"/>
      <c r="G40" s="36"/>
      <c r="I40" s="143" t="s">
        <v>161</v>
      </c>
      <c r="J40" s="141"/>
      <c r="K40" s="141">
        <v>10200</v>
      </c>
    </row>
    <row r="41" spans="1:11" x14ac:dyDescent="0.25">
      <c r="A41" s="31">
        <v>45816</v>
      </c>
      <c r="B41" s="36"/>
      <c r="C41" s="69" t="s">
        <v>161</v>
      </c>
      <c r="D41" s="37"/>
      <c r="E41" s="129">
        <v>50</v>
      </c>
      <c r="F41" s="36"/>
      <c r="G41" s="36"/>
      <c r="I41" s="144" t="s">
        <v>16</v>
      </c>
      <c r="J41" s="147">
        <v>159058</v>
      </c>
      <c r="K41" s="149">
        <v>173479</v>
      </c>
    </row>
    <row r="42" spans="1:11" x14ac:dyDescent="0.25">
      <c r="A42" s="31">
        <v>45817</v>
      </c>
      <c r="B42" s="36"/>
      <c r="C42" s="69" t="s">
        <v>145</v>
      </c>
      <c r="D42" s="37"/>
      <c r="E42" s="78">
        <v>2300</v>
      </c>
      <c r="F42" s="36"/>
      <c r="G42" s="36"/>
    </row>
    <row r="43" spans="1:11" x14ac:dyDescent="0.25">
      <c r="A43" s="31">
        <v>45817</v>
      </c>
      <c r="B43" s="36"/>
      <c r="C43" s="69" t="s">
        <v>33</v>
      </c>
      <c r="D43" s="37"/>
      <c r="E43" s="129">
        <v>50</v>
      </c>
      <c r="F43" s="36"/>
      <c r="G43" s="36"/>
      <c r="I43" s="144" t="s">
        <v>127</v>
      </c>
      <c r="J43" s="148">
        <f>J39-K41</f>
        <v>-47094</v>
      </c>
    </row>
    <row r="44" spans="1:11" x14ac:dyDescent="0.25">
      <c r="A44" s="31">
        <v>45817</v>
      </c>
      <c r="B44" s="69" t="s">
        <v>339</v>
      </c>
      <c r="C44" s="69" t="s">
        <v>32</v>
      </c>
      <c r="D44" s="37">
        <v>280</v>
      </c>
      <c r="E44" s="129"/>
      <c r="F44" s="36"/>
      <c r="G44" s="36"/>
      <c r="I44" s="144" t="s">
        <v>60</v>
      </c>
      <c r="J44" s="148">
        <f>J41-K41</f>
        <v>-14421</v>
      </c>
    </row>
    <row r="45" spans="1:11" x14ac:dyDescent="0.25">
      <c r="A45" s="31">
        <v>45817</v>
      </c>
      <c r="B45" s="69" t="s">
        <v>338</v>
      </c>
      <c r="C45" s="69" t="s">
        <v>32</v>
      </c>
      <c r="D45" s="37">
        <v>240</v>
      </c>
      <c r="E45" s="129"/>
      <c r="F45" s="36"/>
      <c r="G45" s="36"/>
      <c r="I45" s="144" t="s">
        <v>196</v>
      </c>
      <c r="J45" s="149">
        <f>J44-'Feb 2025 - Sales'!C2</f>
        <v>-57349</v>
      </c>
    </row>
    <row r="46" spans="1:11" x14ac:dyDescent="0.25">
      <c r="A46" s="31">
        <v>45817</v>
      </c>
      <c r="B46" s="69" t="s">
        <v>340</v>
      </c>
      <c r="C46" s="69" t="s">
        <v>32</v>
      </c>
      <c r="D46" s="37">
        <v>380</v>
      </c>
      <c r="E46" s="129"/>
      <c r="F46" s="36"/>
      <c r="G46" s="36"/>
    </row>
    <row r="47" spans="1:11" x14ac:dyDescent="0.25">
      <c r="A47" s="31">
        <v>45818</v>
      </c>
      <c r="B47" s="69" t="s">
        <v>341</v>
      </c>
      <c r="C47" s="69" t="s">
        <v>32</v>
      </c>
      <c r="D47" s="37">
        <v>850</v>
      </c>
      <c r="E47" s="129"/>
      <c r="F47" s="36"/>
      <c r="G47" s="36"/>
    </row>
    <row r="48" spans="1:11" x14ac:dyDescent="0.25">
      <c r="A48" s="31">
        <v>45818</v>
      </c>
      <c r="B48" s="69" t="s">
        <v>342</v>
      </c>
      <c r="C48" s="69" t="s">
        <v>32</v>
      </c>
      <c r="D48" s="37">
        <v>880</v>
      </c>
      <c r="E48" s="129"/>
      <c r="F48" s="36"/>
      <c r="G48" s="36"/>
    </row>
    <row r="49" spans="1:7" x14ac:dyDescent="0.25">
      <c r="A49" s="31">
        <v>45818</v>
      </c>
      <c r="B49" s="36"/>
      <c r="C49" s="69" t="s">
        <v>33</v>
      </c>
      <c r="D49" s="37"/>
      <c r="E49" s="129">
        <v>220</v>
      </c>
      <c r="F49" s="36"/>
      <c r="G49" s="36"/>
    </row>
    <row r="50" spans="1:7" x14ac:dyDescent="0.25">
      <c r="A50" s="31">
        <v>45819</v>
      </c>
      <c r="B50" s="69" t="s">
        <v>343</v>
      </c>
      <c r="C50" s="69" t="s">
        <v>32</v>
      </c>
      <c r="D50" s="37">
        <v>3650</v>
      </c>
      <c r="E50" s="129"/>
      <c r="F50" s="36"/>
      <c r="G50" s="36"/>
    </row>
    <row r="51" spans="1:7" x14ac:dyDescent="0.25">
      <c r="A51" s="31">
        <v>45819</v>
      </c>
      <c r="B51" s="69" t="s">
        <v>344</v>
      </c>
      <c r="C51" s="69" t="s">
        <v>32</v>
      </c>
      <c r="D51" s="37">
        <v>200</v>
      </c>
      <c r="E51" s="129"/>
      <c r="F51" s="36"/>
      <c r="G51" s="36"/>
    </row>
    <row r="52" spans="1:7" x14ac:dyDescent="0.25">
      <c r="A52" s="31">
        <v>45819</v>
      </c>
      <c r="B52" s="69" t="s">
        <v>345</v>
      </c>
      <c r="C52" s="69" t="s">
        <v>32</v>
      </c>
      <c r="D52" s="37">
        <v>880</v>
      </c>
      <c r="E52" s="129"/>
      <c r="F52" s="36"/>
      <c r="G52" s="36"/>
    </row>
    <row r="53" spans="1:7" x14ac:dyDescent="0.25">
      <c r="A53" s="31">
        <v>45819</v>
      </c>
      <c r="B53" s="36"/>
      <c r="C53" s="69" t="s">
        <v>77</v>
      </c>
      <c r="D53" s="37"/>
      <c r="E53" s="136">
        <v>9000</v>
      </c>
      <c r="F53" s="36"/>
      <c r="G53" s="36"/>
    </row>
    <row r="54" spans="1:7" x14ac:dyDescent="0.25">
      <c r="A54" s="31">
        <v>45819</v>
      </c>
      <c r="B54" s="36"/>
      <c r="C54" s="69" t="s">
        <v>33</v>
      </c>
      <c r="D54" s="37"/>
      <c r="E54" s="129">
        <v>1495</v>
      </c>
      <c r="F54" s="36"/>
      <c r="G54" s="36"/>
    </row>
    <row r="55" spans="1:7" x14ac:dyDescent="0.25">
      <c r="A55" s="31">
        <v>45820</v>
      </c>
      <c r="B55" s="69" t="s">
        <v>346</v>
      </c>
      <c r="C55" s="69" t="s">
        <v>32</v>
      </c>
      <c r="D55" s="37">
        <v>3165</v>
      </c>
      <c r="E55" s="129"/>
      <c r="F55" s="36"/>
      <c r="G55" s="36"/>
    </row>
    <row r="56" spans="1:7" x14ac:dyDescent="0.25">
      <c r="A56" s="31">
        <v>45820</v>
      </c>
      <c r="B56" s="69" t="s">
        <v>347</v>
      </c>
      <c r="C56" s="69" t="s">
        <v>32</v>
      </c>
      <c r="D56" s="37">
        <v>80</v>
      </c>
      <c r="E56" s="129"/>
      <c r="F56" s="36"/>
      <c r="G56" s="36"/>
    </row>
    <row r="57" spans="1:7" x14ac:dyDescent="0.25">
      <c r="A57" s="31">
        <v>45820</v>
      </c>
      <c r="B57" s="69"/>
      <c r="C57" s="69" t="s">
        <v>33</v>
      </c>
      <c r="D57" s="37"/>
      <c r="E57" s="129">
        <v>75</v>
      </c>
      <c r="F57" s="36"/>
      <c r="G57" s="36"/>
    </row>
    <row r="58" spans="1:7" x14ac:dyDescent="0.25">
      <c r="A58" s="31">
        <v>45821</v>
      </c>
      <c r="B58" s="69" t="s">
        <v>348</v>
      </c>
      <c r="C58" s="69" t="s">
        <v>32</v>
      </c>
      <c r="D58" s="37">
        <v>40</v>
      </c>
      <c r="E58" s="129"/>
      <c r="F58" s="36"/>
      <c r="G58" s="36"/>
    </row>
    <row r="59" spans="1:7" x14ac:dyDescent="0.25">
      <c r="A59" s="31">
        <v>45821</v>
      </c>
      <c r="B59" s="69" t="s">
        <v>349</v>
      </c>
      <c r="C59" s="69" t="s">
        <v>32</v>
      </c>
      <c r="D59" s="37">
        <v>1900</v>
      </c>
      <c r="E59" s="129"/>
      <c r="F59" s="36"/>
      <c r="G59" s="36"/>
    </row>
    <row r="60" spans="1:7" x14ac:dyDescent="0.25">
      <c r="A60" s="31">
        <v>45821</v>
      </c>
      <c r="B60" s="36" t="s">
        <v>350</v>
      </c>
      <c r="C60" s="69" t="s">
        <v>32</v>
      </c>
      <c r="D60" s="37">
        <v>3295</v>
      </c>
      <c r="E60" s="129"/>
      <c r="F60" s="36"/>
      <c r="G60" s="36"/>
    </row>
    <row r="61" spans="1:7" x14ac:dyDescent="0.25">
      <c r="A61" s="31">
        <v>45821</v>
      </c>
      <c r="B61" s="36"/>
      <c r="C61" s="69" t="s">
        <v>33</v>
      </c>
      <c r="D61" s="37"/>
      <c r="E61" s="129">
        <v>210</v>
      </c>
      <c r="F61" s="36"/>
      <c r="G61" s="36"/>
    </row>
    <row r="62" spans="1:7" x14ac:dyDescent="0.25">
      <c r="A62" s="31">
        <v>45821</v>
      </c>
      <c r="B62" s="36"/>
      <c r="C62" s="69" t="s">
        <v>109</v>
      </c>
      <c r="D62" s="37"/>
      <c r="E62" s="136">
        <v>300</v>
      </c>
      <c r="F62" s="36"/>
      <c r="G62" s="36"/>
    </row>
    <row r="63" spans="1:7" x14ac:dyDescent="0.25">
      <c r="A63" s="31">
        <v>45822</v>
      </c>
      <c r="B63" s="36" t="s">
        <v>351</v>
      </c>
      <c r="C63" s="69" t="s">
        <v>32</v>
      </c>
      <c r="D63" s="37">
        <v>180</v>
      </c>
      <c r="E63" s="129"/>
      <c r="F63" s="36"/>
      <c r="G63" s="36"/>
    </row>
    <row r="64" spans="1:7" x14ac:dyDescent="0.25">
      <c r="A64" s="31">
        <v>45822</v>
      </c>
      <c r="B64" s="36" t="s">
        <v>352</v>
      </c>
      <c r="C64" s="69" t="s">
        <v>32</v>
      </c>
      <c r="D64" s="37">
        <v>610</v>
      </c>
      <c r="E64" s="129"/>
      <c r="F64" s="36"/>
      <c r="G64" s="36"/>
    </row>
    <row r="65" spans="1:7" x14ac:dyDescent="0.25">
      <c r="A65" s="31">
        <v>45822</v>
      </c>
      <c r="B65" s="36" t="s">
        <v>353</v>
      </c>
      <c r="C65" s="69" t="s">
        <v>32</v>
      </c>
      <c r="D65" s="37">
        <v>100</v>
      </c>
      <c r="E65" s="129"/>
      <c r="F65" s="36"/>
      <c r="G65" s="36"/>
    </row>
    <row r="66" spans="1:7" x14ac:dyDescent="0.25">
      <c r="A66" s="31">
        <v>45822</v>
      </c>
      <c r="B66" s="36" t="s">
        <v>354</v>
      </c>
      <c r="C66" s="69" t="s">
        <v>32</v>
      </c>
      <c r="D66" s="37">
        <v>1240</v>
      </c>
      <c r="E66" s="129"/>
      <c r="F66" s="36"/>
      <c r="G66" s="36"/>
    </row>
    <row r="67" spans="1:7" x14ac:dyDescent="0.25">
      <c r="A67" s="31">
        <v>45822</v>
      </c>
      <c r="B67" s="36"/>
      <c r="C67" s="69" t="s">
        <v>33</v>
      </c>
      <c r="D67" s="37"/>
      <c r="E67" s="129">
        <v>409</v>
      </c>
      <c r="F67" s="36"/>
      <c r="G67" s="36"/>
    </row>
    <row r="68" spans="1:7" x14ac:dyDescent="0.25">
      <c r="A68" s="31">
        <v>45822</v>
      </c>
      <c r="B68" s="36"/>
      <c r="C68" s="69" t="s">
        <v>145</v>
      </c>
      <c r="D68" s="37"/>
      <c r="E68" s="129">
        <v>2300</v>
      </c>
      <c r="F68" s="36"/>
      <c r="G68" s="36"/>
    </row>
    <row r="69" spans="1:7" x14ac:dyDescent="0.25">
      <c r="A69" s="31">
        <v>45823</v>
      </c>
      <c r="B69" s="36"/>
      <c r="C69" s="69" t="s">
        <v>162</v>
      </c>
      <c r="D69" s="37">
        <v>0</v>
      </c>
      <c r="E69" s="129"/>
      <c r="F69" s="36"/>
      <c r="G69" s="69" t="s">
        <v>361</v>
      </c>
    </row>
    <row r="70" spans="1:7" x14ac:dyDescent="0.25">
      <c r="A70" s="31">
        <v>45823</v>
      </c>
      <c r="B70" s="36" t="s">
        <v>355</v>
      </c>
      <c r="C70" s="69" t="s">
        <v>32</v>
      </c>
      <c r="D70" s="37">
        <v>4010</v>
      </c>
      <c r="E70" s="129"/>
      <c r="F70" s="36"/>
      <c r="G70" s="36"/>
    </row>
    <row r="71" spans="1:7" x14ac:dyDescent="0.25">
      <c r="A71" s="31">
        <v>45823</v>
      </c>
      <c r="B71" s="36" t="s">
        <v>356</v>
      </c>
      <c r="C71" s="69" t="s">
        <v>32</v>
      </c>
      <c r="D71" s="37">
        <v>1440</v>
      </c>
      <c r="E71" s="129"/>
      <c r="F71" s="36"/>
      <c r="G71" s="36"/>
    </row>
    <row r="72" spans="1:7" x14ac:dyDescent="0.25">
      <c r="A72" s="31">
        <v>45824</v>
      </c>
      <c r="B72" s="36" t="s">
        <v>357</v>
      </c>
      <c r="C72" s="69" t="s">
        <v>32</v>
      </c>
      <c r="D72" s="37">
        <v>1020</v>
      </c>
      <c r="E72" s="129"/>
      <c r="F72" s="36"/>
      <c r="G72" s="36"/>
    </row>
    <row r="73" spans="1:7" x14ac:dyDescent="0.25">
      <c r="A73" s="31">
        <v>45824</v>
      </c>
      <c r="B73" s="36" t="s">
        <v>358</v>
      </c>
      <c r="C73" s="69" t="s">
        <v>32</v>
      </c>
      <c r="D73" s="37">
        <v>140</v>
      </c>
      <c r="E73" s="129"/>
      <c r="F73" s="36"/>
      <c r="G73" s="36"/>
    </row>
    <row r="74" spans="1:7" x14ac:dyDescent="0.25">
      <c r="A74" s="31">
        <v>45824</v>
      </c>
      <c r="B74" s="36" t="s">
        <v>359</v>
      </c>
      <c r="C74" s="69" t="s">
        <v>32</v>
      </c>
      <c r="D74" s="37">
        <v>1900</v>
      </c>
      <c r="E74" s="129"/>
      <c r="F74" s="36"/>
      <c r="G74" s="36"/>
    </row>
    <row r="75" spans="1:7" x14ac:dyDescent="0.25">
      <c r="A75" s="31">
        <v>45825</v>
      </c>
      <c r="B75" s="36"/>
      <c r="C75" s="69" t="s">
        <v>168</v>
      </c>
      <c r="D75" s="37"/>
      <c r="E75" s="136">
        <v>550</v>
      </c>
      <c r="F75" s="36"/>
      <c r="G75" s="69" t="s">
        <v>360</v>
      </c>
    </row>
    <row r="76" spans="1:7" x14ac:dyDescent="0.25">
      <c r="A76" s="31">
        <v>45825</v>
      </c>
      <c r="B76" s="36" t="s">
        <v>365</v>
      </c>
      <c r="C76" s="69" t="s">
        <v>32</v>
      </c>
      <c r="D76" s="37">
        <v>1240</v>
      </c>
      <c r="E76" s="129"/>
      <c r="F76" s="36"/>
      <c r="G76" s="36"/>
    </row>
    <row r="77" spans="1:7" x14ac:dyDescent="0.25">
      <c r="A77" s="31">
        <v>45825</v>
      </c>
      <c r="B77" s="36" t="s">
        <v>366</v>
      </c>
      <c r="C77" s="69" t="s">
        <v>32</v>
      </c>
      <c r="D77" s="37">
        <v>260</v>
      </c>
      <c r="E77" s="129"/>
      <c r="F77" s="36"/>
      <c r="G77" s="36"/>
    </row>
    <row r="78" spans="1:7" x14ac:dyDescent="0.25">
      <c r="A78" s="31">
        <v>45825</v>
      </c>
      <c r="B78" s="36"/>
      <c r="C78" s="69" t="s">
        <v>33</v>
      </c>
      <c r="D78" s="37"/>
      <c r="E78" s="129">
        <v>50</v>
      </c>
      <c r="F78" s="36"/>
      <c r="G78" s="36"/>
    </row>
    <row r="79" spans="1:7" x14ac:dyDescent="0.25">
      <c r="A79" s="31">
        <v>45826</v>
      </c>
      <c r="B79" s="36" t="s">
        <v>368</v>
      </c>
      <c r="C79" s="69" t="s">
        <v>32</v>
      </c>
      <c r="D79" s="37">
        <v>880</v>
      </c>
      <c r="E79" s="129"/>
      <c r="F79" s="36"/>
      <c r="G79" s="36"/>
    </row>
    <row r="80" spans="1:7" x14ac:dyDescent="0.25">
      <c r="A80" s="31">
        <v>45826</v>
      </c>
      <c r="B80" s="36" t="s">
        <v>369</v>
      </c>
      <c r="C80" s="69" t="s">
        <v>32</v>
      </c>
      <c r="D80" s="37">
        <v>430</v>
      </c>
      <c r="E80" s="129"/>
      <c r="F80" s="36"/>
      <c r="G80" s="36"/>
    </row>
    <row r="81" spans="1:7" x14ac:dyDescent="0.25">
      <c r="A81" s="31">
        <v>45826</v>
      </c>
      <c r="B81" s="36" t="s">
        <v>370</v>
      </c>
      <c r="C81" s="69" t="s">
        <v>32</v>
      </c>
      <c r="D81" s="37">
        <v>80</v>
      </c>
      <c r="E81" s="129"/>
      <c r="F81" s="36"/>
      <c r="G81" s="36"/>
    </row>
    <row r="82" spans="1:7" x14ac:dyDescent="0.25">
      <c r="A82" s="31">
        <v>45826</v>
      </c>
      <c r="B82" s="36"/>
      <c r="C82" s="69" t="s">
        <v>109</v>
      </c>
      <c r="D82" s="37"/>
      <c r="E82" s="129">
        <v>300</v>
      </c>
      <c r="F82" s="36"/>
      <c r="G82" s="36"/>
    </row>
    <row r="83" spans="1:7" x14ac:dyDescent="0.25">
      <c r="A83" s="31">
        <v>45826</v>
      </c>
      <c r="B83" s="36"/>
      <c r="C83" s="69" t="s">
        <v>33</v>
      </c>
      <c r="D83" s="37"/>
      <c r="E83" s="129">
        <v>210</v>
      </c>
      <c r="F83" s="36"/>
      <c r="G83" s="36"/>
    </row>
    <row r="84" spans="1:7" x14ac:dyDescent="0.25">
      <c r="A84" s="31">
        <v>45827</v>
      </c>
      <c r="B84" s="36" t="s">
        <v>371</v>
      </c>
      <c r="C84" s="69" t="s">
        <v>32</v>
      </c>
      <c r="D84" s="37">
        <v>3100</v>
      </c>
      <c r="E84" s="129"/>
      <c r="F84" s="36"/>
      <c r="G84" s="36"/>
    </row>
    <row r="85" spans="1:7" x14ac:dyDescent="0.25">
      <c r="A85" s="31">
        <v>45827</v>
      </c>
      <c r="B85" s="36" t="s">
        <v>372</v>
      </c>
      <c r="C85" s="69" t="s">
        <v>32</v>
      </c>
      <c r="D85" s="37">
        <v>480</v>
      </c>
      <c r="E85" s="129"/>
      <c r="F85" s="36"/>
      <c r="G85" s="36"/>
    </row>
    <row r="86" spans="1:7" x14ac:dyDescent="0.25">
      <c r="A86" s="31">
        <v>45827</v>
      </c>
      <c r="B86" s="36"/>
      <c r="C86" s="69" t="s">
        <v>33</v>
      </c>
      <c r="D86" s="37"/>
      <c r="E86" s="129">
        <v>25</v>
      </c>
      <c r="F86" s="36"/>
      <c r="G86" s="36"/>
    </row>
    <row r="87" spans="1:7" x14ac:dyDescent="0.25">
      <c r="A87" s="31">
        <v>45828</v>
      </c>
      <c r="B87" s="36" t="s">
        <v>373</v>
      </c>
      <c r="C87" s="69" t="s">
        <v>32</v>
      </c>
      <c r="D87" s="37">
        <v>4555</v>
      </c>
      <c r="E87" s="129"/>
      <c r="F87" s="36"/>
      <c r="G87" s="36"/>
    </row>
    <row r="88" spans="1:7" x14ac:dyDescent="0.25">
      <c r="A88" s="31">
        <v>45828</v>
      </c>
      <c r="B88" s="36" t="s">
        <v>374</v>
      </c>
      <c r="C88" s="69" t="s">
        <v>32</v>
      </c>
      <c r="D88" s="37">
        <v>300</v>
      </c>
      <c r="E88" s="129"/>
      <c r="F88" s="36"/>
      <c r="G88" s="36"/>
    </row>
    <row r="89" spans="1:7" x14ac:dyDescent="0.25">
      <c r="A89" s="31">
        <v>45828</v>
      </c>
      <c r="B89" s="36" t="s">
        <v>375</v>
      </c>
      <c r="C89" s="69" t="s">
        <v>32</v>
      </c>
      <c r="D89" s="37">
        <v>40</v>
      </c>
      <c r="E89" s="129"/>
      <c r="F89" s="36"/>
      <c r="G89" s="36"/>
    </row>
    <row r="90" spans="1:7" x14ac:dyDescent="0.25">
      <c r="A90" s="31">
        <v>45828</v>
      </c>
      <c r="B90" s="36"/>
      <c r="C90" s="69" t="s">
        <v>33</v>
      </c>
      <c r="D90" s="37"/>
      <c r="E90" s="129">
        <v>50</v>
      </c>
      <c r="F90" s="36"/>
      <c r="G90" s="36"/>
    </row>
    <row r="91" spans="1:7" x14ac:dyDescent="0.25">
      <c r="A91" s="31">
        <v>45828</v>
      </c>
      <c r="B91" s="36"/>
      <c r="C91" s="69" t="s">
        <v>147</v>
      </c>
      <c r="D91" s="37"/>
      <c r="E91" s="129">
        <v>1710</v>
      </c>
      <c r="F91" s="36"/>
      <c r="G91" s="36" t="s">
        <v>376</v>
      </c>
    </row>
    <row r="92" spans="1:7" x14ac:dyDescent="0.25">
      <c r="A92" s="31">
        <v>45829</v>
      </c>
      <c r="B92" s="36"/>
      <c r="C92" s="69" t="s">
        <v>168</v>
      </c>
      <c r="D92" s="37"/>
      <c r="E92" s="129">
        <v>11302</v>
      </c>
      <c r="F92" s="36"/>
      <c r="G92" s="36"/>
    </row>
    <row r="93" spans="1:7" x14ac:dyDescent="0.25">
      <c r="A93" s="31">
        <v>45829</v>
      </c>
      <c r="B93" s="36"/>
      <c r="C93" s="69" t="s">
        <v>145</v>
      </c>
      <c r="D93" s="37"/>
      <c r="E93" s="129">
        <v>2300</v>
      </c>
      <c r="F93" s="36"/>
      <c r="G93" s="36"/>
    </row>
    <row r="94" spans="1:7" x14ac:dyDescent="0.25">
      <c r="A94" s="31">
        <v>45829</v>
      </c>
      <c r="B94" s="36" t="s">
        <v>377</v>
      </c>
      <c r="C94" s="69" t="s">
        <v>32</v>
      </c>
      <c r="D94" s="37">
        <v>3520</v>
      </c>
      <c r="E94" s="129"/>
      <c r="F94" s="36"/>
      <c r="G94" s="36"/>
    </row>
    <row r="95" spans="1:7" x14ac:dyDescent="0.25">
      <c r="A95" s="31">
        <v>45829</v>
      </c>
      <c r="B95" s="36" t="s">
        <v>378</v>
      </c>
      <c r="C95" s="69" t="s">
        <v>32</v>
      </c>
      <c r="D95" s="37">
        <v>6750</v>
      </c>
      <c r="E95" s="129"/>
      <c r="F95" s="36"/>
      <c r="G95" s="36"/>
    </row>
    <row r="96" spans="1:7" x14ac:dyDescent="0.25">
      <c r="A96" s="31">
        <v>45829</v>
      </c>
      <c r="B96" s="36" t="s">
        <v>379</v>
      </c>
      <c r="C96" s="69" t="s">
        <v>32</v>
      </c>
      <c r="D96" s="37">
        <v>2840</v>
      </c>
      <c r="E96" s="129"/>
      <c r="F96" s="36"/>
      <c r="G96" s="36"/>
    </row>
    <row r="97" spans="1:11" x14ac:dyDescent="0.25">
      <c r="A97" s="31">
        <v>45829</v>
      </c>
      <c r="B97" s="36" t="s">
        <v>380</v>
      </c>
      <c r="C97" s="69" t="s">
        <v>32</v>
      </c>
      <c r="D97" s="37">
        <v>700</v>
      </c>
      <c r="E97" s="129"/>
      <c r="F97" s="36"/>
      <c r="G97" s="36"/>
      <c r="I97" t="s">
        <v>421</v>
      </c>
      <c r="J97">
        <v>202</v>
      </c>
    </row>
    <row r="98" spans="1:11" x14ac:dyDescent="0.25">
      <c r="A98" s="31">
        <v>45829</v>
      </c>
      <c r="B98" s="36"/>
      <c r="C98" s="69" t="s">
        <v>33</v>
      </c>
      <c r="D98" s="37"/>
      <c r="E98" s="129">
        <v>300</v>
      </c>
      <c r="F98" s="36"/>
      <c r="G98" s="36"/>
    </row>
    <row r="99" spans="1:11" x14ac:dyDescent="0.25">
      <c r="A99" s="31">
        <v>45830</v>
      </c>
      <c r="B99" s="36" t="s">
        <v>383</v>
      </c>
      <c r="C99" s="69" t="s">
        <v>32</v>
      </c>
      <c r="D99" s="37">
        <v>1850</v>
      </c>
      <c r="E99" s="129"/>
      <c r="F99" s="36"/>
      <c r="G99" s="36"/>
    </row>
    <row r="100" spans="1:11" x14ac:dyDescent="0.25">
      <c r="A100" s="31">
        <v>45830</v>
      </c>
      <c r="B100" s="36" t="s">
        <v>384</v>
      </c>
      <c r="C100" s="36" t="s">
        <v>32</v>
      </c>
      <c r="D100" s="37">
        <v>840</v>
      </c>
      <c r="E100" s="129"/>
      <c r="F100" s="36"/>
      <c r="G100" s="36"/>
    </row>
    <row r="101" spans="1:11" x14ac:dyDescent="0.25">
      <c r="A101" s="31">
        <v>45830</v>
      </c>
      <c r="B101" s="36" t="s">
        <v>385</v>
      </c>
      <c r="C101" s="69" t="s">
        <v>32</v>
      </c>
      <c r="D101" s="37">
        <v>480</v>
      </c>
      <c r="E101" s="129"/>
      <c r="F101" s="36"/>
      <c r="G101" s="36"/>
    </row>
    <row r="102" spans="1:11" x14ac:dyDescent="0.25">
      <c r="A102" s="31">
        <v>45830</v>
      </c>
      <c r="B102" s="36"/>
      <c r="C102" s="69" t="s">
        <v>147</v>
      </c>
      <c r="D102" s="37"/>
      <c r="E102" s="129">
        <v>17205</v>
      </c>
      <c r="F102" s="36"/>
      <c r="G102" s="36"/>
    </row>
    <row r="103" spans="1:11" x14ac:dyDescent="0.25">
      <c r="A103" s="31">
        <v>45831</v>
      </c>
      <c r="B103" s="36" t="s">
        <v>386</v>
      </c>
      <c r="C103" s="69" t="s">
        <v>32</v>
      </c>
      <c r="D103" s="37">
        <v>4185</v>
      </c>
      <c r="E103" s="129"/>
      <c r="F103" s="36"/>
      <c r="G103" s="36"/>
    </row>
    <row r="104" spans="1:11" x14ac:dyDescent="0.25">
      <c r="A104" s="31">
        <v>45831</v>
      </c>
      <c r="B104" s="36" t="s">
        <v>387</v>
      </c>
      <c r="C104" s="69" t="s">
        <v>32</v>
      </c>
      <c r="D104" s="37">
        <v>680</v>
      </c>
      <c r="E104" s="129"/>
      <c r="F104" s="36"/>
      <c r="G104" s="36"/>
    </row>
    <row r="105" spans="1:11" x14ac:dyDescent="0.25">
      <c r="A105" s="31">
        <v>45831</v>
      </c>
      <c r="B105" s="36" t="s">
        <v>388</v>
      </c>
      <c r="C105" s="69" t="s">
        <v>32</v>
      </c>
      <c r="D105" s="37">
        <v>80</v>
      </c>
      <c r="E105" s="129"/>
      <c r="F105" s="36"/>
      <c r="G105" s="36"/>
    </row>
    <row r="106" spans="1:11" x14ac:dyDescent="0.25">
      <c r="A106" s="31">
        <v>45831</v>
      </c>
      <c r="B106" s="36" t="s">
        <v>389</v>
      </c>
      <c r="C106" s="69" t="s">
        <v>32</v>
      </c>
      <c r="D106" s="37">
        <v>700</v>
      </c>
      <c r="E106" s="129"/>
      <c r="F106" s="36"/>
      <c r="G106" s="36"/>
    </row>
    <row r="107" spans="1:11" x14ac:dyDescent="0.25">
      <c r="A107" s="31">
        <v>45831</v>
      </c>
      <c r="B107" s="36" t="s">
        <v>390</v>
      </c>
      <c r="C107" s="69" t="s">
        <v>32</v>
      </c>
      <c r="D107" s="37">
        <v>150</v>
      </c>
      <c r="E107" s="129"/>
      <c r="F107" s="36"/>
      <c r="G107" s="36"/>
    </row>
    <row r="108" spans="1:11" x14ac:dyDescent="0.25">
      <c r="A108" s="31">
        <v>45831</v>
      </c>
      <c r="B108" s="36"/>
      <c r="C108" s="69" t="s">
        <v>33</v>
      </c>
      <c r="D108" s="37"/>
      <c r="E108" s="129">
        <v>716</v>
      </c>
      <c r="F108" s="36"/>
      <c r="G108" s="36"/>
    </row>
    <row r="109" spans="1:11" x14ac:dyDescent="0.25">
      <c r="A109" s="31">
        <v>45832</v>
      </c>
      <c r="B109" s="36" t="s">
        <v>391</v>
      </c>
      <c r="C109" s="69" t="s">
        <v>32</v>
      </c>
      <c r="D109" s="37">
        <v>1300</v>
      </c>
      <c r="E109" s="129"/>
      <c r="F109" s="36"/>
      <c r="G109" s="36"/>
    </row>
    <row r="110" spans="1:11" x14ac:dyDescent="0.25">
      <c r="A110" s="31">
        <v>45832</v>
      </c>
      <c r="B110" s="36" t="s">
        <v>392</v>
      </c>
      <c r="C110" s="69" t="s">
        <v>32</v>
      </c>
      <c r="D110" s="37">
        <v>600</v>
      </c>
      <c r="E110" s="129"/>
      <c r="F110" s="36"/>
      <c r="G110" s="36"/>
      <c r="J110" s="150" t="s">
        <v>422</v>
      </c>
      <c r="K110" s="150" t="s">
        <v>423</v>
      </c>
    </row>
    <row r="111" spans="1:11" x14ac:dyDescent="0.25">
      <c r="A111" s="31">
        <v>45832</v>
      </c>
      <c r="B111" s="36"/>
      <c r="C111" s="69" t="s">
        <v>33</v>
      </c>
      <c r="D111" s="37"/>
      <c r="E111" s="129">
        <v>210</v>
      </c>
      <c r="F111" s="36"/>
      <c r="G111" s="36"/>
      <c r="I111" s="73"/>
      <c r="J111" s="124">
        <v>136</v>
      </c>
      <c r="K111" s="124">
        <v>1300</v>
      </c>
    </row>
    <row r="112" spans="1:11" x14ac:dyDescent="0.25">
      <c r="A112" s="31">
        <v>45832</v>
      </c>
      <c r="B112" s="36"/>
      <c r="C112" s="69" t="s">
        <v>33</v>
      </c>
      <c r="D112" s="37"/>
      <c r="E112" s="129">
        <v>5300</v>
      </c>
      <c r="F112" s="36"/>
      <c r="G112" s="36" t="s">
        <v>402</v>
      </c>
      <c r="I112" s="73"/>
      <c r="J112" s="124">
        <v>1000</v>
      </c>
      <c r="K112" s="124">
        <v>2240</v>
      </c>
    </row>
    <row r="113" spans="1:11" x14ac:dyDescent="0.25">
      <c r="A113" s="31">
        <v>45832</v>
      </c>
      <c r="B113" s="36"/>
      <c r="C113" s="69" t="s">
        <v>145</v>
      </c>
      <c r="D113" s="37"/>
      <c r="E113" s="129">
        <v>2200</v>
      </c>
      <c r="F113" s="36"/>
      <c r="G113" s="36"/>
      <c r="I113" s="73"/>
      <c r="J113" s="124">
        <v>500</v>
      </c>
      <c r="K113" s="124">
        <v>200</v>
      </c>
    </row>
    <row r="114" spans="1:11" x14ac:dyDescent="0.25">
      <c r="A114" s="31">
        <v>45832</v>
      </c>
      <c r="B114" s="36"/>
      <c r="C114" s="69" t="s">
        <v>147</v>
      </c>
      <c r="D114" s="37"/>
      <c r="E114" s="129">
        <v>58367</v>
      </c>
      <c r="F114" s="36"/>
      <c r="G114" s="36"/>
      <c r="I114" s="73"/>
      <c r="J114" s="124">
        <v>6000</v>
      </c>
      <c r="K114" s="124">
        <v>600</v>
      </c>
    </row>
    <row r="115" spans="1:11" x14ac:dyDescent="0.25">
      <c r="A115" s="31">
        <v>45833</v>
      </c>
      <c r="B115" s="36" t="s">
        <v>393</v>
      </c>
      <c r="C115" s="69" t="s">
        <v>32</v>
      </c>
      <c r="D115" s="37">
        <v>240</v>
      </c>
      <c r="E115" s="129"/>
      <c r="F115" s="36"/>
      <c r="G115" s="36"/>
      <c r="I115" s="73"/>
      <c r="J115" s="124">
        <v>2000</v>
      </c>
      <c r="K115" s="124">
        <v>960</v>
      </c>
    </row>
    <row r="116" spans="1:11" x14ac:dyDescent="0.25">
      <c r="A116" s="31">
        <v>45833</v>
      </c>
      <c r="B116" s="36" t="s">
        <v>394</v>
      </c>
      <c r="C116" s="69" t="s">
        <v>32</v>
      </c>
      <c r="D116" s="37">
        <v>2710</v>
      </c>
      <c r="E116" s="129"/>
      <c r="F116" s="36"/>
      <c r="G116" s="36"/>
      <c r="J116" s="124"/>
      <c r="K116" s="124"/>
    </row>
    <row r="117" spans="1:11" x14ac:dyDescent="0.25">
      <c r="A117" s="31">
        <v>45833</v>
      </c>
      <c r="B117" s="36"/>
      <c r="C117" s="69" t="s">
        <v>33</v>
      </c>
      <c r="D117" s="37"/>
      <c r="E117" s="129">
        <v>25</v>
      </c>
      <c r="F117" s="36"/>
      <c r="G117" s="36"/>
      <c r="J117" s="55">
        <f>SUM(J111:J116)</f>
        <v>9636</v>
      </c>
      <c r="K117" s="55">
        <f>SUM(K111:K116)</f>
        <v>5300</v>
      </c>
    </row>
    <row r="118" spans="1:11" x14ac:dyDescent="0.25">
      <c r="A118" s="31">
        <v>45834</v>
      </c>
      <c r="B118" s="36" t="s">
        <v>395</v>
      </c>
      <c r="C118" s="69" t="s">
        <v>32</v>
      </c>
      <c r="D118" s="37">
        <v>2140</v>
      </c>
      <c r="E118" s="129"/>
      <c r="F118" s="36"/>
      <c r="G118" s="36"/>
      <c r="I118" s="73"/>
      <c r="J118" s="151" t="s">
        <v>424</v>
      </c>
      <c r="K118" s="124">
        <f>J117-K117</f>
        <v>4336</v>
      </c>
    </row>
    <row r="119" spans="1:11" x14ac:dyDescent="0.25">
      <c r="A119" s="31">
        <v>45834</v>
      </c>
      <c r="B119" s="36" t="s">
        <v>396</v>
      </c>
      <c r="C119" s="69" t="s">
        <v>32</v>
      </c>
      <c r="D119" s="37">
        <v>120</v>
      </c>
      <c r="E119" s="129"/>
      <c r="F119" s="36"/>
      <c r="G119" s="36"/>
      <c r="I119" s="73"/>
      <c r="J119" s="79"/>
      <c r="K119" s="79"/>
    </row>
    <row r="120" spans="1:11" x14ac:dyDescent="0.25">
      <c r="A120" s="31">
        <v>45834</v>
      </c>
      <c r="B120" s="36" t="s">
        <v>397</v>
      </c>
      <c r="C120" s="69" t="s">
        <v>32</v>
      </c>
      <c r="D120" s="37">
        <v>200</v>
      </c>
      <c r="E120" s="129"/>
      <c r="F120" s="36"/>
      <c r="G120" s="36"/>
      <c r="I120" s="73"/>
      <c r="J120" s="79"/>
      <c r="K120" s="79"/>
    </row>
    <row r="121" spans="1:11" x14ac:dyDescent="0.25">
      <c r="A121" s="31">
        <v>45834</v>
      </c>
      <c r="B121" s="36" t="s">
        <v>398</v>
      </c>
      <c r="C121" s="69" t="s">
        <v>32</v>
      </c>
      <c r="D121" s="37">
        <v>40</v>
      </c>
      <c r="E121" s="129"/>
      <c r="F121" s="36"/>
      <c r="G121" s="36"/>
      <c r="I121" s="73"/>
      <c r="J121" s="79"/>
      <c r="K121" s="79"/>
    </row>
    <row r="122" spans="1:11" x14ac:dyDescent="0.25">
      <c r="A122" s="31">
        <v>45834</v>
      </c>
      <c r="B122" s="36"/>
      <c r="C122" s="69" t="s">
        <v>33</v>
      </c>
      <c r="D122" s="37"/>
      <c r="E122" s="129">
        <v>55</v>
      </c>
      <c r="F122" s="36"/>
      <c r="G122" s="36"/>
      <c r="I122" s="73"/>
      <c r="J122" s="79"/>
      <c r="K122" s="79"/>
    </row>
    <row r="123" spans="1:11" x14ac:dyDescent="0.25">
      <c r="A123" s="31">
        <v>45835</v>
      </c>
      <c r="B123" s="36" t="s">
        <v>399</v>
      </c>
      <c r="C123" s="69" t="s">
        <v>32</v>
      </c>
      <c r="D123" s="37">
        <v>1420</v>
      </c>
      <c r="E123" s="129"/>
      <c r="F123" s="36"/>
      <c r="G123" s="36"/>
      <c r="I123" s="73"/>
      <c r="J123" s="79"/>
      <c r="K123" s="79"/>
    </row>
    <row r="124" spans="1:11" x14ac:dyDescent="0.25">
      <c r="A124" s="31">
        <v>45835</v>
      </c>
      <c r="B124" s="36" t="s">
        <v>400</v>
      </c>
      <c r="C124" s="69" t="s">
        <v>32</v>
      </c>
      <c r="D124" s="37">
        <v>2240</v>
      </c>
      <c r="E124" s="129"/>
      <c r="F124" s="36"/>
      <c r="G124" s="36"/>
      <c r="I124" s="73"/>
      <c r="J124" s="79"/>
      <c r="K124" s="79"/>
    </row>
    <row r="125" spans="1:11" x14ac:dyDescent="0.25">
      <c r="A125" s="31">
        <v>45835</v>
      </c>
      <c r="B125" s="36" t="s">
        <v>401</v>
      </c>
      <c r="C125" s="69" t="s">
        <v>32</v>
      </c>
      <c r="D125" s="37">
        <v>700</v>
      </c>
      <c r="E125" s="129"/>
      <c r="F125" s="36"/>
      <c r="G125" s="36"/>
      <c r="I125" s="73"/>
      <c r="J125" s="79"/>
      <c r="K125" s="79"/>
    </row>
    <row r="126" spans="1:11" x14ac:dyDescent="0.25">
      <c r="A126" s="31">
        <v>45835</v>
      </c>
      <c r="B126" s="36"/>
      <c r="C126" s="69" t="s">
        <v>33</v>
      </c>
      <c r="D126" s="37"/>
      <c r="E126" s="129">
        <v>400</v>
      </c>
      <c r="F126" s="36"/>
      <c r="G126" s="36"/>
      <c r="I126" s="73"/>
      <c r="J126" s="79"/>
      <c r="K126" s="79"/>
    </row>
    <row r="127" spans="1:11" x14ac:dyDescent="0.25">
      <c r="A127" s="31">
        <v>45836</v>
      </c>
      <c r="B127" s="36"/>
      <c r="C127" s="69" t="s">
        <v>145</v>
      </c>
      <c r="D127" s="37"/>
      <c r="E127" s="129">
        <v>2200</v>
      </c>
      <c r="F127" s="36"/>
      <c r="G127" s="36"/>
      <c r="I127" s="73"/>
      <c r="J127" s="79"/>
      <c r="K127" s="79"/>
    </row>
    <row r="128" spans="1:11" x14ac:dyDescent="0.25">
      <c r="A128" s="31">
        <v>45836</v>
      </c>
      <c r="B128" s="36" t="s">
        <v>403</v>
      </c>
      <c r="C128" s="69" t="s">
        <v>32</v>
      </c>
      <c r="D128" s="37">
        <v>100</v>
      </c>
      <c r="E128" s="129"/>
      <c r="F128" s="36"/>
      <c r="G128" s="36"/>
      <c r="I128" s="73"/>
      <c r="J128" s="79"/>
      <c r="K128" s="79"/>
    </row>
    <row r="129" spans="1:11" x14ac:dyDescent="0.25">
      <c r="A129" s="31">
        <v>45836</v>
      </c>
      <c r="B129" s="36" t="s">
        <v>404</v>
      </c>
      <c r="C129" s="69" t="s">
        <v>32</v>
      </c>
      <c r="D129" s="37">
        <v>80</v>
      </c>
      <c r="E129" s="129"/>
      <c r="F129" s="36"/>
      <c r="G129" s="36"/>
      <c r="I129" s="73"/>
      <c r="J129" s="79"/>
      <c r="K129" s="79"/>
    </row>
    <row r="130" spans="1:11" x14ac:dyDescent="0.25">
      <c r="A130" s="31">
        <v>45836</v>
      </c>
      <c r="B130" s="36" t="s">
        <v>405</v>
      </c>
      <c r="C130" s="69" t="s">
        <v>32</v>
      </c>
      <c r="D130" s="37">
        <v>4505</v>
      </c>
      <c r="E130" s="129"/>
      <c r="F130" s="36"/>
      <c r="G130" s="36"/>
      <c r="I130" s="73"/>
      <c r="J130" s="79"/>
      <c r="K130" s="79"/>
    </row>
    <row r="131" spans="1:11" x14ac:dyDescent="0.25">
      <c r="A131" s="31">
        <v>45836</v>
      </c>
      <c r="B131" s="36" t="s">
        <v>406</v>
      </c>
      <c r="C131" s="69" t="s">
        <v>32</v>
      </c>
      <c r="D131" s="37">
        <v>600</v>
      </c>
      <c r="E131" s="129"/>
      <c r="F131" s="36"/>
      <c r="G131" s="36"/>
    </row>
    <row r="132" spans="1:11" x14ac:dyDescent="0.25">
      <c r="A132" s="31">
        <v>45836</v>
      </c>
      <c r="B132" s="36" t="s">
        <v>407</v>
      </c>
      <c r="C132" s="69" t="s">
        <v>32</v>
      </c>
      <c r="D132" s="37">
        <v>400</v>
      </c>
      <c r="E132" s="78"/>
      <c r="F132" s="36"/>
      <c r="G132" s="36"/>
    </row>
    <row r="133" spans="1:11" x14ac:dyDescent="0.25">
      <c r="A133" s="31">
        <v>45836</v>
      </c>
      <c r="B133" s="36" t="s">
        <v>408</v>
      </c>
      <c r="C133" s="69" t="s">
        <v>32</v>
      </c>
      <c r="D133" s="37">
        <v>980</v>
      </c>
      <c r="E133" s="78"/>
      <c r="F133" s="36"/>
      <c r="G133" s="36"/>
    </row>
    <row r="134" spans="1:11" x14ac:dyDescent="0.25">
      <c r="A134" s="31">
        <v>45836</v>
      </c>
      <c r="B134" s="36"/>
      <c r="C134" s="69" t="s">
        <v>109</v>
      </c>
      <c r="D134" s="37"/>
      <c r="E134" s="78">
        <v>400</v>
      </c>
      <c r="F134" s="36"/>
      <c r="G134" s="36"/>
    </row>
    <row r="135" spans="1:11" x14ac:dyDescent="0.25">
      <c r="A135" s="31">
        <v>45836</v>
      </c>
      <c r="B135" s="36"/>
      <c r="C135" s="69" t="s">
        <v>33</v>
      </c>
      <c r="D135" s="37"/>
      <c r="E135" s="78">
        <v>195</v>
      </c>
      <c r="F135" s="36"/>
      <c r="G135" s="36"/>
    </row>
    <row r="136" spans="1:11" x14ac:dyDescent="0.25">
      <c r="A136" s="31">
        <v>45837</v>
      </c>
      <c r="B136" s="36" t="s">
        <v>409</v>
      </c>
      <c r="C136" s="69" t="s">
        <v>32</v>
      </c>
      <c r="D136" s="37">
        <v>3000</v>
      </c>
      <c r="E136" s="78"/>
      <c r="F136" s="36"/>
      <c r="G136" s="36"/>
    </row>
    <row r="137" spans="1:11" x14ac:dyDescent="0.25">
      <c r="A137" s="31">
        <v>45838</v>
      </c>
      <c r="B137" s="36" t="s">
        <v>410</v>
      </c>
      <c r="C137" s="69" t="s">
        <v>32</v>
      </c>
      <c r="D137" s="37">
        <v>4060</v>
      </c>
      <c r="E137" s="78"/>
      <c r="F137" s="36"/>
      <c r="G137" s="36"/>
    </row>
    <row r="138" spans="1:11" x14ac:dyDescent="0.25">
      <c r="A138" s="31">
        <v>45838</v>
      </c>
      <c r="B138" s="36" t="s">
        <v>411</v>
      </c>
      <c r="C138" s="69" t="s">
        <v>32</v>
      </c>
      <c r="D138" s="37">
        <v>300</v>
      </c>
      <c r="E138" s="78"/>
      <c r="F138" s="36"/>
      <c r="G138" s="36"/>
    </row>
    <row r="139" spans="1:11" x14ac:dyDescent="0.25">
      <c r="A139" s="31">
        <v>45838</v>
      </c>
      <c r="B139" s="36" t="s">
        <v>412</v>
      </c>
      <c r="C139" s="69" t="s">
        <v>32</v>
      </c>
      <c r="D139" s="37">
        <v>280</v>
      </c>
      <c r="E139" s="78"/>
      <c r="F139" s="36"/>
      <c r="G139" s="36"/>
    </row>
    <row r="140" spans="1:11" x14ac:dyDescent="0.25">
      <c r="A140" s="31">
        <v>45838</v>
      </c>
      <c r="B140" s="36"/>
      <c r="C140" s="69" t="s">
        <v>33</v>
      </c>
      <c r="D140" s="37"/>
      <c r="E140" s="78">
        <v>50</v>
      </c>
      <c r="F140" s="36"/>
      <c r="G140" s="36"/>
    </row>
    <row r="141" spans="1:11" x14ac:dyDescent="0.25">
      <c r="A141" s="31">
        <v>45838</v>
      </c>
      <c r="B141" s="36"/>
      <c r="C141" s="69" t="s">
        <v>161</v>
      </c>
      <c r="D141" s="37"/>
      <c r="E141" s="78">
        <v>2000</v>
      </c>
      <c r="F141" s="36"/>
      <c r="G141" s="36" t="s">
        <v>413</v>
      </c>
    </row>
    <row r="142" spans="1:11" x14ac:dyDescent="0.25">
      <c r="A142" s="31">
        <v>45838</v>
      </c>
      <c r="B142" s="36"/>
      <c r="C142" s="69" t="s">
        <v>161</v>
      </c>
      <c r="D142" s="37"/>
      <c r="E142" s="78">
        <v>4750</v>
      </c>
      <c r="F142" s="36"/>
      <c r="G142" s="36" t="s">
        <v>313</v>
      </c>
    </row>
    <row r="143" spans="1:11" ht="15.75" customHeight="1" x14ac:dyDescent="0.25">
      <c r="A143" s="36"/>
      <c r="B143" s="36"/>
      <c r="C143" s="7" t="s">
        <v>126</v>
      </c>
      <c r="D143" s="9">
        <f>SUM(D3:D142)</f>
        <v>126385</v>
      </c>
      <c r="E143" s="36"/>
      <c r="F143" s="36"/>
      <c r="G143" s="36"/>
    </row>
    <row r="144" spans="1:11" ht="15.75" customHeight="1" x14ac:dyDescent="0.25">
      <c r="A144" s="36"/>
      <c r="B144" s="36"/>
      <c r="C144" s="39" t="s">
        <v>21</v>
      </c>
      <c r="D144" s="40">
        <f>SUM(D143,D2)</f>
        <v>159058</v>
      </c>
      <c r="E144" s="40">
        <f>SUM(E2:E143)</f>
        <v>173669</v>
      </c>
      <c r="F144" s="36"/>
      <c r="G144" s="36"/>
    </row>
    <row r="145" spans="1:7" ht="15.75" customHeight="1" x14ac:dyDescent="0.25">
      <c r="A145" s="10"/>
      <c r="B145" s="10"/>
      <c r="C145" s="10"/>
      <c r="D145" s="10"/>
      <c r="E145" s="10"/>
      <c r="F145" s="10"/>
      <c r="G145" s="10"/>
    </row>
    <row r="146" spans="1:7" ht="15.75" customHeight="1" x14ac:dyDescent="0.25">
      <c r="A146" s="10"/>
      <c r="B146" s="10"/>
      <c r="C146" s="29" t="s">
        <v>127</v>
      </c>
      <c r="D146" s="41">
        <f>D143-E144</f>
        <v>-47284</v>
      </c>
      <c r="E146" s="10"/>
      <c r="F146" s="10"/>
      <c r="G146" s="10"/>
    </row>
    <row r="147" spans="1:7" ht="15.75" customHeight="1" x14ac:dyDescent="0.25">
      <c r="A147" s="10"/>
      <c r="B147" s="10"/>
      <c r="C147" s="29" t="s">
        <v>60</v>
      </c>
      <c r="D147" s="30">
        <f>D144-E144</f>
        <v>-14611</v>
      </c>
      <c r="E147" s="10"/>
      <c r="F147" s="10"/>
      <c r="G147" s="10"/>
    </row>
    <row r="148" spans="1:7" ht="15.75" customHeight="1" x14ac:dyDescent="0.25"/>
    <row r="149" spans="1:7" ht="15.75" customHeight="1" x14ac:dyDescent="0.25">
      <c r="C149" s="119" t="s">
        <v>196</v>
      </c>
      <c r="D149" s="120">
        <f>D147-'Feb 2025 - Sales'!C2</f>
        <v>-57539</v>
      </c>
    </row>
    <row r="150" spans="1:7" ht="15.75" customHeight="1" x14ac:dyDescent="0.25"/>
    <row r="151" spans="1:7" ht="15.75" customHeight="1" x14ac:dyDescent="0.25"/>
    <row r="152" spans="1:7" ht="15.75" customHeight="1" x14ac:dyDescent="0.25"/>
    <row r="153" spans="1:7" ht="15.75" customHeight="1" x14ac:dyDescent="0.25"/>
    <row r="154" spans="1:7" ht="15.75" customHeight="1" x14ac:dyDescent="0.25"/>
    <row r="155" spans="1:7" ht="15.75" customHeight="1" x14ac:dyDescent="0.25"/>
    <row r="156" spans="1:7" ht="15.75" customHeight="1" x14ac:dyDescent="0.25"/>
    <row r="157" spans="1:7" ht="15.75" customHeight="1" x14ac:dyDescent="0.25"/>
    <row r="158" spans="1:7" ht="15.75" customHeight="1" x14ac:dyDescent="0.25"/>
    <row r="159" spans="1:7" ht="15.75" customHeight="1" x14ac:dyDescent="0.25"/>
    <row r="160" spans="1:7"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row r="1015" ht="15.75" customHeight="1" x14ac:dyDescent="0.25"/>
    <row r="1016" ht="15.75" customHeight="1" x14ac:dyDescent="0.25"/>
    <row r="1017" ht="15.75" customHeight="1" x14ac:dyDescent="0.25"/>
    <row r="1018" ht="15.75" customHeight="1" x14ac:dyDescent="0.25"/>
    <row r="1019" ht="15.75" customHeight="1" x14ac:dyDescent="0.25"/>
    <row r="1020" ht="15.75" customHeight="1" x14ac:dyDescent="0.25"/>
    <row r="1021" ht="15.75" customHeight="1" x14ac:dyDescent="0.25"/>
    <row r="1022" ht="15.75" customHeight="1" x14ac:dyDescent="0.25"/>
    <row r="1023" ht="15.75" customHeight="1" x14ac:dyDescent="0.25"/>
    <row r="1024" ht="15.75" customHeight="1" x14ac:dyDescent="0.25"/>
    <row r="1025" ht="15.75" customHeight="1" x14ac:dyDescent="0.25"/>
    <row r="1026" ht="15.75" customHeight="1" x14ac:dyDescent="0.25"/>
    <row r="1027" ht="15.75" customHeight="1" x14ac:dyDescent="0.25"/>
    <row r="1028" ht="15.75" customHeight="1" x14ac:dyDescent="0.25"/>
    <row r="1029" ht="15.75" customHeight="1" x14ac:dyDescent="0.25"/>
    <row r="1030" ht="15.75" customHeight="1" x14ac:dyDescent="0.25"/>
    <row r="1031" ht="15.75" customHeight="1" x14ac:dyDescent="0.25"/>
    <row r="1032" ht="15.75" customHeight="1" x14ac:dyDescent="0.25"/>
    <row r="1033" ht="15.75" customHeight="1" x14ac:dyDescent="0.25"/>
    <row r="1034" ht="15.75" customHeight="1" x14ac:dyDescent="0.25"/>
    <row r="1035" ht="15.75" customHeight="1" x14ac:dyDescent="0.25"/>
    <row r="1036" ht="15.75" customHeight="1" x14ac:dyDescent="0.25"/>
    <row r="1037" ht="15.75" customHeight="1" x14ac:dyDescent="0.25"/>
    <row r="1038" ht="15.75" customHeight="1" x14ac:dyDescent="0.25"/>
    <row r="1039" ht="15.75" customHeight="1" x14ac:dyDescent="0.25"/>
    <row r="1040" ht="15.75" customHeight="1" x14ac:dyDescent="0.25"/>
    <row r="1041" ht="15.75" customHeight="1" x14ac:dyDescent="0.25"/>
    <row r="1042" ht="15.75" customHeight="1" x14ac:dyDescent="0.25"/>
    <row r="1043" ht="15.75" customHeight="1" x14ac:dyDescent="0.25"/>
    <row r="1044" ht="15.75" customHeight="1" x14ac:dyDescent="0.25"/>
    <row r="1045" ht="15.75" customHeight="1" x14ac:dyDescent="0.25"/>
    <row r="1046" ht="15.75" customHeight="1" x14ac:dyDescent="0.25"/>
    <row r="1047" ht="15.75" customHeight="1" x14ac:dyDescent="0.25"/>
    <row r="1048" ht="15.75" customHeight="1" x14ac:dyDescent="0.25"/>
    <row r="1049" ht="15.75" customHeight="1" x14ac:dyDescent="0.25"/>
    <row r="1050" ht="15.75" customHeight="1" x14ac:dyDescent="0.25"/>
    <row r="1051" ht="15.75" customHeight="1" x14ac:dyDescent="0.25"/>
    <row r="1052" ht="15.75" customHeight="1" x14ac:dyDescent="0.25"/>
    <row r="1053" ht="15.75" customHeight="1" x14ac:dyDescent="0.25"/>
  </sheetData>
  <autoFilter ref="A1:G144"/>
  <sortState ref="I31:K40">
    <sortCondition ref="I31:I40"/>
  </sortState>
  <conditionalFormatting sqref="D149">
    <cfRule type="cellIs" dxfId="24932" priority="86" operator="lessThan">
      <formula>0</formula>
    </cfRule>
    <cfRule type="cellIs" dxfId="24931" priority="87" operator="greaterThan">
      <formula>0</formula>
    </cfRule>
  </conditionalFormatting>
  <conditionalFormatting sqref="A2:G113 A114:D114 F114:G114 A115:G142">
    <cfRule type="expression" dxfId="24930" priority="9">
      <formula>$C2="Advance"</formula>
    </cfRule>
  </conditionalFormatting>
  <conditionalFormatting sqref="B2:G113 B114:D114 F114:G114 B115:G142">
    <cfRule type="expression" dxfId="24929" priority="1">
      <formula>$C2="Staff Salary"</formula>
    </cfRule>
    <cfRule type="expression" dxfId="24928" priority="2">
      <formula>$C2="Rent"</formula>
    </cfRule>
    <cfRule type="expression" dxfId="24927" priority="3">
      <formula>$C2="Petrol"</formula>
    </cfRule>
    <cfRule type="expression" dxfId="24926" priority="4">
      <formula>$C2="Bills"</formula>
    </cfRule>
    <cfRule type="expression" dxfId="24925" priority="5">
      <formula>$C2="Sales"</formula>
    </cfRule>
    <cfRule type="expression" dxfId="24924" priority="6">
      <formula>$C2="Expences"</formula>
    </cfRule>
    <cfRule type="expression" dxfId="24923" priority="7">
      <formula>$C2="Garlic Purchase"</formula>
    </cfRule>
    <cfRule type="expression" dxfId="24922" priority="8">
      <formula>$C2="Ginger Purchase"</formula>
    </cfRule>
  </conditionalFormatting>
  <conditionalFormatting sqref="E114">
    <cfRule type="expression" dxfId="24921" priority="89">
      <formula>$C114="Advance"</formula>
    </cfRule>
  </conditionalFormatting>
  <conditionalFormatting sqref="E114">
    <cfRule type="expression" dxfId="24920" priority="98">
      <formula>$C114="Staff Salary"</formula>
    </cfRule>
    <cfRule type="expression" dxfId="24919" priority="99">
      <formula>$C114="Rent"</formula>
    </cfRule>
    <cfRule type="expression" dxfId="24918" priority="100">
      <formula>$C114="Petrol"</formula>
    </cfRule>
    <cfRule type="expression" dxfId="24917" priority="101">
      <formula>$C114="Bills"</formula>
    </cfRule>
    <cfRule type="expression" dxfId="24916" priority="102">
      <formula>$C114="Sales"</formula>
    </cfRule>
    <cfRule type="expression" dxfId="24915" priority="103">
      <formula>$C114="Expences"</formula>
    </cfRule>
    <cfRule type="expression" dxfId="24914" priority="104">
      <formula>$C114="Garlic Purchase"</formula>
    </cfRule>
    <cfRule type="expression" dxfId="24913" priority="105">
      <formula>$C114="Ginger Purchase"</formula>
    </cfRule>
  </conditionalFormatting>
  <pageMargins left="0.7" right="0.7" top="0.75" bottom="0.75" header="0" footer="0"/>
  <pageSetup paperSize="9" scale="48" fitToHeight="0"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Sheet2!$A$1:$A$10</xm:f>
          </x14:formula1>
          <xm:sqref>C3:C142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056"/>
  <sheetViews>
    <sheetView topLeftCell="A115" zoomScaleNormal="100" workbookViewId="0">
      <selection activeCell="D44" sqref="D44"/>
    </sheetView>
  </sheetViews>
  <sheetFormatPr defaultColWidth="14.42578125" defaultRowHeight="15" customHeight="1" x14ac:dyDescent="0.25"/>
  <cols>
    <col min="1" max="1" width="14.85546875" customWidth="1"/>
    <col min="2" max="2" width="12" customWidth="1"/>
    <col min="3" max="3" width="20.140625" customWidth="1"/>
    <col min="4" max="5" width="13" bestFit="1" customWidth="1"/>
    <col min="6" max="6" width="16.140625" customWidth="1"/>
    <col min="7" max="7" width="8.28515625" bestFit="1" customWidth="1"/>
    <col min="8" max="8" width="20.42578125" customWidth="1"/>
    <col min="9" max="9" width="8.7109375" customWidth="1"/>
    <col min="10" max="10" width="16" customWidth="1"/>
    <col min="11" max="11" width="12.28515625" bestFit="1" customWidth="1"/>
    <col min="12" max="12" width="16" customWidth="1"/>
    <col min="13" max="24" width="4" customWidth="1"/>
    <col min="25" max="55" width="5" customWidth="1"/>
    <col min="56" max="56" width="6" customWidth="1"/>
    <col min="57" max="57" width="7.28515625" customWidth="1"/>
    <col min="58" max="58" width="11.28515625" customWidth="1"/>
  </cols>
  <sheetData>
    <row r="1" spans="1:12" x14ac:dyDescent="0.25">
      <c r="A1" s="275" t="s">
        <v>1</v>
      </c>
      <c r="B1" s="276" t="s">
        <v>61</v>
      </c>
      <c r="C1" s="276" t="s">
        <v>2</v>
      </c>
      <c r="D1" s="276" t="s">
        <v>32</v>
      </c>
      <c r="E1" s="276" t="s">
        <v>33</v>
      </c>
      <c r="F1" s="276" t="s">
        <v>605</v>
      </c>
      <c r="G1" s="276" t="s">
        <v>34</v>
      </c>
      <c r="H1" s="279" t="s">
        <v>8</v>
      </c>
    </row>
    <row r="2" spans="1:12" x14ac:dyDescent="0.25">
      <c r="A2" s="271">
        <v>45839</v>
      </c>
      <c r="B2" s="36"/>
      <c r="C2" s="36" t="s">
        <v>62</v>
      </c>
      <c r="D2" s="30">
        <f>'June 2025 - Sales'!D147</f>
        <v>-14611</v>
      </c>
      <c r="E2" s="36"/>
      <c r="F2" s="36"/>
      <c r="G2" s="36"/>
      <c r="H2" s="273"/>
    </row>
    <row r="3" spans="1:12" x14ac:dyDescent="0.25">
      <c r="A3" s="271">
        <v>45839</v>
      </c>
      <c r="B3" s="36" t="s">
        <v>415</v>
      </c>
      <c r="C3" s="69" t="s">
        <v>32</v>
      </c>
      <c r="D3" s="37">
        <v>410</v>
      </c>
      <c r="E3" s="78"/>
      <c r="F3" s="78" t="s">
        <v>521</v>
      </c>
      <c r="G3" s="36"/>
      <c r="H3" s="273"/>
    </row>
    <row r="4" spans="1:12" x14ac:dyDescent="0.25">
      <c r="A4" s="271">
        <v>45839</v>
      </c>
      <c r="B4" s="36" t="s">
        <v>416</v>
      </c>
      <c r="C4" s="69" t="s">
        <v>32</v>
      </c>
      <c r="D4" s="37">
        <v>1330</v>
      </c>
      <c r="E4" s="78"/>
      <c r="F4" s="78" t="s">
        <v>608</v>
      </c>
      <c r="G4" s="36"/>
      <c r="H4" s="273"/>
    </row>
    <row r="5" spans="1:12" x14ac:dyDescent="0.25">
      <c r="A5" s="271">
        <v>45839</v>
      </c>
      <c r="B5" s="36" t="s">
        <v>417</v>
      </c>
      <c r="C5" s="69" t="s">
        <v>32</v>
      </c>
      <c r="D5" s="37">
        <v>240</v>
      </c>
      <c r="E5" s="70"/>
      <c r="F5" s="70" t="s">
        <v>141</v>
      </c>
      <c r="G5" s="36"/>
      <c r="H5" s="273"/>
    </row>
    <row r="6" spans="1:12" x14ac:dyDescent="0.25">
      <c r="A6" s="271">
        <v>45839</v>
      </c>
      <c r="B6" s="36"/>
      <c r="C6" s="69" t="s">
        <v>33</v>
      </c>
      <c r="D6" s="37"/>
      <c r="E6" s="70">
        <v>210</v>
      </c>
      <c r="F6" s="70"/>
      <c r="G6" s="36"/>
      <c r="H6" s="273"/>
    </row>
    <row r="7" spans="1:12" x14ac:dyDescent="0.25">
      <c r="A7" s="271">
        <v>45840</v>
      </c>
      <c r="B7" s="36"/>
      <c r="C7" s="69" t="s">
        <v>145</v>
      </c>
      <c r="D7" s="37"/>
      <c r="E7" s="70">
        <v>2200</v>
      </c>
      <c r="F7" s="70"/>
      <c r="G7" s="36"/>
      <c r="H7" s="273"/>
    </row>
    <row r="8" spans="1:12" x14ac:dyDescent="0.25">
      <c r="A8" s="271">
        <v>45840</v>
      </c>
      <c r="B8" s="36"/>
      <c r="C8" s="69" t="s">
        <v>33</v>
      </c>
      <c r="D8" s="37"/>
      <c r="E8" s="78">
        <v>447</v>
      </c>
      <c r="F8" s="78"/>
      <c r="G8" s="36"/>
      <c r="H8" s="273"/>
    </row>
    <row r="9" spans="1:12" x14ac:dyDescent="0.25">
      <c r="A9" s="271">
        <v>45840</v>
      </c>
      <c r="B9" s="36" t="s">
        <v>418</v>
      </c>
      <c r="C9" s="69" t="s">
        <v>32</v>
      </c>
      <c r="D9" s="37">
        <v>3000</v>
      </c>
      <c r="E9" s="70"/>
      <c r="F9" s="70" t="s">
        <v>608</v>
      </c>
      <c r="G9" s="36"/>
      <c r="H9" s="273"/>
    </row>
    <row r="10" spans="1:12" x14ac:dyDescent="0.25">
      <c r="A10" s="271">
        <v>45840</v>
      </c>
      <c r="B10" s="36" t="s">
        <v>419</v>
      </c>
      <c r="C10" s="69" t="s">
        <v>32</v>
      </c>
      <c r="D10" s="37">
        <v>80</v>
      </c>
      <c r="E10" s="129"/>
      <c r="F10" s="129" t="s">
        <v>521</v>
      </c>
      <c r="G10" s="36"/>
      <c r="H10" s="273"/>
    </row>
    <row r="11" spans="1:12" x14ac:dyDescent="0.25">
      <c r="A11" s="271">
        <v>45841</v>
      </c>
      <c r="B11" s="36"/>
      <c r="C11" s="69" t="s">
        <v>161</v>
      </c>
      <c r="D11" s="37"/>
      <c r="E11" s="129">
        <v>2000</v>
      </c>
      <c r="F11" s="129"/>
      <c r="G11" s="36"/>
      <c r="H11" s="273" t="s">
        <v>420</v>
      </c>
      <c r="J11" s="197" t="s">
        <v>163</v>
      </c>
      <c r="K11" s="83" t="s">
        <v>165</v>
      </c>
      <c r="L11" s="83" t="s">
        <v>164</v>
      </c>
    </row>
    <row r="12" spans="1:12" x14ac:dyDescent="0.25">
      <c r="A12" s="271">
        <v>45841</v>
      </c>
      <c r="B12" s="36" t="s">
        <v>425</v>
      </c>
      <c r="C12" s="69" t="s">
        <v>32</v>
      </c>
      <c r="D12" s="37">
        <v>3630</v>
      </c>
      <c r="E12" s="78"/>
      <c r="F12" s="78" t="s">
        <v>608</v>
      </c>
      <c r="G12" s="36"/>
      <c r="H12" s="273"/>
      <c r="J12" s="198" t="s">
        <v>62</v>
      </c>
      <c r="K12" s="124">
        <v>-14611</v>
      </c>
      <c r="L12" s="124"/>
    </row>
    <row r="13" spans="1:12" x14ac:dyDescent="0.25">
      <c r="A13" s="271">
        <v>45841</v>
      </c>
      <c r="B13" s="69" t="s">
        <v>426</v>
      </c>
      <c r="C13" s="69" t="s">
        <v>32</v>
      </c>
      <c r="D13" s="37">
        <v>40</v>
      </c>
      <c r="E13" s="129"/>
      <c r="F13" s="129" t="s">
        <v>521</v>
      </c>
      <c r="G13" s="36"/>
      <c r="H13" s="273"/>
      <c r="J13" s="198" t="s">
        <v>32</v>
      </c>
      <c r="K13" s="124">
        <v>164755</v>
      </c>
      <c r="L13" s="124"/>
    </row>
    <row r="14" spans="1:12" x14ac:dyDescent="0.25">
      <c r="A14" s="271">
        <v>45841</v>
      </c>
      <c r="B14" s="69"/>
      <c r="C14" s="69" t="s">
        <v>33</v>
      </c>
      <c r="D14" s="37"/>
      <c r="E14" s="129">
        <v>25</v>
      </c>
      <c r="F14" s="129"/>
      <c r="G14" s="36"/>
      <c r="H14" s="273"/>
      <c r="J14" s="198" t="s">
        <v>33</v>
      </c>
      <c r="K14" s="124"/>
      <c r="L14" s="124">
        <v>8384</v>
      </c>
    </row>
    <row r="15" spans="1:12" x14ac:dyDescent="0.25">
      <c r="A15" s="271">
        <v>45842</v>
      </c>
      <c r="B15" s="69" t="s">
        <v>427</v>
      </c>
      <c r="C15" s="69" t="s">
        <v>32</v>
      </c>
      <c r="D15" s="37">
        <v>40</v>
      </c>
      <c r="E15" s="129"/>
      <c r="F15" s="129" t="s">
        <v>521</v>
      </c>
      <c r="G15" s="36"/>
      <c r="H15" s="274"/>
      <c r="J15" s="198" t="s">
        <v>145</v>
      </c>
      <c r="K15" s="124"/>
      <c r="L15" s="124">
        <v>25600</v>
      </c>
    </row>
    <row r="16" spans="1:12" x14ac:dyDescent="0.25">
      <c r="A16" s="271">
        <v>45842</v>
      </c>
      <c r="B16" s="36" t="s">
        <v>428</v>
      </c>
      <c r="C16" s="69" t="s">
        <v>32</v>
      </c>
      <c r="D16" s="37">
        <v>3310</v>
      </c>
      <c r="E16" s="129"/>
      <c r="F16" s="129" t="s">
        <v>607</v>
      </c>
      <c r="G16" s="36"/>
      <c r="H16" s="273"/>
      <c r="J16" s="198" t="s">
        <v>161</v>
      </c>
      <c r="K16" s="124"/>
      <c r="L16" s="124">
        <v>10750</v>
      </c>
    </row>
    <row r="17" spans="1:12" x14ac:dyDescent="0.25">
      <c r="A17" s="271">
        <v>45842</v>
      </c>
      <c r="B17" s="36" t="s">
        <v>429</v>
      </c>
      <c r="C17" s="69" t="s">
        <v>32</v>
      </c>
      <c r="D17" s="37">
        <v>280</v>
      </c>
      <c r="E17" s="129"/>
      <c r="F17" s="129" t="s">
        <v>609</v>
      </c>
      <c r="G17" s="36"/>
      <c r="H17" s="273"/>
      <c r="J17" s="198" t="s">
        <v>109</v>
      </c>
      <c r="K17" s="124"/>
      <c r="L17" s="124">
        <v>1400</v>
      </c>
    </row>
    <row r="18" spans="1:12" x14ac:dyDescent="0.25">
      <c r="A18" s="271">
        <v>45842</v>
      </c>
      <c r="B18" s="36"/>
      <c r="C18" s="69" t="s">
        <v>33</v>
      </c>
      <c r="D18" s="37"/>
      <c r="E18" s="37">
        <v>25</v>
      </c>
      <c r="F18" s="37"/>
      <c r="G18" s="36"/>
      <c r="H18" s="273"/>
      <c r="J18" s="198" t="s">
        <v>147</v>
      </c>
      <c r="K18" s="124"/>
      <c r="L18" s="124">
        <v>30735</v>
      </c>
    </row>
    <row r="19" spans="1:12" x14ac:dyDescent="0.25">
      <c r="A19" s="271">
        <v>45842</v>
      </c>
      <c r="B19" s="36"/>
      <c r="C19" s="69" t="s">
        <v>109</v>
      </c>
      <c r="D19" s="37"/>
      <c r="E19" s="37">
        <v>400</v>
      </c>
      <c r="F19" s="37"/>
      <c r="G19" s="36"/>
      <c r="H19" s="273"/>
      <c r="J19" s="198" t="s">
        <v>77</v>
      </c>
      <c r="K19" s="124"/>
      <c r="L19" s="124">
        <v>9000</v>
      </c>
    </row>
    <row r="20" spans="1:12" x14ac:dyDescent="0.25">
      <c r="A20" s="271">
        <v>45843</v>
      </c>
      <c r="B20" s="36" t="s">
        <v>430</v>
      </c>
      <c r="C20" s="69" t="s">
        <v>32</v>
      </c>
      <c r="D20" s="37">
        <v>700</v>
      </c>
      <c r="E20" s="129"/>
      <c r="F20" s="129" t="s">
        <v>609</v>
      </c>
      <c r="G20" s="36"/>
      <c r="H20" s="273"/>
      <c r="J20" s="198" t="s">
        <v>168</v>
      </c>
      <c r="K20" s="124"/>
      <c r="L20" s="124">
        <v>900</v>
      </c>
    </row>
    <row r="21" spans="1:12" x14ac:dyDescent="0.25">
      <c r="A21" s="271">
        <v>45843</v>
      </c>
      <c r="B21" s="36" t="s">
        <v>431</v>
      </c>
      <c r="C21" s="69" t="s">
        <v>32</v>
      </c>
      <c r="D21" s="37">
        <v>720</v>
      </c>
      <c r="E21" s="78"/>
      <c r="F21" s="78" t="s">
        <v>607</v>
      </c>
      <c r="G21" s="36"/>
      <c r="H21" s="273"/>
      <c r="J21" s="198" t="s">
        <v>207</v>
      </c>
      <c r="K21" s="124"/>
      <c r="L21" s="124">
        <v>2727</v>
      </c>
    </row>
    <row r="22" spans="1:12" x14ac:dyDescent="0.25">
      <c r="A22" s="271">
        <v>45843</v>
      </c>
      <c r="B22" s="36" t="s">
        <v>432</v>
      </c>
      <c r="C22" s="69" t="s">
        <v>32</v>
      </c>
      <c r="D22" s="37">
        <v>1900</v>
      </c>
      <c r="E22" s="129"/>
      <c r="F22" s="129" t="s">
        <v>608</v>
      </c>
      <c r="G22" s="36"/>
      <c r="H22" s="273"/>
      <c r="J22" s="198" t="s">
        <v>16</v>
      </c>
      <c r="K22" s="124">
        <v>150144</v>
      </c>
      <c r="L22" s="124">
        <v>89496</v>
      </c>
    </row>
    <row r="23" spans="1:12" x14ac:dyDescent="0.25">
      <c r="A23" s="271">
        <v>45844</v>
      </c>
      <c r="B23" s="36" t="s">
        <v>434</v>
      </c>
      <c r="C23" s="69" t="s">
        <v>32</v>
      </c>
      <c r="D23" s="37">
        <v>480</v>
      </c>
      <c r="E23" s="129"/>
      <c r="F23" s="129" t="s">
        <v>141</v>
      </c>
      <c r="G23" s="36"/>
      <c r="H23" s="273"/>
    </row>
    <row r="24" spans="1:12" x14ac:dyDescent="0.25">
      <c r="A24" s="271">
        <v>45844</v>
      </c>
      <c r="B24" s="36" t="s">
        <v>435</v>
      </c>
      <c r="C24" s="69" t="s">
        <v>32</v>
      </c>
      <c r="D24" s="37">
        <v>180</v>
      </c>
      <c r="E24" s="129"/>
      <c r="F24" s="129" t="s">
        <v>607</v>
      </c>
      <c r="G24" s="36"/>
      <c r="H24" s="273"/>
      <c r="J24" s="73"/>
      <c r="K24" s="79"/>
      <c r="L24" s="79"/>
    </row>
    <row r="25" spans="1:12" x14ac:dyDescent="0.25">
      <c r="A25" s="271">
        <v>45844</v>
      </c>
      <c r="B25" s="36" t="s">
        <v>436</v>
      </c>
      <c r="C25" s="69" t="s">
        <v>32</v>
      </c>
      <c r="D25" s="37">
        <v>1275</v>
      </c>
      <c r="E25" s="129"/>
      <c r="F25" s="129" t="s">
        <v>608</v>
      </c>
      <c r="G25" s="36"/>
      <c r="H25" s="273"/>
      <c r="J25" s="199" t="s">
        <v>126</v>
      </c>
      <c r="K25" s="124">
        <v>164755</v>
      </c>
      <c r="L25" s="124"/>
    </row>
    <row r="26" spans="1:12" x14ac:dyDescent="0.25">
      <c r="A26" s="271">
        <v>45844</v>
      </c>
      <c r="B26" s="36"/>
      <c r="C26" s="69" t="s">
        <v>77</v>
      </c>
      <c r="D26" s="37"/>
      <c r="E26" s="129">
        <v>9000</v>
      </c>
      <c r="F26" s="129"/>
      <c r="G26" s="36"/>
      <c r="H26" s="273"/>
      <c r="J26" s="199" t="s">
        <v>21</v>
      </c>
      <c r="K26" s="124">
        <v>150144</v>
      </c>
      <c r="L26" s="124">
        <v>89246</v>
      </c>
    </row>
    <row r="27" spans="1:12" x14ac:dyDescent="0.25">
      <c r="A27" s="271">
        <v>45845</v>
      </c>
      <c r="B27" s="36" t="s">
        <v>437</v>
      </c>
      <c r="C27" s="69" t="s">
        <v>32</v>
      </c>
      <c r="D27" s="37">
        <v>2240</v>
      </c>
      <c r="E27" s="129"/>
      <c r="F27" s="129" t="s">
        <v>608</v>
      </c>
      <c r="G27" s="36"/>
      <c r="H27" s="273"/>
      <c r="J27" s="199"/>
      <c r="K27" s="124"/>
      <c r="L27" s="124"/>
    </row>
    <row r="28" spans="1:12" x14ac:dyDescent="0.25">
      <c r="A28" s="271">
        <v>45845</v>
      </c>
      <c r="B28" s="36" t="s">
        <v>438</v>
      </c>
      <c r="C28" s="69" t="s">
        <v>32</v>
      </c>
      <c r="D28" s="37">
        <v>600</v>
      </c>
      <c r="E28" s="129"/>
      <c r="F28" s="129" t="s">
        <v>607</v>
      </c>
      <c r="G28" s="36"/>
      <c r="H28" s="273"/>
      <c r="J28" s="199" t="s">
        <v>127</v>
      </c>
      <c r="K28" s="124">
        <v>75509</v>
      </c>
      <c r="L28" s="124"/>
    </row>
    <row r="29" spans="1:12" x14ac:dyDescent="0.25">
      <c r="A29" s="271">
        <v>45845</v>
      </c>
      <c r="B29" s="36" t="s">
        <v>439</v>
      </c>
      <c r="C29" s="69" t="s">
        <v>32</v>
      </c>
      <c r="D29" s="37">
        <v>100</v>
      </c>
      <c r="E29" s="129"/>
      <c r="F29" s="129" t="s">
        <v>141</v>
      </c>
      <c r="G29" s="36"/>
      <c r="H29" s="273"/>
      <c r="J29" s="199" t="s">
        <v>60</v>
      </c>
      <c r="K29" s="200">
        <v>60898</v>
      </c>
      <c r="L29" s="124"/>
    </row>
    <row r="30" spans="1:12" x14ac:dyDescent="0.25">
      <c r="A30" s="271">
        <v>45845</v>
      </c>
      <c r="B30" s="36"/>
      <c r="C30" s="69" t="s">
        <v>33</v>
      </c>
      <c r="D30" s="37"/>
      <c r="E30" s="129">
        <v>50</v>
      </c>
      <c r="F30" s="129"/>
      <c r="G30" s="36"/>
      <c r="H30" s="273"/>
      <c r="J30" s="199"/>
      <c r="K30" s="124"/>
      <c r="L30" s="124"/>
    </row>
    <row r="31" spans="1:12" x14ac:dyDescent="0.25">
      <c r="A31" s="271">
        <v>45846</v>
      </c>
      <c r="B31" s="36" t="s">
        <v>440</v>
      </c>
      <c r="C31" s="69" t="s">
        <v>32</v>
      </c>
      <c r="D31" s="37">
        <v>80</v>
      </c>
      <c r="E31" s="129"/>
      <c r="F31" s="129" t="s">
        <v>521</v>
      </c>
      <c r="G31" s="36"/>
      <c r="H31" s="273"/>
      <c r="J31" s="199" t="s">
        <v>196</v>
      </c>
      <c r="K31" s="124">
        <v>17970</v>
      </c>
      <c r="L31" s="124"/>
    </row>
    <row r="32" spans="1:12" x14ac:dyDescent="0.25">
      <c r="A32" s="271">
        <v>45846</v>
      </c>
      <c r="B32" s="36" t="s">
        <v>441</v>
      </c>
      <c r="C32" s="69" t="s">
        <v>32</v>
      </c>
      <c r="D32" s="37">
        <v>100</v>
      </c>
      <c r="E32" s="129"/>
      <c r="F32" s="129" t="s">
        <v>142</v>
      </c>
      <c r="G32" s="36"/>
      <c r="H32" s="273"/>
      <c r="J32" s="73"/>
      <c r="K32" s="79"/>
      <c r="L32" s="79"/>
    </row>
    <row r="33" spans="1:12" x14ac:dyDescent="0.25">
      <c r="A33" s="271">
        <v>45846</v>
      </c>
      <c r="B33" s="36" t="s">
        <v>442</v>
      </c>
      <c r="C33" s="69" t="s">
        <v>32</v>
      </c>
      <c r="D33" s="37">
        <v>100</v>
      </c>
      <c r="E33" s="129"/>
      <c r="F33" s="129" t="s">
        <v>141</v>
      </c>
      <c r="G33" s="36"/>
      <c r="H33" s="273"/>
      <c r="J33" s="73"/>
      <c r="K33" s="79"/>
      <c r="L33" s="79"/>
    </row>
    <row r="34" spans="1:12" x14ac:dyDescent="0.25">
      <c r="A34" s="271">
        <v>45846</v>
      </c>
      <c r="B34" s="36" t="s">
        <v>443</v>
      </c>
      <c r="C34" s="69" t="s">
        <v>32</v>
      </c>
      <c r="D34" s="37">
        <v>1260</v>
      </c>
      <c r="E34" s="136"/>
      <c r="F34" s="136" t="s">
        <v>607</v>
      </c>
      <c r="G34" s="36"/>
      <c r="H34" s="273"/>
      <c r="J34" s="73"/>
      <c r="K34" s="79"/>
      <c r="L34" s="79"/>
    </row>
    <row r="35" spans="1:12" x14ac:dyDescent="0.25">
      <c r="A35" s="271">
        <v>45846</v>
      </c>
      <c r="B35" s="36"/>
      <c r="C35" s="69" t="s">
        <v>147</v>
      </c>
      <c r="D35" s="37"/>
      <c r="E35" s="129">
        <v>1800</v>
      </c>
      <c r="F35" s="129"/>
      <c r="G35" s="36"/>
      <c r="H35" s="273"/>
      <c r="J35" s="73"/>
      <c r="K35" s="79"/>
      <c r="L35" s="79"/>
    </row>
    <row r="36" spans="1:12" x14ac:dyDescent="0.25">
      <c r="A36" s="271">
        <v>45846</v>
      </c>
      <c r="B36" s="36"/>
      <c r="C36" s="69" t="s">
        <v>33</v>
      </c>
      <c r="D36" s="37"/>
      <c r="E36" s="78">
        <v>25</v>
      </c>
      <c r="F36" s="78"/>
      <c r="G36" s="36"/>
      <c r="H36" s="273"/>
      <c r="J36" s="73"/>
      <c r="K36" s="79"/>
      <c r="L36" s="79"/>
    </row>
    <row r="37" spans="1:12" x14ac:dyDescent="0.25">
      <c r="A37" s="271">
        <v>45847</v>
      </c>
      <c r="B37" s="69" t="s">
        <v>444</v>
      </c>
      <c r="C37" s="69" t="s">
        <v>32</v>
      </c>
      <c r="D37" s="37">
        <v>3100</v>
      </c>
      <c r="E37" s="129"/>
      <c r="F37" s="129" t="s">
        <v>608</v>
      </c>
      <c r="G37" s="36"/>
      <c r="H37" s="273"/>
      <c r="J37" s="73"/>
      <c r="K37" s="79"/>
      <c r="L37" s="79"/>
    </row>
    <row r="38" spans="1:12" x14ac:dyDescent="0.25">
      <c r="A38" s="271">
        <v>45847</v>
      </c>
      <c r="B38" s="36" t="s">
        <v>445</v>
      </c>
      <c r="C38" s="69" t="s">
        <v>32</v>
      </c>
      <c r="D38" s="37">
        <v>1650</v>
      </c>
      <c r="E38" s="129"/>
      <c r="F38" s="129" t="s">
        <v>607</v>
      </c>
      <c r="G38" s="36"/>
      <c r="H38" s="273"/>
      <c r="J38" s="73"/>
      <c r="K38" s="79"/>
      <c r="L38" s="79"/>
    </row>
    <row r="39" spans="1:12" x14ac:dyDescent="0.25">
      <c r="A39" s="271">
        <v>45848</v>
      </c>
      <c r="B39" s="69" t="s">
        <v>446</v>
      </c>
      <c r="C39" s="69" t="s">
        <v>32</v>
      </c>
      <c r="D39" s="37">
        <v>720</v>
      </c>
      <c r="E39" s="129"/>
      <c r="F39" s="129" t="s">
        <v>607</v>
      </c>
      <c r="G39" s="36"/>
      <c r="H39" s="273"/>
      <c r="J39" s="73"/>
      <c r="K39" s="79"/>
      <c r="L39" s="79"/>
    </row>
    <row r="40" spans="1:12" x14ac:dyDescent="0.25">
      <c r="A40" s="271">
        <v>45848</v>
      </c>
      <c r="B40" s="69" t="s">
        <v>447</v>
      </c>
      <c r="C40" s="69" t="s">
        <v>32</v>
      </c>
      <c r="D40" s="37">
        <v>240</v>
      </c>
      <c r="E40" s="129"/>
      <c r="F40" s="129" t="s">
        <v>141</v>
      </c>
      <c r="G40" s="36"/>
      <c r="H40" s="273"/>
      <c r="J40" s="73"/>
      <c r="K40" s="79"/>
      <c r="L40" s="79"/>
    </row>
    <row r="41" spans="1:12" x14ac:dyDescent="0.25">
      <c r="A41" s="271">
        <v>45848</v>
      </c>
      <c r="B41" s="36" t="s">
        <v>448</v>
      </c>
      <c r="C41" s="69" t="s">
        <v>32</v>
      </c>
      <c r="D41" s="37">
        <v>1900</v>
      </c>
      <c r="E41" s="129"/>
      <c r="F41" s="129" t="s">
        <v>608</v>
      </c>
      <c r="G41" s="36"/>
      <c r="H41" s="273"/>
      <c r="J41" s="73"/>
      <c r="K41" s="79"/>
      <c r="L41" s="79"/>
    </row>
    <row r="42" spans="1:12" x14ac:dyDescent="0.25">
      <c r="A42" s="271">
        <v>45848</v>
      </c>
      <c r="B42" s="36"/>
      <c r="C42" s="69" t="s">
        <v>33</v>
      </c>
      <c r="D42" s="37"/>
      <c r="E42" s="129">
        <v>185</v>
      </c>
      <c r="F42" s="129"/>
      <c r="G42" s="36"/>
      <c r="H42" s="273"/>
      <c r="J42" s="73"/>
      <c r="K42" s="79"/>
      <c r="L42" s="79"/>
    </row>
    <row r="43" spans="1:12" x14ac:dyDescent="0.25">
      <c r="A43" s="271">
        <v>45849</v>
      </c>
      <c r="B43" s="36"/>
      <c r="C43" s="69" t="s">
        <v>147</v>
      </c>
      <c r="D43" s="37"/>
      <c r="E43" s="78">
        <v>3960</v>
      </c>
      <c r="F43" s="78"/>
      <c r="G43" s="36"/>
      <c r="H43" s="273"/>
      <c r="J43" s="73"/>
      <c r="K43" s="79"/>
      <c r="L43" s="79"/>
    </row>
    <row r="44" spans="1:12" x14ac:dyDescent="0.25">
      <c r="A44" s="271">
        <v>45849</v>
      </c>
      <c r="B44" s="36"/>
      <c r="C44" s="69" t="s">
        <v>145</v>
      </c>
      <c r="D44" s="37"/>
      <c r="E44" s="129">
        <v>4400</v>
      </c>
      <c r="F44" s="129"/>
      <c r="G44" s="36"/>
      <c r="H44" s="273"/>
      <c r="J44" s="73"/>
      <c r="K44" s="79"/>
      <c r="L44" s="79"/>
    </row>
    <row r="45" spans="1:12" x14ac:dyDescent="0.25">
      <c r="A45" s="271">
        <v>45849</v>
      </c>
      <c r="B45" s="69" t="s">
        <v>451</v>
      </c>
      <c r="C45" s="69" t="s">
        <v>32</v>
      </c>
      <c r="D45" s="37">
        <v>5490</v>
      </c>
      <c r="E45" s="129"/>
      <c r="F45" s="129" t="s">
        <v>608</v>
      </c>
      <c r="G45" s="36"/>
      <c r="H45" s="273"/>
      <c r="J45" s="73"/>
      <c r="K45" s="79"/>
      <c r="L45" s="79"/>
    </row>
    <row r="46" spans="1:12" x14ac:dyDescent="0.25">
      <c r="A46" s="271">
        <v>45849</v>
      </c>
      <c r="B46" s="69" t="s">
        <v>452</v>
      </c>
      <c r="C46" s="69" t="s">
        <v>32</v>
      </c>
      <c r="D46" s="37">
        <v>2880</v>
      </c>
      <c r="E46" s="129"/>
      <c r="F46" s="129" t="s">
        <v>607</v>
      </c>
      <c r="G46" s="36"/>
      <c r="H46" s="273"/>
      <c r="J46" s="73"/>
      <c r="K46" s="79"/>
      <c r="L46" s="79"/>
    </row>
    <row r="47" spans="1:12" x14ac:dyDescent="0.25">
      <c r="A47" s="271">
        <v>45849</v>
      </c>
      <c r="B47" s="69" t="s">
        <v>453</v>
      </c>
      <c r="C47" s="69" t="s">
        <v>32</v>
      </c>
      <c r="D47" s="37">
        <v>80</v>
      </c>
      <c r="E47" s="129"/>
      <c r="F47" s="129" t="s">
        <v>521</v>
      </c>
      <c r="G47" s="36"/>
      <c r="H47" s="273"/>
      <c r="J47" s="73"/>
      <c r="K47" s="79"/>
      <c r="L47" s="79"/>
    </row>
    <row r="48" spans="1:12" x14ac:dyDescent="0.25">
      <c r="A48" s="271">
        <v>45849</v>
      </c>
      <c r="B48" s="69" t="s">
        <v>454</v>
      </c>
      <c r="C48" s="69" t="s">
        <v>32</v>
      </c>
      <c r="D48" s="37">
        <v>8000</v>
      </c>
      <c r="E48" s="129"/>
      <c r="F48" s="129" t="s">
        <v>141</v>
      </c>
      <c r="G48" s="36"/>
      <c r="H48" s="273" t="s">
        <v>495</v>
      </c>
      <c r="J48" s="73"/>
      <c r="K48" s="79"/>
      <c r="L48" s="79"/>
    </row>
    <row r="49" spans="1:12" x14ac:dyDescent="0.25">
      <c r="A49" s="271">
        <v>45849</v>
      </c>
      <c r="B49" s="69" t="s">
        <v>455</v>
      </c>
      <c r="C49" s="69" t="s">
        <v>32</v>
      </c>
      <c r="D49" s="37">
        <v>1260</v>
      </c>
      <c r="E49" s="129"/>
      <c r="F49" s="129" t="s">
        <v>609</v>
      </c>
      <c r="G49" s="36"/>
      <c r="H49" s="273"/>
      <c r="J49" s="73"/>
      <c r="K49" s="79"/>
      <c r="L49" s="79"/>
    </row>
    <row r="50" spans="1:12" x14ac:dyDescent="0.25">
      <c r="A50" s="271">
        <v>45849</v>
      </c>
      <c r="B50" s="36"/>
      <c r="C50" s="69" t="s">
        <v>161</v>
      </c>
      <c r="D50" s="37"/>
      <c r="E50" s="129">
        <v>300</v>
      </c>
      <c r="F50" s="129"/>
      <c r="G50" s="36"/>
      <c r="H50" s="273"/>
      <c r="J50" s="73"/>
      <c r="K50" s="79"/>
      <c r="L50" s="79"/>
    </row>
    <row r="51" spans="1:12" x14ac:dyDescent="0.25">
      <c r="A51" s="271">
        <v>45849</v>
      </c>
      <c r="B51" s="69"/>
      <c r="C51" s="69" t="s">
        <v>109</v>
      </c>
      <c r="D51" s="37"/>
      <c r="E51" s="129">
        <v>400</v>
      </c>
      <c r="F51" s="129"/>
      <c r="G51" s="36"/>
      <c r="H51" s="273"/>
      <c r="J51" s="73"/>
      <c r="K51" s="79"/>
      <c r="L51" s="79"/>
    </row>
    <row r="52" spans="1:12" x14ac:dyDescent="0.25">
      <c r="A52" s="271">
        <v>45849</v>
      </c>
      <c r="B52" s="69"/>
      <c r="C52" s="69" t="s">
        <v>33</v>
      </c>
      <c r="D52" s="37"/>
      <c r="E52" s="129">
        <v>758</v>
      </c>
      <c r="F52" s="129"/>
      <c r="G52" s="36"/>
      <c r="H52" s="273"/>
      <c r="J52" s="73"/>
      <c r="K52" s="79"/>
      <c r="L52" s="79"/>
    </row>
    <row r="53" spans="1:12" x14ac:dyDescent="0.25">
      <c r="A53" s="271">
        <v>45850</v>
      </c>
      <c r="B53" s="69"/>
      <c r="C53" s="69" t="s">
        <v>147</v>
      </c>
      <c r="D53" s="37"/>
      <c r="E53" s="129">
        <v>900</v>
      </c>
      <c r="F53" s="129"/>
      <c r="G53" s="36"/>
      <c r="H53" s="273"/>
      <c r="J53" s="73"/>
      <c r="K53" s="79"/>
      <c r="L53" s="79"/>
    </row>
    <row r="54" spans="1:12" x14ac:dyDescent="0.25">
      <c r="A54" s="271">
        <v>45850</v>
      </c>
      <c r="B54" s="36"/>
      <c r="C54" s="69" t="s">
        <v>145</v>
      </c>
      <c r="D54" s="37"/>
      <c r="E54" s="136">
        <v>2100</v>
      </c>
      <c r="F54" s="136"/>
      <c r="G54" s="36"/>
      <c r="H54" s="273"/>
      <c r="J54" s="73"/>
      <c r="K54" s="79"/>
      <c r="L54" s="79"/>
    </row>
    <row r="55" spans="1:12" x14ac:dyDescent="0.25">
      <c r="A55" s="271">
        <v>45850</v>
      </c>
      <c r="B55" s="36" t="s">
        <v>456</v>
      </c>
      <c r="C55" s="69" t="s">
        <v>32</v>
      </c>
      <c r="D55" s="37">
        <v>4800</v>
      </c>
      <c r="E55" s="129"/>
      <c r="F55" s="129" t="s">
        <v>624</v>
      </c>
      <c r="G55" s="36"/>
      <c r="H55" s="273"/>
      <c r="J55" s="73"/>
      <c r="K55" s="79"/>
      <c r="L55" s="79"/>
    </row>
    <row r="56" spans="1:12" x14ac:dyDescent="0.25">
      <c r="A56" s="271">
        <v>45850</v>
      </c>
      <c r="B56" s="36" t="s">
        <v>457</v>
      </c>
      <c r="C56" s="69" t="s">
        <v>32</v>
      </c>
      <c r="D56" s="37">
        <v>600</v>
      </c>
      <c r="E56" s="129"/>
      <c r="F56" s="129" t="s">
        <v>607</v>
      </c>
      <c r="G56" s="36"/>
      <c r="H56" s="273"/>
      <c r="J56" s="73"/>
      <c r="K56" s="79"/>
      <c r="L56" s="79"/>
    </row>
    <row r="57" spans="1:12" x14ac:dyDescent="0.25">
      <c r="A57" s="271">
        <v>45850</v>
      </c>
      <c r="B57" s="36" t="s">
        <v>458</v>
      </c>
      <c r="C57" s="69" t="s">
        <v>32</v>
      </c>
      <c r="D57" s="37">
        <v>12480</v>
      </c>
      <c r="E57" s="129"/>
      <c r="F57" s="129" t="s">
        <v>608</v>
      </c>
      <c r="G57" s="36"/>
      <c r="H57" s="273"/>
      <c r="J57" s="73"/>
      <c r="K57" s="79"/>
      <c r="L57" s="79"/>
    </row>
    <row r="58" spans="1:12" x14ac:dyDescent="0.25">
      <c r="A58" s="271">
        <v>45850</v>
      </c>
      <c r="B58" s="69"/>
      <c r="C58" s="69" t="s">
        <v>161</v>
      </c>
      <c r="D58" s="37"/>
      <c r="E58" s="129">
        <v>300</v>
      </c>
      <c r="F58" s="129"/>
      <c r="G58" s="36"/>
      <c r="H58" s="273"/>
      <c r="J58" s="73"/>
      <c r="K58" s="79"/>
      <c r="L58" s="79"/>
    </row>
    <row r="59" spans="1:12" x14ac:dyDescent="0.25">
      <c r="A59" s="271">
        <v>45850</v>
      </c>
      <c r="B59" s="69"/>
      <c r="C59" s="69" t="s">
        <v>33</v>
      </c>
      <c r="D59" s="37"/>
      <c r="E59" s="129">
        <v>238</v>
      </c>
      <c r="F59" s="129"/>
      <c r="G59" s="36"/>
      <c r="H59" s="273"/>
      <c r="J59" s="73"/>
      <c r="K59" s="79"/>
      <c r="L59" s="79"/>
    </row>
    <row r="60" spans="1:12" x14ac:dyDescent="0.25">
      <c r="A60" s="271">
        <v>45851</v>
      </c>
      <c r="B60" s="69" t="s">
        <v>459</v>
      </c>
      <c r="C60" s="69" t="s">
        <v>32</v>
      </c>
      <c r="D60" s="37">
        <v>4175</v>
      </c>
      <c r="E60" s="129"/>
      <c r="F60" s="129" t="s">
        <v>608</v>
      </c>
      <c r="G60" s="36"/>
      <c r="H60" s="273"/>
      <c r="J60" s="73"/>
      <c r="K60" s="79"/>
      <c r="L60" s="79"/>
    </row>
    <row r="61" spans="1:12" x14ac:dyDescent="0.25">
      <c r="A61" s="271">
        <v>45851</v>
      </c>
      <c r="B61" s="36" t="s">
        <v>460</v>
      </c>
      <c r="C61" s="69" t="s">
        <v>32</v>
      </c>
      <c r="D61" s="37">
        <v>1020</v>
      </c>
      <c r="E61" s="129"/>
      <c r="F61" s="129" t="s">
        <v>607</v>
      </c>
      <c r="G61" s="36"/>
      <c r="H61" s="273"/>
      <c r="J61" s="73"/>
      <c r="K61" s="79"/>
      <c r="L61" s="79"/>
    </row>
    <row r="62" spans="1:12" x14ac:dyDescent="0.25">
      <c r="A62" s="271">
        <v>45852</v>
      </c>
      <c r="B62" s="36" t="s">
        <v>461</v>
      </c>
      <c r="C62" s="69" t="s">
        <v>32</v>
      </c>
      <c r="D62" s="37">
        <v>3985</v>
      </c>
      <c r="E62" s="129"/>
      <c r="F62" s="129" t="s">
        <v>608</v>
      </c>
      <c r="G62" s="36"/>
      <c r="H62" s="273"/>
      <c r="J62" s="73"/>
      <c r="K62" s="79"/>
      <c r="L62" s="79"/>
    </row>
    <row r="63" spans="1:12" x14ac:dyDescent="0.25">
      <c r="A63" s="271">
        <v>45852</v>
      </c>
      <c r="B63" s="36" t="s">
        <v>462</v>
      </c>
      <c r="C63" s="69" t="s">
        <v>32</v>
      </c>
      <c r="D63" s="37">
        <v>40</v>
      </c>
      <c r="E63" s="136"/>
      <c r="F63" s="136" t="s">
        <v>521</v>
      </c>
      <c r="G63" s="36"/>
      <c r="H63" s="273"/>
      <c r="J63" s="73"/>
      <c r="K63" s="79"/>
      <c r="L63" s="79"/>
    </row>
    <row r="64" spans="1:12" x14ac:dyDescent="0.25">
      <c r="A64" s="271">
        <v>45852</v>
      </c>
      <c r="B64" s="36"/>
      <c r="C64" s="69" t="s">
        <v>33</v>
      </c>
      <c r="D64" s="37"/>
      <c r="E64" s="129">
        <v>210</v>
      </c>
      <c r="F64" s="129"/>
      <c r="G64" s="36"/>
      <c r="H64" s="273"/>
      <c r="J64" s="73"/>
      <c r="K64" s="79"/>
      <c r="L64" s="79"/>
    </row>
    <row r="65" spans="1:12" x14ac:dyDescent="0.25">
      <c r="A65" s="271">
        <v>45853</v>
      </c>
      <c r="B65" s="36"/>
      <c r="C65" s="69" t="s">
        <v>147</v>
      </c>
      <c r="D65" s="37"/>
      <c r="E65" s="129">
        <v>900</v>
      </c>
      <c r="F65" s="129"/>
      <c r="G65" s="36"/>
      <c r="H65" s="273"/>
      <c r="J65" s="73"/>
      <c r="K65" s="79"/>
      <c r="L65" s="79"/>
    </row>
    <row r="66" spans="1:12" x14ac:dyDescent="0.25">
      <c r="A66" s="271">
        <v>45853</v>
      </c>
      <c r="B66" s="36"/>
      <c r="C66" s="69" t="s">
        <v>145</v>
      </c>
      <c r="D66" s="37"/>
      <c r="E66" s="129">
        <v>2200</v>
      </c>
      <c r="F66" s="129"/>
      <c r="G66" s="36"/>
      <c r="H66" s="273"/>
      <c r="J66" s="73"/>
      <c r="K66" s="79"/>
      <c r="L66" s="79"/>
    </row>
    <row r="67" spans="1:12" x14ac:dyDescent="0.25">
      <c r="A67" s="271">
        <v>45853</v>
      </c>
      <c r="B67" s="36" t="s">
        <v>463</v>
      </c>
      <c r="C67" s="69" t="s">
        <v>32</v>
      </c>
      <c r="D67" s="37">
        <v>1200</v>
      </c>
      <c r="E67" s="129"/>
      <c r="F67" s="129" t="s">
        <v>608</v>
      </c>
      <c r="G67" s="36"/>
      <c r="H67" s="273"/>
      <c r="J67" s="73"/>
      <c r="K67" s="79"/>
      <c r="L67" s="79"/>
    </row>
    <row r="68" spans="1:12" x14ac:dyDescent="0.25">
      <c r="A68" s="271">
        <v>45853</v>
      </c>
      <c r="B68" s="36" t="s">
        <v>464</v>
      </c>
      <c r="C68" s="69" t="s">
        <v>32</v>
      </c>
      <c r="D68" s="37">
        <v>40</v>
      </c>
      <c r="E68" s="129"/>
      <c r="F68" s="129" t="s">
        <v>521</v>
      </c>
      <c r="G68" s="36"/>
      <c r="H68" s="273"/>
      <c r="J68" s="73"/>
      <c r="K68" s="79"/>
      <c r="L68" s="79"/>
    </row>
    <row r="69" spans="1:12" x14ac:dyDescent="0.25">
      <c r="A69" s="271">
        <v>45853</v>
      </c>
      <c r="B69" s="36" t="s">
        <v>465</v>
      </c>
      <c r="C69" s="69" t="s">
        <v>32</v>
      </c>
      <c r="D69" s="37">
        <v>180</v>
      </c>
      <c r="E69" s="129"/>
      <c r="F69" s="129" t="s">
        <v>607</v>
      </c>
      <c r="G69" s="36"/>
      <c r="H69" s="273"/>
      <c r="J69" s="73"/>
      <c r="K69" s="79"/>
      <c r="L69" s="79"/>
    </row>
    <row r="70" spans="1:12" x14ac:dyDescent="0.25">
      <c r="A70" s="271">
        <v>45853</v>
      </c>
      <c r="B70" s="36" t="s">
        <v>466</v>
      </c>
      <c r="C70" s="69" t="s">
        <v>32</v>
      </c>
      <c r="D70" s="37">
        <v>420</v>
      </c>
      <c r="E70" s="129"/>
      <c r="F70" s="129" t="s">
        <v>609</v>
      </c>
      <c r="G70" s="36"/>
      <c r="H70" s="274"/>
      <c r="J70" s="73"/>
      <c r="K70" s="79"/>
      <c r="L70" s="79"/>
    </row>
    <row r="71" spans="1:12" x14ac:dyDescent="0.25">
      <c r="A71" s="271">
        <v>45853</v>
      </c>
      <c r="B71" s="36"/>
      <c r="C71" s="69" t="s">
        <v>33</v>
      </c>
      <c r="D71" s="37"/>
      <c r="E71" s="129">
        <v>45</v>
      </c>
      <c r="F71" s="129"/>
      <c r="G71" s="36"/>
      <c r="H71" s="273"/>
      <c r="J71" s="73"/>
      <c r="K71" s="79"/>
      <c r="L71" s="79"/>
    </row>
    <row r="72" spans="1:12" x14ac:dyDescent="0.25">
      <c r="A72" s="271">
        <v>45854</v>
      </c>
      <c r="B72" s="36" t="s">
        <v>467</v>
      </c>
      <c r="C72" s="69" t="s">
        <v>32</v>
      </c>
      <c r="D72" s="37">
        <v>150</v>
      </c>
      <c r="E72" s="129"/>
      <c r="F72" s="129" t="s">
        <v>521</v>
      </c>
      <c r="G72" s="36"/>
      <c r="H72" s="273"/>
      <c r="J72" s="73"/>
      <c r="K72" s="79"/>
      <c r="L72" s="79"/>
    </row>
    <row r="73" spans="1:12" x14ac:dyDescent="0.25">
      <c r="A73" s="271">
        <v>45854</v>
      </c>
      <c r="B73" s="36" t="s">
        <v>468</v>
      </c>
      <c r="C73" s="69" t="s">
        <v>32</v>
      </c>
      <c r="D73" s="37">
        <v>2500</v>
      </c>
      <c r="E73" s="129"/>
      <c r="F73" s="129" t="s">
        <v>608</v>
      </c>
      <c r="G73" s="36"/>
      <c r="H73" s="273"/>
      <c r="J73" s="73"/>
      <c r="K73" s="79"/>
      <c r="L73" s="79"/>
    </row>
    <row r="74" spans="1:12" x14ac:dyDescent="0.25">
      <c r="A74" s="271">
        <v>45854</v>
      </c>
      <c r="B74" s="36"/>
      <c r="C74" s="69" t="s">
        <v>33</v>
      </c>
      <c r="D74" s="37"/>
      <c r="E74" s="129">
        <v>25</v>
      </c>
      <c r="F74" s="129"/>
      <c r="G74" s="36"/>
      <c r="H74" s="273"/>
      <c r="J74" s="73"/>
      <c r="K74" s="79"/>
      <c r="L74" s="79"/>
    </row>
    <row r="75" spans="1:12" x14ac:dyDescent="0.25">
      <c r="A75" s="271">
        <v>45855</v>
      </c>
      <c r="B75" s="36" t="s">
        <v>469</v>
      </c>
      <c r="C75" s="69" t="s">
        <v>32</v>
      </c>
      <c r="D75" s="37">
        <v>3855</v>
      </c>
      <c r="E75" s="129"/>
      <c r="F75" s="129" t="s">
        <v>608</v>
      </c>
      <c r="G75" s="36"/>
      <c r="H75" s="273"/>
      <c r="J75" s="73"/>
      <c r="K75" s="79"/>
      <c r="L75" s="79"/>
    </row>
    <row r="76" spans="1:12" x14ac:dyDescent="0.25">
      <c r="A76" s="271">
        <v>45855</v>
      </c>
      <c r="B76" s="36"/>
      <c r="C76" s="69" t="s">
        <v>33</v>
      </c>
      <c r="D76" s="37"/>
      <c r="E76" s="136">
        <v>25</v>
      </c>
      <c r="F76" s="136"/>
      <c r="G76" s="36"/>
      <c r="H76" s="274"/>
      <c r="J76" s="73"/>
      <c r="K76" s="79"/>
      <c r="L76" s="79"/>
    </row>
    <row r="77" spans="1:12" x14ac:dyDescent="0.25">
      <c r="A77" s="271">
        <v>45855</v>
      </c>
      <c r="B77" s="36"/>
      <c r="C77" s="69" t="s">
        <v>168</v>
      </c>
      <c r="D77" s="37"/>
      <c r="E77" s="129">
        <v>550</v>
      </c>
      <c r="F77" s="129"/>
      <c r="G77" s="36"/>
      <c r="H77" s="273" t="s">
        <v>99</v>
      </c>
      <c r="J77" s="73"/>
      <c r="K77" s="79"/>
      <c r="L77" s="79"/>
    </row>
    <row r="78" spans="1:12" x14ac:dyDescent="0.25">
      <c r="A78" s="271">
        <v>45856</v>
      </c>
      <c r="B78" s="36" t="s">
        <v>470</v>
      </c>
      <c r="C78" s="69" t="s">
        <v>32</v>
      </c>
      <c r="D78" s="37">
        <v>2370</v>
      </c>
      <c r="E78" s="129"/>
      <c r="F78" s="129" t="s">
        <v>608</v>
      </c>
      <c r="G78" s="36"/>
      <c r="H78" s="273"/>
      <c r="J78" s="73"/>
      <c r="K78" s="79"/>
      <c r="L78" s="79"/>
    </row>
    <row r="79" spans="1:12" x14ac:dyDescent="0.25">
      <c r="A79" s="271">
        <v>45856</v>
      </c>
      <c r="B79" s="36" t="s">
        <v>471</v>
      </c>
      <c r="C79" s="69" t="s">
        <v>32</v>
      </c>
      <c r="D79" s="37">
        <v>170</v>
      </c>
      <c r="E79" s="129"/>
      <c r="F79" s="129" t="s">
        <v>521</v>
      </c>
      <c r="G79" s="36"/>
      <c r="H79" s="273"/>
      <c r="J79" s="73"/>
      <c r="K79" s="79"/>
      <c r="L79" s="79"/>
    </row>
    <row r="80" spans="1:12" x14ac:dyDescent="0.25">
      <c r="A80" s="271">
        <v>45856</v>
      </c>
      <c r="B80" s="36" t="s">
        <v>472</v>
      </c>
      <c r="C80" s="69" t="s">
        <v>32</v>
      </c>
      <c r="D80" s="37">
        <v>910</v>
      </c>
      <c r="E80" s="129"/>
      <c r="F80" s="129" t="s">
        <v>607</v>
      </c>
      <c r="G80" s="36"/>
      <c r="H80" s="273"/>
      <c r="J80" s="73"/>
      <c r="K80" s="79"/>
      <c r="L80" s="79"/>
    </row>
    <row r="81" spans="1:12" x14ac:dyDescent="0.25">
      <c r="A81" s="271">
        <v>45856</v>
      </c>
      <c r="B81" s="36"/>
      <c r="C81" s="69" t="s">
        <v>109</v>
      </c>
      <c r="D81" s="37"/>
      <c r="E81" s="129">
        <v>400</v>
      </c>
      <c r="F81" s="129"/>
      <c r="G81" s="36"/>
      <c r="H81" s="273"/>
      <c r="J81" s="73"/>
      <c r="K81" s="79"/>
      <c r="L81" s="79"/>
    </row>
    <row r="82" spans="1:12" x14ac:dyDescent="0.25">
      <c r="A82" s="271">
        <v>45856</v>
      </c>
      <c r="B82" s="36"/>
      <c r="C82" s="69" t="s">
        <v>33</v>
      </c>
      <c r="D82" s="37"/>
      <c r="E82" s="129">
        <v>50</v>
      </c>
      <c r="F82" s="129"/>
      <c r="G82" s="36"/>
      <c r="H82" s="273"/>
      <c r="J82" s="73"/>
      <c r="K82" s="79"/>
      <c r="L82" s="79"/>
    </row>
    <row r="83" spans="1:12" x14ac:dyDescent="0.25">
      <c r="A83" s="271">
        <v>45857</v>
      </c>
      <c r="B83" s="36"/>
      <c r="C83" s="69" t="s">
        <v>145</v>
      </c>
      <c r="D83" s="37"/>
      <c r="E83" s="129">
        <v>2500</v>
      </c>
      <c r="F83" s="129"/>
      <c r="G83" s="36"/>
      <c r="H83" s="273"/>
      <c r="J83" s="73"/>
      <c r="K83" s="79"/>
      <c r="L83" s="79"/>
    </row>
    <row r="84" spans="1:12" x14ac:dyDescent="0.25">
      <c r="A84" s="271">
        <v>45857</v>
      </c>
      <c r="B84" s="36"/>
      <c r="C84" s="69" t="s">
        <v>147</v>
      </c>
      <c r="D84" s="37"/>
      <c r="E84" s="129">
        <v>900</v>
      </c>
      <c r="F84" s="129"/>
      <c r="G84" s="36"/>
      <c r="H84" s="273"/>
      <c r="J84" s="73"/>
      <c r="K84" s="79"/>
      <c r="L84" s="79"/>
    </row>
    <row r="85" spans="1:12" x14ac:dyDescent="0.25">
      <c r="A85" s="271">
        <v>45857</v>
      </c>
      <c r="B85" s="36" t="s">
        <v>473</v>
      </c>
      <c r="C85" s="69" t="s">
        <v>32</v>
      </c>
      <c r="D85" s="37">
        <v>1930</v>
      </c>
      <c r="E85" s="129"/>
      <c r="F85" s="129" t="s">
        <v>607</v>
      </c>
      <c r="G85" s="36"/>
      <c r="H85" s="273"/>
      <c r="J85" s="73"/>
      <c r="K85" s="79"/>
      <c r="L85" s="79"/>
    </row>
    <row r="86" spans="1:12" x14ac:dyDescent="0.25">
      <c r="A86" s="271">
        <v>45857</v>
      </c>
      <c r="B86" s="36" t="s">
        <v>474</v>
      </c>
      <c r="C86" s="69" t="s">
        <v>32</v>
      </c>
      <c r="D86" s="37">
        <v>10630</v>
      </c>
      <c r="E86" s="129"/>
      <c r="F86" s="129" t="s">
        <v>608</v>
      </c>
      <c r="G86" s="36"/>
      <c r="H86" s="273"/>
      <c r="J86" s="73"/>
      <c r="K86" s="79"/>
      <c r="L86" s="79"/>
    </row>
    <row r="87" spans="1:12" x14ac:dyDescent="0.25">
      <c r="A87" s="271">
        <v>45857</v>
      </c>
      <c r="B87" s="36" t="s">
        <v>475</v>
      </c>
      <c r="C87" s="69" t="s">
        <v>32</v>
      </c>
      <c r="D87" s="37">
        <v>4500</v>
      </c>
      <c r="E87" s="129"/>
      <c r="F87" s="129" t="s">
        <v>141</v>
      </c>
      <c r="G87" s="36"/>
      <c r="H87" s="273"/>
      <c r="J87" s="73"/>
      <c r="K87" s="79"/>
      <c r="L87" s="79"/>
    </row>
    <row r="88" spans="1:12" x14ac:dyDescent="0.25">
      <c r="A88" s="271">
        <v>45857</v>
      </c>
      <c r="B88" s="36"/>
      <c r="C88" s="69" t="s">
        <v>161</v>
      </c>
      <c r="D88" s="37"/>
      <c r="E88" s="129">
        <v>100</v>
      </c>
      <c r="F88" s="129"/>
      <c r="G88" s="36"/>
      <c r="H88" s="273" t="s">
        <v>261</v>
      </c>
      <c r="J88" s="73"/>
      <c r="K88" s="79"/>
      <c r="L88" s="79"/>
    </row>
    <row r="89" spans="1:12" x14ac:dyDescent="0.25">
      <c r="A89" s="271">
        <v>45857</v>
      </c>
      <c r="B89" s="36"/>
      <c r="C89" s="69" t="s">
        <v>33</v>
      </c>
      <c r="D89" s="37"/>
      <c r="E89" s="129">
        <v>500</v>
      </c>
      <c r="F89" s="129"/>
      <c r="G89" s="36"/>
      <c r="H89" s="273"/>
      <c r="J89" s="73"/>
      <c r="K89" s="79"/>
      <c r="L89" s="79"/>
    </row>
    <row r="90" spans="1:12" x14ac:dyDescent="0.25">
      <c r="A90" s="271">
        <v>45858</v>
      </c>
      <c r="B90" s="36" t="s">
        <v>476</v>
      </c>
      <c r="C90" s="69" t="s">
        <v>32</v>
      </c>
      <c r="D90" s="37">
        <v>1850</v>
      </c>
      <c r="E90" s="129"/>
      <c r="F90" s="129" t="s">
        <v>608</v>
      </c>
      <c r="G90" s="36"/>
      <c r="H90" s="273"/>
      <c r="J90" s="73"/>
      <c r="K90" s="79"/>
      <c r="L90" s="79"/>
    </row>
    <row r="91" spans="1:12" x14ac:dyDescent="0.25">
      <c r="A91" s="271">
        <v>45858</v>
      </c>
      <c r="B91" s="36"/>
      <c r="C91" s="69" t="s">
        <v>33</v>
      </c>
      <c r="D91" s="37"/>
      <c r="E91" s="129">
        <v>30</v>
      </c>
      <c r="F91" s="129"/>
      <c r="G91" s="36"/>
      <c r="H91" s="273"/>
      <c r="J91" s="73"/>
      <c r="K91" s="79"/>
      <c r="L91" s="79"/>
    </row>
    <row r="92" spans="1:12" x14ac:dyDescent="0.25">
      <c r="A92" s="271">
        <v>45858</v>
      </c>
      <c r="B92" s="36" t="s">
        <v>477</v>
      </c>
      <c r="C92" s="69" t="s">
        <v>32</v>
      </c>
      <c r="D92" s="37">
        <v>920</v>
      </c>
      <c r="E92" s="129"/>
      <c r="F92" s="129" t="s">
        <v>607</v>
      </c>
      <c r="G92" s="36"/>
      <c r="H92" s="273"/>
      <c r="J92" s="73"/>
      <c r="K92" s="79"/>
      <c r="L92" s="79"/>
    </row>
    <row r="93" spans="1:12" x14ac:dyDescent="0.25">
      <c r="A93" s="271">
        <v>45858</v>
      </c>
      <c r="B93" s="36" t="s">
        <v>478</v>
      </c>
      <c r="C93" s="69" t="s">
        <v>32</v>
      </c>
      <c r="D93" s="37">
        <v>480</v>
      </c>
      <c r="E93" s="129"/>
      <c r="F93" s="129" t="s">
        <v>521</v>
      </c>
      <c r="G93" s="36"/>
      <c r="H93" s="273"/>
      <c r="J93" s="73"/>
      <c r="K93" s="79"/>
      <c r="L93" s="79"/>
    </row>
    <row r="94" spans="1:12" x14ac:dyDescent="0.25">
      <c r="A94" s="271">
        <v>45859</v>
      </c>
      <c r="B94" s="36" t="s">
        <v>479</v>
      </c>
      <c r="C94" s="69" t="s">
        <v>32</v>
      </c>
      <c r="D94" s="37">
        <v>5645</v>
      </c>
      <c r="E94" s="129"/>
      <c r="F94" s="129" t="s">
        <v>608</v>
      </c>
      <c r="G94" s="36"/>
      <c r="H94" s="273"/>
      <c r="J94" s="73"/>
      <c r="K94" s="79"/>
      <c r="L94" s="79"/>
    </row>
    <row r="95" spans="1:12" x14ac:dyDescent="0.25">
      <c r="A95" s="271">
        <v>45859</v>
      </c>
      <c r="B95" s="36" t="s">
        <v>480</v>
      </c>
      <c r="C95" s="69" t="s">
        <v>32</v>
      </c>
      <c r="D95" s="37">
        <v>1450</v>
      </c>
      <c r="E95" s="129"/>
      <c r="F95" s="129" t="s">
        <v>521</v>
      </c>
      <c r="G95" s="36"/>
      <c r="H95" s="273"/>
      <c r="J95" s="73"/>
      <c r="K95" s="79"/>
      <c r="L95" s="79"/>
    </row>
    <row r="96" spans="1:12" x14ac:dyDescent="0.25">
      <c r="A96" s="271">
        <v>45859</v>
      </c>
      <c r="B96" s="36"/>
      <c r="C96" s="69" t="s">
        <v>145</v>
      </c>
      <c r="D96" s="37"/>
      <c r="E96" s="129">
        <v>2800</v>
      </c>
      <c r="F96" s="129"/>
      <c r="G96" s="36"/>
      <c r="H96" s="273"/>
      <c r="J96" s="73"/>
      <c r="K96" s="79"/>
      <c r="L96" s="79"/>
    </row>
    <row r="97" spans="1:12" x14ac:dyDescent="0.25">
      <c r="A97" s="271">
        <v>45859</v>
      </c>
      <c r="B97" s="36"/>
      <c r="C97" s="69" t="s">
        <v>147</v>
      </c>
      <c r="D97" s="37"/>
      <c r="E97" s="129">
        <v>900</v>
      </c>
      <c r="F97" s="129"/>
      <c r="G97" s="36"/>
      <c r="H97" s="273"/>
      <c r="J97" s="73"/>
      <c r="K97" s="79"/>
      <c r="L97" s="79"/>
    </row>
    <row r="98" spans="1:12" x14ac:dyDescent="0.25">
      <c r="A98" s="271">
        <v>45859</v>
      </c>
      <c r="B98" s="36" t="s">
        <v>481</v>
      </c>
      <c r="C98" s="69" t="s">
        <v>32</v>
      </c>
      <c r="D98" s="37">
        <v>1200</v>
      </c>
      <c r="E98" s="129"/>
      <c r="F98" s="129" t="s">
        <v>607</v>
      </c>
      <c r="G98" s="36"/>
      <c r="H98" s="273"/>
      <c r="J98" s="73"/>
      <c r="K98" s="79"/>
      <c r="L98" s="79"/>
    </row>
    <row r="99" spans="1:12" x14ac:dyDescent="0.25">
      <c r="A99" s="271">
        <v>45860</v>
      </c>
      <c r="B99" s="36" t="s">
        <v>482</v>
      </c>
      <c r="C99" s="69" t="s">
        <v>32</v>
      </c>
      <c r="D99" s="37">
        <v>750</v>
      </c>
      <c r="E99" s="129"/>
      <c r="F99" s="129" t="s">
        <v>521</v>
      </c>
      <c r="G99" s="36"/>
      <c r="H99" s="273"/>
      <c r="J99" s="73"/>
      <c r="K99" s="79"/>
      <c r="L99" s="79"/>
    </row>
    <row r="100" spans="1:12" x14ac:dyDescent="0.25">
      <c r="A100" s="271">
        <v>45860</v>
      </c>
      <c r="B100" s="36" t="s">
        <v>483</v>
      </c>
      <c r="C100" s="69" t="s">
        <v>32</v>
      </c>
      <c r="D100" s="37">
        <v>280</v>
      </c>
      <c r="E100" s="129"/>
      <c r="F100" s="129" t="s">
        <v>521</v>
      </c>
      <c r="G100" s="36"/>
      <c r="H100" s="273"/>
      <c r="J100" s="73"/>
      <c r="K100" s="79"/>
      <c r="L100" s="79"/>
    </row>
    <row r="101" spans="1:12" x14ac:dyDescent="0.25">
      <c r="A101" s="271">
        <v>45860</v>
      </c>
      <c r="B101" s="36" t="s">
        <v>484</v>
      </c>
      <c r="C101" s="36" t="s">
        <v>32</v>
      </c>
      <c r="D101" s="37">
        <v>980</v>
      </c>
      <c r="E101" s="129"/>
      <c r="F101" s="129" t="s">
        <v>608</v>
      </c>
      <c r="G101" s="36"/>
      <c r="H101" s="273"/>
      <c r="J101" s="73"/>
      <c r="K101" s="79"/>
      <c r="L101" s="79"/>
    </row>
    <row r="102" spans="1:12" x14ac:dyDescent="0.25">
      <c r="A102" s="271">
        <v>45860</v>
      </c>
      <c r="B102" s="36"/>
      <c r="C102" s="69" t="s">
        <v>161</v>
      </c>
      <c r="D102" s="37"/>
      <c r="E102" s="129">
        <v>100</v>
      </c>
      <c r="F102" s="129"/>
      <c r="G102" s="36"/>
      <c r="H102" s="273" t="s">
        <v>485</v>
      </c>
      <c r="J102" s="73"/>
      <c r="K102" s="79"/>
      <c r="L102" s="79"/>
    </row>
    <row r="103" spans="1:12" x14ac:dyDescent="0.25">
      <c r="A103" s="271">
        <v>45860</v>
      </c>
      <c r="B103" s="36"/>
      <c r="C103" s="69" t="s">
        <v>207</v>
      </c>
      <c r="D103" s="37"/>
      <c r="E103" s="129">
        <v>1277</v>
      </c>
      <c r="F103" s="129"/>
      <c r="G103" s="36"/>
      <c r="H103" s="273" t="s">
        <v>531</v>
      </c>
      <c r="J103" s="73"/>
      <c r="K103" s="79"/>
      <c r="L103" s="79"/>
    </row>
    <row r="104" spans="1:12" x14ac:dyDescent="0.25">
      <c r="A104" s="271">
        <v>45860</v>
      </c>
      <c r="B104" s="36"/>
      <c r="C104" s="69" t="s">
        <v>207</v>
      </c>
      <c r="D104" s="37"/>
      <c r="E104" s="129">
        <v>1100</v>
      </c>
      <c r="F104" s="129"/>
      <c r="G104" s="36"/>
      <c r="H104" s="273" t="s">
        <v>532</v>
      </c>
      <c r="J104" s="73"/>
      <c r="K104" s="79"/>
      <c r="L104" s="79"/>
    </row>
    <row r="105" spans="1:12" x14ac:dyDescent="0.25">
      <c r="A105" s="271">
        <v>45860</v>
      </c>
      <c r="B105" s="36"/>
      <c r="C105" s="69" t="s">
        <v>33</v>
      </c>
      <c r="D105" s="37"/>
      <c r="E105" s="129">
        <v>210</v>
      </c>
      <c r="F105" s="129"/>
      <c r="G105" s="36"/>
      <c r="H105" s="273"/>
      <c r="J105" s="73"/>
      <c r="K105" s="79"/>
      <c r="L105" s="79"/>
    </row>
    <row r="106" spans="1:12" x14ac:dyDescent="0.25">
      <c r="A106" s="271">
        <v>45860</v>
      </c>
      <c r="B106" s="36"/>
      <c r="C106" s="69" t="s">
        <v>207</v>
      </c>
      <c r="D106" s="37"/>
      <c r="E106" s="129">
        <v>200</v>
      </c>
      <c r="F106" s="129"/>
      <c r="G106" s="36"/>
      <c r="H106" s="273"/>
      <c r="J106" s="73"/>
      <c r="K106" s="79"/>
      <c r="L106" s="79"/>
    </row>
    <row r="107" spans="1:12" x14ac:dyDescent="0.25">
      <c r="A107" s="271">
        <v>45861</v>
      </c>
      <c r="B107" s="36" t="s">
        <v>486</v>
      </c>
      <c r="C107" s="69" t="s">
        <v>32</v>
      </c>
      <c r="D107" s="37">
        <v>2250</v>
      </c>
      <c r="E107" s="129"/>
      <c r="F107" s="129"/>
      <c r="G107" s="36"/>
      <c r="H107" s="273"/>
      <c r="J107" s="73"/>
      <c r="K107" s="79"/>
      <c r="L107" s="79"/>
    </row>
    <row r="108" spans="1:12" x14ac:dyDescent="0.25">
      <c r="A108" s="271">
        <v>45861</v>
      </c>
      <c r="B108" s="36" t="s">
        <v>487</v>
      </c>
      <c r="C108" s="69" t="s">
        <v>32</v>
      </c>
      <c r="D108" s="37">
        <v>150</v>
      </c>
      <c r="E108" s="129"/>
      <c r="F108" s="129"/>
      <c r="G108" s="36"/>
      <c r="H108" s="273"/>
      <c r="J108" s="73"/>
      <c r="K108" s="79"/>
      <c r="L108" s="79"/>
    </row>
    <row r="109" spans="1:12" x14ac:dyDescent="0.25">
      <c r="A109" s="271">
        <v>45861</v>
      </c>
      <c r="B109" s="36" t="s">
        <v>508</v>
      </c>
      <c r="C109" s="69" t="s">
        <v>147</v>
      </c>
      <c r="D109" s="37"/>
      <c r="E109" s="129">
        <v>21375</v>
      </c>
      <c r="F109" s="129"/>
      <c r="G109" s="36"/>
      <c r="H109" s="273"/>
      <c r="J109" s="73"/>
      <c r="K109" s="79"/>
      <c r="L109" s="79"/>
    </row>
    <row r="110" spans="1:12" x14ac:dyDescent="0.25">
      <c r="A110" s="271">
        <v>45861</v>
      </c>
      <c r="B110" s="36"/>
      <c r="C110" s="69" t="s">
        <v>207</v>
      </c>
      <c r="D110" s="37"/>
      <c r="E110" s="129">
        <v>150</v>
      </c>
      <c r="F110" s="129"/>
      <c r="G110" s="36"/>
      <c r="H110" s="273"/>
      <c r="J110" s="73"/>
      <c r="K110" s="79"/>
      <c r="L110" s="79"/>
    </row>
    <row r="111" spans="1:12" x14ac:dyDescent="0.25">
      <c r="A111" s="271">
        <v>45861</v>
      </c>
      <c r="B111" s="36" t="s">
        <v>488</v>
      </c>
      <c r="C111" s="69" t="s">
        <v>32</v>
      </c>
      <c r="D111" s="37">
        <v>200</v>
      </c>
      <c r="E111" s="129"/>
      <c r="F111" s="129"/>
      <c r="G111" s="36"/>
      <c r="H111" s="273"/>
      <c r="J111" s="73"/>
      <c r="K111" s="79"/>
      <c r="L111" s="79"/>
    </row>
    <row r="112" spans="1:12" x14ac:dyDescent="0.25">
      <c r="A112" s="271">
        <v>45862</v>
      </c>
      <c r="B112" s="36" t="s">
        <v>489</v>
      </c>
      <c r="C112" s="69" t="s">
        <v>32</v>
      </c>
      <c r="D112" s="37">
        <v>450</v>
      </c>
      <c r="E112" s="129"/>
      <c r="F112" s="129"/>
      <c r="G112" s="36"/>
      <c r="H112" s="273"/>
      <c r="J112" s="73"/>
      <c r="K112" s="79"/>
      <c r="L112" s="79"/>
    </row>
    <row r="113" spans="1:12" x14ac:dyDescent="0.25">
      <c r="A113" s="271">
        <v>45862</v>
      </c>
      <c r="B113" s="36" t="s">
        <v>514</v>
      </c>
      <c r="C113" s="69" t="s">
        <v>145</v>
      </c>
      <c r="D113" s="37"/>
      <c r="E113" s="129">
        <v>3000</v>
      </c>
      <c r="F113" s="129"/>
      <c r="G113" s="36"/>
      <c r="H113" s="273"/>
      <c r="J113" s="73"/>
      <c r="K113" s="79"/>
      <c r="L113" s="79"/>
    </row>
    <row r="114" spans="1:12" x14ac:dyDescent="0.25">
      <c r="A114" s="271">
        <v>45862</v>
      </c>
      <c r="B114" s="36"/>
      <c r="C114" s="69" t="s">
        <v>33</v>
      </c>
      <c r="D114" s="37"/>
      <c r="E114" s="129">
        <v>780</v>
      </c>
      <c r="F114" s="129"/>
      <c r="G114" s="36"/>
      <c r="H114" s="273" t="s">
        <v>492</v>
      </c>
      <c r="J114" s="73"/>
      <c r="K114" s="79"/>
      <c r="L114" s="79"/>
    </row>
    <row r="115" spans="1:12" x14ac:dyDescent="0.25">
      <c r="A115" s="271">
        <v>45862</v>
      </c>
      <c r="B115" s="36"/>
      <c r="C115" s="69" t="s">
        <v>109</v>
      </c>
      <c r="D115" s="37"/>
      <c r="E115" s="129">
        <v>200</v>
      </c>
      <c r="F115" s="129"/>
      <c r="G115" s="36"/>
      <c r="H115" s="273" t="s">
        <v>493</v>
      </c>
      <c r="J115" s="73"/>
      <c r="K115" s="79"/>
      <c r="L115" s="79"/>
    </row>
    <row r="116" spans="1:12" x14ac:dyDescent="0.25">
      <c r="A116" s="271">
        <v>45862</v>
      </c>
      <c r="B116" s="36"/>
      <c r="C116" s="69" t="s">
        <v>33</v>
      </c>
      <c r="D116" s="37"/>
      <c r="E116" s="129">
        <v>4336</v>
      </c>
      <c r="F116" s="129"/>
      <c r="G116" s="36"/>
      <c r="H116" s="273" t="s">
        <v>494</v>
      </c>
      <c r="J116" s="73"/>
      <c r="K116" s="79"/>
      <c r="L116" s="79"/>
    </row>
    <row r="117" spans="1:12" x14ac:dyDescent="0.25">
      <c r="A117" s="271">
        <v>45862</v>
      </c>
      <c r="B117" s="36"/>
      <c r="C117" s="69" t="s">
        <v>161</v>
      </c>
      <c r="D117" s="37"/>
      <c r="E117" s="129">
        <v>3000</v>
      </c>
      <c r="F117" s="129"/>
      <c r="G117" s="36"/>
      <c r="H117" s="273" t="s">
        <v>485</v>
      </c>
      <c r="J117" s="73"/>
      <c r="K117" s="79"/>
      <c r="L117" s="79"/>
    </row>
    <row r="118" spans="1:12" x14ac:dyDescent="0.25">
      <c r="A118" s="271">
        <v>45863</v>
      </c>
      <c r="B118" s="36" t="s">
        <v>490</v>
      </c>
      <c r="C118" s="69" t="s">
        <v>32</v>
      </c>
      <c r="D118" s="37">
        <v>280</v>
      </c>
      <c r="E118" s="129"/>
      <c r="F118" s="129"/>
      <c r="G118" s="36"/>
      <c r="H118" s="273"/>
      <c r="J118" s="73"/>
      <c r="K118" s="79"/>
      <c r="L118" s="79"/>
    </row>
    <row r="119" spans="1:12" x14ac:dyDescent="0.25">
      <c r="A119" s="271">
        <v>45863</v>
      </c>
      <c r="B119" s="36" t="s">
        <v>491</v>
      </c>
      <c r="C119" s="69" t="s">
        <v>32</v>
      </c>
      <c r="D119" s="37">
        <v>2400</v>
      </c>
      <c r="E119" s="129"/>
      <c r="F119" s="129"/>
      <c r="G119" s="36"/>
      <c r="H119" s="273"/>
      <c r="J119" s="73"/>
      <c r="K119" s="79"/>
      <c r="L119" s="79"/>
    </row>
    <row r="120" spans="1:12" x14ac:dyDescent="0.25">
      <c r="A120" s="271">
        <v>45863</v>
      </c>
      <c r="B120" s="36" t="s">
        <v>500</v>
      </c>
      <c r="C120" s="69" t="s">
        <v>32</v>
      </c>
      <c r="D120" s="37">
        <v>5850</v>
      </c>
      <c r="E120" s="129"/>
      <c r="F120" s="129"/>
      <c r="G120" s="36"/>
      <c r="H120" s="273"/>
      <c r="J120" s="73"/>
      <c r="K120" s="79"/>
      <c r="L120" s="79"/>
    </row>
    <row r="121" spans="1:12" x14ac:dyDescent="0.25">
      <c r="A121" s="271">
        <v>45863</v>
      </c>
      <c r="B121" s="36" t="s">
        <v>501</v>
      </c>
      <c r="C121" s="69" t="s">
        <v>32</v>
      </c>
      <c r="D121" s="37">
        <v>750</v>
      </c>
      <c r="E121" s="129"/>
      <c r="F121" s="129"/>
      <c r="G121" s="36"/>
      <c r="H121" s="273" t="s">
        <v>503</v>
      </c>
      <c r="J121" s="73"/>
      <c r="K121" s="79"/>
      <c r="L121" s="79"/>
    </row>
    <row r="122" spans="1:12" x14ac:dyDescent="0.25">
      <c r="A122" s="271">
        <v>45863</v>
      </c>
      <c r="B122" s="36" t="s">
        <v>502</v>
      </c>
      <c r="C122" s="69" t="s">
        <v>32</v>
      </c>
      <c r="D122" s="37">
        <v>210</v>
      </c>
      <c r="E122" s="129"/>
      <c r="F122" s="129"/>
      <c r="G122" s="36"/>
      <c r="H122" s="273" t="s">
        <v>504</v>
      </c>
      <c r="J122" s="73"/>
      <c r="K122" s="79"/>
      <c r="L122" s="79"/>
    </row>
    <row r="123" spans="1:12" x14ac:dyDescent="0.25">
      <c r="A123" s="271">
        <v>45864</v>
      </c>
      <c r="B123" s="36" t="s">
        <v>506</v>
      </c>
      <c r="C123" s="69" t="s">
        <v>32</v>
      </c>
      <c r="D123" s="37">
        <v>13840</v>
      </c>
      <c r="E123" s="129"/>
      <c r="F123" s="129"/>
      <c r="G123" s="36"/>
      <c r="H123" s="273"/>
      <c r="J123" s="73"/>
      <c r="K123" s="79"/>
      <c r="L123" s="79"/>
    </row>
    <row r="124" spans="1:12" x14ac:dyDescent="0.25">
      <c r="A124" s="271">
        <v>45864</v>
      </c>
      <c r="B124" s="36" t="s">
        <v>507</v>
      </c>
      <c r="C124" s="69" t="s">
        <v>32</v>
      </c>
      <c r="D124" s="37">
        <v>200</v>
      </c>
      <c r="E124" s="129"/>
      <c r="F124" s="129"/>
      <c r="G124" s="36"/>
      <c r="H124" s="273"/>
      <c r="J124" s="73"/>
      <c r="K124" s="79"/>
      <c r="L124" s="79"/>
    </row>
    <row r="125" spans="1:12" x14ac:dyDescent="0.25">
      <c r="A125" s="271">
        <v>45864</v>
      </c>
      <c r="B125" s="36"/>
      <c r="C125" s="69" t="s">
        <v>33</v>
      </c>
      <c r="D125" s="37"/>
      <c r="E125" s="129">
        <v>160</v>
      </c>
      <c r="F125" s="129"/>
      <c r="G125" s="36"/>
      <c r="H125" s="273"/>
      <c r="J125" s="73"/>
      <c r="K125" s="79"/>
      <c r="L125" s="79"/>
    </row>
    <row r="126" spans="1:12" x14ac:dyDescent="0.25">
      <c r="A126" s="271">
        <v>45865</v>
      </c>
      <c r="B126" s="36" t="s">
        <v>509</v>
      </c>
      <c r="C126" s="36" t="s">
        <v>32</v>
      </c>
      <c r="D126" s="37">
        <v>300</v>
      </c>
      <c r="E126" s="129"/>
      <c r="F126" s="129"/>
      <c r="G126" s="36"/>
      <c r="H126" s="273"/>
      <c r="J126" s="73"/>
      <c r="K126" s="79"/>
      <c r="L126" s="79"/>
    </row>
    <row r="127" spans="1:12" x14ac:dyDescent="0.25">
      <c r="A127" s="271">
        <v>45865</v>
      </c>
      <c r="B127" s="36" t="s">
        <v>510</v>
      </c>
      <c r="C127" s="69" t="s">
        <v>32</v>
      </c>
      <c r="D127" s="37">
        <v>80</v>
      </c>
      <c r="E127" s="129"/>
      <c r="F127" s="129"/>
      <c r="G127" s="36"/>
      <c r="H127" s="273"/>
      <c r="J127" s="73"/>
      <c r="K127" s="79"/>
      <c r="L127" s="79"/>
    </row>
    <row r="128" spans="1:12" x14ac:dyDescent="0.25">
      <c r="A128" s="271">
        <v>45865</v>
      </c>
      <c r="B128" s="36" t="s">
        <v>511</v>
      </c>
      <c r="C128" s="69" t="s">
        <v>32</v>
      </c>
      <c r="D128" s="37">
        <v>6000</v>
      </c>
      <c r="E128" s="129"/>
      <c r="F128" s="129"/>
      <c r="G128" s="36"/>
      <c r="H128" s="273"/>
      <c r="J128" s="73"/>
      <c r="K128" s="79"/>
      <c r="L128" s="79"/>
    </row>
    <row r="129" spans="1:12" x14ac:dyDescent="0.25">
      <c r="A129" s="271">
        <v>45865</v>
      </c>
      <c r="B129" s="36" t="s">
        <v>515</v>
      </c>
      <c r="C129" s="69" t="s">
        <v>145</v>
      </c>
      <c r="D129" s="37"/>
      <c r="E129" s="129">
        <v>3200</v>
      </c>
      <c r="F129" s="129"/>
      <c r="G129" s="36"/>
      <c r="H129" s="273"/>
      <c r="J129" s="73"/>
      <c r="K129" s="79"/>
      <c r="L129" s="79"/>
    </row>
    <row r="130" spans="1:12" x14ac:dyDescent="0.25">
      <c r="A130" s="271">
        <v>45866</v>
      </c>
      <c r="B130" s="36" t="s">
        <v>512</v>
      </c>
      <c r="C130" s="69" t="s">
        <v>32</v>
      </c>
      <c r="D130" s="37">
        <v>940</v>
      </c>
      <c r="E130" s="129"/>
      <c r="F130" s="129"/>
      <c r="G130" s="36"/>
      <c r="H130" s="273"/>
      <c r="J130" s="73"/>
      <c r="K130" s="79"/>
      <c r="L130" s="79"/>
    </row>
    <row r="131" spans="1:12" x14ac:dyDescent="0.25">
      <c r="A131" s="271">
        <v>45866</v>
      </c>
      <c r="B131" s="36" t="s">
        <v>513</v>
      </c>
      <c r="C131" s="69" t="s">
        <v>32</v>
      </c>
      <c r="D131" s="37">
        <v>2000</v>
      </c>
      <c r="E131" s="129"/>
      <c r="F131" s="129"/>
      <c r="G131" s="36"/>
      <c r="H131" s="273"/>
      <c r="J131" s="73"/>
      <c r="K131" s="79"/>
      <c r="L131" s="79"/>
    </row>
    <row r="132" spans="1:12" ht="26.25" x14ac:dyDescent="0.25">
      <c r="A132" s="271">
        <v>45867</v>
      </c>
      <c r="B132" s="36"/>
      <c r="C132" s="69" t="s">
        <v>168</v>
      </c>
      <c r="D132" s="37"/>
      <c r="E132" s="129">
        <v>350</v>
      </c>
      <c r="F132" s="129"/>
      <c r="G132" s="36"/>
      <c r="H132" s="273" t="s">
        <v>516</v>
      </c>
      <c r="J132" s="73"/>
      <c r="K132" s="79"/>
      <c r="L132" s="79"/>
    </row>
    <row r="133" spans="1:12" x14ac:dyDescent="0.25">
      <c r="A133" s="271">
        <v>45867</v>
      </c>
      <c r="B133" s="36" t="s">
        <v>517</v>
      </c>
      <c r="C133" s="69" t="s">
        <v>145</v>
      </c>
      <c r="D133" s="37"/>
      <c r="E133" s="129">
        <v>3200</v>
      </c>
      <c r="F133" s="129"/>
      <c r="G133" s="36"/>
      <c r="H133" s="273"/>
      <c r="J133" s="73"/>
      <c r="K133" s="79"/>
      <c r="L133" s="79"/>
    </row>
    <row r="134" spans="1:12" x14ac:dyDescent="0.25">
      <c r="A134" s="271">
        <v>45867</v>
      </c>
      <c r="B134" s="36" t="s">
        <v>518</v>
      </c>
      <c r="C134" s="69" t="s">
        <v>32</v>
      </c>
      <c r="D134" s="37">
        <v>300</v>
      </c>
      <c r="E134" s="129"/>
      <c r="F134" s="129"/>
      <c r="G134" s="36"/>
      <c r="H134" s="273" t="s">
        <v>521</v>
      </c>
      <c r="J134" s="73"/>
      <c r="K134" s="79"/>
      <c r="L134" s="79"/>
    </row>
    <row r="135" spans="1:12" x14ac:dyDescent="0.25">
      <c r="A135" s="271">
        <v>45867</v>
      </c>
      <c r="B135" s="36" t="s">
        <v>519</v>
      </c>
      <c r="C135" s="69" t="s">
        <v>32</v>
      </c>
      <c r="D135" s="37">
        <v>150</v>
      </c>
      <c r="E135" s="129"/>
      <c r="F135" s="129"/>
      <c r="G135" s="36"/>
      <c r="H135" s="273" t="s">
        <v>522</v>
      </c>
      <c r="J135" s="73"/>
      <c r="K135" s="79"/>
      <c r="L135" s="79"/>
    </row>
    <row r="136" spans="1:12" x14ac:dyDescent="0.25">
      <c r="A136" s="271">
        <v>45867</v>
      </c>
      <c r="B136" s="36" t="s">
        <v>520</v>
      </c>
      <c r="C136" s="69" t="s">
        <v>32</v>
      </c>
      <c r="D136" s="37">
        <v>1860</v>
      </c>
      <c r="E136" s="129"/>
      <c r="F136" s="129"/>
      <c r="G136" s="36"/>
      <c r="H136" s="273"/>
      <c r="J136" s="73"/>
      <c r="K136" s="79"/>
      <c r="L136" s="79"/>
    </row>
    <row r="137" spans="1:12" x14ac:dyDescent="0.25">
      <c r="A137" s="271">
        <v>45868</v>
      </c>
      <c r="B137" s="36" t="s">
        <v>523</v>
      </c>
      <c r="C137" s="69" t="s">
        <v>32</v>
      </c>
      <c r="D137" s="37">
        <v>3795</v>
      </c>
      <c r="E137" s="129"/>
      <c r="F137" s="129"/>
      <c r="G137" s="36"/>
      <c r="H137" s="273"/>
      <c r="J137" s="73"/>
      <c r="K137" s="79"/>
      <c r="L137" s="79"/>
    </row>
    <row r="138" spans="1:12" x14ac:dyDescent="0.25">
      <c r="A138" s="271">
        <v>45868</v>
      </c>
      <c r="B138" s="36" t="s">
        <v>524</v>
      </c>
      <c r="C138" s="69" t="s">
        <v>32</v>
      </c>
      <c r="D138" s="37">
        <v>830</v>
      </c>
      <c r="E138" s="129"/>
      <c r="F138" s="129"/>
      <c r="G138" s="36"/>
      <c r="H138" s="273"/>
      <c r="J138" s="73"/>
      <c r="K138" s="79"/>
      <c r="L138" s="79"/>
    </row>
    <row r="139" spans="1:12" x14ac:dyDescent="0.25">
      <c r="A139" s="271">
        <v>45869</v>
      </c>
      <c r="B139" s="36" t="s">
        <v>525</v>
      </c>
      <c r="C139" s="69" t="s">
        <v>32</v>
      </c>
      <c r="D139" s="37">
        <v>150</v>
      </c>
      <c r="E139" s="129"/>
      <c r="F139" s="129"/>
      <c r="G139" s="36"/>
      <c r="H139" s="273"/>
    </row>
    <row r="140" spans="1:12" x14ac:dyDescent="0.25">
      <c r="A140" s="271">
        <v>45869</v>
      </c>
      <c r="B140" s="36" t="s">
        <v>526</v>
      </c>
      <c r="C140" s="69" t="s">
        <v>32</v>
      </c>
      <c r="D140" s="37">
        <v>3825</v>
      </c>
      <c r="E140" s="78"/>
      <c r="F140" s="78"/>
      <c r="G140" s="36"/>
      <c r="H140" s="273"/>
    </row>
    <row r="141" spans="1:12" x14ac:dyDescent="0.25">
      <c r="A141" s="271">
        <v>45869</v>
      </c>
      <c r="B141" s="36" t="s">
        <v>527</v>
      </c>
      <c r="C141" s="69" t="s">
        <v>32</v>
      </c>
      <c r="D141" s="37">
        <v>1020</v>
      </c>
      <c r="E141" s="78"/>
      <c r="F141" s="78"/>
      <c r="G141" s="36"/>
      <c r="H141" s="273"/>
    </row>
    <row r="142" spans="1:12" x14ac:dyDescent="0.25">
      <c r="A142" s="271">
        <v>45869</v>
      </c>
      <c r="B142" s="36"/>
      <c r="C142" s="69" t="s">
        <v>33</v>
      </c>
      <c r="D142" s="37"/>
      <c r="E142" s="78">
        <v>50</v>
      </c>
      <c r="F142" s="78"/>
      <c r="G142" s="36"/>
      <c r="H142" s="273"/>
    </row>
    <row r="143" spans="1:12" x14ac:dyDescent="0.25">
      <c r="A143" s="271">
        <v>45869</v>
      </c>
      <c r="B143" s="36"/>
      <c r="C143" s="69" t="s">
        <v>161</v>
      </c>
      <c r="D143" s="37"/>
      <c r="E143" s="78">
        <v>4800</v>
      </c>
      <c r="F143" s="78"/>
      <c r="G143" s="36"/>
      <c r="H143" s="273" t="s">
        <v>529</v>
      </c>
    </row>
    <row r="144" spans="1:12" x14ac:dyDescent="0.25">
      <c r="A144" s="288">
        <v>45869</v>
      </c>
      <c r="B144" s="218"/>
      <c r="C144" s="281" t="s">
        <v>161</v>
      </c>
      <c r="D144" s="282"/>
      <c r="E144" s="283">
        <v>150</v>
      </c>
      <c r="F144" s="283"/>
      <c r="G144" s="218"/>
      <c r="H144" s="286" t="s">
        <v>530</v>
      </c>
    </row>
    <row r="145" spans="1:8" x14ac:dyDescent="0.25">
      <c r="A145" s="31"/>
      <c r="B145" s="36"/>
      <c r="C145" s="69"/>
      <c r="D145" s="37"/>
      <c r="E145" s="122"/>
      <c r="F145" s="122"/>
      <c r="G145" s="36"/>
      <c r="H145" s="36"/>
    </row>
    <row r="146" spans="1:8" ht="15.75" customHeight="1" x14ac:dyDescent="0.25">
      <c r="A146" s="36"/>
      <c r="B146" s="36"/>
      <c r="C146" s="7" t="s">
        <v>126</v>
      </c>
      <c r="D146" s="9">
        <f>SUM(D3:D145)</f>
        <v>164755</v>
      </c>
      <c r="E146" s="36"/>
      <c r="F146" s="36"/>
      <c r="G146" s="36"/>
      <c r="H146" s="36"/>
    </row>
    <row r="147" spans="1:8" ht="15.75" customHeight="1" x14ac:dyDescent="0.25">
      <c r="A147" s="36"/>
      <c r="B147" s="36"/>
      <c r="C147" s="39" t="s">
        <v>21</v>
      </c>
      <c r="D147" s="40">
        <f>SUM(D146,D2)</f>
        <v>150144</v>
      </c>
      <c r="E147" s="40">
        <f>SUM(E2:E146)</f>
        <v>89496</v>
      </c>
      <c r="F147" s="40"/>
      <c r="G147" s="36"/>
      <c r="H147" s="36"/>
    </row>
    <row r="148" spans="1:8" ht="15.75" customHeight="1" x14ac:dyDescent="0.25">
      <c r="A148" s="10"/>
      <c r="B148" s="10"/>
      <c r="C148" s="10"/>
      <c r="D148" s="10"/>
      <c r="E148" s="10"/>
      <c r="F148" s="10"/>
      <c r="G148" s="10"/>
      <c r="H148" s="10"/>
    </row>
    <row r="149" spans="1:8" ht="15.75" customHeight="1" x14ac:dyDescent="0.25">
      <c r="A149" s="10"/>
      <c r="B149" s="10"/>
      <c r="C149" s="29" t="s">
        <v>127</v>
      </c>
      <c r="D149" s="41">
        <f>D146-E147</f>
        <v>75259</v>
      </c>
      <c r="E149" s="10"/>
      <c r="F149" s="10"/>
      <c r="G149" s="10"/>
      <c r="H149" s="10"/>
    </row>
    <row r="150" spans="1:8" ht="15.75" customHeight="1" x14ac:dyDescent="0.25">
      <c r="A150" s="10"/>
      <c r="B150" s="10"/>
      <c r="C150" s="29" t="s">
        <v>60</v>
      </c>
      <c r="D150" s="30">
        <f>D147-E147</f>
        <v>60648</v>
      </c>
      <c r="E150" s="10"/>
      <c r="F150" s="10"/>
      <c r="G150" s="10"/>
      <c r="H150" s="10"/>
    </row>
    <row r="151" spans="1:8" ht="15.75" customHeight="1" x14ac:dyDescent="0.25"/>
    <row r="152" spans="1:8" ht="15.75" customHeight="1" x14ac:dyDescent="0.25">
      <c r="C152" s="119" t="s">
        <v>196</v>
      </c>
      <c r="D152" s="120">
        <f>D150-'Feb 2025 - Sales'!C2</f>
        <v>17720</v>
      </c>
    </row>
    <row r="153" spans="1:8" ht="15.75" customHeight="1" x14ac:dyDescent="0.25"/>
    <row r="154" spans="1:8" ht="15.75" customHeight="1" x14ac:dyDescent="0.25"/>
    <row r="155" spans="1:8" ht="15.75" customHeight="1" x14ac:dyDescent="0.25"/>
    <row r="156" spans="1:8" ht="15.75" customHeight="1" x14ac:dyDescent="0.25"/>
    <row r="157" spans="1:8" ht="15.75" customHeight="1" x14ac:dyDescent="0.25"/>
    <row r="158" spans="1:8" ht="15.75" customHeight="1" x14ac:dyDescent="0.25"/>
    <row r="159" spans="1:8" ht="15.75" customHeight="1" x14ac:dyDescent="0.25"/>
    <row r="160" spans="1:8"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row r="1015" ht="15.75" customHeight="1" x14ac:dyDescent="0.25"/>
    <row r="1016" ht="15.75" customHeight="1" x14ac:dyDescent="0.25"/>
    <row r="1017" ht="15.75" customHeight="1" x14ac:dyDescent="0.25"/>
    <row r="1018" ht="15.75" customHeight="1" x14ac:dyDescent="0.25"/>
    <row r="1019" ht="15.75" customHeight="1" x14ac:dyDescent="0.25"/>
    <row r="1020" ht="15.75" customHeight="1" x14ac:dyDescent="0.25"/>
    <row r="1021" ht="15.75" customHeight="1" x14ac:dyDescent="0.25"/>
    <row r="1022" ht="15.75" customHeight="1" x14ac:dyDescent="0.25"/>
    <row r="1023" ht="15.75" customHeight="1" x14ac:dyDescent="0.25"/>
    <row r="1024" ht="15.75" customHeight="1" x14ac:dyDescent="0.25"/>
    <row r="1025" ht="15.75" customHeight="1" x14ac:dyDescent="0.25"/>
    <row r="1026" ht="15.75" customHeight="1" x14ac:dyDescent="0.25"/>
    <row r="1027" ht="15.75" customHeight="1" x14ac:dyDescent="0.25"/>
    <row r="1028" ht="15.75" customHeight="1" x14ac:dyDescent="0.25"/>
    <row r="1029" ht="15.75" customHeight="1" x14ac:dyDescent="0.25"/>
    <row r="1030" ht="15.75" customHeight="1" x14ac:dyDescent="0.25"/>
    <row r="1031" ht="15.75" customHeight="1" x14ac:dyDescent="0.25"/>
    <row r="1032" ht="15.75" customHeight="1" x14ac:dyDescent="0.25"/>
    <row r="1033" ht="15.75" customHeight="1" x14ac:dyDescent="0.25"/>
    <row r="1034" ht="15.75" customHeight="1" x14ac:dyDescent="0.25"/>
    <row r="1035" ht="15.75" customHeight="1" x14ac:dyDescent="0.25"/>
    <row r="1036" ht="15.75" customHeight="1" x14ac:dyDescent="0.25"/>
    <row r="1037" ht="15.75" customHeight="1" x14ac:dyDescent="0.25"/>
    <row r="1038" ht="15.75" customHeight="1" x14ac:dyDescent="0.25"/>
    <row r="1039" ht="15.75" customHeight="1" x14ac:dyDescent="0.25"/>
    <row r="1040" ht="15.75" customHeight="1" x14ac:dyDescent="0.25"/>
    <row r="1041" ht="15.75" customHeight="1" x14ac:dyDescent="0.25"/>
    <row r="1042" ht="15.75" customHeight="1" x14ac:dyDescent="0.25"/>
    <row r="1043" ht="15.75" customHeight="1" x14ac:dyDescent="0.25"/>
    <row r="1044" ht="15.75" customHeight="1" x14ac:dyDescent="0.25"/>
    <row r="1045" ht="15.75" customHeight="1" x14ac:dyDescent="0.25"/>
    <row r="1046" ht="15.75" customHeight="1" x14ac:dyDescent="0.25"/>
    <row r="1047" ht="15.75" customHeight="1" x14ac:dyDescent="0.25"/>
    <row r="1048" ht="15.75" customHeight="1" x14ac:dyDescent="0.25"/>
    <row r="1049" ht="15.75" customHeight="1" x14ac:dyDescent="0.25"/>
    <row r="1050" ht="15.75" customHeight="1" x14ac:dyDescent="0.25"/>
    <row r="1051" ht="15.75" customHeight="1" x14ac:dyDescent="0.25"/>
    <row r="1052" ht="15.75" customHeight="1" x14ac:dyDescent="0.25"/>
    <row r="1053" ht="15.75" customHeight="1" x14ac:dyDescent="0.25"/>
    <row r="1054" ht="15.75" customHeight="1" x14ac:dyDescent="0.25"/>
    <row r="1055" ht="15.75" customHeight="1" x14ac:dyDescent="0.25"/>
    <row r="1056" ht="15.75" customHeight="1" x14ac:dyDescent="0.25"/>
  </sheetData>
  <conditionalFormatting sqref="D152">
    <cfRule type="cellIs" dxfId="24912" priority="10" operator="lessThan">
      <formula>0</formula>
    </cfRule>
    <cfRule type="cellIs" dxfId="24911" priority="11" operator="greaterThan">
      <formula>0</formula>
    </cfRule>
  </conditionalFormatting>
  <conditionalFormatting sqref="A2:H145">
    <cfRule type="expression" dxfId="24910" priority="9">
      <formula>$C2="Advance"</formula>
    </cfRule>
  </conditionalFormatting>
  <conditionalFormatting sqref="B2:H145">
    <cfRule type="expression" dxfId="24909" priority="1">
      <formula>$C2="Staff Salary"</formula>
    </cfRule>
    <cfRule type="expression" dxfId="24908" priority="2">
      <formula>$C2="Rent"</formula>
    </cfRule>
    <cfRule type="expression" dxfId="24907" priority="3">
      <formula>$C2="Petrol"</formula>
    </cfRule>
    <cfRule type="expression" dxfId="24906" priority="4">
      <formula>$C2="Bills"</formula>
    </cfRule>
    <cfRule type="expression" dxfId="24905" priority="5">
      <formula>$C2="Sales"</formula>
    </cfRule>
    <cfRule type="expression" dxfId="24904" priority="6">
      <formula>$C2="Expences"</formula>
    </cfRule>
    <cfRule type="expression" dxfId="24903" priority="7">
      <formula>$C2="Garlic Purchase"</formula>
    </cfRule>
    <cfRule type="expression" dxfId="24902" priority="8">
      <formula>$C2="Ginger Purchase"</formula>
    </cfRule>
  </conditionalFormatting>
  <pageMargins left="0.70866141732283472" right="0.70866141732283472" top="0.74803149606299213" bottom="0.74803149606299213" header="0" footer="0"/>
  <pageSetup paperSize="9" scale="74" fitToHeight="4" orientation="portrait" r:id="rId2"/>
  <headerFooter>
    <oddHeader>&amp;LJuly 2025&amp;C&amp;F</oddHeader>
    <oddFooter>Page &amp;P of &amp;N</oddFooter>
  </headerFooter>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14:formula1>
            <xm:f>Sheet2!$A$1:$A$10</xm:f>
          </x14:formula1>
          <xm:sqref>C3:C145</xm:sqref>
        </x14:dataValidation>
        <x14:dataValidation type="list" allowBlank="1" showInputMessage="1" showErrorMessage="1">
          <x14:formula1>
            <xm:f>Sheet2!$D$1:$D$8</xm:f>
          </x14:formula1>
          <xm:sqref>F2:F54</xm:sqref>
        </x14:dataValidation>
        <x14:dataValidation type="list" allowBlank="1" showInputMessage="1" showErrorMessage="1">
          <x14:formula1>
            <xm:f>Sheet2!$D$1:$D$9</xm:f>
          </x14:formula1>
          <xm:sqref>F55:F145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68"/>
  <sheetViews>
    <sheetView zoomScale="85" zoomScaleNormal="85" workbookViewId="0">
      <pane ySplit="1" topLeftCell="A137" activePane="bottomLeft" state="frozen"/>
      <selection pane="bottomLeft" activeCell="P50" sqref="P50"/>
    </sheetView>
  </sheetViews>
  <sheetFormatPr defaultColWidth="14.42578125" defaultRowHeight="15" customHeight="1" x14ac:dyDescent="0.25"/>
  <cols>
    <col min="1" max="1" width="14.85546875" customWidth="1"/>
    <col min="2" max="2" width="11.7109375" customWidth="1"/>
    <col min="3" max="3" width="20" customWidth="1"/>
    <col min="4" max="5" width="13" bestFit="1" customWidth="1"/>
    <col min="6" max="6" width="22.140625" style="73" customWidth="1"/>
    <col min="7" max="9" width="16" customWidth="1"/>
    <col min="10" max="10" width="16" style="230" customWidth="1"/>
    <col min="11" max="11" width="25.85546875" customWidth="1"/>
    <col min="12" max="12" width="12.140625" customWidth="1"/>
    <col min="13" max="13" width="19.7109375" bestFit="1" customWidth="1"/>
    <col min="14" max="14" width="8.7109375" customWidth="1"/>
    <col min="15" max="15" width="19" customWidth="1"/>
    <col min="16" max="16" width="12.28515625" customWidth="1"/>
    <col min="17" max="17" width="16" customWidth="1"/>
    <col min="18" max="29" width="4" customWidth="1"/>
    <col min="30" max="60" width="5" customWidth="1"/>
    <col min="61" max="61" width="6" customWidth="1"/>
    <col min="62" max="62" width="7.28515625" customWidth="1"/>
    <col min="63" max="63" width="11.28515625" customWidth="1"/>
  </cols>
  <sheetData>
    <row r="1" spans="1:13" x14ac:dyDescent="0.25">
      <c r="A1" s="275" t="s">
        <v>1</v>
      </c>
      <c r="B1" s="276" t="s">
        <v>61</v>
      </c>
      <c r="C1" s="276" t="s">
        <v>2</v>
      </c>
      <c r="D1" s="276" t="s">
        <v>32</v>
      </c>
      <c r="E1" s="276" t="s">
        <v>33</v>
      </c>
      <c r="F1" s="277" t="s">
        <v>605</v>
      </c>
      <c r="G1" s="276" t="s">
        <v>616</v>
      </c>
      <c r="H1" s="276" t="s">
        <v>5</v>
      </c>
      <c r="I1" s="276" t="s">
        <v>668</v>
      </c>
      <c r="J1" s="278" t="s">
        <v>617</v>
      </c>
      <c r="K1" s="276" t="s">
        <v>3</v>
      </c>
      <c r="L1" s="276" t="s">
        <v>34</v>
      </c>
      <c r="M1" s="279" t="s">
        <v>8</v>
      </c>
    </row>
    <row r="2" spans="1:13" x14ac:dyDescent="0.25">
      <c r="A2" s="271"/>
      <c r="B2" s="36"/>
      <c r="C2" s="36" t="s">
        <v>62</v>
      </c>
      <c r="D2" s="30">
        <f>'July 2025 - Sales'!D150</f>
        <v>60648</v>
      </c>
      <c r="E2" s="36"/>
      <c r="F2" s="250"/>
      <c r="G2" s="36"/>
      <c r="H2" s="36"/>
      <c r="I2" s="36"/>
      <c r="J2" s="223"/>
      <c r="K2" s="36"/>
      <c r="L2" s="36"/>
      <c r="M2" s="273"/>
    </row>
    <row r="3" spans="1:13" x14ac:dyDescent="0.25">
      <c r="A3" s="271">
        <v>45870</v>
      </c>
      <c r="B3" s="36" t="s">
        <v>528</v>
      </c>
      <c r="C3" s="69" t="s">
        <v>32</v>
      </c>
      <c r="D3" s="37">
        <v>340</v>
      </c>
      <c r="E3" s="78"/>
      <c r="F3" s="251" t="s">
        <v>521</v>
      </c>
      <c r="G3" s="78"/>
      <c r="H3" s="78"/>
      <c r="I3" s="78"/>
      <c r="J3" s="224"/>
      <c r="K3" s="78"/>
      <c r="L3" s="36"/>
      <c r="M3" s="273"/>
    </row>
    <row r="4" spans="1:13" x14ac:dyDescent="0.25">
      <c r="A4" s="271">
        <v>45870</v>
      </c>
      <c r="B4" s="36" t="s">
        <v>533</v>
      </c>
      <c r="C4" s="69" t="s">
        <v>32</v>
      </c>
      <c r="D4" s="37">
        <v>500</v>
      </c>
      <c r="E4" s="78"/>
      <c r="F4" s="251" t="s">
        <v>608</v>
      </c>
      <c r="G4" s="78"/>
      <c r="H4" s="78"/>
      <c r="I4" s="78"/>
      <c r="J4" s="224"/>
      <c r="K4" s="78"/>
      <c r="L4" s="36"/>
      <c r="M4" s="273"/>
    </row>
    <row r="5" spans="1:13" x14ac:dyDescent="0.25">
      <c r="A5" s="271">
        <v>45870</v>
      </c>
      <c r="B5" s="36" t="s">
        <v>534</v>
      </c>
      <c r="C5" s="69" t="s">
        <v>32</v>
      </c>
      <c r="D5" s="37">
        <v>100</v>
      </c>
      <c r="E5" s="70"/>
      <c r="F5" s="252" t="s">
        <v>141</v>
      </c>
      <c r="G5" s="70"/>
      <c r="H5" s="70"/>
      <c r="I5" s="70"/>
      <c r="J5" s="223"/>
      <c r="K5" s="70"/>
      <c r="L5" s="36"/>
      <c r="M5" s="273"/>
    </row>
    <row r="6" spans="1:13" x14ac:dyDescent="0.25">
      <c r="A6" s="271">
        <v>45871</v>
      </c>
      <c r="B6" s="36" t="s">
        <v>535</v>
      </c>
      <c r="C6" s="69" t="s">
        <v>32</v>
      </c>
      <c r="D6" s="37">
        <v>350</v>
      </c>
      <c r="E6" s="70"/>
      <c r="F6" s="252" t="s">
        <v>521</v>
      </c>
      <c r="G6" s="70"/>
      <c r="H6" s="70"/>
      <c r="I6" s="70"/>
      <c r="J6" s="223"/>
      <c r="K6" s="70"/>
      <c r="L6" s="36"/>
      <c r="M6" s="273"/>
    </row>
    <row r="7" spans="1:13" x14ac:dyDescent="0.25">
      <c r="A7" s="271">
        <v>45871</v>
      </c>
      <c r="B7" s="36" t="s">
        <v>536</v>
      </c>
      <c r="C7" s="69" t="s">
        <v>32</v>
      </c>
      <c r="D7" s="37">
        <v>1920</v>
      </c>
      <c r="E7" s="70"/>
      <c r="F7" s="252" t="s">
        <v>607</v>
      </c>
      <c r="G7" s="70"/>
      <c r="H7" s="70"/>
      <c r="I7" s="70"/>
      <c r="J7" s="223"/>
      <c r="K7" s="70"/>
      <c r="L7" s="36"/>
      <c r="M7" s="273"/>
    </row>
    <row r="8" spans="1:13" x14ac:dyDescent="0.25">
      <c r="A8" s="271">
        <v>45871</v>
      </c>
      <c r="B8" s="36" t="s">
        <v>537</v>
      </c>
      <c r="C8" s="69" t="s">
        <v>32</v>
      </c>
      <c r="D8" s="37">
        <v>210</v>
      </c>
      <c r="E8" s="78"/>
      <c r="F8" s="251" t="s">
        <v>609</v>
      </c>
      <c r="G8" s="78"/>
      <c r="H8" s="78"/>
      <c r="I8" s="78"/>
      <c r="J8" s="224"/>
      <c r="K8" s="78"/>
      <c r="L8" s="36"/>
      <c r="M8" s="273"/>
    </row>
    <row r="9" spans="1:13" x14ac:dyDescent="0.25">
      <c r="A9" s="271">
        <v>45871</v>
      </c>
      <c r="B9" s="36" t="s">
        <v>541</v>
      </c>
      <c r="C9" s="69" t="s">
        <v>145</v>
      </c>
      <c r="D9" s="37"/>
      <c r="E9" s="70">
        <v>3900</v>
      </c>
      <c r="F9" s="252"/>
      <c r="G9" s="70" t="s">
        <v>619</v>
      </c>
      <c r="H9" s="70">
        <v>69.650000000000006</v>
      </c>
      <c r="I9" s="70"/>
      <c r="J9" s="223">
        <v>56</v>
      </c>
      <c r="K9" s="70" t="s">
        <v>19</v>
      </c>
      <c r="L9" s="36"/>
      <c r="M9" s="273"/>
    </row>
    <row r="10" spans="1:13" x14ac:dyDescent="0.25">
      <c r="A10" s="271">
        <v>45871</v>
      </c>
      <c r="B10" s="36"/>
      <c r="C10" s="69" t="s">
        <v>33</v>
      </c>
      <c r="D10" s="37"/>
      <c r="E10" s="129">
        <v>25</v>
      </c>
      <c r="F10" s="253"/>
      <c r="G10" s="129"/>
      <c r="H10" s="129"/>
      <c r="I10" s="129"/>
      <c r="J10" s="225"/>
      <c r="K10" s="129"/>
      <c r="L10" s="36"/>
      <c r="M10" s="273"/>
    </row>
    <row r="11" spans="1:13" x14ac:dyDescent="0.25">
      <c r="A11" s="271">
        <v>45872</v>
      </c>
      <c r="B11" s="36" t="s">
        <v>538</v>
      </c>
      <c r="C11" s="69" t="s">
        <v>32</v>
      </c>
      <c r="D11" s="37">
        <v>300</v>
      </c>
      <c r="E11" s="129"/>
      <c r="F11" s="253" t="s">
        <v>521</v>
      </c>
      <c r="G11" s="129"/>
      <c r="H11" s="129"/>
      <c r="I11" s="129"/>
      <c r="J11" s="225"/>
      <c r="K11" s="129"/>
      <c r="L11" s="36"/>
      <c r="M11" s="273"/>
    </row>
    <row r="12" spans="1:13" x14ac:dyDescent="0.25">
      <c r="A12" s="271">
        <v>45872</v>
      </c>
      <c r="B12" s="36" t="s">
        <v>539</v>
      </c>
      <c r="C12" s="69" t="s">
        <v>32</v>
      </c>
      <c r="D12" s="37">
        <v>675</v>
      </c>
      <c r="E12" s="78"/>
      <c r="F12" s="251" t="s">
        <v>607</v>
      </c>
      <c r="G12" s="78"/>
      <c r="H12" s="78"/>
      <c r="I12" s="78"/>
      <c r="J12" s="224"/>
      <c r="K12" s="78"/>
      <c r="L12" s="36"/>
      <c r="M12" s="273"/>
    </row>
    <row r="13" spans="1:13" x14ac:dyDescent="0.25">
      <c r="A13" s="271">
        <v>45872</v>
      </c>
      <c r="B13" s="36" t="s">
        <v>540</v>
      </c>
      <c r="C13" s="69" t="s">
        <v>32</v>
      </c>
      <c r="D13" s="37">
        <v>3500</v>
      </c>
      <c r="E13" s="129"/>
      <c r="F13" s="253" t="s">
        <v>608</v>
      </c>
      <c r="G13" s="129"/>
      <c r="H13" s="129"/>
      <c r="I13" s="129"/>
      <c r="J13" s="225"/>
      <c r="K13" s="129"/>
      <c r="L13" s="36"/>
      <c r="M13" s="273"/>
    </row>
    <row r="14" spans="1:13" x14ac:dyDescent="0.25">
      <c r="A14" s="271">
        <v>45872</v>
      </c>
      <c r="B14" s="36" t="s">
        <v>542</v>
      </c>
      <c r="C14" s="69" t="s">
        <v>32</v>
      </c>
      <c r="D14" s="37">
        <v>2100</v>
      </c>
      <c r="E14" s="129"/>
      <c r="F14" s="253" t="s">
        <v>141</v>
      </c>
      <c r="G14" s="129"/>
      <c r="H14" s="129"/>
      <c r="I14" s="129"/>
      <c r="J14" s="225"/>
      <c r="K14" s="129"/>
      <c r="L14" s="36"/>
      <c r="M14" s="273"/>
    </row>
    <row r="15" spans="1:13" x14ac:dyDescent="0.25">
      <c r="A15" s="271">
        <v>45872</v>
      </c>
      <c r="B15" s="36" t="s">
        <v>543</v>
      </c>
      <c r="C15" s="69" t="s">
        <v>32</v>
      </c>
      <c r="D15" s="37">
        <v>1200</v>
      </c>
      <c r="E15" s="129"/>
      <c r="F15" s="253" t="s">
        <v>521</v>
      </c>
      <c r="G15" s="129"/>
      <c r="H15" s="129"/>
      <c r="I15" s="129"/>
      <c r="J15" s="225"/>
      <c r="K15" s="129"/>
      <c r="L15" s="36"/>
      <c r="M15" s="274"/>
    </row>
    <row r="16" spans="1:13" x14ac:dyDescent="0.25">
      <c r="A16" s="271">
        <v>45872</v>
      </c>
      <c r="B16" s="36"/>
      <c r="C16" s="69" t="s">
        <v>546</v>
      </c>
      <c r="D16" s="37"/>
      <c r="E16" s="129">
        <v>200</v>
      </c>
      <c r="F16" s="253"/>
      <c r="G16" s="129"/>
      <c r="H16" s="129"/>
      <c r="I16" s="129"/>
      <c r="J16" s="225"/>
      <c r="K16" s="129"/>
      <c r="L16" s="36"/>
      <c r="M16" s="273" t="s">
        <v>547</v>
      </c>
    </row>
    <row r="17" spans="1:17" x14ac:dyDescent="0.25">
      <c r="A17" s="271">
        <v>45873</v>
      </c>
      <c r="B17" s="36" t="s">
        <v>544</v>
      </c>
      <c r="C17" s="69" t="s">
        <v>32</v>
      </c>
      <c r="D17" s="37">
        <v>960</v>
      </c>
      <c r="E17" s="129"/>
      <c r="F17" s="253" t="s">
        <v>521</v>
      </c>
      <c r="G17" s="129"/>
      <c r="H17" s="129"/>
      <c r="I17" s="129"/>
      <c r="J17" s="225"/>
      <c r="K17" s="129"/>
      <c r="L17" s="36"/>
      <c r="M17" s="273"/>
    </row>
    <row r="18" spans="1:17" x14ac:dyDescent="0.25">
      <c r="A18" s="271">
        <v>45873</v>
      </c>
      <c r="B18" s="36" t="s">
        <v>584</v>
      </c>
      <c r="C18" s="69" t="s">
        <v>32</v>
      </c>
      <c r="D18" s="37">
        <v>570</v>
      </c>
      <c r="E18" s="37"/>
      <c r="F18" s="254" t="s">
        <v>607</v>
      </c>
      <c r="G18" s="37"/>
      <c r="H18" s="37"/>
      <c r="I18" s="37"/>
      <c r="J18" s="223"/>
      <c r="K18" s="37"/>
      <c r="L18" s="36"/>
      <c r="M18" s="273"/>
    </row>
    <row r="19" spans="1:17" x14ac:dyDescent="0.25">
      <c r="A19" s="271">
        <v>45873</v>
      </c>
      <c r="B19" s="36"/>
      <c r="C19" s="217" t="s">
        <v>33</v>
      </c>
      <c r="D19" s="37"/>
      <c r="E19" s="78">
        <v>210</v>
      </c>
      <c r="F19" s="251"/>
      <c r="G19" s="78"/>
      <c r="H19" s="78"/>
      <c r="I19" s="78"/>
      <c r="J19" s="224"/>
      <c r="K19" s="78"/>
      <c r="L19" s="36"/>
      <c r="M19" s="273"/>
    </row>
    <row r="20" spans="1:17" x14ac:dyDescent="0.25">
      <c r="A20" s="271">
        <v>45873</v>
      </c>
      <c r="B20" s="218"/>
      <c r="C20" s="217" t="s">
        <v>109</v>
      </c>
      <c r="D20" s="37"/>
      <c r="E20" s="129">
        <v>400</v>
      </c>
      <c r="F20" s="253"/>
      <c r="G20" s="129"/>
      <c r="H20" s="129"/>
      <c r="I20" s="129"/>
      <c r="J20" s="225"/>
      <c r="K20" s="129"/>
      <c r="L20" s="36"/>
      <c r="M20" s="273"/>
    </row>
    <row r="21" spans="1:17" x14ac:dyDescent="0.25">
      <c r="A21" s="272">
        <v>45874</v>
      </c>
      <c r="B21" s="36" t="s">
        <v>585</v>
      </c>
      <c r="C21" s="69" t="s">
        <v>32</v>
      </c>
      <c r="D21" s="37">
        <v>620</v>
      </c>
      <c r="E21" s="78"/>
      <c r="F21" s="251" t="s">
        <v>521</v>
      </c>
      <c r="G21" s="78"/>
      <c r="H21" s="78"/>
      <c r="I21" s="78"/>
      <c r="J21" s="224"/>
      <c r="K21" s="78"/>
      <c r="L21" s="36"/>
      <c r="M21" s="273"/>
    </row>
    <row r="22" spans="1:17" x14ac:dyDescent="0.25">
      <c r="A22" s="272">
        <v>45874</v>
      </c>
      <c r="B22" s="218" t="s">
        <v>586</v>
      </c>
      <c r="C22" s="69" t="s">
        <v>32</v>
      </c>
      <c r="D22" s="37">
        <v>4660</v>
      </c>
      <c r="E22" s="129"/>
      <c r="F22" s="253" t="s">
        <v>607</v>
      </c>
      <c r="G22" s="129"/>
      <c r="H22" s="129"/>
      <c r="I22" s="129"/>
      <c r="J22" s="225"/>
      <c r="K22" s="129"/>
      <c r="L22" s="36"/>
      <c r="M22" s="273"/>
    </row>
    <row r="23" spans="1:17" x14ac:dyDescent="0.25">
      <c r="A23" s="272">
        <v>45874</v>
      </c>
      <c r="B23" s="220"/>
      <c r="C23" s="217" t="s">
        <v>77</v>
      </c>
      <c r="D23" s="37"/>
      <c r="E23" s="129">
        <v>9000</v>
      </c>
      <c r="F23" s="253"/>
      <c r="G23" s="129"/>
      <c r="H23" s="129"/>
      <c r="I23" s="129"/>
      <c r="J23" s="225"/>
      <c r="K23" s="129"/>
      <c r="L23" s="36"/>
      <c r="M23" s="273"/>
    </row>
    <row r="24" spans="1:17" x14ac:dyDescent="0.25">
      <c r="A24" s="272">
        <v>45874</v>
      </c>
      <c r="B24" s="219"/>
      <c r="C24" s="69" t="s">
        <v>207</v>
      </c>
      <c r="D24" s="37"/>
      <c r="E24" s="129">
        <v>644</v>
      </c>
      <c r="F24" s="253"/>
      <c r="G24" s="129"/>
      <c r="H24" s="129"/>
      <c r="I24" s="129"/>
      <c r="J24" s="225"/>
      <c r="K24" s="129"/>
      <c r="L24" s="36"/>
      <c r="M24" s="273" t="s">
        <v>589</v>
      </c>
    </row>
    <row r="25" spans="1:17" x14ac:dyDescent="0.25">
      <c r="A25" s="272">
        <v>45874</v>
      </c>
      <c r="B25" s="36"/>
      <c r="C25" s="69" t="s">
        <v>207</v>
      </c>
      <c r="D25" s="37"/>
      <c r="E25" s="129">
        <v>400</v>
      </c>
      <c r="F25" s="253"/>
      <c r="G25" s="129"/>
      <c r="H25" s="129"/>
      <c r="I25" s="129"/>
      <c r="J25" s="225"/>
      <c r="K25" s="129"/>
      <c r="L25" s="36"/>
      <c r="M25" s="273" t="s">
        <v>590</v>
      </c>
    </row>
    <row r="26" spans="1:17" x14ac:dyDescent="0.25">
      <c r="A26" s="272">
        <v>45874</v>
      </c>
      <c r="B26" s="36"/>
      <c r="C26" s="69" t="s">
        <v>33</v>
      </c>
      <c r="D26" s="37"/>
      <c r="E26" s="129">
        <v>50</v>
      </c>
      <c r="F26" s="253"/>
      <c r="G26" s="129"/>
      <c r="H26" s="129"/>
      <c r="I26" s="129"/>
      <c r="J26" s="225"/>
      <c r="K26" s="129"/>
      <c r="L26" s="36"/>
      <c r="M26" s="273"/>
    </row>
    <row r="27" spans="1:17" x14ac:dyDescent="0.25">
      <c r="A27" s="272">
        <v>45875</v>
      </c>
      <c r="B27" s="221"/>
      <c r="C27" s="69" t="s">
        <v>33</v>
      </c>
      <c r="D27" s="37"/>
      <c r="E27" s="129">
        <v>50</v>
      </c>
      <c r="F27" s="253"/>
      <c r="G27" s="129"/>
      <c r="H27" s="129"/>
      <c r="I27" s="129"/>
      <c r="J27" s="225"/>
      <c r="K27" s="129"/>
      <c r="L27" s="36"/>
      <c r="M27" s="273"/>
    </row>
    <row r="28" spans="1:17" x14ac:dyDescent="0.25">
      <c r="A28" s="272">
        <v>45875</v>
      </c>
      <c r="B28" s="220"/>
      <c r="C28" s="217" t="s">
        <v>207</v>
      </c>
      <c r="D28" s="37"/>
      <c r="E28" s="78">
        <v>70</v>
      </c>
      <c r="F28" s="251"/>
      <c r="G28" s="78"/>
      <c r="H28" s="78"/>
      <c r="I28" s="78"/>
      <c r="J28" s="224"/>
      <c r="K28" s="78"/>
      <c r="L28" s="36"/>
      <c r="M28" s="273"/>
      <c r="O28" s="72" t="s">
        <v>163</v>
      </c>
      <c r="P28" t="s">
        <v>165</v>
      </c>
      <c r="Q28" t="s">
        <v>164</v>
      </c>
    </row>
    <row r="29" spans="1:17" x14ac:dyDescent="0.25">
      <c r="A29" s="272">
        <v>45875</v>
      </c>
      <c r="B29" s="83"/>
      <c r="C29" s="217" t="s">
        <v>147</v>
      </c>
      <c r="D29" s="37"/>
      <c r="E29" s="129">
        <v>6270</v>
      </c>
      <c r="F29" s="253"/>
      <c r="G29" s="129" t="s">
        <v>620</v>
      </c>
      <c r="H29" s="129">
        <v>95</v>
      </c>
      <c r="I29" s="129"/>
      <c r="J29" s="225">
        <v>66</v>
      </c>
      <c r="K29" s="129" t="s">
        <v>362</v>
      </c>
      <c r="L29" s="36"/>
      <c r="M29" s="273"/>
      <c r="O29" s="73" t="s">
        <v>62</v>
      </c>
      <c r="P29" s="79">
        <v>60648</v>
      </c>
      <c r="Q29" s="79"/>
    </row>
    <row r="30" spans="1:17" x14ac:dyDescent="0.25">
      <c r="A30" s="272">
        <v>45875</v>
      </c>
      <c r="B30" s="222"/>
      <c r="C30" s="217" t="s">
        <v>145</v>
      </c>
      <c r="D30" s="37"/>
      <c r="E30" s="129">
        <v>3800</v>
      </c>
      <c r="F30" s="253"/>
      <c r="G30" s="129" t="s">
        <v>619</v>
      </c>
      <c r="H30" s="129">
        <v>67.849999999999994</v>
      </c>
      <c r="I30" s="129"/>
      <c r="J30" s="225">
        <v>56</v>
      </c>
      <c r="K30" s="129" t="s">
        <v>19</v>
      </c>
      <c r="L30" s="36"/>
      <c r="M30" s="273"/>
      <c r="O30" s="73" t="s">
        <v>32</v>
      </c>
      <c r="P30" s="79">
        <v>173370</v>
      </c>
      <c r="Q30" s="79"/>
    </row>
    <row r="31" spans="1:17" x14ac:dyDescent="0.25">
      <c r="A31" s="272">
        <v>45875</v>
      </c>
      <c r="B31" s="69" t="s">
        <v>587</v>
      </c>
      <c r="C31" s="69" t="s">
        <v>32</v>
      </c>
      <c r="D31" s="37">
        <v>940</v>
      </c>
      <c r="E31" s="129"/>
      <c r="F31" s="253" t="s">
        <v>521</v>
      </c>
      <c r="G31" s="129"/>
      <c r="H31" s="129"/>
      <c r="I31" s="129"/>
      <c r="J31" s="225"/>
      <c r="K31" s="129"/>
      <c r="L31" s="36"/>
      <c r="M31" s="273"/>
      <c r="O31" s="73" t="s">
        <v>145</v>
      </c>
      <c r="P31" s="79"/>
      <c r="Q31" s="79">
        <v>42800</v>
      </c>
    </row>
    <row r="32" spans="1:17" x14ac:dyDescent="0.25">
      <c r="A32" s="272">
        <v>45875</v>
      </c>
      <c r="B32" s="69" t="s">
        <v>588</v>
      </c>
      <c r="C32" s="69" t="s">
        <v>32</v>
      </c>
      <c r="D32" s="37">
        <v>3520</v>
      </c>
      <c r="E32" s="129"/>
      <c r="F32" s="253" t="s">
        <v>607</v>
      </c>
      <c r="G32" s="129"/>
      <c r="H32" s="129"/>
      <c r="I32" s="129"/>
      <c r="J32" s="225"/>
      <c r="K32" s="129"/>
      <c r="L32" s="36"/>
      <c r="M32" s="273"/>
      <c r="O32" s="73" t="s">
        <v>33</v>
      </c>
      <c r="P32" s="79"/>
      <c r="Q32" s="79">
        <v>1143</v>
      </c>
    </row>
    <row r="33" spans="1:17" x14ac:dyDescent="0.25">
      <c r="A33" s="272">
        <v>45877</v>
      </c>
      <c r="B33" s="69" t="s">
        <v>591</v>
      </c>
      <c r="C33" s="69" t="s">
        <v>32</v>
      </c>
      <c r="D33" s="37">
        <v>450</v>
      </c>
      <c r="E33" s="129"/>
      <c r="F33" s="253" t="s">
        <v>521</v>
      </c>
      <c r="G33" s="129"/>
      <c r="H33" s="129"/>
      <c r="I33" s="129"/>
      <c r="J33" s="225"/>
      <c r="K33" s="129"/>
      <c r="L33" s="36"/>
      <c r="M33" s="273"/>
      <c r="O33" s="73" t="s">
        <v>546</v>
      </c>
      <c r="P33" s="79"/>
      <c r="Q33" s="79">
        <v>1350</v>
      </c>
    </row>
    <row r="34" spans="1:17" x14ac:dyDescent="0.25">
      <c r="A34" s="272">
        <v>45877</v>
      </c>
      <c r="B34" s="69" t="s">
        <v>592</v>
      </c>
      <c r="C34" s="69" t="s">
        <v>32</v>
      </c>
      <c r="D34" s="37">
        <v>4170</v>
      </c>
      <c r="E34" s="136"/>
      <c r="F34" s="255" t="s">
        <v>607</v>
      </c>
      <c r="G34" s="136"/>
      <c r="H34" s="136"/>
      <c r="I34" s="136"/>
      <c r="J34" s="226"/>
      <c r="K34" s="136"/>
      <c r="L34" s="36"/>
      <c r="M34" s="273"/>
      <c r="O34" s="73" t="s">
        <v>109</v>
      </c>
      <c r="P34" s="79"/>
      <c r="Q34" s="79">
        <v>2000</v>
      </c>
    </row>
    <row r="35" spans="1:17" x14ac:dyDescent="0.25">
      <c r="A35" s="272">
        <v>45877</v>
      </c>
      <c r="B35" s="69" t="s">
        <v>593</v>
      </c>
      <c r="C35" s="69" t="s">
        <v>32</v>
      </c>
      <c r="D35" s="37">
        <v>1800</v>
      </c>
      <c r="E35" s="129"/>
      <c r="F35" s="253" t="s">
        <v>610</v>
      </c>
      <c r="G35" s="129"/>
      <c r="H35" s="129"/>
      <c r="I35" s="129"/>
      <c r="J35" s="225"/>
      <c r="K35" s="129"/>
      <c r="L35" s="36"/>
      <c r="M35" s="273"/>
      <c r="O35" s="73" t="s">
        <v>77</v>
      </c>
      <c r="P35" s="79"/>
      <c r="Q35" s="79">
        <v>9000</v>
      </c>
    </row>
    <row r="36" spans="1:17" x14ac:dyDescent="0.25">
      <c r="A36" s="272">
        <v>45877</v>
      </c>
      <c r="B36" s="69" t="s">
        <v>594</v>
      </c>
      <c r="C36" s="69" t="s">
        <v>32</v>
      </c>
      <c r="D36" s="37">
        <v>300</v>
      </c>
      <c r="E36" s="78"/>
      <c r="F36" s="251" t="s">
        <v>609</v>
      </c>
      <c r="G36" s="78"/>
      <c r="H36" s="78"/>
      <c r="I36" s="78"/>
      <c r="J36" s="224"/>
      <c r="K36" s="78"/>
      <c r="L36" s="36"/>
      <c r="M36" s="273"/>
      <c r="O36" s="73" t="s">
        <v>207</v>
      </c>
      <c r="P36" s="79"/>
      <c r="Q36" s="79">
        <v>4399</v>
      </c>
    </row>
    <row r="37" spans="1:17" x14ac:dyDescent="0.25">
      <c r="A37" s="272">
        <v>45876</v>
      </c>
      <c r="B37" s="69" t="s">
        <v>595</v>
      </c>
      <c r="C37" s="69" t="s">
        <v>32</v>
      </c>
      <c r="D37" s="37">
        <v>5400</v>
      </c>
      <c r="E37" s="129"/>
      <c r="F37" s="253" t="s">
        <v>141</v>
      </c>
      <c r="G37" s="129"/>
      <c r="H37" s="129"/>
      <c r="I37" s="129"/>
      <c r="J37" s="225"/>
      <c r="K37" s="129"/>
      <c r="L37" s="36"/>
      <c r="M37" s="273"/>
      <c r="O37" s="73" t="s">
        <v>147</v>
      </c>
      <c r="P37" s="79"/>
      <c r="Q37" s="79">
        <v>79255</v>
      </c>
    </row>
    <row r="38" spans="1:17" x14ac:dyDescent="0.25">
      <c r="A38" s="272">
        <v>45876</v>
      </c>
      <c r="B38" s="69" t="s">
        <v>596</v>
      </c>
      <c r="C38" s="69" t="s">
        <v>32</v>
      </c>
      <c r="D38" s="37">
        <v>6075</v>
      </c>
      <c r="E38" s="129"/>
      <c r="F38" s="253" t="s">
        <v>607</v>
      </c>
      <c r="G38" s="129"/>
      <c r="H38" s="129"/>
      <c r="I38" s="129"/>
      <c r="J38" s="225"/>
      <c r="K38" s="129"/>
      <c r="L38" s="36"/>
      <c r="M38" s="273"/>
      <c r="O38" s="73" t="s">
        <v>161</v>
      </c>
      <c r="P38" s="79"/>
      <c r="Q38" s="79">
        <v>11650</v>
      </c>
    </row>
    <row r="39" spans="1:17" x14ac:dyDescent="0.25">
      <c r="A39" s="272">
        <v>45876</v>
      </c>
      <c r="B39" s="69" t="s">
        <v>597</v>
      </c>
      <c r="C39" s="69" t="s">
        <v>32</v>
      </c>
      <c r="D39" s="37">
        <v>400</v>
      </c>
      <c r="E39" s="129"/>
      <c r="F39" s="253" t="s">
        <v>521</v>
      </c>
      <c r="G39" s="129"/>
      <c r="H39" s="129"/>
      <c r="I39" s="129"/>
      <c r="J39" s="225"/>
      <c r="K39" s="129"/>
      <c r="L39" s="36"/>
      <c r="M39" s="273"/>
      <c r="O39" s="73" t="s">
        <v>618</v>
      </c>
      <c r="P39" s="79"/>
      <c r="Q39" s="79">
        <v>640</v>
      </c>
    </row>
    <row r="40" spans="1:17" x14ac:dyDescent="0.25">
      <c r="A40" s="272">
        <v>45876</v>
      </c>
      <c r="B40" s="69"/>
      <c r="C40" s="69" t="s">
        <v>546</v>
      </c>
      <c r="D40" s="37"/>
      <c r="E40" s="129">
        <v>250</v>
      </c>
      <c r="F40" s="253"/>
      <c r="G40" s="129"/>
      <c r="H40" s="129"/>
      <c r="I40" s="129"/>
      <c r="J40" s="225"/>
      <c r="K40" s="129"/>
      <c r="L40" s="36"/>
      <c r="M40" s="273"/>
      <c r="O40" s="73" t="s">
        <v>168</v>
      </c>
      <c r="P40" s="79"/>
      <c r="Q40" s="79">
        <v>13256</v>
      </c>
    </row>
    <row r="41" spans="1:17" x14ac:dyDescent="0.25">
      <c r="A41" s="272">
        <v>45877</v>
      </c>
      <c r="B41" s="69"/>
      <c r="C41" s="69" t="s">
        <v>145</v>
      </c>
      <c r="D41" s="37"/>
      <c r="E41" s="129">
        <v>7600</v>
      </c>
      <c r="F41" s="253"/>
      <c r="G41" s="129" t="s">
        <v>619</v>
      </c>
      <c r="H41" s="129">
        <v>67.260000000000005</v>
      </c>
      <c r="I41" s="129"/>
      <c r="J41" s="225">
        <v>113</v>
      </c>
      <c r="K41" s="129" t="s">
        <v>19</v>
      </c>
      <c r="L41" s="36"/>
      <c r="M41" s="273"/>
      <c r="O41" s="73" t="s">
        <v>680</v>
      </c>
      <c r="P41" s="79"/>
      <c r="Q41" s="79">
        <v>4000</v>
      </c>
    </row>
    <row r="42" spans="1:17" x14ac:dyDescent="0.25">
      <c r="A42" s="272">
        <v>45877</v>
      </c>
      <c r="B42" s="69"/>
      <c r="C42" s="69" t="s">
        <v>147</v>
      </c>
      <c r="D42" s="37"/>
      <c r="E42" s="129">
        <v>3230</v>
      </c>
      <c r="F42" s="253"/>
      <c r="G42" s="129" t="s">
        <v>620</v>
      </c>
      <c r="H42" s="129">
        <v>95</v>
      </c>
      <c r="I42" s="129"/>
      <c r="J42" s="225">
        <v>34</v>
      </c>
      <c r="K42" s="129" t="s">
        <v>362</v>
      </c>
      <c r="L42" s="36"/>
      <c r="M42" s="273"/>
      <c r="O42" s="73" t="s">
        <v>682</v>
      </c>
      <c r="P42" s="79"/>
      <c r="Q42" s="79">
        <v>800</v>
      </c>
    </row>
    <row r="43" spans="1:17" x14ac:dyDescent="0.25">
      <c r="A43" s="272">
        <v>45877</v>
      </c>
      <c r="B43" s="69"/>
      <c r="C43" s="69" t="s">
        <v>147</v>
      </c>
      <c r="D43" s="37"/>
      <c r="E43" s="129">
        <v>13855</v>
      </c>
      <c r="F43" s="253"/>
      <c r="G43" s="129" t="s">
        <v>623</v>
      </c>
      <c r="H43" s="129">
        <v>65</v>
      </c>
      <c r="I43" s="129"/>
      <c r="J43" s="225">
        <v>197</v>
      </c>
      <c r="K43" s="129" t="s">
        <v>289</v>
      </c>
      <c r="L43" s="36"/>
      <c r="M43" s="273"/>
      <c r="O43" s="73" t="s">
        <v>16</v>
      </c>
      <c r="P43" s="79">
        <v>234018</v>
      </c>
      <c r="Q43" s="79">
        <v>170293</v>
      </c>
    </row>
    <row r="44" spans="1:17" x14ac:dyDescent="0.25">
      <c r="A44" s="272">
        <v>45877</v>
      </c>
      <c r="B44" s="69"/>
      <c r="C44" s="69" t="s">
        <v>546</v>
      </c>
      <c r="D44" s="37"/>
      <c r="E44" s="129">
        <v>100</v>
      </c>
      <c r="F44" s="253"/>
      <c r="G44" s="129"/>
      <c r="H44" s="129"/>
      <c r="I44" s="129"/>
      <c r="J44" s="225"/>
      <c r="K44" s="129"/>
      <c r="L44" s="36"/>
      <c r="M44" s="273"/>
      <c r="O44" s="73"/>
      <c r="P44" s="79"/>
      <c r="Q44" s="79"/>
    </row>
    <row r="45" spans="1:17" x14ac:dyDescent="0.25">
      <c r="A45" s="272">
        <v>45877</v>
      </c>
      <c r="B45" s="69"/>
      <c r="C45" s="69" t="s">
        <v>33</v>
      </c>
      <c r="D45" s="37"/>
      <c r="E45" s="129">
        <v>50</v>
      </c>
      <c r="F45" s="253"/>
      <c r="G45" s="129"/>
      <c r="H45" s="129"/>
      <c r="I45" s="129"/>
      <c r="J45" s="225"/>
      <c r="K45" s="129"/>
      <c r="L45" s="36"/>
      <c r="M45" s="273"/>
      <c r="O45" s="73"/>
      <c r="P45" s="79"/>
      <c r="Q45" s="79"/>
    </row>
    <row r="46" spans="1:17" x14ac:dyDescent="0.25">
      <c r="A46" s="272">
        <v>45878</v>
      </c>
      <c r="B46" s="69" t="s">
        <v>598</v>
      </c>
      <c r="C46" s="69" t="s">
        <v>32</v>
      </c>
      <c r="D46" s="37">
        <v>250</v>
      </c>
      <c r="E46" s="129"/>
      <c r="F46" s="253" t="s">
        <v>521</v>
      </c>
      <c r="G46" s="129"/>
      <c r="H46" s="129"/>
      <c r="I46" s="129"/>
      <c r="J46" s="225"/>
      <c r="K46" s="129"/>
      <c r="L46" s="36"/>
      <c r="M46" s="273"/>
      <c r="O46" s="73"/>
      <c r="P46" s="79"/>
      <c r="Q46" s="79"/>
    </row>
    <row r="47" spans="1:17" x14ac:dyDescent="0.25">
      <c r="A47" s="272">
        <v>45878</v>
      </c>
      <c r="B47" s="69" t="s">
        <v>599</v>
      </c>
      <c r="C47" s="69" t="s">
        <v>32</v>
      </c>
      <c r="D47" s="37">
        <v>5005</v>
      </c>
      <c r="E47" s="129"/>
      <c r="F47" s="253" t="s">
        <v>607</v>
      </c>
      <c r="G47" s="129"/>
      <c r="H47" s="129"/>
      <c r="I47" s="129"/>
      <c r="J47" s="225"/>
      <c r="K47" s="129"/>
      <c r="L47" s="36"/>
      <c r="M47" s="273"/>
      <c r="O47" s="73"/>
      <c r="P47" s="79"/>
      <c r="Q47" s="79"/>
    </row>
    <row r="48" spans="1:17" x14ac:dyDescent="0.25">
      <c r="A48" s="272">
        <v>45878</v>
      </c>
      <c r="B48" s="69" t="s">
        <v>600</v>
      </c>
      <c r="C48" s="69" t="s">
        <v>32</v>
      </c>
      <c r="D48" s="37">
        <v>13500</v>
      </c>
      <c r="E48" s="129"/>
      <c r="F48" s="253" t="s">
        <v>141</v>
      </c>
      <c r="G48" s="129"/>
      <c r="H48" s="129"/>
      <c r="I48" s="129"/>
      <c r="J48" s="225"/>
      <c r="K48" s="129"/>
      <c r="L48" s="36"/>
      <c r="M48" s="273" t="s">
        <v>611</v>
      </c>
      <c r="O48" s="73"/>
      <c r="P48" s="79"/>
      <c r="Q48" s="79"/>
    </row>
    <row r="49" spans="1:17" x14ac:dyDescent="0.25">
      <c r="A49" s="272">
        <v>45878</v>
      </c>
      <c r="B49" s="69"/>
      <c r="C49" s="69" t="s">
        <v>161</v>
      </c>
      <c r="D49" s="37"/>
      <c r="E49" s="129">
        <v>150</v>
      </c>
      <c r="F49" s="253"/>
      <c r="G49" s="129"/>
      <c r="H49" s="129"/>
      <c r="I49" s="129"/>
      <c r="J49" s="225"/>
      <c r="K49" s="129"/>
      <c r="L49" s="36"/>
      <c r="M49" s="273"/>
      <c r="O49" s="73"/>
      <c r="P49" s="79"/>
      <c r="Q49" s="79"/>
    </row>
    <row r="50" spans="1:17" x14ac:dyDescent="0.25">
      <c r="A50" s="272">
        <v>45878</v>
      </c>
      <c r="B50" s="69"/>
      <c r="C50" s="69" t="s">
        <v>546</v>
      </c>
      <c r="D50" s="37"/>
      <c r="E50" s="129">
        <v>150</v>
      </c>
      <c r="F50" s="253"/>
      <c r="G50" s="129"/>
      <c r="H50" s="129"/>
      <c r="I50" s="129"/>
      <c r="J50" s="225"/>
      <c r="K50" s="129"/>
      <c r="L50" s="36"/>
      <c r="M50" s="273"/>
      <c r="O50" s="73"/>
      <c r="P50" s="79"/>
      <c r="Q50" s="79"/>
    </row>
    <row r="51" spans="1:17" x14ac:dyDescent="0.25">
      <c r="A51" s="272">
        <v>45878</v>
      </c>
      <c r="B51" s="69"/>
      <c r="C51" s="69" t="s">
        <v>109</v>
      </c>
      <c r="D51" s="37"/>
      <c r="E51" s="129">
        <v>300</v>
      </c>
      <c r="F51" s="253"/>
      <c r="G51" s="129"/>
      <c r="H51" s="129"/>
      <c r="I51" s="129"/>
      <c r="J51" s="225"/>
      <c r="K51" s="129"/>
      <c r="L51" s="36"/>
      <c r="M51" s="273"/>
      <c r="O51" s="73"/>
      <c r="P51" s="79"/>
      <c r="Q51" s="79"/>
    </row>
    <row r="52" spans="1:17" x14ac:dyDescent="0.25">
      <c r="A52" s="272">
        <v>45878</v>
      </c>
      <c r="B52" s="69"/>
      <c r="C52" s="69" t="s">
        <v>33</v>
      </c>
      <c r="D52" s="37"/>
      <c r="E52" s="129">
        <v>50</v>
      </c>
      <c r="F52" s="253"/>
      <c r="G52" s="129"/>
      <c r="H52" s="129"/>
      <c r="I52" s="129"/>
      <c r="J52" s="225"/>
      <c r="K52" s="129"/>
      <c r="L52" s="36"/>
      <c r="M52" s="273"/>
      <c r="O52" s="73"/>
      <c r="P52" s="79"/>
      <c r="Q52" s="79"/>
    </row>
    <row r="53" spans="1:17" x14ac:dyDescent="0.25">
      <c r="A53" s="272">
        <v>45878</v>
      </c>
      <c r="B53" s="69"/>
      <c r="C53" s="69" t="s">
        <v>618</v>
      </c>
      <c r="D53" s="37"/>
      <c r="E53" s="129">
        <v>160</v>
      </c>
      <c r="F53" s="253"/>
      <c r="G53" s="129"/>
      <c r="H53" s="129"/>
      <c r="I53" s="129"/>
      <c r="J53" s="225"/>
      <c r="K53" s="129"/>
      <c r="L53" s="36"/>
      <c r="M53" s="273"/>
      <c r="O53" s="73"/>
      <c r="P53" s="79"/>
      <c r="Q53" s="79"/>
    </row>
    <row r="54" spans="1:17" x14ac:dyDescent="0.25">
      <c r="A54" s="272">
        <v>45879</v>
      </c>
      <c r="B54" s="69" t="s">
        <v>601</v>
      </c>
      <c r="C54" s="69" t="s">
        <v>32</v>
      </c>
      <c r="D54" s="37">
        <v>900</v>
      </c>
      <c r="E54" s="78"/>
      <c r="F54" s="251" t="s">
        <v>521</v>
      </c>
      <c r="G54" s="78"/>
      <c r="H54" s="78"/>
      <c r="I54" s="78"/>
      <c r="J54" s="224"/>
      <c r="K54" s="78"/>
      <c r="L54" s="36"/>
      <c r="M54" s="273"/>
      <c r="O54" s="73"/>
      <c r="P54" s="79"/>
      <c r="Q54" s="79"/>
    </row>
    <row r="55" spans="1:17" x14ac:dyDescent="0.25">
      <c r="A55" s="272">
        <v>45879</v>
      </c>
      <c r="B55" s="69" t="s">
        <v>602</v>
      </c>
      <c r="C55" s="69" t="s">
        <v>32</v>
      </c>
      <c r="D55" s="37">
        <v>3600</v>
      </c>
      <c r="E55" s="129"/>
      <c r="F55" s="253" t="s">
        <v>141</v>
      </c>
      <c r="G55" s="129"/>
      <c r="H55" s="129"/>
      <c r="I55" s="129"/>
      <c r="J55" s="225"/>
      <c r="K55" s="129"/>
      <c r="L55" s="36"/>
      <c r="M55" s="273"/>
      <c r="O55" s="73"/>
      <c r="P55" s="79"/>
      <c r="Q55" s="79"/>
    </row>
    <row r="56" spans="1:17" x14ac:dyDescent="0.25">
      <c r="A56" s="272">
        <v>45879</v>
      </c>
      <c r="B56" s="69" t="s">
        <v>603</v>
      </c>
      <c r="C56" s="69" t="s">
        <v>32</v>
      </c>
      <c r="D56" s="37">
        <v>945</v>
      </c>
      <c r="E56" s="129"/>
      <c r="F56" s="253" t="s">
        <v>607</v>
      </c>
      <c r="G56" s="129"/>
      <c r="H56" s="129"/>
      <c r="I56" s="129"/>
      <c r="J56" s="225"/>
      <c r="K56" s="129"/>
      <c r="L56" s="36"/>
      <c r="M56" s="273"/>
      <c r="O56" s="73"/>
      <c r="P56" s="79"/>
      <c r="Q56" s="79"/>
    </row>
    <row r="57" spans="1:17" x14ac:dyDescent="0.25">
      <c r="A57" s="272">
        <v>45879</v>
      </c>
      <c r="B57" s="69"/>
      <c r="C57" s="69" t="s">
        <v>546</v>
      </c>
      <c r="D57" s="37"/>
      <c r="E57" s="129">
        <v>150</v>
      </c>
      <c r="F57" s="253"/>
      <c r="G57" s="129"/>
      <c r="H57" s="129"/>
      <c r="I57" s="129"/>
      <c r="J57" s="225"/>
      <c r="K57" s="129"/>
      <c r="L57" s="36"/>
      <c r="M57" s="273"/>
      <c r="O57" s="73"/>
      <c r="P57" s="79"/>
      <c r="Q57" s="79"/>
    </row>
    <row r="58" spans="1:17" x14ac:dyDescent="0.25">
      <c r="A58" s="272">
        <v>45880</v>
      </c>
      <c r="B58" s="69" t="s">
        <v>604</v>
      </c>
      <c r="C58" s="69" t="s">
        <v>32</v>
      </c>
      <c r="D58" s="37">
        <v>160</v>
      </c>
      <c r="E58" s="129"/>
      <c r="F58" s="253" t="s">
        <v>521</v>
      </c>
      <c r="G58" s="129"/>
      <c r="H58" s="129"/>
      <c r="I58" s="129"/>
      <c r="J58" s="225"/>
      <c r="K58" s="129"/>
      <c r="L58" s="36"/>
      <c r="M58" s="273"/>
      <c r="O58" s="73"/>
      <c r="P58" s="79"/>
      <c r="Q58" s="79"/>
    </row>
    <row r="59" spans="1:17" x14ac:dyDescent="0.25">
      <c r="A59" s="272">
        <v>45880</v>
      </c>
      <c r="B59" s="69" t="s">
        <v>612</v>
      </c>
      <c r="C59" s="69" t="s">
        <v>32</v>
      </c>
      <c r="D59" s="37">
        <v>2210</v>
      </c>
      <c r="E59" s="129"/>
      <c r="F59" s="253" t="s">
        <v>607</v>
      </c>
      <c r="G59" s="129"/>
      <c r="H59" s="129"/>
      <c r="I59" s="129"/>
      <c r="J59" s="225"/>
      <c r="K59" s="129"/>
      <c r="L59" s="36"/>
      <c r="M59" s="273"/>
      <c r="O59" s="73"/>
      <c r="P59" s="79"/>
      <c r="Q59" s="79"/>
    </row>
    <row r="60" spans="1:17" x14ac:dyDescent="0.25">
      <c r="A60" s="272">
        <v>45881</v>
      </c>
      <c r="B60" s="69"/>
      <c r="C60" s="69" t="s">
        <v>145</v>
      </c>
      <c r="D60" s="37"/>
      <c r="E60" s="129">
        <v>4000</v>
      </c>
      <c r="F60" s="253"/>
      <c r="G60" s="129" t="s">
        <v>619</v>
      </c>
      <c r="H60" s="129">
        <v>80</v>
      </c>
      <c r="I60" s="129"/>
      <c r="J60" s="225">
        <v>50</v>
      </c>
      <c r="K60" s="129" t="s">
        <v>19</v>
      </c>
      <c r="L60" s="36"/>
      <c r="M60" s="273"/>
      <c r="O60" s="73"/>
      <c r="P60" s="79"/>
      <c r="Q60" s="79"/>
    </row>
    <row r="61" spans="1:17" x14ac:dyDescent="0.25">
      <c r="A61" s="272">
        <v>45881</v>
      </c>
      <c r="B61" s="69" t="s">
        <v>613</v>
      </c>
      <c r="C61" s="69" t="s">
        <v>32</v>
      </c>
      <c r="D61" s="37">
        <v>3250</v>
      </c>
      <c r="E61" s="129"/>
      <c r="F61" s="253" t="s">
        <v>607</v>
      </c>
      <c r="G61" s="129"/>
      <c r="H61" s="129"/>
      <c r="I61" s="129"/>
      <c r="J61" s="225"/>
      <c r="K61" s="129"/>
      <c r="L61" s="36"/>
      <c r="M61" s="273"/>
      <c r="O61" s="73"/>
      <c r="P61" s="79"/>
      <c r="Q61" s="79"/>
    </row>
    <row r="62" spans="1:17" x14ac:dyDescent="0.25">
      <c r="A62" s="272">
        <v>45881</v>
      </c>
      <c r="B62" s="69" t="s">
        <v>614</v>
      </c>
      <c r="C62" s="69" t="s">
        <v>32</v>
      </c>
      <c r="D62" s="37">
        <v>900</v>
      </c>
      <c r="E62" s="129"/>
      <c r="F62" s="253" t="s">
        <v>609</v>
      </c>
      <c r="G62" s="129"/>
      <c r="H62" s="129"/>
      <c r="I62" s="129"/>
      <c r="J62" s="225"/>
      <c r="K62" s="129"/>
      <c r="L62" s="36"/>
      <c r="M62" s="273"/>
      <c r="O62" s="73"/>
      <c r="P62" s="79"/>
      <c r="Q62" s="79"/>
    </row>
    <row r="63" spans="1:17" x14ac:dyDescent="0.25">
      <c r="A63" s="272">
        <v>45881</v>
      </c>
      <c r="B63" s="69" t="s">
        <v>615</v>
      </c>
      <c r="C63" s="69" t="s">
        <v>32</v>
      </c>
      <c r="D63" s="37">
        <v>180</v>
      </c>
      <c r="E63" s="129"/>
      <c r="F63" s="253" t="s">
        <v>521</v>
      </c>
      <c r="G63" s="129"/>
      <c r="H63" s="129"/>
      <c r="I63" s="129"/>
      <c r="J63" s="225"/>
      <c r="K63" s="129"/>
      <c r="L63" s="36"/>
      <c r="M63" s="273"/>
      <c r="O63" s="73"/>
      <c r="P63" s="79"/>
      <c r="Q63" s="79"/>
    </row>
    <row r="64" spans="1:17" x14ac:dyDescent="0.25">
      <c r="A64" s="272">
        <v>45881</v>
      </c>
      <c r="B64" s="69"/>
      <c r="C64" s="69" t="s">
        <v>33</v>
      </c>
      <c r="D64" s="37"/>
      <c r="E64" s="129">
        <v>50</v>
      </c>
      <c r="F64" s="253"/>
      <c r="G64" s="129"/>
      <c r="H64" s="129"/>
      <c r="I64" s="129"/>
      <c r="J64" s="225"/>
      <c r="K64" s="129"/>
      <c r="L64" s="36"/>
      <c r="M64" s="273"/>
      <c r="O64" s="73"/>
      <c r="P64" s="79"/>
      <c r="Q64" s="79"/>
    </row>
    <row r="65" spans="1:17" x14ac:dyDescent="0.25">
      <c r="A65" s="272">
        <v>45882</v>
      </c>
      <c r="B65" s="69" t="s">
        <v>633</v>
      </c>
      <c r="C65" s="69" t="s">
        <v>32</v>
      </c>
      <c r="D65" s="37">
        <v>240</v>
      </c>
      <c r="E65" s="129"/>
      <c r="F65" s="253" t="s">
        <v>521</v>
      </c>
      <c r="G65" s="129"/>
      <c r="H65" s="129"/>
      <c r="I65" s="129"/>
      <c r="J65" s="225"/>
      <c r="K65" s="129"/>
      <c r="L65" s="36"/>
      <c r="M65" s="273"/>
      <c r="O65" s="73"/>
      <c r="P65" s="79"/>
      <c r="Q65" s="79"/>
    </row>
    <row r="66" spans="1:17" x14ac:dyDescent="0.25">
      <c r="A66" s="272">
        <v>45882</v>
      </c>
      <c r="B66" s="69" t="s">
        <v>634</v>
      </c>
      <c r="C66" s="69" t="s">
        <v>32</v>
      </c>
      <c r="D66" s="37">
        <v>1820</v>
      </c>
      <c r="E66" s="136"/>
      <c r="F66" s="255" t="s">
        <v>606</v>
      </c>
      <c r="G66" s="136"/>
      <c r="H66" s="136"/>
      <c r="I66" s="136"/>
      <c r="J66" s="226"/>
      <c r="K66" s="136"/>
      <c r="L66" s="36"/>
      <c r="M66" s="273"/>
      <c r="O66" s="73"/>
      <c r="P66" s="79"/>
      <c r="Q66" s="79"/>
    </row>
    <row r="67" spans="1:17" x14ac:dyDescent="0.25">
      <c r="A67" s="272">
        <v>45882</v>
      </c>
      <c r="B67" s="69" t="s">
        <v>635</v>
      </c>
      <c r="C67" s="69" t="s">
        <v>32</v>
      </c>
      <c r="D67" s="37">
        <v>1600</v>
      </c>
      <c r="E67" s="129"/>
      <c r="F67" s="253" t="s">
        <v>141</v>
      </c>
      <c r="G67" s="129"/>
      <c r="H67" s="129"/>
      <c r="I67" s="129"/>
      <c r="J67" s="225"/>
      <c r="K67" s="129"/>
      <c r="L67" s="36"/>
      <c r="M67" s="273" t="s">
        <v>638</v>
      </c>
      <c r="O67" s="73"/>
      <c r="P67" s="79"/>
      <c r="Q67" s="79"/>
    </row>
    <row r="68" spans="1:17" x14ac:dyDescent="0.25">
      <c r="A68" s="272">
        <v>45882</v>
      </c>
      <c r="B68" s="69"/>
      <c r="C68" s="69" t="s">
        <v>546</v>
      </c>
      <c r="D68" s="37"/>
      <c r="E68" s="129">
        <v>100</v>
      </c>
      <c r="F68" s="253"/>
      <c r="G68" s="129"/>
      <c r="H68" s="129"/>
      <c r="I68" s="129"/>
      <c r="J68" s="225"/>
      <c r="K68" s="129"/>
      <c r="L68" s="36"/>
      <c r="M68" s="273"/>
      <c r="O68" s="73"/>
      <c r="P68" s="79"/>
      <c r="Q68" s="79"/>
    </row>
    <row r="69" spans="1:17" x14ac:dyDescent="0.25">
      <c r="A69" s="272">
        <v>45882</v>
      </c>
      <c r="B69" s="69"/>
      <c r="C69" s="69" t="s">
        <v>546</v>
      </c>
      <c r="D69" s="37"/>
      <c r="E69" s="129">
        <v>100</v>
      </c>
      <c r="F69" s="253"/>
      <c r="G69" s="129"/>
      <c r="H69" s="129"/>
      <c r="I69" s="129"/>
      <c r="J69" s="225"/>
      <c r="K69" s="129"/>
      <c r="L69" s="36"/>
      <c r="M69" s="273"/>
      <c r="O69" s="73"/>
      <c r="P69" s="79"/>
      <c r="Q69" s="79"/>
    </row>
    <row r="70" spans="1:17" x14ac:dyDescent="0.25">
      <c r="A70" s="272">
        <v>45882</v>
      </c>
      <c r="B70" s="69"/>
      <c r="C70" s="69" t="s">
        <v>109</v>
      </c>
      <c r="D70" s="37"/>
      <c r="E70" s="129">
        <v>300</v>
      </c>
      <c r="F70" s="253"/>
      <c r="G70" s="129"/>
      <c r="H70" s="129"/>
      <c r="I70" s="129"/>
      <c r="J70" s="225"/>
      <c r="K70" s="129"/>
      <c r="L70" s="36"/>
      <c r="M70" s="273"/>
      <c r="O70" s="73"/>
      <c r="P70" s="79"/>
      <c r="Q70" s="79"/>
    </row>
    <row r="71" spans="1:17" x14ac:dyDescent="0.25">
      <c r="A71" s="272">
        <v>45883</v>
      </c>
      <c r="B71" s="69" t="s">
        <v>636</v>
      </c>
      <c r="C71" s="69" t="s">
        <v>32</v>
      </c>
      <c r="D71" s="37">
        <v>240</v>
      </c>
      <c r="E71" s="129"/>
      <c r="F71" s="253" t="s">
        <v>521</v>
      </c>
      <c r="G71" s="129"/>
      <c r="H71" s="129"/>
      <c r="I71" s="129"/>
      <c r="J71" s="225"/>
      <c r="K71" s="129"/>
      <c r="L71" s="36"/>
      <c r="M71" s="273"/>
      <c r="O71" s="73"/>
      <c r="P71" s="79"/>
      <c r="Q71" s="79"/>
    </row>
    <row r="72" spans="1:17" x14ac:dyDescent="0.25">
      <c r="A72" s="272">
        <v>45883</v>
      </c>
      <c r="B72" s="69" t="s">
        <v>637</v>
      </c>
      <c r="C72" s="69" t="s">
        <v>32</v>
      </c>
      <c r="D72" s="37">
        <v>4610</v>
      </c>
      <c r="E72" s="129"/>
      <c r="F72" s="253" t="s">
        <v>606</v>
      </c>
      <c r="G72" s="129"/>
      <c r="H72" s="129"/>
      <c r="I72" s="129"/>
      <c r="J72" s="225"/>
      <c r="K72" s="129"/>
      <c r="L72" s="36"/>
      <c r="M72" s="273"/>
      <c r="O72" s="73"/>
      <c r="P72" s="79"/>
      <c r="Q72" s="79"/>
    </row>
    <row r="73" spans="1:17" x14ac:dyDescent="0.25">
      <c r="A73" s="272">
        <v>45883</v>
      </c>
      <c r="B73" s="69"/>
      <c r="C73" s="69" t="s">
        <v>33</v>
      </c>
      <c r="D73" s="37"/>
      <c r="E73" s="129">
        <v>50</v>
      </c>
      <c r="F73" s="253"/>
      <c r="G73" s="129"/>
      <c r="H73" s="129"/>
      <c r="I73" s="129"/>
      <c r="J73" s="225"/>
      <c r="K73" s="129"/>
      <c r="L73" s="36"/>
      <c r="M73" s="273"/>
      <c r="O73" s="73"/>
      <c r="P73" s="79"/>
      <c r="Q73" s="79"/>
    </row>
    <row r="74" spans="1:17" x14ac:dyDescent="0.25">
      <c r="A74" s="272">
        <v>45884</v>
      </c>
      <c r="B74" s="69" t="s">
        <v>650</v>
      </c>
      <c r="C74" s="69" t="s">
        <v>32</v>
      </c>
      <c r="D74" s="37">
        <v>290</v>
      </c>
      <c r="E74" s="129"/>
      <c r="F74" s="253" t="s">
        <v>521</v>
      </c>
      <c r="G74" s="129"/>
      <c r="H74" s="129"/>
      <c r="I74" s="129"/>
      <c r="J74" s="225"/>
      <c r="K74" s="129"/>
      <c r="L74" s="36"/>
      <c r="M74" s="273"/>
      <c r="O74" s="73"/>
      <c r="P74" s="79"/>
      <c r="Q74" s="79"/>
    </row>
    <row r="75" spans="1:17" x14ac:dyDescent="0.25">
      <c r="A75" s="272">
        <v>45884</v>
      </c>
      <c r="B75" s="69" t="s">
        <v>651</v>
      </c>
      <c r="C75" s="69" t="s">
        <v>32</v>
      </c>
      <c r="D75" s="37">
        <v>3565</v>
      </c>
      <c r="E75" s="129"/>
      <c r="F75" s="253" t="s">
        <v>606</v>
      </c>
      <c r="G75" s="129"/>
      <c r="H75" s="129"/>
      <c r="I75" s="129"/>
      <c r="J75" s="225"/>
      <c r="K75" s="129"/>
      <c r="L75" s="36"/>
      <c r="M75" s="273"/>
      <c r="O75" s="73"/>
      <c r="P75" s="79"/>
      <c r="Q75" s="79"/>
    </row>
    <row r="76" spans="1:17" ht="15.4" customHeight="1" x14ac:dyDescent="0.25">
      <c r="A76" s="272">
        <v>45884</v>
      </c>
      <c r="B76" s="36" t="s">
        <v>658</v>
      </c>
      <c r="C76" s="69" t="s">
        <v>145</v>
      </c>
      <c r="D76" s="37"/>
      <c r="E76" s="129">
        <v>4000</v>
      </c>
      <c r="F76" s="253"/>
      <c r="G76" s="129" t="s">
        <v>619</v>
      </c>
      <c r="H76" s="129">
        <v>80</v>
      </c>
      <c r="I76" s="129"/>
      <c r="J76" s="225">
        <v>50</v>
      </c>
      <c r="K76" s="129" t="s">
        <v>19</v>
      </c>
      <c r="L76" s="36"/>
      <c r="M76" s="273"/>
      <c r="O76" s="73"/>
      <c r="P76" s="79"/>
      <c r="Q76" s="79"/>
    </row>
    <row r="77" spans="1:17" ht="15.4" customHeight="1" x14ac:dyDescent="0.25">
      <c r="A77" s="272">
        <v>45884</v>
      </c>
      <c r="B77" s="36"/>
      <c r="C77" s="69" t="s">
        <v>33</v>
      </c>
      <c r="D77" s="37"/>
      <c r="E77" s="129">
        <v>50</v>
      </c>
      <c r="F77" s="253"/>
      <c r="G77" s="129"/>
      <c r="H77" s="129"/>
      <c r="I77" s="129"/>
      <c r="J77" s="225"/>
      <c r="K77" s="129"/>
      <c r="L77" s="36"/>
      <c r="M77" s="273"/>
      <c r="O77" s="73"/>
      <c r="P77" s="79"/>
      <c r="Q77" s="79"/>
    </row>
    <row r="78" spans="1:17" ht="15.4" customHeight="1" x14ac:dyDescent="0.25">
      <c r="A78" s="272">
        <v>45884</v>
      </c>
      <c r="B78" s="36"/>
      <c r="C78" s="69" t="s">
        <v>618</v>
      </c>
      <c r="D78" s="37"/>
      <c r="E78" s="129">
        <v>160</v>
      </c>
      <c r="F78" s="253"/>
      <c r="G78" s="129"/>
      <c r="H78" s="129"/>
      <c r="I78" s="129"/>
      <c r="J78" s="225"/>
      <c r="K78" s="129"/>
      <c r="L78" s="36"/>
      <c r="M78" s="273"/>
      <c r="O78" s="73"/>
      <c r="P78" s="79"/>
      <c r="Q78" s="79"/>
    </row>
    <row r="79" spans="1:17" ht="15.4" customHeight="1" x14ac:dyDescent="0.25">
      <c r="A79" s="272">
        <v>45884</v>
      </c>
      <c r="B79" s="36"/>
      <c r="C79" s="69" t="s">
        <v>207</v>
      </c>
      <c r="D79" s="37"/>
      <c r="E79" s="129">
        <v>50</v>
      </c>
      <c r="F79" s="253"/>
      <c r="G79" s="129"/>
      <c r="H79" s="129"/>
      <c r="I79" s="129"/>
      <c r="J79" s="225"/>
      <c r="K79" s="129"/>
      <c r="L79" s="36"/>
      <c r="M79" s="273"/>
      <c r="O79" s="73"/>
      <c r="P79" s="79"/>
      <c r="Q79" s="79"/>
    </row>
    <row r="80" spans="1:17" x14ac:dyDescent="0.25">
      <c r="A80" s="272">
        <v>45885</v>
      </c>
      <c r="B80" s="69" t="s">
        <v>652</v>
      </c>
      <c r="C80" s="69" t="s">
        <v>32</v>
      </c>
      <c r="D80" s="37">
        <v>6815</v>
      </c>
      <c r="E80" s="129"/>
      <c r="F80" s="253" t="s">
        <v>606</v>
      </c>
      <c r="G80" s="129"/>
      <c r="H80" s="129"/>
      <c r="I80" s="129"/>
      <c r="J80" s="225"/>
      <c r="K80" s="129"/>
      <c r="L80" s="36"/>
      <c r="M80" s="273"/>
      <c r="O80" s="73"/>
      <c r="P80" s="79"/>
      <c r="Q80" s="79"/>
    </row>
    <row r="81" spans="1:17" x14ac:dyDescent="0.25">
      <c r="A81" s="272">
        <v>45885</v>
      </c>
      <c r="B81" s="69" t="s">
        <v>653</v>
      </c>
      <c r="C81" s="69" t="s">
        <v>32</v>
      </c>
      <c r="D81" s="37">
        <v>2080</v>
      </c>
      <c r="E81" s="136"/>
      <c r="F81" s="255" t="s">
        <v>608</v>
      </c>
      <c r="G81" s="136"/>
      <c r="H81" s="136"/>
      <c r="I81" s="136"/>
      <c r="J81" s="226"/>
      <c r="K81" s="136"/>
      <c r="L81" s="36"/>
      <c r="M81" s="273"/>
      <c r="O81" s="73"/>
      <c r="P81" s="79"/>
      <c r="Q81" s="79"/>
    </row>
    <row r="82" spans="1:17" x14ac:dyDescent="0.25">
      <c r="A82" s="272">
        <v>45885</v>
      </c>
      <c r="B82" s="69" t="s">
        <v>654</v>
      </c>
      <c r="C82" s="69" t="s">
        <v>32</v>
      </c>
      <c r="D82" s="37">
        <v>4130</v>
      </c>
      <c r="E82" s="129"/>
      <c r="F82" s="253" t="s">
        <v>606</v>
      </c>
      <c r="G82" s="129"/>
      <c r="H82" s="129"/>
      <c r="I82" s="129"/>
      <c r="J82" s="225"/>
      <c r="K82" s="129"/>
      <c r="L82" s="36"/>
      <c r="M82" s="273"/>
      <c r="O82" s="73"/>
      <c r="P82" s="79"/>
      <c r="Q82" s="79"/>
    </row>
    <row r="83" spans="1:17" x14ac:dyDescent="0.25">
      <c r="A83" s="272">
        <v>45887</v>
      </c>
      <c r="B83" s="69" t="s">
        <v>655</v>
      </c>
      <c r="C83" s="69" t="s">
        <v>32</v>
      </c>
      <c r="D83" s="37">
        <v>200</v>
      </c>
      <c r="E83" s="129"/>
      <c r="F83" s="253" t="s">
        <v>142</v>
      </c>
      <c r="G83" s="129"/>
      <c r="H83" s="129"/>
      <c r="I83" s="129"/>
      <c r="J83" s="225"/>
      <c r="K83" s="129"/>
      <c r="L83" s="36"/>
      <c r="M83" s="273"/>
      <c r="O83" s="73"/>
      <c r="P83" s="79"/>
      <c r="Q83" s="79"/>
    </row>
    <row r="84" spans="1:17" x14ac:dyDescent="0.25">
      <c r="A84" s="272">
        <v>45887</v>
      </c>
      <c r="B84" s="69" t="s">
        <v>656</v>
      </c>
      <c r="C84" s="69" t="s">
        <v>32</v>
      </c>
      <c r="D84" s="37">
        <v>770</v>
      </c>
      <c r="E84" s="129"/>
      <c r="F84" s="253" t="s">
        <v>521</v>
      </c>
      <c r="G84" s="129"/>
      <c r="H84" s="129"/>
      <c r="I84" s="129"/>
      <c r="J84" s="225"/>
      <c r="K84" s="129"/>
      <c r="L84" s="36"/>
      <c r="M84" s="273"/>
      <c r="O84" s="73"/>
      <c r="P84" s="79"/>
      <c r="Q84" s="79"/>
    </row>
    <row r="85" spans="1:17" x14ac:dyDescent="0.25">
      <c r="A85" s="272">
        <v>45887</v>
      </c>
      <c r="B85" s="69" t="s">
        <v>657</v>
      </c>
      <c r="C85" s="69" t="s">
        <v>32</v>
      </c>
      <c r="D85" s="37">
        <v>2545</v>
      </c>
      <c r="E85" s="129"/>
      <c r="F85" s="253" t="s">
        <v>606</v>
      </c>
      <c r="G85" s="129"/>
      <c r="H85" s="129"/>
      <c r="I85" s="129"/>
      <c r="J85" s="225"/>
      <c r="K85" s="129"/>
      <c r="L85" s="36"/>
      <c r="M85" s="273"/>
      <c r="O85" s="73"/>
      <c r="P85" s="79"/>
      <c r="Q85" s="79"/>
    </row>
    <row r="86" spans="1:17" x14ac:dyDescent="0.25">
      <c r="A86" s="272">
        <v>45888</v>
      </c>
      <c r="B86" s="36"/>
      <c r="C86" s="69" t="s">
        <v>168</v>
      </c>
      <c r="D86" s="37"/>
      <c r="E86" s="129">
        <v>550</v>
      </c>
      <c r="F86" s="253"/>
      <c r="G86" s="129"/>
      <c r="H86" s="129"/>
      <c r="I86" s="129"/>
      <c r="J86" s="225"/>
      <c r="K86" s="129"/>
      <c r="L86" s="36"/>
      <c r="M86" s="273"/>
      <c r="O86" s="73"/>
      <c r="P86" s="79"/>
      <c r="Q86" s="79"/>
    </row>
    <row r="87" spans="1:17" x14ac:dyDescent="0.25">
      <c r="A87" s="272">
        <v>45888</v>
      </c>
      <c r="B87" s="36" t="s">
        <v>659</v>
      </c>
      <c r="C87" s="69" t="s">
        <v>145</v>
      </c>
      <c r="D87" s="37"/>
      <c r="E87" s="129">
        <v>3900</v>
      </c>
      <c r="F87" s="253"/>
      <c r="G87" s="129" t="s">
        <v>619</v>
      </c>
      <c r="H87" s="129">
        <v>78</v>
      </c>
      <c r="I87" s="129"/>
      <c r="J87" s="225">
        <v>50</v>
      </c>
      <c r="K87" s="129" t="s">
        <v>19</v>
      </c>
      <c r="L87" s="36"/>
      <c r="M87" s="273"/>
      <c r="O87" s="73"/>
      <c r="P87" s="79"/>
      <c r="Q87" s="79"/>
    </row>
    <row r="88" spans="1:17" x14ac:dyDescent="0.25">
      <c r="A88" s="272">
        <v>45888</v>
      </c>
      <c r="B88" s="36" t="s">
        <v>660</v>
      </c>
      <c r="C88" s="69" t="s">
        <v>32</v>
      </c>
      <c r="D88" s="37">
        <v>240</v>
      </c>
      <c r="E88" s="129"/>
      <c r="F88" s="253" t="s">
        <v>521</v>
      </c>
      <c r="G88" s="129"/>
      <c r="H88" s="129"/>
      <c r="I88" s="129"/>
      <c r="J88" s="225"/>
      <c r="K88" s="129"/>
      <c r="L88" s="36"/>
      <c r="M88" s="274"/>
      <c r="O88" s="73"/>
      <c r="P88" s="79"/>
      <c r="Q88" s="79"/>
    </row>
    <row r="89" spans="1:17" x14ac:dyDescent="0.25">
      <c r="A89" s="272">
        <v>45888</v>
      </c>
      <c r="B89" s="36" t="s">
        <v>661</v>
      </c>
      <c r="C89" s="69" t="s">
        <v>32</v>
      </c>
      <c r="D89" s="37">
        <v>4010</v>
      </c>
      <c r="E89" s="129"/>
      <c r="F89" s="253" t="s">
        <v>606</v>
      </c>
      <c r="G89" s="129"/>
      <c r="H89" s="129"/>
      <c r="I89" s="129"/>
      <c r="J89" s="225"/>
      <c r="K89" s="129"/>
      <c r="L89" s="36"/>
      <c r="M89" s="273"/>
      <c r="O89" s="73"/>
      <c r="P89" s="79"/>
      <c r="Q89" s="79"/>
    </row>
    <row r="90" spans="1:17" x14ac:dyDescent="0.25">
      <c r="A90" s="272">
        <v>45889</v>
      </c>
      <c r="B90" s="36" t="s">
        <v>662</v>
      </c>
      <c r="C90" s="69" t="s">
        <v>32</v>
      </c>
      <c r="D90" s="37">
        <v>520</v>
      </c>
      <c r="E90" s="129"/>
      <c r="F90" s="253" t="s">
        <v>521</v>
      </c>
      <c r="G90" s="129"/>
      <c r="H90" s="129"/>
      <c r="I90" s="129"/>
      <c r="J90" s="225"/>
      <c r="K90" s="129"/>
      <c r="L90" s="36"/>
      <c r="M90" s="273"/>
      <c r="O90" s="73"/>
      <c r="P90" s="79"/>
      <c r="Q90" s="79"/>
    </row>
    <row r="91" spans="1:17" x14ac:dyDescent="0.25">
      <c r="A91" s="272">
        <v>45889</v>
      </c>
      <c r="B91" s="36" t="s">
        <v>663</v>
      </c>
      <c r="C91" s="69" t="s">
        <v>32</v>
      </c>
      <c r="D91" s="37">
        <v>1110</v>
      </c>
      <c r="E91" s="129"/>
      <c r="F91" s="253" t="s">
        <v>609</v>
      </c>
      <c r="G91" s="129"/>
      <c r="H91" s="129"/>
      <c r="I91" s="129"/>
      <c r="J91" s="225"/>
      <c r="K91" s="129"/>
      <c r="L91" s="36"/>
      <c r="M91" s="273"/>
      <c r="O91" s="73"/>
      <c r="P91" s="79"/>
      <c r="Q91" s="79"/>
    </row>
    <row r="92" spans="1:17" x14ac:dyDescent="0.25">
      <c r="A92" s="272">
        <v>45889</v>
      </c>
      <c r="B92" s="36" t="s">
        <v>664</v>
      </c>
      <c r="C92" s="69" t="s">
        <v>32</v>
      </c>
      <c r="D92" s="37">
        <v>2990</v>
      </c>
      <c r="E92" s="129"/>
      <c r="F92" s="253" t="s">
        <v>606</v>
      </c>
      <c r="G92" s="129"/>
      <c r="H92" s="129"/>
      <c r="I92" s="129"/>
      <c r="J92" s="225"/>
      <c r="K92" s="129"/>
      <c r="L92" s="36"/>
      <c r="M92" s="273"/>
      <c r="O92" s="73"/>
      <c r="P92" s="79"/>
      <c r="Q92" s="79"/>
    </row>
    <row r="93" spans="1:17" x14ac:dyDescent="0.25">
      <c r="A93" s="272">
        <v>45889</v>
      </c>
      <c r="B93" s="36"/>
      <c r="C93" s="69" t="s">
        <v>207</v>
      </c>
      <c r="D93" s="37"/>
      <c r="E93" s="129">
        <v>400</v>
      </c>
      <c r="F93" s="253"/>
      <c r="G93" s="129"/>
      <c r="H93" s="129"/>
      <c r="I93" s="129"/>
      <c r="J93" s="225"/>
      <c r="K93" s="129"/>
      <c r="L93" s="36"/>
      <c r="M93" s="273" t="s">
        <v>666</v>
      </c>
      <c r="O93" s="73"/>
      <c r="P93" s="79"/>
      <c r="Q93" s="79"/>
    </row>
    <row r="94" spans="1:17" x14ac:dyDescent="0.25">
      <c r="A94" s="272">
        <v>45889</v>
      </c>
      <c r="B94" s="36"/>
      <c r="C94" s="69" t="s">
        <v>207</v>
      </c>
      <c r="D94" s="37"/>
      <c r="E94" s="129">
        <v>835</v>
      </c>
      <c r="F94" s="253"/>
      <c r="G94" s="129"/>
      <c r="H94" s="129"/>
      <c r="I94" s="129"/>
      <c r="J94" s="225"/>
      <c r="K94" s="129"/>
      <c r="L94" s="36"/>
      <c r="M94" s="273" t="s">
        <v>531</v>
      </c>
      <c r="O94" s="73"/>
      <c r="P94" s="79"/>
      <c r="Q94" s="79"/>
    </row>
    <row r="95" spans="1:17" x14ac:dyDescent="0.25">
      <c r="A95" s="272">
        <v>45889</v>
      </c>
      <c r="B95" s="36"/>
      <c r="C95" s="69" t="s">
        <v>33</v>
      </c>
      <c r="D95" s="37"/>
      <c r="E95" s="129">
        <v>108</v>
      </c>
      <c r="F95" s="253"/>
      <c r="G95" s="129"/>
      <c r="H95" s="129"/>
      <c r="I95" s="129"/>
      <c r="J95" s="225"/>
      <c r="K95" s="129"/>
      <c r="L95" s="36"/>
      <c r="M95" s="273"/>
      <c r="O95" s="73"/>
      <c r="P95" s="79"/>
      <c r="Q95" s="79"/>
    </row>
    <row r="96" spans="1:17" x14ac:dyDescent="0.25">
      <c r="A96" s="272">
        <v>45890</v>
      </c>
      <c r="B96" s="36"/>
      <c r="C96" s="69" t="s">
        <v>109</v>
      </c>
      <c r="D96" s="37"/>
      <c r="E96" s="129">
        <v>300</v>
      </c>
      <c r="F96" s="253"/>
      <c r="G96" s="129"/>
      <c r="H96" s="129"/>
      <c r="I96" s="129"/>
      <c r="J96" s="225"/>
      <c r="K96" s="129"/>
      <c r="L96" s="36"/>
      <c r="M96" s="273"/>
      <c r="O96" s="73"/>
      <c r="P96" s="79"/>
      <c r="Q96" s="79"/>
    </row>
    <row r="97" spans="1:17" x14ac:dyDescent="0.25">
      <c r="A97" s="272">
        <v>45890</v>
      </c>
      <c r="B97" s="36" t="s">
        <v>665</v>
      </c>
      <c r="C97" s="69" t="s">
        <v>32</v>
      </c>
      <c r="D97" s="37">
        <v>2280</v>
      </c>
      <c r="E97" s="129"/>
      <c r="F97" s="253" t="s">
        <v>606</v>
      </c>
      <c r="G97" s="129"/>
      <c r="H97" s="129"/>
      <c r="I97" s="129"/>
      <c r="J97" s="225"/>
      <c r="K97" s="129"/>
      <c r="L97" s="36"/>
      <c r="M97" s="273"/>
      <c r="O97" s="73"/>
      <c r="P97" s="79"/>
      <c r="Q97" s="79"/>
    </row>
    <row r="98" spans="1:17" x14ac:dyDescent="0.25">
      <c r="A98" s="272">
        <v>45890</v>
      </c>
      <c r="B98" s="36"/>
      <c r="C98" s="69" t="s">
        <v>33</v>
      </c>
      <c r="D98" s="37"/>
      <c r="E98" s="136">
        <v>50</v>
      </c>
      <c r="F98" s="255"/>
      <c r="G98" s="136"/>
      <c r="H98" s="136"/>
      <c r="I98" s="136"/>
      <c r="J98" s="226"/>
      <c r="K98" s="136"/>
      <c r="L98" s="36"/>
      <c r="M98" s="274"/>
      <c r="O98" s="73"/>
      <c r="P98" s="79"/>
      <c r="Q98" s="79"/>
    </row>
    <row r="99" spans="1:17" x14ac:dyDescent="0.25">
      <c r="A99" s="272">
        <v>45891</v>
      </c>
      <c r="B99" s="36"/>
      <c r="C99" s="69" t="s">
        <v>147</v>
      </c>
      <c r="D99" s="37"/>
      <c r="E99" s="129">
        <v>31425</v>
      </c>
      <c r="F99" s="253"/>
      <c r="G99" s="129" t="s">
        <v>623</v>
      </c>
      <c r="H99" s="129">
        <v>75</v>
      </c>
      <c r="I99" s="129">
        <v>1800</v>
      </c>
      <c r="J99" s="225">
        <v>395</v>
      </c>
      <c r="K99" s="129" t="s">
        <v>667</v>
      </c>
      <c r="L99" s="36"/>
      <c r="M99" s="273"/>
      <c r="O99" s="73"/>
      <c r="P99" s="79"/>
      <c r="Q99" s="79"/>
    </row>
    <row r="100" spans="1:17" x14ac:dyDescent="0.25">
      <c r="A100" s="272">
        <v>45891</v>
      </c>
      <c r="B100" s="36"/>
      <c r="C100" s="69" t="s">
        <v>147</v>
      </c>
      <c r="D100" s="37"/>
      <c r="E100" s="129">
        <v>22975</v>
      </c>
      <c r="F100" s="253"/>
      <c r="G100" s="129" t="s">
        <v>669</v>
      </c>
      <c r="H100" s="129">
        <v>125</v>
      </c>
      <c r="I100" s="129">
        <v>100</v>
      </c>
      <c r="J100" s="225">
        <v>183</v>
      </c>
      <c r="K100" s="129" t="s">
        <v>362</v>
      </c>
      <c r="L100" s="36"/>
      <c r="M100" s="273"/>
      <c r="O100" s="73"/>
      <c r="P100" s="79"/>
      <c r="Q100" s="79"/>
    </row>
    <row r="101" spans="1:17" x14ac:dyDescent="0.25">
      <c r="A101" s="272">
        <v>45891</v>
      </c>
      <c r="B101" s="36" t="s">
        <v>670</v>
      </c>
      <c r="C101" s="69" t="s">
        <v>32</v>
      </c>
      <c r="D101" s="37">
        <v>1650</v>
      </c>
      <c r="E101" s="129"/>
      <c r="F101" s="253" t="s">
        <v>521</v>
      </c>
      <c r="G101" s="129"/>
      <c r="H101" s="129"/>
      <c r="I101" s="129"/>
      <c r="J101" s="225"/>
      <c r="K101" s="129"/>
      <c r="L101" s="36"/>
      <c r="M101" s="273"/>
      <c r="O101" s="73"/>
      <c r="P101" s="79"/>
      <c r="Q101" s="79"/>
    </row>
    <row r="102" spans="1:17" x14ac:dyDescent="0.25">
      <c r="A102" s="272">
        <v>45891</v>
      </c>
      <c r="B102" s="36" t="s">
        <v>671</v>
      </c>
      <c r="C102" s="69" t="s">
        <v>32</v>
      </c>
      <c r="D102" s="37">
        <v>2325</v>
      </c>
      <c r="E102" s="129"/>
      <c r="F102" s="253" t="s">
        <v>606</v>
      </c>
      <c r="G102" s="129"/>
      <c r="H102" s="129"/>
      <c r="I102" s="129"/>
      <c r="J102" s="225"/>
      <c r="K102" s="129"/>
      <c r="L102" s="36"/>
      <c r="M102" s="273"/>
      <c r="O102" s="73"/>
      <c r="P102" s="79"/>
      <c r="Q102" s="79"/>
    </row>
    <row r="103" spans="1:17" x14ac:dyDescent="0.25">
      <c r="A103" s="272">
        <v>45891</v>
      </c>
      <c r="B103" s="36"/>
      <c r="C103" s="69" t="s">
        <v>33</v>
      </c>
      <c r="D103" s="37"/>
      <c r="E103" s="129">
        <v>50</v>
      </c>
      <c r="F103" s="253"/>
      <c r="G103" s="129"/>
      <c r="H103" s="129"/>
      <c r="I103" s="129"/>
      <c r="J103" s="225"/>
      <c r="K103" s="129"/>
      <c r="L103" s="36"/>
      <c r="M103" s="273"/>
      <c r="O103" s="73"/>
      <c r="P103" s="79"/>
      <c r="Q103" s="79"/>
    </row>
    <row r="104" spans="1:17" x14ac:dyDescent="0.25">
      <c r="A104" s="272">
        <v>45892</v>
      </c>
      <c r="B104" s="36" t="s">
        <v>677</v>
      </c>
      <c r="C104" s="69" t="s">
        <v>145</v>
      </c>
      <c r="D104" s="37"/>
      <c r="E104" s="129">
        <v>4000</v>
      </c>
      <c r="F104" s="253"/>
      <c r="G104" s="129" t="s">
        <v>619</v>
      </c>
      <c r="H104" s="129">
        <v>80</v>
      </c>
      <c r="I104" s="129"/>
      <c r="J104" s="225">
        <v>50</v>
      </c>
      <c r="K104" s="129" t="s">
        <v>19</v>
      </c>
      <c r="L104" s="36"/>
      <c r="M104" s="273"/>
      <c r="O104" s="73"/>
      <c r="P104" s="79"/>
      <c r="Q104" s="79"/>
    </row>
    <row r="105" spans="1:17" x14ac:dyDescent="0.25">
      <c r="A105" s="272">
        <v>45892</v>
      </c>
      <c r="B105" s="36" t="s">
        <v>672</v>
      </c>
      <c r="C105" s="69" t="s">
        <v>32</v>
      </c>
      <c r="D105" s="37">
        <v>240</v>
      </c>
      <c r="E105" s="129"/>
      <c r="F105" s="253" t="s">
        <v>521</v>
      </c>
      <c r="G105" s="129"/>
      <c r="H105" s="129"/>
      <c r="I105" s="129"/>
      <c r="J105" s="225"/>
      <c r="K105" s="129"/>
      <c r="L105" s="36"/>
      <c r="M105" s="273"/>
      <c r="O105" s="73"/>
      <c r="P105" s="79"/>
      <c r="Q105" s="79"/>
    </row>
    <row r="106" spans="1:17" x14ac:dyDescent="0.25">
      <c r="A106" s="272">
        <v>45892</v>
      </c>
      <c r="B106" s="36" t="s">
        <v>673</v>
      </c>
      <c r="C106" s="69" t="s">
        <v>32</v>
      </c>
      <c r="D106" s="37">
        <v>11420</v>
      </c>
      <c r="E106" s="129"/>
      <c r="F106" s="253" t="s">
        <v>606</v>
      </c>
      <c r="G106" s="129"/>
      <c r="H106" s="129"/>
      <c r="I106" s="129"/>
      <c r="J106" s="225"/>
      <c r="K106" s="129"/>
      <c r="L106" s="36"/>
      <c r="M106" s="273"/>
      <c r="O106" s="73"/>
      <c r="P106" s="79"/>
      <c r="Q106" s="79"/>
    </row>
    <row r="107" spans="1:17" x14ac:dyDescent="0.25">
      <c r="A107" s="272">
        <v>45892</v>
      </c>
      <c r="B107" s="36" t="s">
        <v>674</v>
      </c>
      <c r="C107" s="69" t="s">
        <v>32</v>
      </c>
      <c r="D107" s="37">
        <v>450</v>
      </c>
      <c r="E107" s="129"/>
      <c r="F107" s="253" t="s">
        <v>141</v>
      </c>
      <c r="G107" s="129"/>
      <c r="H107" s="129"/>
      <c r="I107" s="129"/>
      <c r="J107" s="225"/>
      <c r="K107" s="129"/>
      <c r="L107" s="36"/>
      <c r="M107" s="273" t="s">
        <v>678</v>
      </c>
      <c r="O107" s="73"/>
      <c r="P107" s="79"/>
      <c r="Q107" s="79"/>
    </row>
    <row r="108" spans="1:17" x14ac:dyDescent="0.25">
      <c r="A108" s="272">
        <v>45892</v>
      </c>
      <c r="B108" s="36" t="s">
        <v>675</v>
      </c>
      <c r="C108" s="69" t="s">
        <v>32</v>
      </c>
      <c r="D108" s="37">
        <v>1530</v>
      </c>
      <c r="E108" s="129"/>
      <c r="F108" s="253" t="s">
        <v>679</v>
      </c>
      <c r="G108" s="129"/>
      <c r="H108" s="129"/>
      <c r="I108" s="129"/>
      <c r="J108" s="225"/>
      <c r="K108" s="129"/>
      <c r="L108" s="36"/>
      <c r="M108" s="273"/>
      <c r="O108" s="73"/>
      <c r="P108" s="79"/>
      <c r="Q108" s="79"/>
    </row>
    <row r="109" spans="1:17" x14ac:dyDescent="0.25">
      <c r="A109" s="272">
        <v>45892</v>
      </c>
      <c r="B109" s="36"/>
      <c r="C109" s="69" t="s">
        <v>33</v>
      </c>
      <c r="D109" s="37"/>
      <c r="E109" s="129">
        <v>50</v>
      </c>
      <c r="F109" s="253"/>
      <c r="G109" s="129"/>
      <c r="H109" s="129"/>
      <c r="I109" s="129"/>
      <c r="J109" s="225"/>
      <c r="K109" s="129"/>
      <c r="L109" s="36"/>
      <c r="M109" s="273"/>
      <c r="O109" s="73"/>
      <c r="P109" s="79"/>
      <c r="Q109" s="79"/>
    </row>
    <row r="110" spans="1:17" x14ac:dyDescent="0.25">
      <c r="A110" s="272">
        <v>45892</v>
      </c>
      <c r="B110" s="36"/>
      <c r="C110" s="69" t="s">
        <v>618</v>
      </c>
      <c r="D110" s="37"/>
      <c r="E110" s="129">
        <v>160</v>
      </c>
      <c r="F110" s="253"/>
      <c r="G110" s="129"/>
      <c r="H110" s="129"/>
      <c r="I110" s="129"/>
      <c r="J110" s="225"/>
      <c r="K110" s="129"/>
      <c r="L110" s="36"/>
      <c r="M110" s="273"/>
      <c r="O110" s="73"/>
      <c r="P110" s="79"/>
      <c r="Q110" s="79"/>
    </row>
    <row r="111" spans="1:17" x14ac:dyDescent="0.25">
      <c r="A111" s="272">
        <v>45892</v>
      </c>
      <c r="B111" s="36"/>
      <c r="C111" s="69" t="s">
        <v>161</v>
      </c>
      <c r="D111" s="37"/>
      <c r="E111" s="129">
        <v>400</v>
      </c>
      <c r="F111" s="253"/>
      <c r="G111" s="129"/>
      <c r="H111" s="129"/>
      <c r="I111" s="129"/>
      <c r="J111" s="225"/>
      <c r="K111" s="129"/>
      <c r="L111" s="36"/>
      <c r="M111" s="273"/>
      <c r="O111" s="73"/>
      <c r="P111" s="79"/>
      <c r="Q111" s="79"/>
    </row>
    <row r="112" spans="1:17" x14ac:dyDescent="0.25">
      <c r="A112" s="272">
        <v>45892</v>
      </c>
      <c r="B112" s="36"/>
      <c r="C112" s="69" t="s">
        <v>546</v>
      </c>
      <c r="D112" s="37"/>
      <c r="E112" s="129">
        <v>300</v>
      </c>
      <c r="F112" s="253"/>
      <c r="G112" s="129"/>
      <c r="H112" s="129"/>
      <c r="I112" s="129"/>
      <c r="J112" s="225"/>
      <c r="K112" s="129"/>
      <c r="L112" s="36"/>
      <c r="M112" s="273"/>
      <c r="O112" s="73"/>
      <c r="P112" s="79"/>
      <c r="Q112" s="79"/>
    </row>
    <row r="113" spans="1:17" x14ac:dyDescent="0.25">
      <c r="A113" s="272">
        <v>45893</v>
      </c>
      <c r="B113" s="36"/>
      <c r="C113" s="69" t="s">
        <v>680</v>
      </c>
      <c r="D113" s="37"/>
      <c r="E113" s="129">
        <v>4000</v>
      </c>
      <c r="F113" s="253"/>
      <c r="G113" s="129"/>
      <c r="H113" s="129"/>
      <c r="I113" s="129"/>
      <c r="J113" s="225"/>
      <c r="K113" s="129"/>
      <c r="L113" s="36"/>
      <c r="M113" s="273" t="s">
        <v>681</v>
      </c>
      <c r="O113" s="73"/>
      <c r="P113" s="79"/>
      <c r="Q113" s="79"/>
    </row>
    <row r="114" spans="1:17" x14ac:dyDescent="0.25">
      <c r="A114" s="272">
        <v>45893</v>
      </c>
      <c r="B114" s="36"/>
      <c r="C114" s="69" t="s">
        <v>168</v>
      </c>
      <c r="D114" s="37"/>
      <c r="E114" s="129">
        <v>12706</v>
      </c>
      <c r="F114" s="253"/>
      <c r="G114" s="129"/>
      <c r="H114" s="129"/>
      <c r="I114" s="129"/>
      <c r="J114" s="225"/>
      <c r="K114" s="129"/>
      <c r="L114" s="36"/>
      <c r="M114" s="273" t="s">
        <v>710</v>
      </c>
      <c r="O114" s="73"/>
      <c r="P114" s="79"/>
      <c r="Q114" s="79"/>
    </row>
    <row r="115" spans="1:17" x14ac:dyDescent="0.25">
      <c r="A115" s="272">
        <v>45893</v>
      </c>
      <c r="B115" s="36" t="s">
        <v>676</v>
      </c>
      <c r="C115" s="69" t="s">
        <v>32</v>
      </c>
      <c r="D115" s="37">
        <v>340</v>
      </c>
      <c r="E115" s="129"/>
      <c r="F115" s="253" t="s">
        <v>606</v>
      </c>
      <c r="G115" s="129"/>
      <c r="H115" s="129"/>
      <c r="I115" s="129"/>
      <c r="J115" s="225"/>
      <c r="K115" s="129"/>
      <c r="L115" s="36"/>
      <c r="M115" s="273"/>
      <c r="O115" s="73"/>
      <c r="P115" s="79"/>
      <c r="Q115" s="79"/>
    </row>
    <row r="116" spans="1:17" x14ac:dyDescent="0.25">
      <c r="A116" s="272">
        <v>45894</v>
      </c>
      <c r="B116" s="36" t="s">
        <v>683</v>
      </c>
      <c r="C116" s="69" t="s">
        <v>32</v>
      </c>
      <c r="D116" s="37">
        <v>200</v>
      </c>
      <c r="E116" s="129"/>
      <c r="F116" s="253" t="s">
        <v>521</v>
      </c>
      <c r="G116" s="129"/>
      <c r="H116" s="129"/>
      <c r="I116" s="129"/>
      <c r="J116" s="225"/>
      <c r="K116" s="129"/>
      <c r="L116" s="36"/>
      <c r="M116" s="273"/>
      <c r="O116" s="73"/>
      <c r="P116" s="79"/>
      <c r="Q116" s="79"/>
    </row>
    <row r="117" spans="1:17" x14ac:dyDescent="0.25">
      <c r="A117" s="272">
        <v>45894</v>
      </c>
      <c r="B117" s="36" t="s">
        <v>684</v>
      </c>
      <c r="C117" s="69" t="s">
        <v>32</v>
      </c>
      <c r="D117" s="37">
        <v>600</v>
      </c>
      <c r="E117" s="129"/>
      <c r="F117" s="253" t="s">
        <v>609</v>
      </c>
      <c r="G117" s="129"/>
      <c r="H117" s="129"/>
      <c r="I117" s="129"/>
      <c r="J117" s="225"/>
      <c r="K117" s="129"/>
      <c r="L117" s="36"/>
      <c r="M117" s="273"/>
      <c r="O117" s="73"/>
      <c r="P117" s="79"/>
      <c r="Q117" s="79"/>
    </row>
    <row r="118" spans="1:17" x14ac:dyDescent="0.25">
      <c r="A118" s="272">
        <v>45894</v>
      </c>
      <c r="B118" s="36" t="s">
        <v>685</v>
      </c>
      <c r="C118" s="69" t="s">
        <v>32</v>
      </c>
      <c r="D118" s="37">
        <v>5975</v>
      </c>
      <c r="E118" s="129"/>
      <c r="F118" s="253" t="s">
        <v>606</v>
      </c>
      <c r="G118" s="129"/>
      <c r="H118" s="129"/>
      <c r="I118" s="129"/>
      <c r="J118" s="225"/>
      <c r="K118" s="129"/>
      <c r="L118" s="36"/>
      <c r="M118" s="273"/>
      <c r="O118" s="73"/>
      <c r="P118" s="79"/>
      <c r="Q118" s="79"/>
    </row>
    <row r="119" spans="1:17" x14ac:dyDescent="0.25">
      <c r="A119" s="272">
        <v>45894</v>
      </c>
      <c r="B119" s="36"/>
      <c r="C119" s="69" t="s">
        <v>145</v>
      </c>
      <c r="D119" s="37"/>
      <c r="E119" s="129">
        <v>3800</v>
      </c>
      <c r="F119" s="253"/>
      <c r="G119" s="129" t="s">
        <v>619</v>
      </c>
      <c r="H119" s="129">
        <v>76</v>
      </c>
      <c r="I119" s="129"/>
      <c r="J119" s="225">
        <v>50</v>
      </c>
      <c r="K119" s="129" t="s">
        <v>19</v>
      </c>
      <c r="L119" s="36"/>
      <c r="M119" s="273"/>
      <c r="O119" s="73"/>
      <c r="P119" s="79"/>
      <c r="Q119" s="79"/>
    </row>
    <row r="120" spans="1:17" x14ac:dyDescent="0.25">
      <c r="A120" s="272">
        <v>45894</v>
      </c>
      <c r="B120" s="36"/>
      <c r="C120" s="69" t="s">
        <v>33</v>
      </c>
      <c r="D120" s="37"/>
      <c r="E120" s="129">
        <v>50</v>
      </c>
      <c r="F120" s="253"/>
      <c r="G120" s="129"/>
      <c r="H120" s="129"/>
      <c r="I120" s="129"/>
      <c r="J120" s="225"/>
      <c r="K120" s="129"/>
      <c r="L120" s="36"/>
      <c r="M120" s="273"/>
      <c r="O120" s="73"/>
      <c r="P120" s="79"/>
      <c r="Q120" s="79"/>
    </row>
    <row r="121" spans="1:17" x14ac:dyDescent="0.25">
      <c r="A121" s="272">
        <v>45894</v>
      </c>
      <c r="B121" s="36"/>
      <c r="C121" s="69" t="s">
        <v>207</v>
      </c>
      <c r="D121" s="37"/>
      <c r="E121" s="129">
        <v>1500</v>
      </c>
      <c r="F121" s="253"/>
      <c r="G121" s="129"/>
      <c r="H121" s="129"/>
      <c r="I121" s="129"/>
      <c r="J121" s="225"/>
      <c r="K121" s="129"/>
      <c r="L121" s="36"/>
      <c r="M121" s="273" t="s">
        <v>711</v>
      </c>
      <c r="O121" s="73"/>
      <c r="P121" s="79"/>
      <c r="Q121" s="79"/>
    </row>
    <row r="122" spans="1:17" x14ac:dyDescent="0.25">
      <c r="A122" s="272">
        <v>45895</v>
      </c>
      <c r="B122" s="36" t="s">
        <v>686</v>
      </c>
      <c r="C122" s="69" t="s">
        <v>32</v>
      </c>
      <c r="D122" s="37">
        <v>2120</v>
      </c>
      <c r="E122" s="129"/>
      <c r="F122" s="253" t="s">
        <v>521</v>
      </c>
      <c r="G122" s="129"/>
      <c r="H122" s="129"/>
      <c r="I122" s="129"/>
      <c r="J122" s="225"/>
      <c r="K122" s="129"/>
      <c r="L122" s="36"/>
      <c r="M122" s="273"/>
      <c r="O122" s="73"/>
      <c r="P122" s="79"/>
      <c r="Q122" s="79"/>
    </row>
    <row r="123" spans="1:17" x14ac:dyDescent="0.25">
      <c r="A123" s="272">
        <v>45895</v>
      </c>
      <c r="B123" s="36" t="s">
        <v>687</v>
      </c>
      <c r="C123" s="69" t="s">
        <v>32</v>
      </c>
      <c r="D123" s="37">
        <v>300</v>
      </c>
      <c r="E123" s="129"/>
      <c r="F123" s="253" t="s">
        <v>521</v>
      </c>
      <c r="G123" s="129"/>
      <c r="H123" s="129"/>
      <c r="I123" s="129"/>
      <c r="J123" s="225"/>
      <c r="K123" s="129"/>
      <c r="L123" s="36"/>
      <c r="M123" s="273"/>
      <c r="O123" s="73"/>
      <c r="P123" s="79"/>
      <c r="Q123" s="79"/>
    </row>
    <row r="124" spans="1:17" x14ac:dyDescent="0.25">
      <c r="A124" s="272">
        <v>45895</v>
      </c>
      <c r="B124" s="36" t="s">
        <v>688</v>
      </c>
      <c r="C124" s="69" t="s">
        <v>32</v>
      </c>
      <c r="D124" s="37">
        <v>360</v>
      </c>
      <c r="E124" s="129"/>
      <c r="F124" s="253" t="s">
        <v>705</v>
      </c>
      <c r="G124" s="129"/>
      <c r="H124" s="129"/>
      <c r="I124" s="129"/>
      <c r="J124" s="225"/>
      <c r="K124" s="129"/>
      <c r="L124" s="36"/>
      <c r="M124" s="273"/>
      <c r="O124" s="73"/>
      <c r="P124" s="79"/>
      <c r="Q124" s="79"/>
    </row>
    <row r="125" spans="1:17" x14ac:dyDescent="0.25">
      <c r="A125" s="272">
        <v>45895</v>
      </c>
      <c r="B125" s="36" t="s">
        <v>689</v>
      </c>
      <c r="C125" s="36" t="s">
        <v>32</v>
      </c>
      <c r="D125" s="37">
        <v>2025</v>
      </c>
      <c r="E125" s="129"/>
      <c r="F125" s="253" t="s">
        <v>606</v>
      </c>
      <c r="G125" s="129"/>
      <c r="H125" s="129"/>
      <c r="I125" s="129"/>
      <c r="J125" s="225"/>
      <c r="K125" s="129"/>
      <c r="L125" s="36"/>
      <c r="M125" s="273"/>
      <c r="O125" s="73"/>
      <c r="P125" s="79"/>
      <c r="Q125" s="79"/>
    </row>
    <row r="126" spans="1:17" x14ac:dyDescent="0.25">
      <c r="A126" s="272">
        <v>45895</v>
      </c>
      <c r="B126" s="36"/>
      <c r="C126" s="69" t="s">
        <v>109</v>
      </c>
      <c r="D126" s="37"/>
      <c r="E126" s="129">
        <v>400</v>
      </c>
      <c r="F126" s="253"/>
      <c r="G126" s="129"/>
      <c r="H126" s="129"/>
      <c r="I126" s="129"/>
      <c r="J126" s="225"/>
      <c r="K126" s="129"/>
      <c r="L126" s="36"/>
      <c r="M126" s="273"/>
      <c r="O126" s="73"/>
      <c r="P126" s="79"/>
      <c r="Q126" s="79"/>
    </row>
    <row r="127" spans="1:17" x14ac:dyDescent="0.25">
      <c r="A127" s="272">
        <v>45895</v>
      </c>
      <c r="B127" s="36"/>
      <c r="C127" s="69" t="s">
        <v>33</v>
      </c>
      <c r="D127" s="37"/>
      <c r="E127" s="129">
        <v>50</v>
      </c>
      <c r="F127" s="253"/>
      <c r="G127" s="129"/>
      <c r="H127" s="129"/>
      <c r="I127" s="129"/>
      <c r="J127" s="225"/>
      <c r="K127" s="129"/>
      <c r="L127" s="36"/>
      <c r="M127" s="273"/>
      <c r="O127" s="73"/>
      <c r="P127" s="79"/>
      <c r="Q127" s="79"/>
    </row>
    <row r="128" spans="1:17" x14ac:dyDescent="0.25">
      <c r="A128" s="272">
        <v>45896</v>
      </c>
      <c r="B128" s="36" t="s">
        <v>690</v>
      </c>
      <c r="C128" s="69" t="s">
        <v>32</v>
      </c>
      <c r="D128" s="37">
        <v>8795</v>
      </c>
      <c r="E128" s="129"/>
      <c r="F128" s="253" t="s">
        <v>606</v>
      </c>
      <c r="G128" s="129"/>
      <c r="H128" s="129"/>
      <c r="I128" s="129"/>
      <c r="J128" s="225"/>
      <c r="K128" s="129"/>
      <c r="L128" s="36"/>
      <c r="M128" s="273"/>
      <c r="O128" s="73"/>
      <c r="P128" s="79"/>
      <c r="Q128" s="79"/>
    </row>
    <row r="129" spans="1:17" x14ac:dyDescent="0.25">
      <c r="A129" s="272">
        <v>45896</v>
      </c>
      <c r="B129" s="36" t="s">
        <v>691</v>
      </c>
      <c r="C129" s="69" t="s">
        <v>32</v>
      </c>
      <c r="D129" s="37">
        <v>240</v>
      </c>
      <c r="E129" s="129"/>
      <c r="F129" s="253" t="s">
        <v>521</v>
      </c>
      <c r="G129" s="129"/>
      <c r="H129" s="129"/>
      <c r="I129" s="129"/>
      <c r="J129" s="225"/>
      <c r="K129" s="129"/>
      <c r="L129" s="36"/>
      <c r="M129" s="273"/>
      <c r="O129" s="73"/>
      <c r="P129" s="79"/>
      <c r="Q129" s="79"/>
    </row>
    <row r="130" spans="1:17" x14ac:dyDescent="0.25">
      <c r="A130" s="272">
        <v>45896</v>
      </c>
      <c r="B130" s="36"/>
      <c r="C130" s="69" t="s">
        <v>33</v>
      </c>
      <c r="D130" s="37"/>
      <c r="E130" s="129">
        <v>50</v>
      </c>
      <c r="F130" s="253"/>
      <c r="G130" s="129"/>
      <c r="H130" s="129"/>
      <c r="I130" s="129"/>
      <c r="J130" s="225"/>
      <c r="K130" s="129"/>
      <c r="L130" s="36"/>
      <c r="M130" s="273"/>
      <c r="O130" s="73"/>
      <c r="P130" s="79"/>
      <c r="Q130" s="79"/>
    </row>
    <row r="131" spans="1:17" x14ac:dyDescent="0.25">
      <c r="A131" s="272">
        <v>45896</v>
      </c>
      <c r="B131" s="36"/>
      <c r="C131" s="69" t="s">
        <v>682</v>
      </c>
      <c r="D131" s="37"/>
      <c r="E131" s="129">
        <v>800</v>
      </c>
      <c r="F131" s="253"/>
      <c r="G131" s="129"/>
      <c r="H131" s="129"/>
      <c r="I131" s="129"/>
      <c r="J131" s="225"/>
      <c r="K131" s="129"/>
      <c r="L131" s="36"/>
      <c r="M131" s="273"/>
      <c r="O131" s="73"/>
      <c r="P131" s="79"/>
      <c r="Q131" s="79"/>
    </row>
    <row r="132" spans="1:17" x14ac:dyDescent="0.25">
      <c r="A132" s="272">
        <v>45897</v>
      </c>
      <c r="B132" s="36" t="s">
        <v>692</v>
      </c>
      <c r="C132" s="69" t="s">
        <v>32</v>
      </c>
      <c r="D132" s="37">
        <v>320</v>
      </c>
      <c r="E132" s="129"/>
      <c r="F132" s="253" t="s">
        <v>707</v>
      </c>
      <c r="G132" s="129"/>
      <c r="H132" s="129"/>
      <c r="I132" s="129"/>
      <c r="J132" s="225"/>
      <c r="K132" s="129"/>
      <c r="L132" s="36"/>
      <c r="M132" s="273"/>
      <c r="O132" s="73"/>
      <c r="P132" s="79"/>
      <c r="Q132" s="79"/>
    </row>
    <row r="133" spans="1:17" x14ac:dyDescent="0.25">
      <c r="A133" s="272">
        <v>45897</v>
      </c>
      <c r="B133" s="36" t="s">
        <v>693</v>
      </c>
      <c r="C133" s="69" t="s">
        <v>32</v>
      </c>
      <c r="D133" s="37">
        <v>900</v>
      </c>
      <c r="E133" s="129"/>
      <c r="F133" s="253" t="s">
        <v>141</v>
      </c>
      <c r="G133" s="129"/>
      <c r="H133" s="129"/>
      <c r="I133" s="129"/>
      <c r="J133" s="225"/>
      <c r="K133" s="129"/>
      <c r="L133" s="36"/>
      <c r="M133" s="273" t="s">
        <v>708</v>
      </c>
      <c r="O133" s="73"/>
      <c r="P133" s="79"/>
      <c r="Q133" s="79"/>
    </row>
    <row r="134" spans="1:17" x14ac:dyDescent="0.25">
      <c r="A134" s="272">
        <v>45897</v>
      </c>
      <c r="B134" s="36" t="s">
        <v>694</v>
      </c>
      <c r="C134" s="69" t="s">
        <v>32</v>
      </c>
      <c r="D134" s="37">
        <v>5650</v>
      </c>
      <c r="E134" s="129"/>
      <c r="F134" s="253" t="s">
        <v>606</v>
      </c>
      <c r="G134" s="129"/>
      <c r="H134" s="129"/>
      <c r="I134" s="129"/>
      <c r="J134" s="225"/>
      <c r="K134" s="129"/>
      <c r="L134" s="36"/>
      <c r="M134" s="273"/>
      <c r="O134" s="73"/>
      <c r="P134" s="79"/>
      <c r="Q134" s="79"/>
    </row>
    <row r="135" spans="1:17" x14ac:dyDescent="0.25">
      <c r="A135" s="272">
        <v>45897</v>
      </c>
      <c r="B135" s="36" t="s">
        <v>695</v>
      </c>
      <c r="C135" s="69" t="s">
        <v>32</v>
      </c>
      <c r="D135" s="37">
        <v>200</v>
      </c>
      <c r="E135" s="129"/>
      <c r="F135" s="253" t="s">
        <v>142</v>
      </c>
      <c r="G135" s="129"/>
      <c r="H135" s="129"/>
      <c r="I135" s="129"/>
      <c r="J135" s="225"/>
      <c r="K135" s="129"/>
      <c r="L135" s="36"/>
      <c r="M135" s="273"/>
      <c r="O135" s="73"/>
      <c r="P135" s="79"/>
      <c r="Q135" s="79"/>
    </row>
    <row r="136" spans="1:17" x14ac:dyDescent="0.25">
      <c r="A136" s="272">
        <v>45897</v>
      </c>
      <c r="B136" s="36"/>
      <c r="C136" s="69" t="s">
        <v>33</v>
      </c>
      <c r="D136" s="37"/>
      <c r="E136" s="129">
        <v>50</v>
      </c>
      <c r="F136" s="253"/>
      <c r="G136" s="129"/>
      <c r="H136" s="129"/>
      <c r="I136" s="129"/>
      <c r="J136" s="225"/>
      <c r="K136" s="129"/>
      <c r="L136" s="36"/>
      <c r="M136" s="273"/>
      <c r="O136" s="73"/>
      <c r="P136" s="79"/>
      <c r="Q136" s="79"/>
    </row>
    <row r="137" spans="1:17" x14ac:dyDescent="0.25">
      <c r="A137" s="272">
        <v>45897</v>
      </c>
      <c r="B137" s="36"/>
      <c r="C137" s="69" t="s">
        <v>618</v>
      </c>
      <c r="D137" s="37"/>
      <c r="E137" s="129">
        <v>160</v>
      </c>
      <c r="F137" s="253"/>
      <c r="G137" s="129"/>
      <c r="H137" s="129"/>
      <c r="I137" s="129"/>
      <c r="J137" s="225"/>
      <c r="K137" s="129"/>
      <c r="L137" s="36"/>
      <c r="M137" s="273"/>
      <c r="O137" s="73"/>
      <c r="P137" s="79"/>
      <c r="Q137" s="79"/>
    </row>
    <row r="138" spans="1:17" x14ac:dyDescent="0.25">
      <c r="A138" s="272">
        <v>45898</v>
      </c>
      <c r="B138" s="36"/>
      <c r="C138" s="69" t="s">
        <v>145</v>
      </c>
      <c r="D138" s="37"/>
      <c r="E138" s="129">
        <v>3900</v>
      </c>
      <c r="F138" s="253"/>
      <c r="G138" s="129" t="s">
        <v>619</v>
      </c>
      <c r="H138" s="129">
        <v>78</v>
      </c>
      <c r="I138" s="129"/>
      <c r="J138" s="225">
        <v>50</v>
      </c>
      <c r="K138" s="129" t="s">
        <v>19</v>
      </c>
      <c r="L138" s="36"/>
      <c r="M138" s="273"/>
      <c r="O138" s="73"/>
      <c r="P138" s="79"/>
      <c r="Q138" s="79"/>
    </row>
    <row r="139" spans="1:17" x14ac:dyDescent="0.25">
      <c r="A139" s="272">
        <v>45898</v>
      </c>
      <c r="B139" s="36" t="s">
        <v>696</v>
      </c>
      <c r="C139" s="69" t="s">
        <v>32</v>
      </c>
      <c r="D139" s="37">
        <v>6465</v>
      </c>
      <c r="E139" s="129"/>
      <c r="F139" s="253" t="s">
        <v>606</v>
      </c>
      <c r="G139" s="129"/>
      <c r="H139" s="129"/>
      <c r="I139" s="129"/>
      <c r="J139" s="225"/>
      <c r="K139" s="129"/>
      <c r="L139" s="36"/>
      <c r="M139" s="273"/>
      <c r="O139" s="73"/>
      <c r="P139" s="79"/>
      <c r="Q139" s="79"/>
    </row>
    <row r="140" spans="1:17" x14ac:dyDescent="0.25">
      <c r="A140" s="272">
        <v>45898</v>
      </c>
      <c r="B140" s="36" t="s">
        <v>697</v>
      </c>
      <c r="C140" s="69" t="s">
        <v>32</v>
      </c>
      <c r="D140" s="37">
        <v>200</v>
      </c>
      <c r="E140" s="129"/>
      <c r="F140" s="253" t="s">
        <v>707</v>
      </c>
      <c r="G140" s="129"/>
      <c r="H140" s="129"/>
      <c r="I140" s="129"/>
      <c r="J140" s="225"/>
      <c r="K140" s="129"/>
      <c r="L140" s="36"/>
      <c r="M140" s="273"/>
      <c r="O140" s="73"/>
      <c r="P140" s="79"/>
      <c r="Q140" s="79"/>
    </row>
    <row r="141" spans="1:17" x14ac:dyDescent="0.25">
      <c r="A141" s="272">
        <v>45899</v>
      </c>
      <c r="B141" s="36" t="s">
        <v>698</v>
      </c>
      <c r="C141" s="69" t="s">
        <v>32</v>
      </c>
      <c r="D141" s="37">
        <v>800</v>
      </c>
      <c r="E141" s="129"/>
      <c r="F141" s="253" t="s">
        <v>707</v>
      </c>
      <c r="G141" s="129"/>
      <c r="H141" s="129"/>
      <c r="I141" s="129"/>
      <c r="J141" s="225"/>
      <c r="K141" s="129"/>
      <c r="L141" s="36"/>
      <c r="M141" s="273"/>
      <c r="O141" s="73"/>
      <c r="P141" s="79"/>
      <c r="Q141" s="79"/>
    </row>
    <row r="142" spans="1:17" x14ac:dyDescent="0.25">
      <c r="A142" s="272">
        <v>45899</v>
      </c>
      <c r="B142" s="36" t="s">
        <v>699</v>
      </c>
      <c r="C142" s="69" t="s">
        <v>32</v>
      </c>
      <c r="D142" s="37">
        <v>5620</v>
      </c>
      <c r="E142" s="129"/>
      <c r="F142" s="253" t="s">
        <v>606</v>
      </c>
      <c r="G142" s="129"/>
      <c r="H142" s="129"/>
      <c r="I142" s="129"/>
      <c r="J142" s="225"/>
      <c r="K142" s="129"/>
      <c r="L142" s="36"/>
      <c r="M142" s="273"/>
      <c r="O142" s="73"/>
      <c r="P142" s="79"/>
      <c r="Q142" s="79"/>
    </row>
    <row r="143" spans="1:17" x14ac:dyDescent="0.25">
      <c r="A143" s="272">
        <v>45899</v>
      </c>
      <c r="B143" s="36" t="s">
        <v>700</v>
      </c>
      <c r="C143" s="69" t="s">
        <v>32</v>
      </c>
      <c r="D143" s="37">
        <v>150</v>
      </c>
      <c r="E143" s="129"/>
      <c r="F143" s="253" t="s">
        <v>709</v>
      </c>
      <c r="G143" s="129"/>
      <c r="H143" s="129"/>
      <c r="I143" s="129"/>
      <c r="J143" s="225"/>
      <c r="K143" s="129"/>
      <c r="L143" s="36"/>
      <c r="M143" s="273"/>
      <c r="O143" s="73"/>
      <c r="P143" s="79"/>
      <c r="Q143" s="79"/>
    </row>
    <row r="144" spans="1:17" x14ac:dyDescent="0.25">
      <c r="A144" s="272">
        <v>45899</v>
      </c>
      <c r="B144" s="36" t="s">
        <v>701</v>
      </c>
      <c r="C144" s="69" t="s">
        <v>32</v>
      </c>
      <c r="D144" s="37">
        <v>350</v>
      </c>
      <c r="E144" s="129"/>
      <c r="F144" s="253" t="s">
        <v>521</v>
      </c>
      <c r="G144" s="129"/>
      <c r="H144" s="129"/>
      <c r="I144" s="129"/>
      <c r="J144" s="225"/>
      <c r="K144" s="129"/>
      <c r="L144" s="36"/>
      <c r="M144" s="273"/>
      <c r="O144" s="73"/>
      <c r="P144" s="79"/>
      <c r="Q144" s="79"/>
    </row>
    <row r="145" spans="1:17" x14ac:dyDescent="0.25">
      <c r="A145" s="272">
        <v>45899</v>
      </c>
      <c r="B145" s="36"/>
      <c r="C145" s="69" t="s">
        <v>33</v>
      </c>
      <c r="D145" s="37"/>
      <c r="E145" s="129">
        <v>50</v>
      </c>
      <c r="F145" s="253"/>
      <c r="G145" s="129"/>
      <c r="H145" s="129"/>
      <c r="I145" s="129"/>
      <c r="J145" s="225"/>
      <c r="K145" s="129"/>
      <c r="L145" s="36"/>
      <c r="M145" s="273"/>
      <c r="O145" s="73"/>
      <c r="P145" s="79"/>
      <c r="Q145" s="79"/>
    </row>
    <row r="146" spans="1:17" x14ac:dyDescent="0.25">
      <c r="A146" s="272">
        <v>45899</v>
      </c>
      <c r="B146" s="36"/>
      <c r="C146" s="69" t="s">
        <v>109</v>
      </c>
      <c r="D146" s="37"/>
      <c r="E146" s="129">
        <v>300</v>
      </c>
      <c r="F146" s="253"/>
      <c r="G146" s="129"/>
      <c r="H146" s="129"/>
      <c r="I146" s="129"/>
      <c r="J146" s="225"/>
      <c r="K146" s="129"/>
      <c r="L146" s="36"/>
      <c r="M146" s="273"/>
    </row>
    <row r="147" spans="1:17" x14ac:dyDescent="0.25">
      <c r="A147" s="272">
        <v>45900</v>
      </c>
      <c r="B147" s="36"/>
      <c r="C147" s="69" t="s">
        <v>145</v>
      </c>
      <c r="D147" s="37"/>
      <c r="E147" s="129">
        <v>3900</v>
      </c>
      <c r="F147" s="253"/>
      <c r="G147" s="129" t="s">
        <v>619</v>
      </c>
      <c r="H147" s="129">
        <v>78</v>
      </c>
      <c r="I147" s="129"/>
      <c r="J147" s="225">
        <v>50</v>
      </c>
      <c r="K147" s="129" t="s">
        <v>19</v>
      </c>
      <c r="L147" s="36"/>
      <c r="M147" s="273"/>
    </row>
    <row r="148" spans="1:17" x14ac:dyDescent="0.25">
      <c r="A148" s="272">
        <v>45900</v>
      </c>
      <c r="B148" s="36"/>
      <c r="C148" s="69" t="s">
        <v>147</v>
      </c>
      <c r="D148" s="37"/>
      <c r="E148" s="129">
        <v>1500</v>
      </c>
      <c r="F148" s="253"/>
      <c r="G148" s="129" t="s">
        <v>712</v>
      </c>
      <c r="H148" s="129">
        <v>107.15</v>
      </c>
      <c r="I148" s="129"/>
      <c r="J148" s="225">
        <v>14</v>
      </c>
      <c r="K148" s="129" t="s">
        <v>362</v>
      </c>
      <c r="L148" s="36"/>
      <c r="M148" s="273"/>
    </row>
    <row r="149" spans="1:17" x14ac:dyDescent="0.25">
      <c r="A149" s="272">
        <v>45900</v>
      </c>
      <c r="B149" s="36" t="s">
        <v>702</v>
      </c>
      <c r="C149" s="69" t="s">
        <v>32</v>
      </c>
      <c r="D149" s="37">
        <v>420</v>
      </c>
      <c r="E149" s="122"/>
      <c r="F149" s="256" t="s">
        <v>606</v>
      </c>
      <c r="G149" s="122"/>
      <c r="H149" s="122"/>
      <c r="I149" s="122"/>
      <c r="J149" s="227"/>
      <c r="K149" s="122"/>
      <c r="L149" s="36"/>
      <c r="M149" s="273"/>
    </row>
    <row r="150" spans="1:17" x14ac:dyDescent="0.25">
      <c r="A150" s="272">
        <v>45900</v>
      </c>
      <c r="B150" s="36" t="s">
        <v>703</v>
      </c>
      <c r="C150" s="36" t="s">
        <v>32</v>
      </c>
      <c r="D150" s="37">
        <v>300</v>
      </c>
      <c r="E150" s="122"/>
      <c r="F150" s="256" t="s">
        <v>141</v>
      </c>
      <c r="G150" s="122"/>
      <c r="H150" s="122"/>
      <c r="I150" s="122"/>
      <c r="J150" s="227"/>
      <c r="K150" s="122"/>
      <c r="L150" s="36"/>
      <c r="M150" s="273"/>
    </row>
    <row r="151" spans="1:17" x14ac:dyDescent="0.25">
      <c r="A151" s="272">
        <v>45900</v>
      </c>
      <c r="B151" s="36" t="s">
        <v>704</v>
      </c>
      <c r="C151" s="69" t="s">
        <v>32</v>
      </c>
      <c r="D151" s="37">
        <v>90</v>
      </c>
      <c r="E151" s="122"/>
      <c r="F151" s="256" t="s">
        <v>521</v>
      </c>
      <c r="G151" s="122"/>
      <c r="H151" s="122"/>
      <c r="I151" s="122"/>
      <c r="J151" s="227"/>
      <c r="K151" s="122"/>
      <c r="L151" s="36"/>
      <c r="M151" s="273"/>
    </row>
    <row r="152" spans="1:17" x14ac:dyDescent="0.25">
      <c r="A152" s="272">
        <v>45900</v>
      </c>
      <c r="B152" s="36" t="s">
        <v>713</v>
      </c>
      <c r="C152" s="69" t="s">
        <v>32</v>
      </c>
      <c r="D152" s="37">
        <v>1320</v>
      </c>
      <c r="E152" s="122"/>
      <c r="F152" s="256" t="s">
        <v>521</v>
      </c>
      <c r="G152" s="122"/>
      <c r="H152" s="122"/>
      <c r="I152" s="122"/>
      <c r="J152" s="227"/>
      <c r="K152" s="122"/>
      <c r="L152" s="36"/>
      <c r="M152" s="273"/>
    </row>
    <row r="153" spans="1:17" x14ac:dyDescent="0.25">
      <c r="A153" s="272">
        <v>45900</v>
      </c>
      <c r="B153" s="36"/>
      <c r="C153" s="69" t="s">
        <v>207</v>
      </c>
      <c r="D153" s="37"/>
      <c r="E153" s="122">
        <v>500</v>
      </c>
      <c r="F153" s="256"/>
      <c r="G153" s="122"/>
      <c r="H153" s="122"/>
      <c r="I153" s="122"/>
      <c r="J153" s="227"/>
      <c r="K153" s="122"/>
      <c r="L153" s="36"/>
      <c r="M153" s="273"/>
    </row>
    <row r="154" spans="1:17" x14ac:dyDescent="0.25">
      <c r="A154" s="272">
        <v>45900</v>
      </c>
      <c r="B154" s="36"/>
      <c r="C154" s="69" t="s">
        <v>33</v>
      </c>
      <c r="D154" s="37"/>
      <c r="E154" s="122">
        <v>50</v>
      </c>
      <c r="F154" s="256"/>
      <c r="G154" s="122"/>
      <c r="H154" s="122"/>
      <c r="I154" s="122"/>
      <c r="J154" s="227"/>
      <c r="K154" s="122"/>
      <c r="L154" s="36"/>
      <c r="M154" s="273"/>
    </row>
    <row r="155" spans="1:17" x14ac:dyDescent="0.25">
      <c r="A155" s="272">
        <v>45900</v>
      </c>
      <c r="B155" s="36"/>
      <c r="C155" s="69" t="s">
        <v>161</v>
      </c>
      <c r="D155" s="37"/>
      <c r="E155" s="122">
        <v>100</v>
      </c>
      <c r="F155" s="256"/>
      <c r="G155" s="122"/>
      <c r="H155" s="122"/>
      <c r="I155" s="122"/>
      <c r="J155" s="227"/>
      <c r="K155" s="122"/>
      <c r="L155" s="36"/>
      <c r="M155" s="273" t="s">
        <v>714</v>
      </c>
    </row>
    <row r="156" spans="1:17" x14ac:dyDescent="0.25">
      <c r="A156" s="272">
        <v>45900</v>
      </c>
      <c r="B156" s="36"/>
      <c r="C156" s="69" t="s">
        <v>161</v>
      </c>
      <c r="D156" s="37"/>
      <c r="E156" s="122">
        <v>4500</v>
      </c>
      <c r="F156" s="256"/>
      <c r="G156" s="122"/>
      <c r="H156" s="122"/>
      <c r="I156" s="122"/>
      <c r="J156" s="227"/>
      <c r="K156" s="122"/>
      <c r="L156" s="36"/>
      <c r="M156" s="273" t="s">
        <v>715</v>
      </c>
    </row>
    <row r="157" spans="1:17" x14ac:dyDescent="0.25">
      <c r="A157" s="280">
        <v>45900</v>
      </c>
      <c r="B157" s="218"/>
      <c r="C157" s="281" t="s">
        <v>161</v>
      </c>
      <c r="D157" s="282"/>
      <c r="E157" s="283">
        <v>6500</v>
      </c>
      <c r="F157" s="284"/>
      <c r="G157" s="283"/>
      <c r="H157" s="283"/>
      <c r="I157" s="283"/>
      <c r="J157" s="285"/>
      <c r="K157" s="283"/>
      <c r="L157" s="218"/>
      <c r="M157" s="286" t="s">
        <v>714</v>
      </c>
    </row>
    <row r="158" spans="1:17" ht="15.75" customHeight="1" x14ac:dyDescent="0.25">
      <c r="A158" s="36"/>
      <c r="B158" s="36"/>
      <c r="C158" s="7" t="s">
        <v>126</v>
      </c>
      <c r="D158" s="9">
        <f>SUM(D3:D157)</f>
        <v>173370</v>
      </c>
      <c r="E158" s="36" t="s">
        <v>706</v>
      </c>
      <c r="F158" s="250" t="s">
        <v>706</v>
      </c>
      <c r="G158" s="36" t="s">
        <v>706</v>
      </c>
      <c r="H158" s="36" t="s">
        <v>706</v>
      </c>
      <c r="I158" s="36" t="s">
        <v>706</v>
      </c>
      <c r="J158" s="223" t="s">
        <v>706</v>
      </c>
      <c r="K158" s="36" t="s">
        <v>706</v>
      </c>
      <c r="L158" s="36" t="s">
        <v>706</v>
      </c>
      <c r="M158" s="36" t="s">
        <v>706</v>
      </c>
    </row>
    <row r="159" spans="1:17" ht="15.75" customHeight="1" x14ac:dyDescent="0.25">
      <c r="A159" s="36"/>
      <c r="B159" s="36"/>
      <c r="C159" s="39" t="s">
        <v>21</v>
      </c>
      <c r="D159" s="40">
        <f>SUM(D158,D2)</f>
        <v>234018</v>
      </c>
      <c r="E159" s="40">
        <f>SUM(E2:E158)</f>
        <v>170293</v>
      </c>
      <c r="F159" s="257"/>
      <c r="G159" s="40"/>
      <c r="H159" s="40"/>
      <c r="I159" s="40"/>
      <c r="J159" s="228"/>
      <c r="K159" s="40"/>
      <c r="L159" s="36"/>
      <c r="M159" s="36"/>
    </row>
    <row r="160" spans="1:17" ht="15.75" customHeight="1" x14ac:dyDescent="0.25">
      <c r="A160" s="10"/>
      <c r="B160" s="10"/>
      <c r="C160" s="10"/>
      <c r="D160" s="10"/>
      <c r="E160" s="10"/>
      <c r="F160" s="258"/>
      <c r="G160" s="10"/>
      <c r="H160" s="10"/>
      <c r="I160" s="10"/>
      <c r="J160" s="229"/>
      <c r="K160" s="10"/>
      <c r="L160" s="10"/>
      <c r="M160" s="10"/>
    </row>
    <row r="161" spans="1:13" ht="15.75" customHeight="1" x14ac:dyDescent="0.25">
      <c r="A161" s="10"/>
      <c r="B161" s="10"/>
      <c r="C161" s="29" t="s">
        <v>127</v>
      </c>
      <c r="D161" s="41">
        <f>D158-E159</f>
        <v>3077</v>
      </c>
      <c r="E161" s="10"/>
      <c r="F161" s="258"/>
      <c r="G161" s="10"/>
      <c r="H161" s="10"/>
      <c r="I161" s="10"/>
      <c r="J161" s="229"/>
      <c r="K161" s="10"/>
      <c r="L161" s="10"/>
      <c r="M161" s="10"/>
    </row>
    <row r="162" spans="1:13" ht="15.75" customHeight="1" x14ac:dyDescent="0.25">
      <c r="A162" s="10"/>
      <c r="B162" s="10"/>
      <c r="C162" s="29" t="s">
        <v>60</v>
      </c>
      <c r="D162" s="30">
        <f>D159-E159</f>
        <v>63725</v>
      </c>
      <c r="E162" s="10"/>
      <c r="F162" s="258"/>
      <c r="G162" s="10"/>
      <c r="H162" s="10"/>
      <c r="I162" s="10"/>
      <c r="J162" s="229"/>
      <c r="K162" s="10"/>
      <c r="L162" s="10"/>
      <c r="M162" s="10"/>
    </row>
    <row r="163" spans="1:13" ht="15.75" customHeight="1" x14ac:dyDescent="0.25"/>
    <row r="164" spans="1:13" ht="15.75" customHeight="1" x14ac:dyDescent="0.25">
      <c r="C164" s="119" t="s">
        <v>196</v>
      </c>
      <c r="D164" s="120">
        <f>D162-'Feb 2025 - Sales'!C2</f>
        <v>20797</v>
      </c>
    </row>
    <row r="165" spans="1:13" ht="15.75" customHeight="1" x14ac:dyDescent="0.25"/>
    <row r="166" spans="1:13" ht="15.75" customHeight="1" x14ac:dyDescent="0.25"/>
    <row r="167" spans="1:13" ht="15.75" customHeight="1" x14ac:dyDescent="0.25"/>
    <row r="168" spans="1:13" ht="15.75" customHeight="1" x14ac:dyDescent="0.25"/>
    <row r="169" spans="1:13" ht="15.75" customHeight="1" x14ac:dyDescent="0.25"/>
    <row r="170" spans="1:13" ht="15.75" customHeight="1" x14ac:dyDescent="0.25"/>
    <row r="171" spans="1:13" ht="15.75" customHeight="1" x14ac:dyDescent="0.25"/>
    <row r="172" spans="1:13" ht="15.75" customHeight="1" x14ac:dyDescent="0.25"/>
    <row r="173" spans="1:13" ht="15.75" customHeight="1" x14ac:dyDescent="0.25"/>
    <row r="174" spans="1:13" ht="15.75" customHeight="1" x14ac:dyDescent="0.25"/>
    <row r="175" spans="1:13" ht="15.75" customHeight="1" x14ac:dyDescent="0.25"/>
    <row r="176" spans="1:13"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row r="1015" ht="15.75" customHeight="1" x14ac:dyDescent="0.25"/>
    <row r="1016" ht="15.75" customHeight="1" x14ac:dyDescent="0.25"/>
    <row r="1017" ht="15.75" customHeight="1" x14ac:dyDescent="0.25"/>
    <row r="1018" ht="15.75" customHeight="1" x14ac:dyDescent="0.25"/>
    <row r="1019" ht="15.75" customHeight="1" x14ac:dyDescent="0.25"/>
    <row r="1020" ht="15.75" customHeight="1" x14ac:dyDescent="0.25"/>
    <row r="1021" ht="15.75" customHeight="1" x14ac:dyDescent="0.25"/>
    <row r="1022" ht="15.75" customHeight="1" x14ac:dyDescent="0.25"/>
    <row r="1023" ht="15.75" customHeight="1" x14ac:dyDescent="0.25"/>
    <row r="1024" ht="15.75" customHeight="1" x14ac:dyDescent="0.25"/>
    <row r="1025" ht="15.75" customHeight="1" x14ac:dyDescent="0.25"/>
    <row r="1026" ht="15.75" customHeight="1" x14ac:dyDescent="0.25"/>
    <row r="1027" ht="15.75" customHeight="1" x14ac:dyDescent="0.25"/>
    <row r="1028" ht="15.75" customHeight="1" x14ac:dyDescent="0.25"/>
    <row r="1029" ht="15.75" customHeight="1" x14ac:dyDescent="0.25"/>
    <row r="1030" ht="15.75" customHeight="1" x14ac:dyDescent="0.25"/>
    <row r="1031" ht="15.75" customHeight="1" x14ac:dyDescent="0.25"/>
    <row r="1032" ht="15.75" customHeight="1" x14ac:dyDescent="0.25"/>
    <row r="1033" ht="15.75" customHeight="1" x14ac:dyDescent="0.25"/>
    <row r="1034" ht="15.75" customHeight="1" x14ac:dyDescent="0.25"/>
    <row r="1035" ht="15.75" customHeight="1" x14ac:dyDescent="0.25"/>
    <row r="1036" ht="15.75" customHeight="1" x14ac:dyDescent="0.25"/>
    <row r="1037" ht="15.75" customHeight="1" x14ac:dyDescent="0.25"/>
    <row r="1038" ht="15.75" customHeight="1" x14ac:dyDescent="0.25"/>
    <row r="1039" ht="15.75" customHeight="1" x14ac:dyDescent="0.25"/>
    <row r="1040" ht="15.75" customHeight="1" x14ac:dyDescent="0.25"/>
    <row r="1041" ht="15.75" customHeight="1" x14ac:dyDescent="0.25"/>
    <row r="1042" ht="15.75" customHeight="1" x14ac:dyDescent="0.25"/>
    <row r="1043" ht="15.75" customHeight="1" x14ac:dyDescent="0.25"/>
    <row r="1044" ht="15.75" customHeight="1" x14ac:dyDescent="0.25"/>
    <row r="1045" ht="15.75" customHeight="1" x14ac:dyDescent="0.25"/>
    <row r="1046" ht="15.75" customHeight="1" x14ac:dyDescent="0.25"/>
    <row r="1047" ht="15.75" customHeight="1" x14ac:dyDescent="0.25"/>
    <row r="1048" ht="15.75" customHeight="1" x14ac:dyDescent="0.25"/>
    <row r="1049" ht="15.75" customHeight="1" x14ac:dyDescent="0.25"/>
    <row r="1050" ht="15.75" customHeight="1" x14ac:dyDescent="0.25"/>
    <row r="1051" ht="15.75" customHeight="1" x14ac:dyDescent="0.25"/>
    <row r="1052" ht="15.75" customHeight="1" x14ac:dyDescent="0.25"/>
    <row r="1053" ht="15.75" customHeight="1" x14ac:dyDescent="0.25"/>
    <row r="1054" ht="15.75" customHeight="1" x14ac:dyDescent="0.25"/>
    <row r="1055" ht="15.75" customHeight="1" x14ac:dyDescent="0.25"/>
    <row r="1056" ht="15.75" customHeight="1" x14ac:dyDescent="0.25"/>
    <row r="1057" ht="15.75" customHeight="1" x14ac:dyDescent="0.25"/>
    <row r="1058" ht="15.75" customHeight="1" x14ac:dyDescent="0.25"/>
    <row r="1059" ht="15.75" customHeight="1" x14ac:dyDescent="0.25"/>
    <row r="1060" ht="15.75" customHeight="1" x14ac:dyDescent="0.25"/>
    <row r="1061" ht="15.75" customHeight="1" x14ac:dyDescent="0.25"/>
    <row r="1062" ht="15.75" customHeight="1" x14ac:dyDescent="0.25"/>
    <row r="1063" ht="15.75" customHeight="1" x14ac:dyDescent="0.25"/>
    <row r="1064" ht="15.75" customHeight="1" x14ac:dyDescent="0.25"/>
    <row r="1065" ht="15.75" customHeight="1" x14ac:dyDescent="0.25"/>
    <row r="1066" ht="15.75" customHeight="1" x14ac:dyDescent="0.25"/>
    <row r="1067" ht="15.75" customHeight="1" x14ac:dyDescent="0.25"/>
    <row r="1068" ht="15.75" customHeight="1" x14ac:dyDescent="0.25"/>
  </sheetData>
  <conditionalFormatting sqref="D164">
    <cfRule type="cellIs" dxfId="24901" priority="660" operator="lessThan">
      <formula>0</formula>
    </cfRule>
    <cfRule type="cellIs" dxfId="24900" priority="661" operator="greaterThan">
      <formula>0</formula>
    </cfRule>
  </conditionalFormatting>
  <conditionalFormatting sqref="B66 B72 B74:B85 A2:M2 B23:M23 C24:M25 E21:M22 B26:M26 B3:M20 C27:M62 B63:M63 C64:M83 B84:M157">
    <cfRule type="expression" dxfId="24899" priority="659">
      <formula>$C2="Advance"</formula>
    </cfRule>
  </conditionalFormatting>
  <conditionalFormatting sqref="B66 B72 B74:B85 C24:M25 B23:M23 E21:M22 B26:M26 B2:M20 B63:M63 C27:M62 C64:M83 B84:M157">
    <cfRule type="expression" dxfId="24898" priority="646">
      <formula>$C2="Delivery charge"</formula>
    </cfRule>
    <cfRule type="expression" dxfId="24897" priority="651">
      <formula>$C2="Staff Salary"</formula>
    </cfRule>
    <cfRule type="expression" dxfId="24896" priority="652">
      <formula>$C2="Rent"</formula>
    </cfRule>
    <cfRule type="expression" dxfId="24895" priority="653">
      <formula>$C2="Petrol"</formula>
    </cfRule>
    <cfRule type="expression" dxfId="24894" priority="654">
      <formula>$C2="Bills"</formula>
    </cfRule>
    <cfRule type="expression" dxfId="24893" priority="655">
      <formula>$C2="Sales"</formula>
    </cfRule>
    <cfRule type="expression" dxfId="24892" priority="656">
      <formula>$C2="Expences"</formula>
    </cfRule>
    <cfRule type="expression" dxfId="24891" priority="657">
      <formula>$C2="Garlic Purchase"</formula>
    </cfRule>
    <cfRule type="expression" dxfId="24890" priority="658">
      <formula>$C2="Ginger Purchase"</formula>
    </cfRule>
  </conditionalFormatting>
  <conditionalFormatting sqref="A3">
    <cfRule type="expression" dxfId="24889" priority="650">
      <formula>$C3="Advance"</formula>
    </cfRule>
  </conditionalFormatting>
  <conditionalFormatting sqref="A4:A11">
    <cfRule type="expression" dxfId="24888" priority="649">
      <formula>$C4="Advance"</formula>
    </cfRule>
  </conditionalFormatting>
  <conditionalFormatting sqref="A12:A16">
    <cfRule type="expression" dxfId="24887" priority="648">
      <formula>$C12="Advance"</formula>
    </cfRule>
  </conditionalFormatting>
  <conditionalFormatting sqref="A17">
    <cfRule type="expression" dxfId="24886" priority="647">
      <formula>$C17="Advance"</formula>
    </cfRule>
  </conditionalFormatting>
  <conditionalFormatting sqref="A18:A22">
    <cfRule type="expression" dxfId="24885" priority="645">
      <formula>$C18="Advance"</formula>
    </cfRule>
  </conditionalFormatting>
  <conditionalFormatting sqref="B24:B25 B27:B28">
    <cfRule type="expression" dxfId="24884" priority="751">
      <formula>$C21="Advance"</formula>
    </cfRule>
  </conditionalFormatting>
  <conditionalFormatting sqref="B24:B25 B27:B28">
    <cfRule type="expression" dxfId="24883" priority="761">
      <formula>$C21="Delivery charge"</formula>
    </cfRule>
    <cfRule type="expression" dxfId="24882" priority="762">
      <formula>$C21="Staff Salary"</formula>
    </cfRule>
    <cfRule type="expression" dxfId="24881" priority="763">
      <formula>$C21="Rent"</formula>
    </cfRule>
    <cfRule type="expression" dxfId="24880" priority="764">
      <formula>$C21="Petrol"</formula>
    </cfRule>
    <cfRule type="expression" dxfId="24879" priority="765">
      <formula>$C21="Bills"</formula>
    </cfRule>
    <cfRule type="expression" dxfId="24878" priority="766">
      <formula>$C21="Sales"</formula>
    </cfRule>
    <cfRule type="expression" dxfId="24877" priority="767">
      <formula>$C21="Expences"</formula>
    </cfRule>
    <cfRule type="expression" dxfId="24876" priority="768">
      <formula>$C21="Garlic Purchase"</formula>
    </cfRule>
    <cfRule type="expression" dxfId="24875" priority="769">
      <formula>$C21="Ginger Purchase"</formula>
    </cfRule>
  </conditionalFormatting>
  <conditionalFormatting sqref="B21:D22">
    <cfRule type="expression" dxfId="24874" priority="644">
      <formula>$C21="Advance"</formula>
    </cfRule>
  </conditionalFormatting>
  <conditionalFormatting sqref="B21:D22">
    <cfRule type="expression" dxfId="24873" priority="635">
      <formula>$C21="Delivery charge"</formula>
    </cfRule>
    <cfRule type="expression" dxfId="24872" priority="636">
      <formula>$C21="Staff Salary"</formula>
    </cfRule>
    <cfRule type="expression" dxfId="24871" priority="637">
      <formula>$C21="Rent"</formula>
    </cfRule>
    <cfRule type="expression" dxfId="24870" priority="638">
      <formula>$C21="Petrol"</formula>
    </cfRule>
    <cfRule type="expression" dxfId="24869" priority="639">
      <formula>$C21="Bills"</formula>
    </cfRule>
    <cfRule type="expression" dxfId="24868" priority="640">
      <formula>$C21="Sales"</formula>
    </cfRule>
    <cfRule type="expression" dxfId="24867" priority="641">
      <formula>$C21="Expences"</formula>
    </cfRule>
    <cfRule type="expression" dxfId="24866" priority="642">
      <formula>$C21="Garlic Purchase"</formula>
    </cfRule>
    <cfRule type="expression" dxfId="24865" priority="643">
      <formula>$C21="Ginger Purchase"</formula>
    </cfRule>
  </conditionalFormatting>
  <conditionalFormatting sqref="A23:A25">
    <cfRule type="expression" dxfId="24864" priority="624">
      <formula>$C23="Advance"</formula>
    </cfRule>
  </conditionalFormatting>
  <conditionalFormatting sqref="A26:A27">
    <cfRule type="expression" dxfId="24863" priority="623">
      <formula>$C26="Advance"</formula>
    </cfRule>
  </conditionalFormatting>
  <conditionalFormatting sqref="A28:A31">
    <cfRule type="expression" dxfId="24862" priority="622">
      <formula>$C28="Advance"</formula>
    </cfRule>
  </conditionalFormatting>
  <conditionalFormatting sqref="A32">
    <cfRule type="expression" dxfId="24861" priority="621">
      <formula>$C32="Advance"</formula>
    </cfRule>
  </conditionalFormatting>
  <conditionalFormatting sqref="A38:A45">
    <cfRule type="expression" dxfId="24860" priority="609">
      <formula>$C38="Advance"</formula>
    </cfRule>
  </conditionalFormatting>
  <conditionalFormatting sqref="B31:B85">
    <cfRule type="expression" dxfId="24859" priority="611">
      <formula>$C31="Delivery charge"</formula>
    </cfRule>
    <cfRule type="expression" dxfId="24858" priority="612">
      <formula>$C31="Staff Salary"</formula>
    </cfRule>
    <cfRule type="expression" dxfId="24857" priority="613">
      <formula>$C31="Rent"</formula>
    </cfRule>
    <cfRule type="expression" dxfId="24856" priority="614">
      <formula>$C31="Petrol"</formula>
    </cfRule>
    <cfRule type="expression" dxfId="24855" priority="615">
      <formula>$C31="Bills"</formula>
    </cfRule>
    <cfRule type="expression" dxfId="24854" priority="616">
      <formula>$C31="Sales"</formula>
    </cfRule>
    <cfRule type="expression" dxfId="24853" priority="617">
      <formula>$C31="Expences"</formula>
    </cfRule>
    <cfRule type="expression" dxfId="24852" priority="618">
      <formula>$C31="Garlic Purchase"</formula>
    </cfRule>
    <cfRule type="expression" dxfId="24851" priority="619">
      <formula>$C31="Ginger Purchase"</formula>
    </cfRule>
  </conditionalFormatting>
  <conditionalFormatting sqref="B31:B85">
    <cfRule type="expression" dxfId="24850" priority="620">
      <formula>$C31="Advance"</formula>
    </cfRule>
  </conditionalFormatting>
  <conditionalFormatting sqref="A37">
    <cfRule type="expression" dxfId="24849" priority="610">
      <formula>$C37="Advance"</formula>
    </cfRule>
  </conditionalFormatting>
  <conditionalFormatting sqref="A46">
    <cfRule type="expression" dxfId="24848" priority="608">
      <formula>$C46="Advance"</formula>
    </cfRule>
  </conditionalFormatting>
  <conditionalFormatting sqref="A59:A60">
    <cfRule type="expression" dxfId="24847" priority="603">
      <formula>$C59="Advance"</formula>
    </cfRule>
  </conditionalFormatting>
  <conditionalFormatting sqref="A33">
    <cfRule type="expression" dxfId="24846" priority="607">
      <formula>$C33="Advance"</formula>
    </cfRule>
  </conditionalFormatting>
  <conditionalFormatting sqref="A61:A63">
    <cfRule type="expression" dxfId="24845" priority="602">
      <formula>$C61="Advance"</formula>
    </cfRule>
  </conditionalFormatting>
  <conditionalFormatting sqref="A34:A36">
    <cfRule type="expression" dxfId="24844" priority="605">
      <formula>$C34="Advance"</formula>
    </cfRule>
  </conditionalFormatting>
  <conditionalFormatting sqref="A47:A58">
    <cfRule type="expression" dxfId="24843" priority="604">
      <formula>$C47="Advance"</formula>
    </cfRule>
  </conditionalFormatting>
  <conditionalFormatting sqref="A64">
    <cfRule type="expression" dxfId="24842" priority="601">
      <formula>$C64="Advance"</formula>
    </cfRule>
  </conditionalFormatting>
  <conditionalFormatting sqref="B67:B70">
    <cfRule type="expression" dxfId="24841" priority="600">
      <formula>$C67="Advance"</formula>
    </cfRule>
  </conditionalFormatting>
  <conditionalFormatting sqref="B67:B70">
    <cfRule type="expression" dxfId="24840" priority="591">
      <formula>$C67="Delivery charge"</formula>
    </cfRule>
    <cfRule type="expression" dxfId="24839" priority="592">
      <formula>$C67="Staff Salary"</formula>
    </cfRule>
    <cfRule type="expression" dxfId="24838" priority="593">
      <formula>$C67="Rent"</formula>
    </cfRule>
    <cfRule type="expression" dxfId="24837" priority="594">
      <formula>$C67="Petrol"</formula>
    </cfRule>
    <cfRule type="expression" dxfId="24836" priority="595">
      <formula>$C67="Bills"</formula>
    </cfRule>
    <cfRule type="expression" dxfId="24835" priority="596">
      <formula>$C67="Sales"</formula>
    </cfRule>
    <cfRule type="expression" dxfId="24834" priority="597">
      <formula>$C67="Expences"</formula>
    </cfRule>
    <cfRule type="expression" dxfId="24833" priority="598">
      <formula>$C67="Garlic Purchase"</formula>
    </cfRule>
    <cfRule type="expression" dxfId="24832" priority="599">
      <formula>$C67="Ginger Purchase"</formula>
    </cfRule>
  </conditionalFormatting>
  <conditionalFormatting sqref="A65">
    <cfRule type="expression" dxfId="24831" priority="590">
      <formula>$C65="Advance"</formula>
    </cfRule>
  </conditionalFormatting>
  <conditionalFormatting sqref="A66:A74">
    <cfRule type="expression" dxfId="24830" priority="589">
      <formula>$C66="Advance"</formula>
    </cfRule>
  </conditionalFormatting>
  <conditionalFormatting sqref="A75:A80">
    <cfRule type="expression" dxfId="24829" priority="588">
      <formula>$C75="Advance"</formula>
    </cfRule>
  </conditionalFormatting>
  <conditionalFormatting sqref="A81:A82">
    <cfRule type="expression" dxfId="24828" priority="587">
      <formula>$C81="Advance"</formula>
    </cfRule>
  </conditionalFormatting>
  <conditionalFormatting sqref="A85">
    <cfRule type="expression" dxfId="24827" priority="585">
      <formula>$C85="Advance"</formula>
    </cfRule>
  </conditionalFormatting>
  <conditionalFormatting sqref="A86">
    <cfRule type="expression" dxfId="24826" priority="584">
      <formula>$C86="Advance"</formula>
    </cfRule>
  </conditionalFormatting>
  <conditionalFormatting sqref="A84">
    <cfRule type="expression" dxfId="24825" priority="583">
      <formula>$C84="Advance"</formula>
    </cfRule>
  </conditionalFormatting>
  <conditionalFormatting sqref="A83">
    <cfRule type="expression" dxfId="24824" priority="582">
      <formula>$C83="Advance"</formula>
    </cfRule>
  </conditionalFormatting>
  <conditionalFormatting sqref="A87">
    <cfRule type="expression" dxfId="24823" priority="581">
      <formula>$C87="Advance"</formula>
    </cfRule>
  </conditionalFormatting>
  <conditionalFormatting sqref="A88">
    <cfRule type="expression" dxfId="24822" priority="580">
      <formula>$C88="Advance"</formula>
    </cfRule>
  </conditionalFormatting>
  <conditionalFormatting sqref="B88:B97">
    <cfRule type="expression" dxfId="24821" priority="570">
      <formula>$C88="Delivery charge"</formula>
    </cfRule>
    <cfRule type="expression" dxfId="24820" priority="571">
      <formula>$C88="Staff Salary"</formula>
    </cfRule>
    <cfRule type="expression" dxfId="24819" priority="572">
      <formula>$C88="Rent"</formula>
    </cfRule>
    <cfRule type="expression" dxfId="24818" priority="573">
      <formula>$C88="Petrol"</formula>
    </cfRule>
    <cfRule type="expression" dxfId="24817" priority="574">
      <formula>$C88="Bills"</formula>
    </cfRule>
    <cfRule type="expression" dxfId="24816" priority="575">
      <formula>$C88="Sales"</formula>
    </cfRule>
    <cfRule type="expression" dxfId="24815" priority="576">
      <formula>$C88="Expences"</formula>
    </cfRule>
    <cfRule type="expression" dxfId="24814" priority="577">
      <formula>$C88="Garlic Purchase"</formula>
    </cfRule>
    <cfRule type="expression" dxfId="24813" priority="578">
      <formula>$C88="Ginger Purchase"</formula>
    </cfRule>
  </conditionalFormatting>
  <conditionalFormatting sqref="B88:B97">
    <cfRule type="expression" dxfId="24812" priority="579">
      <formula>$C88="Advance"</formula>
    </cfRule>
  </conditionalFormatting>
  <conditionalFormatting sqref="A89:A90">
    <cfRule type="expression" dxfId="24811" priority="569">
      <formula>$C89="Advance"</formula>
    </cfRule>
  </conditionalFormatting>
  <conditionalFormatting sqref="A91:A96">
    <cfRule type="expression" dxfId="24810" priority="568">
      <formula>$C91="Advance"</formula>
    </cfRule>
  </conditionalFormatting>
  <conditionalFormatting sqref="A97">
    <cfRule type="expression" dxfId="24809" priority="567">
      <formula>$C97="Advance"</formula>
    </cfRule>
  </conditionalFormatting>
  <conditionalFormatting sqref="A98">
    <cfRule type="expression" dxfId="24808" priority="566">
      <formula>$C98="Advance"</formula>
    </cfRule>
  </conditionalFormatting>
  <conditionalFormatting sqref="A99:A104">
    <cfRule type="expression" dxfId="24807" priority="565">
      <formula>$C99="Advance"</formula>
    </cfRule>
  </conditionalFormatting>
  <conditionalFormatting sqref="B101 B105 B107 B109 B111 B113 B115 B117 B119 B121 B123 B125 B127 B129 B131 B133 B135 B137">
    <cfRule type="expression" dxfId="24806" priority="555">
      <formula>$C101="Delivery charge"</formula>
    </cfRule>
    <cfRule type="expression" dxfId="24805" priority="556">
      <formula>$C101="Staff Salary"</formula>
    </cfRule>
    <cfRule type="expression" dxfId="24804" priority="557">
      <formula>$C101="Rent"</formula>
    </cfRule>
    <cfRule type="expression" dxfId="24803" priority="558">
      <formula>$C101="Petrol"</formula>
    </cfRule>
    <cfRule type="expression" dxfId="24802" priority="559">
      <formula>$C101="Bills"</formula>
    </cfRule>
    <cfRule type="expression" dxfId="24801" priority="560">
      <formula>$C101="Sales"</formula>
    </cfRule>
    <cfRule type="expression" dxfId="24800" priority="561">
      <formula>$C101="Expences"</formula>
    </cfRule>
    <cfRule type="expression" dxfId="24799" priority="562">
      <formula>$C101="Garlic Purchase"</formula>
    </cfRule>
    <cfRule type="expression" dxfId="24798" priority="563">
      <formula>$C101="Ginger Purchase"</formula>
    </cfRule>
  </conditionalFormatting>
  <conditionalFormatting sqref="B101 B105 B107 B109 B111 B113 B115 B117 B119 B121 B123 B125 B127 B129 B131 B133 B135 B137">
    <cfRule type="expression" dxfId="24797" priority="564">
      <formula>$C101="Advance"</formula>
    </cfRule>
  </conditionalFormatting>
  <conditionalFormatting sqref="B102:B104 B106 B108 B110 B112 B114 B116 B118 B120 B122 B124 B126 B128 B130 B132 B134 B136">
    <cfRule type="expression" dxfId="24796" priority="545">
      <formula>$C102="Delivery charge"</formula>
    </cfRule>
    <cfRule type="expression" dxfId="24795" priority="546">
      <formula>$C102="Staff Salary"</formula>
    </cfRule>
    <cfRule type="expression" dxfId="24794" priority="547">
      <formula>$C102="Rent"</formula>
    </cfRule>
    <cfRule type="expression" dxfId="24793" priority="548">
      <formula>$C102="Petrol"</formula>
    </cfRule>
    <cfRule type="expression" dxfId="24792" priority="549">
      <formula>$C102="Bills"</formula>
    </cfRule>
    <cfRule type="expression" dxfId="24791" priority="550">
      <formula>$C102="Sales"</formula>
    </cfRule>
    <cfRule type="expression" dxfId="24790" priority="551">
      <formula>$C102="Expences"</formula>
    </cfRule>
    <cfRule type="expression" dxfId="24789" priority="552">
      <formula>$C102="Garlic Purchase"</formula>
    </cfRule>
    <cfRule type="expression" dxfId="24788" priority="553">
      <formula>$C102="Ginger Purchase"</formula>
    </cfRule>
  </conditionalFormatting>
  <conditionalFormatting sqref="B102:B104 B106 B108 B110 B112 B114 B116 B118 B120 B122 B124 B126 B128 B130 B132 B134 B136">
    <cfRule type="expression" dxfId="24787" priority="554">
      <formula>$C102="Advance"</formula>
    </cfRule>
  </conditionalFormatting>
  <conditionalFormatting sqref="A105:A108">
    <cfRule type="expression" dxfId="24786" priority="544">
      <formula>$C105="Advance"</formula>
    </cfRule>
  </conditionalFormatting>
  <conditionalFormatting sqref="A110:A111">
    <cfRule type="expression" dxfId="24785" priority="543">
      <formula>$C110="Advance"</formula>
    </cfRule>
  </conditionalFormatting>
  <conditionalFormatting sqref="A109">
    <cfRule type="expression" dxfId="24784" priority="542">
      <formula>$C109="Advance"</formula>
    </cfRule>
  </conditionalFormatting>
  <conditionalFormatting sqref="A112">
    <cfRule type="expression" dxfId="24783" priority="541">
      <formula>$C112="Advance"</formula>
    </cfRule>
  </conditionalFormatting>
  <conditionalFormatting sqref="A113">
    <cfRule type="expression" dxfId="24782" priority="540">
      <formula>$C113="Advance"</formula>
    </cfRule>
  </conditionalFormatting>
  <conditionalFormatting sqref="B114 B116 B118 B120 B122 B124 B126 B128 B130 B132 B134 B136 B138 B140 B142 B144">
    <cfRule type="expression" dxfId="24781" priority="530">
      <formula>$C114="Delivery charge"</formula>
    </cfRule>
    <cfRule type="expression" dxfId="24780" priority="531">
      <formula>$C114="Staff Salary"</formula>
    </cfRule>
    <cfRule type="expression" dxfId="24779" priority="532">
      <formula>$C114="Rent"</formula>
    </cfRule>
    <cfRule type="expression" dxfId="24778" priority="533">
      <formula>$C114="Petrol"</formula>
    </cfRule>
    <cfRule type="expression" dxfId="24777" priority="534">
      <formula>$C114="Bills"</formula>
    </cfRule>
    <cfRule type="expression" dxfId="24776" priority="535">
      <formula>$C114="Sales"</formula>
    </cfRule>
    <cfRule type="expression" dxfId="24775" priority="536">
      <formula>$C114="Expences"</formula>
    </cfRule>
    <cfRule type="expression" dxfId="24774" priority="537">
      <formula>$C114="Garlic Purchase"</formula>
    </cfRule>
    <cfRule type="expression" dxfId="24773" priority="538">
      <formula>$C114="Ginger Purchase"</formula>
    </cfRule>
  </conditionalFormatting>
  <conditionalFormatting sqref="B114 B116 B118 B120 B122 B124 B126 B128 B130 B132 B134 B136 B138 B140 B142 B144">
    <cfRule type="expression" dxfId="24772" priority="539">
      <formula>$C114="Advance"</formula>
    </cfRule>
  </conditionalFormatting>
  <conditionalFormatting sqref="B115 B117 B119 B121 B123 B125 B127 B129 B131 B133 B135 B137 B139 B141 B143">
    <cfRule type="expression" dxfId="24771" priority="520">
      <formula>$C115="Delivery charge"</formula>
    </cfRule>
    <cfRule type="expression" dxfId="24770" priority="521">
      <formula>$C115="Staff Salary"</formula>
    </cfRule>
    <cfRule type="expression" dxfId="24769" priority="522">
      <formula>$C115="Rent"</formula>
    </cfRule>
    <cfRule type="expression" dxfId="24768" priority="523">
      <formula>$C115="Petrol"</formula>
    </cfRule>
    <cfRule type="expression" dxfId="24767" priority="524">
      <formula>$C115="Bills"</formula>
    </cfRule>
    <cfRule type="expression" dxfId="24766" priority="525">
      <formula>$C115="Sales"</formula>
    </cfRule>
    <cfRule type="expression" dxfId="24765" priority="526">
      <formula>$C115="Expences"</formula>
    </cfRule>
    <cfRule type="expression" dxfId="24764" priority="527">
      <formula>$C115="Garlic Purchase"</formula>
    </cfRule>
    <cfRule type="expression" dxfId="24763" priority="528">
      <formula>$C115="Ginger Purchase"</formula>
    </cfRule>
  </conditionalFormatting>
  <conditionalFormatting sqref="B115 B117 B119 B121 B123 B125 B127 B129 B131 B133 B135 B137 B139 B141 B143">
    <cfRule type="expression" dxfId="24762" priority="529">
      <formula>$C115="Advance"</formula>
    </cfRule>
  </conditionalFormatting>
  <conditionalFormatting sqref="B116 B118 B120 B122 B124 B126 B128 B130 B132 B134 B136 B138 B140">
    <cfRule type="expression" dxfId="24761" priority="510">
      <formula>$C116="Delivery charge"</formula>
    </cfRule>
    <cfRule type="expression" dxfId="24760" priority="511">
      <formula>$C116="Staff Salary"</formula>
    </cfRule>
    <cfRule type="expression" dxfId="24759" priority="512">
      <formula>$C116="Rent"</formula>
    </cfRule>
    <cfRule type="expression" dxfId="24758" priority="513">
      <formula>$C116="Petrol"</formula>
    </cfRule>
    <cfRule type="expression" dxfId="24757" priority="514">
      <formula>$C116="Bills"</formula>
    </cfRule>
    <cfRule type="expression" dxfId="24756" priority="515">
      <formula>$C116="Sales"</formula>
    </cfRule>
    <cfRule type="expression" dxfId="24755" priority="516">
      <formula>$C116="Expences"</formula>
    </cfRule>
    <cfRule type="expression" dxfId="24754" priority="517">
      <formula>$C116="Garlic Purchase"</formula>
    </cfRule>
    <cfRule type="expression" dxfId="24753" priority="518">
      <formula>$C116="Ginger Purchase"</formula>
    </cfRule>
  </conditionalFormatting>
  <conditionalFormatting sqref="B116 B118 B120 B122 B124 B126 B128 B130 B132 B134 B136 B138 B140">
    <cfRule type="expression" dxfId="24752" priority="519">
      <formula>$C116="Advance"</formula>
    </cfRule>
  </conditionalFormatting>
  <conditionalFormatting sqref="B115 B117 B119 B121 B123 B125 B127 B129 B131 B133 B135 B137">
    <cfRule type="expression" dxfId="24751" priority="500">
      <formula>$C115="Delivery charge"</formula>
    </cfRule>
    <cfRule type="expression" dxfId="24750" priority="501">
      <formula>$C115="Staff Salary"</formula>
    </cfRule>
    <cfRule type="expression" dxfId="24749" priority="502">
      <formula>$C115="Rent"</formula>
    </cfRule>
    <cfRule type="expression" dxfId="24748" priority="503">
      <formula>$C115="Petrol"</formula>
    </cfRule>
    <cfRule type="expression" dxfId="24747" priority="504">
      <formula>$C115="Bills"</formula>
    </cfRule>
    <cfRule type="expression" dxfId="24746" priority="505">
      <formula>$C115="Sales"</formula>
    </cfRule>
    <cfRule type="expression" dxfId="24745" priority="506">
      <formula>$C115="Expences"</formula>
    </cfRule>
    <cfRule type="expression" dxfId="24744" priority="507">
      <formula>$C115="Garlic Purchase"</formula>
    </cfRule>
    <cfRule type="expression" dxfId="24743" priority="508">
      <formula>$C115="Ginger Purchase"</formula>
    </cfRule>
  </conditionalFormatting>
  <conditionalFormatting sqref="B115 B117 B119 B121 B123 B125 B127 B129 B131 B133 B135 B137">
    <cfRule type="expression" dxfId="24742" priority="509">
      <formula>$C115="Advance"</formula>
    </cfRule>
  </conditionalFormatting>
  <conditionalFormatting sqref="B115 B117 B119 B121 B123 B125 B127 B129 B131 B133 B135 B137 B139 B141 B143 B145">
    <cfRule type="expression" dxfId="24741" priority="490">
      <formula>$C115="Delivery charge"</formula>
    </cfRule>
    <cfRule type="expression" dxfId="24740" priority="491">
      <formula>$C115="Staff Salary"</formula>
    </cfRule>
    <cfRule type="expression" dxfId="24739" priority="492">
      <formula>$C115="Rent"</formula>
    </cfRule>
    <cfRule type="expression" dxfId="24738" priority="493">
      <formula>$C115="Petrol"</formula>
    </cfRule>
    <cfRule type="expression" dxfId="24737" priority="494">
      <formula>$C115="Bills"</formula>
    </cfRule>
    <cfRule type="expression" dxfId="24736" priority="495">
      <formula>$C115="Sales"</formula>
    </cfRule>
    <cfRule type="expression" dxfId="24735" priority="496">
      <formula>$C115="Expences"</formula>
    </cfRule>
    <cfRule type="expression" dxfId="24734" priority="497">
      <formula>$C115="Garlic Purchase"</formula>
    </cfRule>
    <cfRule type="expression" dxfId="24733" priority="498">
      <formula>$C115="Ginger Purchase"</formula>
    </cfRule>
  </conditionalFormatting>
  <conditionalFormatting sqref="B115 B117 B119 B121 B123 B125 B127 B129 B131 B133 B135 B137 B139 B141 B143 B145">
    <cfRule type="expression" dxfId="24732" priority="499">
      <formula>$C115="Advance"</formula>
    </cfRule>
  </conditionalFormatting>
  <conditionalFormatting sqref="B116 B118 B120 B122 B124 B126 B128 B130 B132 B134 B136 B138 B140 B142 B144">
    <cfRule type="expression" dxfId="24731" priority="480">
      <formula>$C116="Delivery charge"</formula>
    </cfRule>
    <cfRule type="expression" dxfId="24730" priority="481">
      <formula>$C116="Staff Salary"</formula>
    </cfRule>
    <cfRule type="expression" dxfId="24729" priority="482">
      <formula>$C116="Rent"</formula>
    </cfRule>
    <cfRule type="expression" dxfId="24728" priority="483">
      <formula>$C116="Petrol"</formula>
    </cfRule>
    <cfRule type="expression" dxfId="24727" priority="484">
      <formula>$C116="Bills"</formula>
    </cfRule>
    <cfRule type="expression" dxfId="24726" priority="485">
      <formula>$C116="Sales"</formula>
    </cfRule>
    <cfRule type="expression" dxfId="24725" priority="486">
      <formula>$C116="Expences"</formula>
    </cfRule>
    <cfRule type="expression" dxfId="24724" priority="487">
      <formula>$C116="Garlic Purchase"</formula>
    </cfRule>
    <cfRule type="expression" dxfId="24723" priority="488">
      <formula>$C116="Ginger Purchase"</formula>
    </cfRule>
  </conditionalFormatting>
  <conditionalFormatting sqref="B116 B118 B120 B122 B124 B126 B128 B130 B132 B134 B136 B138 B140 B142 B144">
    <cfRule type="expression" dxfId="24722" priority="489">
      <formula>$C116="Advance"</formula>
    </cfRule>
  </conditionalFormatting>
  <conditionalFormatting sqref="A114:A120">
    <cfRule type="expression" dxfId="24721" priority="478">
      <formula>$C114="Advance"</formula>
    </cfRule>
  </conditionalFormatting>
  <conditionalFormatting sqref="B122 B124 B126 B128 B130 B132 B134 B136 B138 B140">
    <cfRule type="expression" dxfId="24720" priority="468">
      <formula>$C122="Delivery charge"</formula>
    </cfRule>
    <cfRule type="expression" dxfId="24719" priority="469">
      <formula>$C122="Staff Salary"</formula>
    </cfRule>
    <cfRule type="expression" dxfId="24718" priority="470">
      <formula>$C122="Rent"</formula>
    </cfRule>
    <cfRule type="expression" dxfId="24717" priority="471">
      <formula>$C122="Petrol"</formula>
    </cfRule>
    <cfRule type="expression" dxfId="24716" priority="472">
      <formula>$C122="Bills"</formula>
    </cfRule>
    <cfRule type="expression" dxfId="24715" priority="473">
      <formula>$C122="Sales"</formula>
    </cfRule>
    <cfRule type="expression" dxfId="24714" priority="474">
      <formula>$C122="Expences"</formula>
    </cfRule>
    <cfRule type="expression" dxfId="24713" priority="475">
      <formula>$C122="Garlic Purchase"</formula>
    </cfRule>
    <cfRule type="expression" dxfId="24712" priority="476">
      <formula>$C122="Ginger Purchase"</formula>
    </cfRule>
  </conditionalFormatting>
  <conditionalFormatting sqref="B122 B124 B126 B128 B130 B132 B134 B136 B138 B140">
    <cfRule type="expression" dxfId="24711" priority="477">
      <formula>$C122="Advance"</formula>
    </cfRule>
  </conditionalFormatting>
  <conditionalFormatting sqref="B123 B125 B127 B129 B131 B133 B135 B137">
    <cfRule type="expression" dxfId="24710" priority="458">
      <formula>$C123="Delivery charge"</formula>
    </cfRule>
    <cfRule type="expression" dxfId="24709" priority="459">
      <formula>$C123="Staff Salary"</formula>
    </cfRule>
    <cfRule type="expression" dxfId="24708" priority="460">
      <formula>$C123="Rent"</formula>
    </cfRule>
    <cfRule type="expression" dxfId="24707" priority="461">
      <formula>$C123="Petrol"</formula>
    </cfRule>
    <cfRule type="expression" dxfId="24706" priority="462">
      <formula>$C123="Bills"</formula>
    </cfRule>
    <cfRule type="expression" dxfId="24705" priority="463">
      <formula>$C123="Sales"</formula>
    </cfRule>
    <cfRule type="expression" dxfId="24704" priority="464">
      <formula>$C123="Expences"</formula>
    </cfRule>
    <cfRule type="expression" dxfId="24703" priority="465">
      <formula>$C123="Garlic Purchase"</formula>
    </cfRule>
    <cfRule type="expression" dxfId="24702" priority="466">
      <formula>$C123="Ginger Purchase"</formula>
    </cfRule>
  </conditionalFormatting>
  <conditionalFormatting sqref="B123 B125 B127 B129 B131 B133 B135 B137">
    <cfRule type="expression" dxfId="24701" priority="467">
      <formula>$C123="Advance"</formula>
    </cfRule>
  </conditionalFormatting>
  <conditionalFormatting sqref="B123 B125 B127 B129 B131 B133 B135 B137 B139 B141 B143 B145">
    <cfRule type="expression" dxfId="24700" priority="448">
      <formula>$C123="Delivery charge"</formula>
    </cfRule>
    <cfRule type="expression" dxfId="24699" priority="449">
      <formula>$C123="Staff Salary"</formula>
    </cfRule>
    <cfRule type="expression" dxfId="24698" priority="450">
      <formula>$C123="Rent"</formula>
    </cfRule>
    <cfRule type="expression" dxfId="24697" priority="451">
      <formula>$C123="Petrol"</formula>
    </cfRule>
    <cfRule type="expression" dxfId="24696" priority="452">
      <formula>$C123="Bills"</formula>
    </cfRule>
    <cfRule type="expression" dxfId="24695" priority="453">
      <formula>$C123="Sales"</formula>
    </cfRule>
    <cfRule type="expression" dxfId="24694" priority="454">
      <formula>$C123="Expences"</formula>
    </cfRule>
    <cfRule type="expression" dxfId="24693" priority="455">
      <formula>$C123="Garlic Purchase"</formula>
    </cfRule>
    <cfRule type="expression" dxfId="24692" priority="456">
      <formula>$C123="Ginger Purchase"</formula>
    </cfRule>
  </conditionalFormatting>
  <conditionalFormatting sqref="B123 B125 B127 B129 B131 B133 B135 B137 B139 B141 B143 B145">
    <cfRule type="expression" dxfId="24691" priority="457">
      <formula>$C123="Advance"</formula>
    </cfRule>
  </conditionalFormatting>
  <conditionalFormatting sqref="B122 B124 B126 B128 B130 B132 B134 B136 B138 B140 B142 B144">
    <cfRule type="expression" dxfId="24690" priority="438">
      <formula>$C122="Delivery charge"</formula>
    </cfRule>
    <cfRule type="expression" dxfId="24689" priority="439">
      <formula>$C122="Staff Salary"</formula>
    </cfRule>
    <cfRule type="expression" dxfId="24688" priority="440">
      <formula>$C122="Rent"</formula>
    </cfRule>
    <cfRule type="expression" dxfId="24687" priority="441">
      <formula>$C122="Petrol"</formula>
    </cfRule>
    <cfRule type="expression" dxfId="24686" priority="442">
      <formula>$C122="Bills"</formula>
    </cfRule>
    <cfRule type="expression" dxfId="24685" priority="443">
      <formula>$C122="Sales"</formula>
    </cfRule>
    <cfRule type="expression" dxfId="24684" priority="444">
      <formula>$C122="Expences"</formula>
    </cfRule>
    <cfRule type="expression" dxfId="24683" priority="445">
      <formula>$C122="Garlic Purchase"</formula>
    </cfRule>
    <cfRule type="expression" dxfId="24682" priority="446">
      <formula>$C122="Ginger Purchase"</formula>
    </cfRule>
  </conditionalFormatting>
  <conditionalFormatting sqref="B122 B124 B126 B128 B130 B132 B134 B136 B138 B140 B142 B144">
    <cfRule type="expression" dxfId="24681" priority="447">
      <formula>$C122="Advance"</formula>
    </cfRule>
  </conditionalFormatting>
  <conditionalFormatting sqref="B123 B125 B127 B129 B131 B133 B135 B137 B139 B141">
    <cfRule type="expression" dxfId="24680" priority="428">
      <formula>$C123="Delivery charge"</formula>
    </cfRule>
    <cfRule type="expression" dxfId="24679" priority="429">
      <formula>$C123="Staff Salary"</formula>
    </cfRule>
    <cfRule type="expression" dxfId="24678" priority="430">
      <formula>$C123="Rent"</formula>
    </cfRule>
    <cfRule type="expression" dxfId="24677" priority="431">
      <formula>$C123="Petrol"</formula>
    </cfRule>
    <cfRule type="expression" dxfId="24676" priority="432">
      <formula>$C123="Bills"</formula>
    </cfRule>
    <cfRule type="expression" dxfId="24675" priority="433">
      <formula>$C123="Sales"</formula>
    </cfRule>
    <cfRule type="expression" dxfId="24674" priority="434">
      <formula>$C123="Expences"</formula>
    </cfRule>
    <cfRule type="expression" dxfId="24673" priority="435">
      <formula>$C123="Garlic Purchase"</formula>
    </cfRule>
    <cfRule type="expression" dxfId="24672" priority="436">
      <formula>$C123="Ginger Purchase"</formula>
    </cfRule>
  </conditionalFormatting>
  <conditionalFormatting sqref="B123 B125 B127 B129 B131 B133 B135 B137 B139 B141">
    <cfRule type="expression" dxfId="24671" priority="437">
      <formula>$C123="Advance"</formula>
    </cfRule>
  </conditionalFormatting>
  <conditionalFormatting sqref="B122 B124 B126 B128 B130 B132 B134 B136 B138 B140">
    <cfRule type="expression" dxfId="24670" priority="418">
      <formula>$C122="Delivery charge"</formula>
    </cfRule>
    <cfRule type="expression" dxfId="24669" priority="419">
      <formula>$C122="Staff Salary"</formula>
    </cfRule>
    <cfRule type="expression" dxfId="24668" priority="420">
      <formula>$C122="Rent"</formula>
    </cfRule>
    <cfRule type="expression" dxfId="24667" priority="421">
      <formula>$C122="Petrol"</formula>
    </cfRule>
    <cfRule type="expression" dxfId="24666" priority="422">
      <formula>$C122="Bills"</formula>
    </cfRule>
    <cfRule type="expression" dxfId="24665" priority="423">
      <formula>$C122="Sales"</formula>
    </cfRule>
    <cfRule type="expression" dxfId="24664" priority="424">
      <formula>$C122="Expences"</formula>
    </cfRule>
    <cfRule type="expression" dxfId="24663" priority="425">
      <formula>$C122="Garlic Purchase"</formula>
    </cfRule>
    <cfRule type="expression" dxfId="24662" priority="426">
      <formula>$C122="Ginger Purchase"</formula>
    </cfRule>
  </conditionalFormatting>
  <conditionalFormatting sqref="B122 B124 B126 B128 B130 B132 B134 B136 B138 B140">
    <cfRule type="expression" dxfId="24661" priority="427">
      <formula>$C122="Advance"</formula>
    </cfRule>
  </conditionalFormatting>
  <conditionalFormatting sqref="B122 B124 B126 B128 B130 B132 B134 B136 B138 B140 B142 B144 B146">
    <cfRule type="expression" dxfId="24660" priority="408">
      <formula>$C122="Delivery charge"</formula>
    </cfRule>
    <cfRule type="expression" dxfId="24659" priority="409">
      <formula>$C122="Staff Salary"</formula>
    </cfRule>
    <cfRule type="expression" dxfId="24658" priority="410">
      <formula>$C122="Rent"</formula>
    </cfRule>
    <cfRule type="expression" dxfId="24657" priority="411">
      <formula>$C122="Petrol"</formula>
    </cfRule>
    <cfRule type="expression" dxfId="24656" priority="412">
      <formula>$C122="Bills"</formula>
    </cfRule>
    <cfRule type="expression" dxfId="24655" priority="413">
      <formula>$C122="Sales"</formula>
    </cfRule>
    <cfRule type="expression" dxfId="24654" priority="414">
      <formula>$C122="Expences"</formula>
    </cfRule>
    <cfRule type="expression" dxfId="24653" priority="415">
      <formula>$C122="Garlic Purchase"</formula>
    </cfRule>
    <cfRule type="expression" dxfId="24652" priority="416">
      <formula>$C122="Ginger Purchase"</formula>
    </cfRule>
  </conditionalFormatting>
  <conditionalFormatting sqref="B122 B124 B126 B128 B130 B132 B134 B136 B138 B140 B142 B144 B146">
    <cfRule type="expression" dxfId="24651" priority="417">
      <formula>$C122="Advance"</formula>
    </cfRule>
  </conditionalFormatting>
  <conditionalFormatting sqref="B123 B125 B127 B129 B131 B133 B135 B137 B139 B141 B143 B145">
    <cfRule type="expression" dxfId="24650" priority="398">
      <formula>$C123="Delivery charge"</formula>
    </cfRule>
    <cfRule type="expression" dxfId="24649" priority="399">
      <formula>$C123="Staff Salary"</formula>
    </cfRule>
    <cfRule type="expression" dxfId="24648" priority="400">
      <formula>$C123="Rent"</formula>
    </cfRule>
    <cfRule type="expression" dxfId="24647" priority="401">
      <formula>$C123="Petrol"</formula>
    </cfRule>
    <cfRule type="expression" dxfId="24646" priority="402">
      <formula>$C123="Bills"</formula>
    </cfRule>
    <cfRule type="expression" dxfId="24645" priority="403">
      <formula>$C123="Sales"</formula>
    </cfRule>
    <cfRule type="expression" dxfId="24644" priority="404">
      <formula>$C123="Expences"</formula>
    </cfRule>
    <cfRule type="expression" dxfId="24643" priority="405">
      <formula>$C123="Garlic Purchase"</formula>
    </cfRule>
    <cfRule type="expression" dxfId="24642" priority="406">
      <formula>$C123="Ginger Purchase"</formula>
    </cfRule>
  </conditionalFormatting>
  <conditionalFormatting sqref="B123 B125 B127 B129 B131 B133 B135 B137 B139 B141 B143 B145">
    <cfRule type="expression" dxfId="24641" priority="407">
      <formula>$C123="Advance"</formula>
    </cfRule>
  </conditionalFormatting>
  <conditionalFormatting sqref="A121:A128">
    <cfRule type="expression" dxfId="24640" priority="397">
      <formula>$C121="Advance"</formula>
    </cfRule>
  </conditionalFormatting>
  <conditionalFormatting sqref="A129:A132">
    <cfRule type="expression" dxfId="24639" priority="396">
      <formula>$C129="Advance"</formula>
    </cfRule>
  </conditionalFormatting>
  <conditionalFormatting sqref="A133:A138">
    <cfRule type="expression" dxfId="24638" priority="395">
      <formula>$C133="Advance"</formula>
    </cfRule>
  </conditionalFormatting>
  <conditionalFormatting sqref="B139">
    <cfRule type="expression" dxfId="24637" priority="385">
      <formula>$C139="Delivery charge"</formula>
    </cfRule>
    <cfRule type="expression" dxfId="24636" priority="386">
      <formula>$C139="Staff Salary"</formula>
    </cfRule>
    <cfRule type="expression" dxfId="24635" priority="387">
      <formula>$C139="Rent"</formula>
    </cfRule>
    <cfRule type="expression" dxfId="24634" priority="388">
      <formula>$C139="Petrol"</formula>
    </cfRule>
    <cfRule type="expression" dxfId="24633" priority="389">
      <formula>$C139="Bills"</formula>
    </cfRule>
    <cfRule type="expression" dxfId="24632" priority="390">
      <formula>$C139="Sales"</formula>
    </cfRule>
    <cfRule type="expression" dxfId="24631" priority="391">
      <formula>$C139="Expences"</formula>
    </cfRule>
    <cfRule type="expression" dxfId="24630" priority="392">
      <formula>$C139="Garlic Purchase"</formula>
    </cfRule>
    <cfRule type="expression" dxfId="24629" priority="393">
      <formula>$C139="Ginger Purchase"</formula>
    </cfRule>
  </conditionalFormatting>
  <conditionalFormatting sqref="B139">
    <cfRule type="expression" dxfId="24628" priority="394">
      <formula>$C139="Advance"</formula>
    </cfRule>
  </conditionalFormatting>
  <conditionalFormatting sqref="B138">
    <cfRule type="expression" dxfId="24627" priority="375">
      <formula>$C138="Delivery charge"</formula>
    </cfRule>
    <cfRule type="expression" dxfId="24626" priority="376">
      <formula>$C138="Staff Salary"</formula>
    </cfRule>
    <cfRule type="expression" dxfId="24625" priority="377">
      <formula>$C138="Rent"</formula>
    </cfRule>
    <cfRule type="expression" dxfId="24624" priority="378">
      <formula>$C138="Petrol"</formula>
    </cfRule>
    <cfRule type="expression" dxfId="24623" priority="379">
      <formula>$C138="Bills"</formula>
    </cfRule>
    <cfRule type="expression" dxfId="24622" priority="380">
      <formula>$C138="Sales"</formula>
    </cfRule>
    <cfRule type="expression" dxfId="24621" priority="381">
      <formula>$C138="Expences"</formula>
    </cfRule>
    <cfRule type="expression" dxfId="24620" priority="382">
      <formula>$C138="Garlic Purchase"</formula>
    </cfRule>
    <cfRule type="expression" dxfId="24619" priority="383">
      <formula>$C138="Ginger Purchase"</formula>
    </cfRule>
  </conditionalFormatting>
  <conditionalFormatting sqref="B138">
    <cfRule type="expression" dxfId="24618" priority="384">
      <formula>$C138="Advance"</formula>
    </cfRule>
  </conditionalFormatting>
  <conditionalFormatting sqref="B139">
    <cfRule type="expression" dxfId="24617" priority="365">
      <formula>$C139="Delivery charge"</formula>
    </cfRule>
    <cfRule type="expression" dxfId="24616" priority="366">
      <formula>$C139="Staff Salary"</formula>
    </cfRule>
    <cfRule type="expression" dxfId="24615" priority="367">
      <formula>$C139="Rent"</formula>
    </cfRule>
    <cfRule type="expression" dxfId="24614" priority="368">
      <formula>$C139="Petrol"</formula>
    </cfRule>
    <cfRule type="expression" dxfId="24613" priority="369">
      <formula>$C139="Bills"</formula>
    </cfRule>
    <cfRule type="expression" dxfId="24612" priority="370">
      <formula>$C139="Sales"</formula>
    </cfRule>
    <cfRule type="expression" dxfId="24611" priority="371">
      <formula>$C139="Expences"</formula>
    </cfRule>
    <cfRule type="expression" dxfId="24610" priority="372">
      <formula>$C139="Garlic Purchase"</formula>
    </cfRule>
    <cfRule type="expression" dxfId="24609" priority="373">
      <formula>$C139="Ginger Purchase"</formula>
    </cfRule>
  </conditionalFormatting>
  <conditionalFormatting sqref="B139">
    <cfRule type="expression" dxfId="24608" priority="374">
      <formula>$C139="Advance"</formula>
    </cfRule>
  </conditionalFormatting>
  <conditionalFormatting sqref="B139">
    <cfRule type="expression" dxfId="24607" priority="355">
      <formula>$C139="Delivery charge"</formula>
    </cfRule>
    <cfRule type="expression" dxfId="24606" priority="356">
      <formula>$C139="Staff Salary"</formula>
    </cfRule>
    <cfRule type="expression" dxfId="24605" priority="357">
      <formula>$C139="Rent"</formula>
    </cfRule>
    <cfRule type="expression" dxfId="24604" priority="358">
      <formula>$C139="Petrol"</formula>
    </cfRule>
    <cfRule type="expression" dxfId="24603" priority="359">
      <formula>$C139="Bills"</formula>
    </cfRule>
    <cfRule type="expression" dxfId="24602" priority="360">
      <formula>$C139="Sales"</formula>
    </cfRule>
    <cfRule type="expression" dxfId="24601" priority="361">
      <formula>$C139="Expences"</formula>
    </cfRule>
    <cfRule type="expression" dxfId="24600" priority="362">
      <formula>$C139="Garlic Purchase"</formula>
    </cfRule>
    <cfRule type="expression" dxfId="24599" priority="363">
      <formula>$C139="Ginger Purchase"</formula>
    </cfRule>
  </conditionalFormatting>
  <conditionalFormatting sqref="B139">
    <cfRule type="expression" dxfId="24598" priority="364">
      <formula>$C139="Advance"</formula>
    </cfRule>
  </conditionalFormatting>
  <conditionalFormatting sqref="B141 B143 B145">
    <cfRule type="expression" dxfId="24597" priority="345">
      <formula>$C141="Delivery charge"</formula>
    </cfRule>
    <cfRule type="expression" dxfId="24596" priority="346">
      <formula>$C141="Staff Salary"</formula>
    </cfRule>
    <cfRule type="expression" dxfId="24595" priority="347">
      <formula>$C141="Rent"</formula>
    </cfRule>
    <cfRule type="expression" dxfId="24594" priority="348">
      <formula>$C141="Petrol"</formula>
    </cfRule>
    <cfRule type="expression" dxfId="24593" priority="349">
      <formula>$C141="Bills"</formula>
    </cfRule>
    <cfRule type="expression" dxfId="24592" priority="350">
      <formula>$C141="Sales"</formula>
    </cfRule>
    <cfRule type="expression" dxfId="24591" priority="351">
      <formula>$C141="Expences"</formula>
    </cfRule>
    <cfRule type="expression" dxfId="24590" priority="352">
      <formula>$C141="Garlic Purchase"</formula>
    </cfRule>
    <cfRule type="expression" dxfId="24589" priority="353">
      <formula>$C141="Ginger Purchase"</formula>
    </cfRule>
  </conditionalFormatting>
  <conditionalFormatting sqref="B141 B143 B145">
    <cfRule type="expression" dxfId="24588" priority="354">
      <formula>$C141="Advance"</formula>
    </cfRule>
  </conditionalFormatting>
  <conditionalFormatting sqref="B140 B142 B144">
    <cfRule type="expression" dxfId="24587" priority="335">
      <formula>$C140="Delivery charge"</formula>
    </cfRule>
    <cfRule type="expression" dxfId="24586" priority="336">
      <formula>$C140="Staff Salary"</formula>
    </cfRule>
    <cfRule type="expression" dxfId="24585" priority="337">
      <formula>$C140="Rent"</formula>
    </cfRule>
    <cfRule type="expression" dxfId="24584" priority="338">
      <formula>$C140="Petrol"</formula>
    </cfRule>
    <cfRule type="expression" dxfId="24583" priority="339">
      <formula>$C140="Bills"</formula>
    </cfRule>
    <cfRule type="expression" dxfId="24582" priority="340">
      <formula>$C140="Sales"</formula>
    </cfRule>
    <cfRule type="expression" dxfId="24581" priority="341">
      <formula>$C140="Expences"</formula>
    </cfRule>
    <cfRule type="expression" dxfId="24580" priority="342">
      <formula>$C140="Garlic Purchase"</formula>
    </cfRule>
    <cfRule type="expression" dxfId="24579" priority="343">
      <formula>$C140="Ginger Purchase"</formula>
    </cfRule>
  </conditionalFormatting>
  <conditionalFormatting sqref="B140 B142 B144">
    <cfRule type="expression" dxfId="24578" priority="344">
      <formula>$C140="Advance"</formula>
    </cfRule>
  </conditionalFormatting>
  <conditionalFormatting sqref="B141">
    <cfRule type="expression" dxfId="24577" priority="325">
      <formula>$C141="Delivery charge"</formula>
    </cfRule>
    <cfRule type="expression" dxfId="24576" priority="326">
      <formula>$C141="Staff Salary"</formula>
    </cfRule>
    <cfRule type="expression" dxfId="24575" priority="327">
      <formula>$C141="Rent"</formula>
    </cfRule>
    <cfRule type="expression" dxfId="24574" priority="328">
      <formula>$C141="Petrol"</formula>
    </cfRule>
    <cfRule type="expression" dxfId="24573" priority="329">
      <formula>$C141="Bills"</formula>
    </cfRule>
    <cfRule type="expression" dxfId="24572" priority="330">
      <formula>$C141="Sales"</formula>
    </cfRule>
    <cfRule type="expression" dxfId="24571" priority="331">
      <formula>$C141="Expences"</formula>
    </cfRule>
    <cfRule type="expression" dxfId="24570" priority="332">
      <formula>$C141="Garlic Purchase"</formula>
    </cfRule>
    <cfRule type="expression" dxfId="24569" priority="333">
      <formula>$C141="Ginger Purchase"</formula>
    </cfRule>
  </conditionalFormatting>
  <conditionalFormatting sqref="B141">
    <cfRule type="expression" dxfId="24568" priority="334">
      <formula>$C141="Advance"</formula>
    </cfRule>
  </conditionalFormatting>
  <conditionalFormatting sqref="B140 B142 B144 B146">
    <cfRule type="expression" dxfId="24567" priority="315">
      <formula>$C140="Delivery charge"</formula>
    </cfRule>
    <cfRule type="expression" dxfId="24566" priority="316">
      <formula>$C140="Staff Salary"</formula>
    </cfRule>
    <cfRule type="expression" dxfId="24565" priority="317">
      <formula>$C140="Rent"</formula>
    </cfRule>
    <cfRule type="expression" dxfId="24564" priority="318">
      <formula>$C140="Petrol"</formula>
    </cfRule>
    <cfRule type="expression" dxfId="24563" priority="319">
      <formula>$C140="Bills"</formula>
    </cfRule>
    <cfRule type="expression" dxfId="24562" priority="320">
      <formula>$C140="Sales"</formula>
    </cfRule>
    <cfRule type="expression" dxfId="24561" priority="321">
      <formula>$C140="Expences"</formula>
    </cfRule>
    <cfRule type="expression" dxfId="24560" priority="322">
      <formula>$C140="Garlic Purchase"</formula>
    </cfRule>
    <cfRule type="expression" dxfId="24559" priority="323">
      <formula>$C140="Ginger Purchase"</formula>
    </cfRule>
  </conditionalFormatting>
  <conditionalFormatting sqref="B140 B142 B144 B146">
    <cfRule type="expression" dxfId="24558" priority="324">
      <formula>$C140="Advance"</formula>
    </cfRule>
  </conditionalFormatting>
  <conditionalFormatting sqref="B141 B143 B145">
    <cfRule type="expression" dxfId="24557" priority="305">
      <formula>$C141="Delivery charge"</formula>
    </cfRule>
    <cfRule type="expression" dxfId="24556" priority="306">
      <formula>$C141="Staff Salary"</formula>
    </cfRule>
    <cfRule type="expression" dxfId="24555" priority="307">
      <formula>$C141="Rent"</formula>
    </cfRule>
    <cfRule type="expression" dxfId="24554" priority="308">
      <formula>$C141="Petrol"</formula>
    </cfRule>
    <cfRule type="expression" dxfId="24553" priority="309">
      <formula>$C141="Bills"</formula>
    </cfRule>
    <cfRule type="expression" dxfId="24552" priority="310">
      <formula>$C141="Sales"</formula>
    </cfRule>
    <cfRule type="expression" dxfId="24551" priority="311">
      <formula>$C141="Expences"</formula>
    </cfRule>
    <cfRule type="expression" dxfId="24550" priority="312">
      <formula>$C141="Garlic Purchase"</formula>
    </cfRule>
    <cfRule type="expression" dxfId="24549" priority="313">
      <formula>$C141="Ginger Purchase"</formula>
    </cfRule>
  </conditionalFormatting>
  <conditionalFormatting sqref="B141 B143 B145">
    <cfRule type="expression" dxfId="24548" priority="314">
      <formula>$C141="Advance"</formula>
    </cfRule>
  </conditionalFormatting>
  <conditionalFormatting sqref="B141">
    <cfRule type="expression" dxfId="24547" priority="295">
      <formula>$C141="Delivery charge"</formula>
    </cfRule>
    <cfRule type="expression" dxfId="24546" priority="296">
      <formula>$C141="Staff Salary"</formula>
    </cfRule>
    <cfRule type="expression" dxfId="24545" priority="297">
      <formula>$C141="Rent"</formula>
    </cfRule>
    <cfRule type="expression" dxfId="24544" priority="298">
      <formula>$C141="Petrol"</formula>
    </cfRule>
    <cfRule type="expression" dxfId="24543" priority="299">
      <formula>$C141="Bills"</formula>
    </cfRule>
    <cfRule type="expression" dxfId="24542" priority="300">
      <formula>$C141="Sales"</formula>
    </cfRule>
    <cfRule type="expression" dxfId="24541" priority="301">
      <formula>$C141="Expences"</formula>
    </cfRule>
    <cfRule type="expression" dxfId="24540" priority="302">
      <formula>$C141="Garlic Purchase"</formula>
    </cfRule>
    <cfRule type="expression" dxfId="24539" priority="303">
      <formula>$C141="Ginger Purchase"</formula>
    </cfRule>
  </conditionalFormatting>
  <conditionalFormatting sqref="B141">
    <cfRule type="expression" dxfId="24538" priority="304">
      <formula>$C141="Advance"</formula>
    </cfRule>
  </conditionalFormatting>
  <conditionalFormatting sqref="B140 B142 B144 B146">
    <cfRule type="expression" dxfId="24537" priority="285">
      <formula>$C140="Delivery charge"</formula>
    </cfRule>
    <cfRule type="expression" dxfId="24536" priority="286">
      <formula>$C140="Staff Salary"</formula>
    </cfRule>
    <cfRule type="expression" dxfId="24535" priority="287">
      <formula>$C140="Rent"</formula>
    </cfRule>
    <cfRule type="expression" dxfId="24534" priority="288">
      <formula>$C140="Petrol"</formula>
    </cfRule>
    <cfRule type="expression" dxfId="24533" priority="289">
      <formula>$C140="Bills"</formula>
    </cfRule>
    <cfRule type="expression" dxfId="24532" priority="290">
      <formula>$C140="Sales"</formula>
    </cfRule>
    <cfRule type="expression" dxfId="24531" priority="291">
      <formula>$C140="Expences"</formula>
    </cfRule>
    <cfRule type="expression" dxfId="24530" priority="292">
      <formula>$C140="Garlic Purchase"</formula>
    </cfRule>
    <cfRule type="expression" dxfId="24529" priority="293">
      <formula>$C140="Ginger Purchase"</formula>
    </cfRule>
  </conditionalFormatting>
  <conditionalFormatting sqref="B140 B142 B144 B146">
    <cfRule type="expression" dxfId="24528" priority="294">
      <formula>$C140="Advance"</formula>
    </cfRule>
  </conditionalFormatting>
  <conditionalFormatting sqref="B141 B143 B145">
    <cfRule type="expression" dxfId="24527" priority="275">
      <formula>$C141="Delivery charge"</formula>
    </cfRule>
    <cfRule type="expression" dxfId="24526" priority="276">
      <formula>$C141="Staff Salary"</formula>
    </cfRule>
    <cfRule type="expression" dxfId="24525" priority="277">
      <formula>$C141="Rent"</formula>
    </cfRule>
    <cfRule type="expression" dxfId="24524" priority="278">
      <formula>$C141="Petrol"</formula>
    </cfRule>
    <cfRule type="expression" dxfId="24523" priority="279">
      <formula>$C141="Bills"</formula>
    </cfRule>
    <cfRule type="expression" dxfId="24522" priority="280">
      <formula>$C141="Sales"</formula>
    </cfRule>
    <cfRule type="expression" dxfId="24521" priority="281">
      <formula>$C141="Expences"</formula>
    </cfRule>
    <cfRule type="expression" dxfId="24520" priority="282">
      <formula>$C141="Garlic Purchase"</formula>
    </cfRule>
    <cfRule type="expression" dxfId="24519" priority="283">
      <formula>$C141="Ginger Purchase"</formula>
    </cfRule>
  </conditionalFormatting>
  <conditionalFormatting sqref="B141 B143 B145">
    <cfRule type="expression" dxfId="24518" priority="284">
      <formula>$C141="Advance"</formula>
    </cfRule>
  </conditionalFormatting>
  <conditionalFormatting sqref="B140 B142">
    <cfRule type="expression" dxfId="24517" priority="265">
      <formula>$C140="Delivery charge"</formula>
    </cfRule>
    <cfRule type="expression" dxfId="24516" priority="266">
      <formula>$C140="Staff Salary"</formula>
    </cfRule>
    <cfRule type="expression" dxfId="24515" priority="267">
      <formula>$C140="Rent"</formula>
    </cfRule>
    <cfRule type="expression" dxfId="24514" priority="268">
      <formula>$C140="Petrol"</formula>
    </cfRule>
    <cfRule type="expression" dxfId="24513" priority="269">
      <formula>$C140="Bills"</formula>
    </cfRule>
    <cfRule type="expression" dxfId="24512" priority="270">
      <formula>$C140="Sales"</formula>
    </cfRule>
    <cfRule type="expression" dxfId="24511" priority="271">
      <formula>$C140="Expences"</formula>
    </cfRule>
    <cfRule type="expression" dxfId="24510" priority="272">
      <formula>$C140="Garlic Purchase"</formula>
    </cfRule>
    <cfRule type="expression" dxfId="24509" priority="273">
      <formula>$C140="Ginger Purchase"</formula>
    </cfRule>
  </conditionalFormatting>
  <conditionalFormatting sqref="B140 B142">
    <cfRule type="expression" dxfId="24508" priority="274">
      <formula>$C140="Advance"</formula>
    </cfRule>
  </conditionalFormatting>
  <conditionalFormatting sqref="B141">
    <cfRule type="expression" dxfId="24507" priority="255">
      <formula>$C141="Delivery charge"</formula>
    </cfRule>
    <cfRule type="expression" dxfId="24506" priority="256">
      <formula>$C141="Staff Salary"</formula>
    </cfRule>
    <cfRule type="expression" dxfId="24505" priority="257">
      <formula>$C141="Rent"</formula>
    </cfRule>
    <cfRule type="expression" dxfId="24504" priority="258">
      <formula>$C141="Petrol"</formula>
    </cfRule>
    <cfRule type="expression" dxfId="24503" priority="259">
      <formula>$C141="Bills"</formula>
    </cfRule>
    <cfRule type="expression" dxfId="24502" priority="260">
      <formula>$C141="Sales"</formula>
    </cfRule>
    <cfRule type="expression" dxfId="24501" priority="261">
      <formula>$C141="Expences"</formula>
    </cfRule>
    <cfRule type="expression" dxfId="24500" priority="262">
      <formula>$C141="Garlic Purchase"</formula>
    </cfRule>
    <cfRule type="expression" dxfId="24499" priority="263">
      <formula>$C141="Ginger Purchase"</formula>
    </cfRule>
  </conditionalFormatting>
  <conditionalFormatting sqref="B141">
    <cfRule type="expression" dxfId="24498" priority="264">
      <formula>$C141="Advance"</formula>
    </cfRule>
  </conditionalFormatting>
  <conditionalFormatting sqref="B141 B143 B145 B147 B149 B151">
    <cfRule type="expression" dxfId="24497" priority="245">
      <formula>$C141="Delivery charge"</formula>
    </cfRule>
    <cfRule type="expression" dxfId="24496" priority="246">
      <formula>$C141="Staff Salary"</formula>
    </cfRule>
    <cfRule type="expression" dxfId="24495" priority="247">
      <formula>$C141="Rent"</formula>
    </cfRule>
    <cfRule type="expression" dxfId="24494" priority="248">
      <formula>$C141="Petrol"</formula>
    </cfRule>
    <cfRule type="expression" dxfId="24493" priority="249">
      <formula>$C141="Bills"</formula>
    </cfRule>
    <cfRule type="expression" dxfId="24492" priority="250">
      <formula>$C141="Sales"</formula>
    </cfRule>
    <cfRule type="expression" dxfId="24491" priority="251">
      <formula>$C141="Expences"</formula>
    </cfRule>
    <cfRule type="expression" dxfId="24490" priority="252">
      <formula>$C141="Garlic Purchase"</formula>
    </cfRule>
    <cfRule type="expression" dxfId="24489" priority="253">
      <formula>$C141="Ginger Purchase"</formula>
    </cfRule>
  </conditionalFormatting>
  <conditionalFormatting sqref="B141 B143 B145 B147 B149 B151">
    <cfRule type="expression" dxfId="24488" priority="254">
      <formula>$C141="Advance"</formula>
    </cfRule>
  </conditionalFormatting>
  <conditionalFormatting sqref="B140 B142 B144 B146">
    <cfRule type="expression" dxfId="24487" priority="235">
      <formula>$C140="Delivery charge"</formula>
    </cfRule>
    <cfRule type="expression" dxfId="24486" priority="236">
      <formula>$C140="Staff Salary"</formula>
    </cfRule>
    <cfRule type="expression" dxfId="24485" priority="237">
      <formula>$C140="Rent"</formula>
    </cfRule>
    <cfRule type="expression" dxfId="24484" priority="238">
      <formula>$C140="Petrol"</formula>
    </cfRule>
    <cfRule type="expression" dxfId="24483" priority="239">
      <formula>$C140="Bills"</formula>
    </cfRule>
    <cfRule type="expression" dxfId="24482" priority="240">
      <formula>$C140="Sales"</formula>
    </cfRule>
    <cfRule type="expression" dxfId="24481" priority="241">
      <formula>$C140="Expences"</formula>
    </cfRule>
    <cfRule type="expression" dxfId="24480" priority="242">
      <formula>$C140="Garlic Purchase"</formula>
    </cfRule>
    <cfRule type="expression" dxfId="24479" priority="243">
      <formula>$C140="Ginger Purchase"</formula>
    </cfRule>
  </conditionalFormatting>
  <conditionalFormatting sqref="B140 B142 B144 B146">
    <cfRule type="expression" dxfId="24478" priority="244">
      <formula>$C140="Advance"</formula>
    </cfRule>
  </conditionalFormatting>
  <conditionalFormatting sqref="B140">
    <cfRule type="expression" dxfId="24477" priority="225">
      <formula>$C140="Delivery charge"</formula>
    </cfRule>
    <cfRule type="expression" dxfId="24476" priority="226">
      <formula>$C140="Staff Salary"</formula>
    </cfRule>
    <cfRule type="expression" dxfId="24475" priority="227">
      <formula>$C140="Rent"</formula>
    </cfRule>
    <cfRule type="expression" dxfId="24474" priority="228">
      <formula>$C140="Petrol"</formula>
    </cfRule>
    <cfRule type="expression" dxfId="24473" priority="229">
      <formula>$C140="Bills"</formula>
    </cfRule>
    <cfRule type="expression" dxfId="24472" priority="230">
      <formula>$C140="Sales"</formula>
    </cfRule>
    <cfRule type="expression" dxfId="24471" priority="231">
      <formula>$C140="Expences"</formula>
    </cfRule>
    <cfRule type="expression" dxfId="24470" priority="232">
      <formula>$C140="Garlic Purchase"</formula>
    </cfRule>
    <cfRule type="expression" dxfId="24469" priority="233">
      <formula>$C140="Ginger Purchase"</formula>
    </cfRule>
  </conditionalFormatting>
  <conditionalFormatting sqref="B140">
    <cfRule type="expression" dxfId="24468" priority="234">
      <formula>$C140="Advance"</formula>
    </cfRule>
  </conditionalFormatting>
  <conditionalFormatting sqref="B140">
    <cfRule type="expression" dxfId="24467" priority="215">
      <formula>$C140="Delivery charge"</formula>
    </cfRule>
    <cfRule type="expression" dxfId="24466" priority="216">
      <formula>$C140="Staff Salary"</formula>
    </cfRule>
    <cfRule type="expression" dxfId="24465" priority="217">
      <formula>$C140="Rent"</formula>
    </cfRule>
    <cfRule type="expression" dxfId="24464" priority="218">
      <formula>$C140="Petrol"</formula>
    </cfRule>
    <cfRule type="expression" dxfId="24463" priority="219">
      <formula>$C140="Bills"</formula>
    </cfRule>
    <cfRule type="expression" dxfId="24462" priority="220">
      <formula>$C140="Sales"</formula>
    </cfRule>
    <cfRule type="expression" dxfId="24461" priority="221">
      <formula>$C140="Expences"</formula>
    </cfRule>
    <cfRule type="expression" dxfId="24460" priority="222">
      <formula>$C140="Garlic Purchase"</formula>
    </cfRule>
    <cfRule type="expression" dxfId="24459" priority="223">
      <formula>$C140="Ginger Purchase"</formula>
    </cfRule>
  </conditionalFormatting>
  <conditionalFormatting sqref="B140">
    <cfRule type="expression" dxfId="24458" priority="224">
      <formula>$C140="Advance"</formula>
    </cfRule>
  </conditionalFormatting>
  <conditionalFormatting sqref="B140">
    <cfRule type="expression" dxfId="24457" priority="205">
      <formula>$C140="Delivery charge"</formula>
    </cfRule>
    <cfRule type="expression" dxfId="24456" priority="206">
      <formula>$C140="Staff Salary"</formula>
    </cfRule>
    <cfRule type="expression" dxfId="24455" priority="207">
      <formula>$C140="Rent"</formula>
    </cfRule>
    <cfRule type="expression" dxfId="24454" priority="208">
      <formula>$C140="Petrol"</formula>
    </cfRule>
    <cfRule type="expression" dxfId="24453" priority="209">
      <formula>$C140="Bills"</formula>
    </cfRule>
    <cfRule type="expression" dxfId="24452" priority="210">
      <formula>$C140="Sales"</formula>
    </cfRule>
    <cfRule type="expression" dxfId="24451" priority="211">
      <formula>$C140="Expences"</formula>
    </cfRule>
    <cfRule type="expression" dxfId="24450" priority="212">
      <formula>$C140="Garlic Purchase"</formula>
    </cfRule>
    <cfRule type="expression" dxfId="24449" priority="213">
      <formula>$C140="Ginger Purchase"</formula>
    </cfRule>
  </conditionalFormatting>
  <conditionalFormatting sqref="B140">
    <cfRule type="expression" dxfId="24448" priority="214">
      <formula>$C140="Advance"</formula>
    </cfRule>
  </conditionalFormatting>
  <conditionalFormatting sqref="A139:A147">
    <cfRule type="expression" dxfId="24447" priority="204">
      <formula>$C139="Advance"</formula>
    </cfRule>
  </conditionalFormatting>
  <conditionalFormatting sqref="B147">
    <cfRule type="expression" dxfId="24446" priority="194">
      <formula>$C147="Delivery charge"</formula>
    </cfRule>
    <cfRule type="expression" dxfId="24445" priority="195">
      <formula>$C147="Staff Salary"</formula>
    </cfRule>
    <cfRule type="expression" dxfId="24444" priority="196">
      <formula>$C147="Rent"</formula>
    </cfRule>
    <cfRule type="expression" dxfId="24443" priority="197">
      <formula>$C147="Petrol"</formula>
    </cfRule>
    <cfRule type="expression" dxfId="24442" priority="198">
      <formula>$C147="Bills"</formula>
    </cfRule>
    <cfRule type="expression" dxfId="24441" priority="199">
      <formula>$C147="Sales"</formula>
    </cfRule>
    <cfRule type="expression" dxfId="24440" priority="200">
      <formula>$C147="Expences"</formula>
    </cfRule>
    <cfRule type="expression" dxfId="24439" priority="201">
      <formula>$C147="Garlic Purchase"</formula>
    </cfRule>
    <cfRule type="expression" dxfId="24438" priority="202">
      <formula>$C147="Ginger Purchase"</formula>
    </cfRule>
  </conditionalFormatting>
  <conditionalFormatting sqref="B147">
    <cfRule type="expression" dxfId="24437" priority="203">
      <formula>$C147="Advance"</formula>
    </cfRule>
  </conditionalFormatting>
  <conditionalFormatting sqref="B147">
    <cfRule type="expression" dxfId="24436" priority="184">
      <formula>$C147="Delivery charge"</formula>
    </cfRule>
    <cfRule type="expression" dxfId="24435" priority="185">
      <formula>$C147="Staff Salary"</formula>
    </cfRule>
    <cfRule type="expression" dxfId="24434" priority="186">
      <formula>$C147="Rent"</formula>
    </cfRule>
    <cfRule type="expression" dxfId="24433" priority="187">
      <formula>$C147="Petrol"</formula>
    </cfRule>
    <cfRule type="expression" dxfId="24432" priority="188">
      <formula>$C147="Bills"</formula>
    </cfRule>
    <cfRule type="expression" dxfId="24431" priority="189">
      <formula>$C147="Sales"</formula>
    </cfRule>
    <cfRule type="expression" dxfId="24430" priority="190">
      <formula>$C147="Expences"</formula>
    </cfRule>
    <cfRule type="expression" dxfId="24429" priority="191">
      <formula>$C147="Garlic Purchase"</formula>
    </cfRule>
    <cfRule type="expression" dxfId="24428" priority="192">
      <formula>$C147="Ginger Purchase"</formula>
    </cfRule>
  </conditionalFormatting>
  <conditionalFormatting sqref="B147">
    <cfRule type="expression" dxfId="24427" priority="193">
      <formula>$C147="Advance"</formula>
    </cfRule>
  </conditionalFormatting>
  <conditionalFormatting sqref="B148">
    <cfRule type="expression" dxfId="24426" priority="174">
      <formula>$C148="Delivery charge"</formula>
    </cfRule>
    <cfRule type="expression" dxfId="24425" priority="175">
      <formula>$C148="Staff Salary"</formula>
    </cfRule>
    <cfRule type="expression" dxfId="24424" priority="176">
      <formula>$C148="Rent"</formula>
    </cfRule>
    <cfRule type="expression" dxfId="24423" priority="177">
      <formula>$C148="Petrol"</formula>
    </cfRule>
    <cfRule type="expression" dxfId="24422" priority="178">
      <formula>$C148="Bills"</formula>
    </cfRule>
    <cfRule type="expression" dxfId="24421" priority="179">
      <formula>$C148="Sales"</formula>
    </cfRule>
    <cfRule type="expression" dxfId="24420" priority="180">
      <formula>$C148="Expences"</formula>
    </cfRule>
    <cfRule type="expression" dxfId="24419" priority="181">
      <formula>$C148="Garlic Purchase"</formula>
    </cfRule>
    <cfRule type="expression" dxfId="24418" priority="182">
      <formula>$C148="Ginger Purchase"</formula>
    </cfRule>
  </conditionalFormatting>
  <conditionalFormatting sqref="B148">
    <cfRule type="expression" dxfId="24417" priority="183">
      <formula>$C148="Advance"</formula>
    </cfRule>
  </conditionalFormatting>
  <conditionalFormatting sqref="B147">
    <cfRule type="expression" dxfId="24416" priority="164">
      <formula>$C147="Delivery charge"</formula>
    </cfRule>
    <cfRule type="expression" dxfId="24415" priority="165">
      <formula>$C147="Staff Salary"</formula>
    </cfRule>
    <cfRule type="expression" dxfId="24414" priority="166">
      <formula>$C147="Rent"</formula>
    </cfRule>
    <cfRule type="expression" dxfId="24413" priority="167">
      <formula>$C147="Petrol"</formula>
    </cfRule>
    <cfRule type="expression" dxfId="24412" priority="168">
      <formula>$C147="Bills"</formula>
    </cfRule>
    <cfRule type="expression" dxfId="24411" priority="169">
      <formula>$C147="Sales"</formula>
    </cfRule>
    <cfRule type="expression" dxfId="24410" priority="170">
      <formula>$C147="Expences"</formula>
    </cfRule>
    <cfRule type="expression" dxfId="24409" priority="171">
      <formula>$C147="Garlic Purchase"</formula>
    </cfRule>
    <cfRule type="expression" dxfId="24408" priority="172">
      <formula>$C147="Ginger Purchase"</formula>
    </cfRule>
  </conditionalFormatting>
  <conditionalFormatting sqref="B147">
    <cfRule type="expression" dxfId="24407" priority="173">
      <formula>$C147="Advance"</formula>
    </cfRule>
  </conditionalFormatting>
  <conditionalFormatting sqref="B147">
    <cfRule type="expression" dxfId="24406" priority="154">
      <formula>$C147="Delivery charge"</formula>
    </cfRule>
    <cfRule type="expression" dxfId="24405" priority="155">
      <formula>$C147="Staff Salary"</formula>
    </cfRule>
    <cfRule type="expression" dxfId="24404" priority="156">
      <formula>$C147="Rent"</formula>
    </cfRule>
    <cfRule type="expression" dxfId="24403" priority="157">
      <formula>$C147="Petrol"</formula>
    </cfRule>
    <cfRule type="expression" dxfId="24402" priority="158">
      <formula>$C147="Bills"</formula>
    </cfRule>
    <cfRule type="expression" dxfId="24401" priority="159">
      <formula>$C147="Sales"</formula>
    </cfRule>
    <cfRule type="expression" dxfId="24400" priority="160">
      <formula>$C147="Expences"</formula>
    </cfRule>
    <cfRule type="expression" dxfId="24399" priority="161">
      <formula>$C147="Garlic Purchase"</formula>
    </cfRule>
    <cfRule type="expression" dxfId="24398" priority="162">
      <formula>$C147="Ginger Purchase"</formula>
    </cfRule>
  </conditionalFormatting>
  <conditionalFormatting sqref="B147">
    <cfRule type="expression" dxfId="24397" priority="163">
      <formula>$C147="Advance"</formula>
    </cfRule>
  </conditionalFormatting>
  <conditionalFormatting sqref="B148">
    <cfRule type="expression" dxfId="24396" priority="144">
      <formula>$C148="Delivery charge"</formula>
    </cfRule>
    <cfRule type="expression" dxfId="24395" priority="145">
      <formula>$C148="Staff Salary"</formula>
    </cfRule>
    <cfRule type="expression" dxfId="24394" priority="146">
      <formula>$C148="Rent"</formula>
    </cfRule>
    <cfRule type="expression" dxfId="24393" priority="147">
      <formula>$C148="Petrol"</formula>
    </cfRule>
    <cfRule type="expression" dxfId="24392" priority="148">
      <formula>$C148="Bills"</formula>
    </cfRule>
    <cfRule type="expression" dxfId="24391" priority="149">
      <formula>$C148="Sales"</formula>
    </cfRule>
    <cfRule type="expression" dxfId="24390" priority="150">
      <formula>$C148="Expences"</formula>
    </cfRule>
    <cfRule type="expression" dxfId="24389" priority="151">
      <formula>$C148="Garlic Purchase"</formula>
    </cfRule>
    <cfRule type="expression" dxfId="24388" priority="152">
      <formula>$C148="Ginger Purchase"</formula>
    </cfRule>
  </conditionalFormatting>
  <conditionalFormatting sqref="B148">
    <cfRule type="expression" dxfId="24387" priority="153">
      <formula>$C148="Advance"</formula>
    </cfRule>
  </conditionalFormatting>
  <conditionalFormatting sqref="B147">
    <cfRule type="expression" dxfId="24386" priority="134">
      <formula>$C147="Delivery charge"</formula>
    </cfRule>
    <cfRule type="expression" dxfId="24385" priority="135">
      <formula>$C147="Staff Salary"</formula>
    </cfRule>
    <cfRule type="expression" dxfId="24384" priority="136">
      <formula>$C147="Rent"</formula>
    </cfRule>
    <cfRule type="expression" dxfId="24383" priority="137">
      <formula>$C147="Petrol"</formula>
    </cfRule>
    <cfRule type="expression" dxfId="24382" priority="138">
      <formula>$C147="Bills"</formula>
    </cfRule>
    <cfRule type="expression" dxfId="24381" priority="139">
      <formula>$C147="Sales"</formula>
    </cfRule>
    <cfRule type="expression" dxfId="24380" priority="140">
      <formula>$C147="Expences"</formula>
    </cfRule>
    <cfRule type="expression" dxfId="24379" priority="141">
      <formula>$C147="Garlic Purchase"</formula>
    </cfRule>
    <cfRule type="expression" dxfId="24378" priority="142">
      <formula>$C147="Ginger Purchase"</formula>
    </cfRule>
  </conditionalFormatting>
  <conditionalFormatting sqref="B147">
    <cfRule type="expression" dxfId="24377" priority="143">
      <formula>$C147="Advance"</formula>
    </cfRule>
  </conditionalFormatting>
  <conditionalFormatting sqref="B148">
    <cfRule type="expression" dxfId="24376" priority="124">
      <formula>$C148="Delivery charge"</formula>
    </cfRule>
    <cfRule type="expression" dxfId="24375" priority="125">
      <formula>$C148="Staff Salary"</formula>
    </cfRule>
    <cfRule type="expression" dxfId="24374" priority="126">
      <formula>$C148="Rent"</formula>
    </cfRule>
    <cfRule type="expression" dxfId="24373" priority="127">
      <formula>$C148="Petrol"</formula>
    </cfRule>
    <cfRule type="expression" dxfId="24372" priority="128">
      <formula>$C148="Bills"</formula>
    </cfRule>
    <cfRule type="expression" dxfId="24371" priority="129">
      <formula>$C148="Sales"</formula>
    </cfRule>
    <cfRule type="expression" dxfId="24370" priority="130">
      <formula>$C148="Expences"</formula>
    </cfRule>
    <cfRule type="expression" dxfId="24369" priority="131">
      <formula>$C148="Garlic Purchase"</formula>
    </cfRule>
    <cfRule type="expression" dxfId="24368" priority="132">
      <formula>$C148="Ginger Purchase"</formula>
    </cfRule>
  </conditionalFormatting>
  <conditionalFormatting sqref="B148">
    <cfRule type="expression" dxfId="24367" priority="133">
      <formula>$C148="Advance"</formula>
    </cfRule>
  </conditionalFormatting>
  <conditionalFormatting sqref="B147">
    <cfRule type="expression" dxfId="24366" priority="114">
      <formula>$C147="Delivery charge"</formula>
    </cfRule>
    <cfRule type="expression" dxfId="24365" priority="115">
      <formula>$C147="Staff Salary"</formula>
    </cfRule>
    <cfRule type="expression" dxfId="24364" priority="116">
      <formula>$C147="Rent"</formula>
    </cfRule>
    <cfRule type="expression" dxfId="24363" priority="117">
      <formula>$C147="Petrol"</formula>
    </cfRule>
    <cfRule type="expression" dxfId="24362" priority="118">
      <formula>$C147="Bills"</formula>
    </cfRule>
    <cfRule type="expression" dxfId="24361" priority="119">
      <formula>$C147="Sales"</formula>
    </cfRule>
    <cfRule type="expression" dxfId="24360" priority="120">
      <formula>$C147="Expences"</formula>
    </cfRule>
    <cfRule type="expression" dxfId="24359" priority="121">
      <formula>$C147="Garlic Purchase"</formula>
    </cfRule>
    <cfRule type="expression" dxfId="24358" priority="122">
      <formula>$C147="Ginger Purchase"</formula>
    </cfRule>
  </conditionalFormatting>
  <conditionalFormatting sqref="B147">
    <cfRule type="expression" dxfId="24357" priority="123">
      <formula>$C147="Advance"</formula>
    </cfRule>
  </conditionalFormatting>
  <conditionalFormatting sqref="B148">
    <cfRule type="expression" dxfId="24356" priority="104">
      <formula>$C148="Delivery charge"</formula>
    </cfRule>
    <cfRule type="expression" dxfId="24355" priority="105">
      <formula>$C148="Staff Salary"</formula>
    </cfRule>
    <cfRule type="expression" dxfId="24354" priority="106">
      <formula>$C148="Rent"</formula>
    </cfRule>
    <cfRule type="expression" dxfId="24353" priority="107">
      <formula>$C148="Petrol"</formula>
    </cfRule>
    <cfRule type="expression" dxfId="24352" priority="108">
      <formula>$C148="Bills"</formula>
    </cfRule>
    <cfRule type="expression" dxfId="24351" priority="109">
      <formula>$C148="Sales"</formula>
    </cfRule>
    <cfRule type="expression" dxfId="24350" priority="110">
      <formula>$C148="Expences"</formula>
    </cfRule>
    <cfRule type="expression" dxfId="24349" priority="111">
      <formula>$C148="Garlic Purchase"</formula>
    </cfRule>
    <cfRule type="expression" dxfId="24348" priority="112">
      <formula>$C148="Ginger Purchase"</formula>
    </cfRule>
  </conditionalFormatting>
  <conditionalFormatting sqref="B148">
    <cfRule type="expression" dxfId="24347" priority="113">
      <formula>$C148="Advance"</formula>
    </cfRule>
  </conditionalFormatting>
  <conditionalFormatting sqref="B149">
    <cfRule type="expression" dxfId="24346" priority="94">
      <formula>$C149="Delivery charge"</formula>
    </cfRule>
    <cfRule type="expression" dxfId="24345" priority="95">
      <formula>$C149="Staff Salary"</formula>
    </cfRule>
    <cfRule type="expression" dxfId="24344" priority="96">
      <formula>$C149="Rent"</formula>
    </cfRule>
    <cfRule type="expression" dxfId="24343" priority="97">
      <formula>$C149="Petrol"</formula>
    </cfRule>
    <cfRule type="expression" dxfId="24342" priority="98">
      <formula>$C149="Bills"</formula>
    </cfRule>
    <cfRule type="expression" dxfId="24341" priority="99">
      <formula>$C149="Sales"</formula>
    </cfRule>
    <cfRule type="expression" dxfId="24340" priority="100">
      <formula>$C149="Expences"</formula>
    </cfRule>
    <cfRule type="expression" dxfId="24339" priority="101">
      <formula>$C149="Garlic Purchase"</formula>
    </cfRule>
    <cfRule type="expression" dxfId="24338" priority="102">
      <formula>$C149="Ginger Purchase"</formula>
    </cfRule>
  </conditionalFormatting>
  <conditionalFormatting sqref="B149">
    <cfRule type="expression" dxfId="24337" priority="103">
      <formula>$C149="Advance"</formula>
    </cfRule>
  </conditionalFormatting>
  <conditionalFormatting sqref="B149">
    <cfRule type="expression" dxfId="24336" priority="84">
      <formula>$C149="Delivery charge"</formula>
    </cfRule>
    <cfRule type="expression" dxfId="24335" priority="85">
      <formula>$C149="Staff Salary"</formula>
    </cfRule>
    <cfRule type="expression" dxfId="24334" priority="86">
      <formula>$C149="Rent"</formula>
    </cfRule>
    <cfRule type="expression" dxfId="24333" priority="87">
      <formula>$C149="Petrol"</formula>
    </cfRule>
    <cfRule type="expression" dxfId="24332" priority="88">
      <formula>$C149="Bills"</formula>
    </cfRule>
    <cfRule type="expression" dxfId="24331" priority="89">
      <formula>$C149="Sales"</formula>
    </cfRule>
    <cfRule type="expression" dxfId="24330" priority="90">
      <formula>$C149="Expences"</formula>
    </cfRule>
    <cfRule type="expression" dxfId="24329" priority="91">
      <formula>$C149="Garlic Purchase"</formula>
    </cfRule>
    <cfRule type="expression" dxfId="24328" priority="92">
      <formula>$C149="Ginger Purchase"</formula>
    </cfRule>
  </conditionalFormatting>
  <conditionalFormatting sqref="B149">
    <cfRule type="expression" dxfId="24327" priority="93">
      <formula>$C149="Advance"</formula>
    </cfRule>
  </conditionalFormatting>
  <conditionalFormatting sqref="B150 B152">
    <cfRule type="expression" dxfId="24326" priority="74">
      <formula>$C150="Delivery charge"</formula>
    </cfRule>
    <cfRule type="expression" dxfId="24325" priority="75">
      <formula>$C150="Staff Salary"</formula>
    </cfRule>
    <cfRule type="expression" dxfId="24324" priority="76">
      <formula>$C150="Rent"</formula>
    </cfRule>
    <cfRule type="expression" dxfId="24323" priority="77">
      <formula>$C150="Petrol"</formula>
    </cfRule>
    <cfRule type="expression" dxfId="24322" priority="78">
      <formula>$C150="Bills"</formula>
    </cfRule>
    <cfRule type="expression" dxfId="24321" priority="79">
      <formula>$C150="Sales"</formula>
    </cfRule>
    <cfRule type="expression" dxfId="24320" priority="80">
      <formula>$C150="Expences"</formula>
    </cfRule>
    <cfRule type="expression" dxfId="24319" priority="81">
      <formula>$C150="Garlic Purchase"</formula>
    </cfRule>
    <cfRule type="expression" dxfId="24318" priority="82">
      <formula>$C150="Ginger Purchase"</formula>
    </cfRule>
  </conditionalFormatting>
  <conditionalFormatting sqref="B150 B152">
    <cfRule type="expression" dxfId="24317" priority="83">
      <formula>$C150="Advance"</formula>
    </cfRule>
  </conditionalFormatting>
  <conditionalFormatting sqref="B149">
    <cfRule type="expression" dxfId="24316" priority="64">
      <formula>$C149="Delivery charge"</formula>
    </cfRule>
    <cfRule type="expression" dxfId="24315" priority="65">
      <formula>$C149="Staff Salary"</formula>
    </cfRule>
    <cfRule type="expression" dxfId="24314" priority="66">
      <formula>$C149="Rent"</formula>
    </cfRule>
    <cfRule type="expression" dxfId="24313" priority="67">
      <formula>$C149="Petrol"</formula>
    </cfRule>
    <cfRule type="expression" dxfId="24312" priority="68">
      <formula>$C149="Bills"</formula>
    </cfRule>
    <cfRule type="expression" dxfId="24311" priority="69">
      <formula>$C149="Sales"</formula>
    </cfRule>
    <cfRule type="expression" dxfId="24310" priority="70">
      <formula>$C149="Expences"</formula>
    </cfRule>
    <cfRule type="expression" dxfId="24309" priority="71">
      <formula>$C149="Garlic Purchase"</formula>
    </cfRule>
    <cfRule type="expression" dxfId="24308" priority="72">
      <formula>$C149="Ginger Purchase"</formula>
    </cfRule>
  </conditionalFormatting>
  <conditionalFormatting sqref="B149">
    <cfRule type="expression" dxfId="24307" priority="73">
      <formula>$C149="Advance"</formula>
    </cfRule>
  </conditionalFormatting>
  <conditionalFormatting sqref="B149">
    <cfRule type="expression" dxfId="24306" priority="54">
      <formula>$C149="Delivery charge"</formula>
    </cfRule>
    <cfRule type="expression" dxfId="24305" priority="55">
      <formula>$C149="Staff Salary"</formula>
    </cfRule>
    <cfRule type="expression" dxfId="24304" priority="56">
      <formula>$C149="Rent"</formula>
    </cfRule>
    <cfRule type="expression" dxfId="24303" priority="57">
      <formula>$C149="Petrol"</formula>
    </cfRule>
    <cfRule type="expression" dxfId="24302" priority="58">
      <formula>$C149="Bills"</formula>
    </cfRule>
    <cfRule type="expression" dxfId="24301" priority="59">
      <formula>$C149="Sales"</formula>
    </cfRule>
    <cfRule type="expression" dxfId="24300" priority="60">
      <formula>$C149="Expences"</formula>
    </cfRule>
    <cfRule type="expression" dxfId="24299" priority="61">
      <formula>$C149="Garlic Purchase"</formula>
    </cfRule>
    <cfRule type="expression" dxfId="24298" priority="62">
      <formula>$C149="Ginger Purchase"</formula>
    </cfRule>
  </conditionalFormatting>
  <conditionalFormatting sqref="B149">
    <cfRule type="expression" dxfId="24297" priority="63">
      <formula>$C149="Advance"</formula>
    </cfRule>
  </conditionalFormatting>
  <conditionalFormatting sqref="B150 B152">
    <cfRule type="expression" dxfId="24296" priority="44">
      <formula>$C150="Delivery charge"</formula>
    </cfRule>
    <cfRule type="expression" dxfId="24295" priority="45">
      <formula>$C150="Staff Salary"</formula>
    </cfRule>
    <cfRule type="expression" dxfId="24294" priority="46">
      <formula>$C150="Rent"</formula>
    </cfRule>
    <cfRule type="expression" dxfId="24293" priority="47">
      <formula>$C150="Petrol"</formula>
    </cfRule>
    <cfRule type="expression" dxfId="24292" priority="48">
      <formula>$C150="Bills"</formula>
    </cfRule>
    <cfRule type="expression" dxfId="24291" priority="49">
      <formula>$C150="Sales"</formula>
    </cfRule>
    <cfRule type="expression" dxfId="24290" priority="50">
      <formula>$C150="Expences"</formula>
    </cfRule>
    <cfRule type="expression" dxfId="24289" priority="51">
      <formula>$C150="Garlic Purchase"</formula>
    </cfRule>
    <cfRule type="expression" dxfId="24288" priority="52">
      <formula>$C150="Ginger Purchase"</formula>
    </cfRule>
  </conditionalFormatting>
  <conditionalFormatting sqref="B150 B152">
    <cfRule type="expression" dxfId="24287" priority="53">
      <formula>$C150="Advance"</formula>
    </cfRule>
  </conditionalFormatting>
  <conditionalFormatting sqref="B149">
    <cfRule type="expression" dxfId="24286" priority="34">
      <formula>$C149="Delivery charge"</formula>
    </cfRule>
    <cfRule type="expression" dxfId="24285" priority="35">
      <formula>$C149="Staff Salary"</formula>
    </cfRule>
    <cfRule type="expression" dxfId="24284" priority="36">
      <formula>$C149="Rent"</formula>
    </cfRule>
    <cfRule type="expression" dxfId="24283" priority="37">
      <formula>$C149="Petrol"</formula>
    </cfRule>
    <cfRule type="expression" dxfId="24282" priority="38">
      <formula>$C149="Bills"</formula>
    </cfRule>
    <cfRule type="expression" dxfId="24281" priority="39">
      <formula>$C149="Sales"</formula>
    </cfRule>
    <cfRule type="expression" dxfId="24280" priority="40">
      <formula>$C149="Expences"</formula>
    </cfRule>
    <cfRule type="expression" dxfId="24279" priority="41">
      <formula>$C149="Garlic Purchase"</formula>
    </cfRule>
    <cfRule type="expression" dxfId="24278" priority="42">
      <formula>$C149="Ginger Purchase"</formula>
    </cfRule>
  </conditionalFormatting>
  <conditionalFormatting sqref="B149">
    <cfRule type="expression" dxfId="24277" priority="43">
      <formula>$C149="Advance"</formula>
    </cfRule>
  </conditionalFormatting>
  <conditionalFormatting sqref="B150 B152">
    <cfRule type="expression" dxfId="24276" priority="24">
      <formula>$C150="Delivery charge"</formula>
    </cfRule>
    <cfRule type="expression" dxfId="24275" priority="25">
      <formula>$C150="Staff Salary"</formula>
    </cfRule>
    <cfRule type="expression" dxfId="24274" priority="26">
      <formula>$C150="Rent"</formula>
    </cfRule>
    <cfRule type="expression" dxfId="24273" priority="27">
      <formula>$C150="Petrol"</formula>
    </cfRule>
    <cfRule type="expression" dxfId="24272" priority="28">
      <formula>$C150="Bills"</formula>
    </cfRule>
    <cfRule type="expression" dxfId="24271" priority="29">
      <formula>$C150="Sales"</formula>
    </cfRule>
    <cfRule type="expression" dxfId="24270" priority="30">
      <formula>$C150="Expences"</formula>
    </cfRule>
    <cfRule type="expression" dxfId="24269" priority="31">
      <formula>$C150="Garlic Purchase"</formula>
    </cfRule>
    <cfRule type="expression" dxfId="24268" priority="32">
      <formula>$C150="Ginger Purchase"</formula>
    </cfRule>
  </conditionalFormatting>
  <conditionalFormatting sqref="B150 B152">
    <cfRule type="expression" dxfId="24267" priority="33">
      <formula>$C150="Advance"</formula>
    </cfRule>
  </conditionalFormatting>
  <conditionalFormatting sqref="B149">
    <cfRule type="expression" dxfId="24266" priority="14">
      <formula>$C149="Delivery charge"</formula>
    </cfRule>
    <cfRule type="expression" dxfId="24265" priority="15">
      <formula>$C149="Staff Salary"</formula>
    </cfRule>
    <cfRule type="expression" dxfId="24264" priority="16">
      <formula>$C149="Rent"</formula>
    </cfRule>
    <cfRule type="expression" dxfId="24263" priority="17">
      <formula>$C149="Petrol"</formula>
    </cfRule>
    <cfRule type="expression" dxfId="24262" priority="18">
      <formula>$C149="Bills"</formula>
    </cfRule>
    <cfRule type="expression" dxfId="24261" priority="19">
      <formula>$C149="Sales"</formula>
    </cfRule>
    <cfRule type="expression" dxfId="24260" priority="20">
      <formula>$C149="Expences"</formula>
    </cfRule>
    <cfRule type="expression" dxfId="24259" priority="21">
      <formula>$C149="Garlic Purchase"</formula>
    </cfRule>
    <cfRule type="expression" dxfId="24258" priority="22">
      <formula>$C149="Ginger Purchase"</formula>
    </cfRule>
  </conditionalFormatting>
  <conditionalFormatting sqref="B149">
    <cfRule type="expression" dxfId="24257" priority="23">
      <formula>$C149="Advance"</formula>
    </cfRule>
  </conditionalFormatting>
  <conditionalFormatting sqref="B150 B152">
    <cfRule type="expression" dxfId="24256" priority="4">
      <formula>$C150="Delivery charge"</formula>
    </cfRule>
    <cfRule type="expression" dxfId="24255" priority="5">
      <formula>$C150="Staff Salary"</formula>
    </cfRule>
    <cfRule type="expression" dxfId="24254" priority="6">
      <formula>$C150="Rent"</formula>
    </cfRule>
    <cfRule type="expression" dxfId="24253" priority="7">
      <formula>$C150="Petrol"</formula>
    </cfRule>
    <cfRule type="expression" dxfId="24252" priority="8">
      <formula>$C150="Bills"</formula>
    </cfRule>
    <cfRule type="expression" dxfId="24251" priority="9">
      <formula>$C150="Sales"</formula>
    </cfRule>
    <cfRule type="expression" dxfId="24250" priority="10">
      <formula>$C150="Expences"</formula>
    </cfRule>
    <cfRule type="expression" dxfId="24249" priority="11">
      <formula>$C150="Garlic Purchase"</formula>
    </cfRule>
    <cfRule type="expression" dxfId="24248" priority="12">
      <formula>$C150="Ginger Purchase"</formula>
    </cfRule>
  </conditionalFormatting>
  <conditionalFormatting sqref="B150 B152">
    <cfRule type="expression" dxfId="24247" priority="13">
      <formula>$C150="Advance"</formula>
    </cfRule>
  </conditionalFormatting>
  <conditionalFormatting sqref="A148:A151">
    <cfRule type="expression" dxfId="24246" priority="3">
      <formula>$C148="Advance"</formula>
    </cfRule>
  </conditionalFormatting>
  <conditionalFormatting sqref="A152">
    <cfRule type="expression" dxfId="24245" priority="2">
      <formula>$C152="Advance"</formula>
    </cfRule>
  </conditionalFormatting>
  <conditionalFormatting sqref="A153:A157">
    <cfRule type="expression" dxfId="24244" priority="1">
      <formula>$C153="Advance"</formula>
    </cfRule>
  </conditionalFormatting>
  <pageMargins left="0.7" right="0.7" top="0.75" bottom="0.75" header="0" footer="0"/>
  <pageSetup paperSize="9" orientation="portrait" r:id="rId2"/>
  <drawing r:id="rId3"/>
  <tableParts count="1">
    <tablePart r:id="rId4"/>
  </tableParts>
  <extLst>
    <ext xmlns:x14="http://schemas.microsoft.com/office/spreadsheetml/2009/9/main" uri="{CCE6A557-97BC-4b89-ADB6-D9C93CAAB3DF}">
      <x14:dataValidations xmlns:xm="http://schemas.microsoft.com/office/excel/2006/main" count="11">
        <x14:dataValidation type="list" allowBlank="1" showInputMessage="1" showErrorMessage="1">
          <x14:formula1>
            <xm:f>Sheet2!$A$1:$A$13</xm:f>
          </x14:formula1>
          <xm:sqref>C3:C112</xm:sqref>
        </x14:dataValidation>
        <x14:dataValidation type="list" allowBlank="1" showInputMessage="1" showErrorMessage="1">
          <x14:formula1>
            <xm:f>Sheet2!$D$1:$D$8</xm:f>
          </x14:formula1>
          <xm:sqref>F2:F107</xm:sqref>
        </x14:dataValidation>
        <x14:dataValidation type="list" allowBlank="1" showInputMessage="1" showErrorMessage="1">
          <x14:formula1>
            <xm:f>Sheet2!$E$1:$E$6</xm:f>
          </x14:formula1>
          <xm:sqref>G2:G147</xm:sqref>
        </x14:dataValidation>
        <x14:dataValidation type="list" allowBlank="1" showInputMessage="1" showErrorMessage="1">
          <x14:formula1>
            <xm:f>Sheet2!$C$1:$C$5</xm:f>
          </x14:formula1>
          <xm:sqref>K44:K157</xm:sqref>
        </x14:dataValidation>
        <x14:dataValidation type="list" allowBlank="1" showInputMessage="1" showErrorMessage="1">
          <x14:formula1>
            <xm:f>Sheet2!$D$1:$D$10</xm:f>
          </x14:formula1>
          <xm:sqref>F108:F123</xm:sqref>
        </x14:dataValidation>
        <x14:dataValidation type="list" allowBlank="1" showInputMessage="1" showErrorMessage="1">
          <x14:formula1>
            <xm:f>Sheet2!$A$1:$A$14</xm:f>
          </x14:formula1>
          <xm:sqref>C113</xm:sqref>
        </x14:dataValidation>
        <x14:dataValidation type="list" allowBlank="1" showInputMessage="1" showErrorMessage="1">
          <x14:formula1>
            <xm:f>Sheet2!$A$1:$A$15</xm:f>
          </x14:formula1>
          <xm:sqref>C114:C157</xm:sqref>
        </x14:dataValidation>
        <x14:dataValidation type="list" allowBlank="1" showInputMessage="1" showErrorMessage="1">
          <x14:formula1>
            <xm:f>Sheet2!$D$1:$D$11</xm:f>
          </x14:formula1>
          <xm:sqref>F124:F131</xm:sqref>
        </x14:dataValidation>
        <x14:dataValidation type="list" allowBlank="1" showInputMessage="1" showErrorMessage="1">
          <x14:formula1>
            <xm:f>Sheet2!$D$1:$D$12</xm:f>
          </x14:formula1>
          <xm:sqref>F132:F142</xm:sqref>
        </x14:dataValidation>
        <x14:dataValidation type="list" allowBlank="1" showInputMessage="1" showErrorMessage="1">
          <x14:formula1>
            <xm:f>Sheet2!$D$1:$D$14</xm:f>
          </x14:formula1>
          <xm:sqref>F143:F157</xm:sqref>
        </x14:dataValidation>
        <x14:dataValidation type="list" allowBlank="1" showInputMessage="1" showErrorMessage="1">
          <x14:formula1>
            <xm:f>Sheet2!$E$1:$E$7</xm:f>
          </x14:formula1>
          <xm:sqref>G148:G158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251"/>
  <sheetViews>
    <sheetView zoomScale="85" zoomScaleNormal="85" workbookViewId="0">
      <pane ySplit="1" topLeftCell="A311" activePane="bottomLeft" state="frozen"/>
      <selection pane="bottomLeft" activeCell="I335" sqref="I335"/>
    </sheetView>
  </sheetViews>
  <sheetFormatPr defaultColWidth="14.42578125" defaultRowHeight="15" customHeight="1" x14ac:dyDescent="0.25"/>
  <cols>
    <col min="1" max="1" width="14.85546875" customWidth="1"/>
    <col min="2" max="2" width="11.7109375" customWidth="1"/>
    <col min="3" max="3" width="20" customWidth="1"/>
    <col min="4" max="5" width="13" bestFit="1" customWidth="1"/>
    <col min="6" max="6" width="25" style="73" customWidth="1"/>
    <col min="7" max="9" width="16" customWidth="1"/>
    <col min="10" max="10" width="16" style="230" customWidth="1"/>
    <col min="11" max="11" width="25.85546875" customWidth="1"/>
    <col min="12" max="12" width="12.140625" customWidth="1"/>
    <col min="13" max="13" width="19.7109375" bestFit="1" customWidth="1"/>
    <col min="14" max="14" width="8.7109375" customWidth="1"/>
    <col min="15" max="15" width="19" customWidth="1"/>
    <col min="16" max="16" width="12.28515625" customWidth="1"/>
    <col min="17" max="17" width="16" customWidth="1"/>
    <col min="18" max="18" width="18.85546875" customWidth="1"/>
    <col min="19" max="19" width="11.7109375" customWidth="1"/>
    <col min="20" max="20" width="6" customWidth="1"/>
    <col min="21" max="21" width="15.28515625" customWidth="1"/>
    <col min="22" max="22" width="17.85546875" customWidth="1"/>
    <col min="23" max="24" width="8.5703125" customWidth="1"/>
    <col min="25" max="25" width="10.7109375" customWidth="1"/>
    <col min="26" max="26" width="4.5703125" customWidth="1"/>
    <col min="27" max="27" width="16.5703125" customWidth="1"/>
    <col min="28" max="28" width="7.28515625" customWidth="1"/>
    <col min="29" max="29" width="11.28515625" customWidth="1"/>
    <col min="30" max="30" width="10.140625" customWidth="1"/>
    <col min="31" max="31" width="6.5703125" customWidth="1"/>
    <col min="32" max="32" width="16.140625" customWidth="1"/>
    <col min="33" max="33" width="11.5703125" customWidth="1"/>
    <col min="34" max="34" width="14" customWidth="1"/>
    <col min="35" max="35" width="30.7109375" customWidth="1"/>
    <col min="36" max="36" width="20.5703125" customWidth="1"/>
    <col min="37" max="37" width="8" customWidth="1"/>
    <col min="38" max="38" width="12.7109375" customWidth="1"/>
    <col min="39" max="39" width="5.42578125" customWidth="1"/>
    <col min="40" max="40" width="12.140625" customWidth="1"/>
    <col min="41" max="41" width="18.28515625" customWidth="1"/>
    <col min="42" max="42" width="13.85546875" customWidth="1"/>
    <col min="43" max="43" width="11.7109375" customWidth="1"/>
    <col min="44" max="44" width="12.140625" customWidth="1"/>
    <col min="45" max="45" width="15.140625" customWidth="1"/>
    <col min="46" max="46" width="12.42578125" customWidth="1"/>
    <col min="47" max="47" width="26" customWidth="1"/>
    <col min="48" max="48" width="15.7109375" customWidth="1"/>
    <col min="49" max="49" width="6.42578125" customWidth="1"/>
    <col min="50" max="50" width="10.28515625" customWidth="1"/>
    <col min="51" max="60" width="5" customWidth="1"/>
    <col min="61" max="61" width="6" customWidth="1"/>
    <col min="62" max="62" width="7.28515625" customWidth="1"/>
    <col min="63" max="63" width="11.28515625" customWidth="1"/>
  </cols>
  <sheetData>
    <row r="1" spans="1:13" x14ac:dyDescent="0.25">
      <c r="A1" s="275" t="s">
        <v>1</v>
      </c>
      <c r="B1" s="276" t="s">
        <v>61</v>
      </c>
      <c r="C1" s="276" t="s">
        <v>2</v>
      </c>
      <c r="D1" s="276" t="s">
        <v>32</v>
      </c>
      <c r="E1" s="276" t="s">
        <v>33</v>
      </c>
      <c r="F1" s="277" t="s">
        <v>605</v>
      </c>
      <c r="G1" s="276" t="s">
        <v>616</v>
      </c>
      <c r="H1" s="276" t="s">
        <v>5</v>
      </c>
      <c r="I1" s="276" t="s">
        <v>668</v>
      </c>
      <c r="J1" s="278" t="s">
        <v>617</v>
      </c>
      <c r="K1" s="276" t="s">
        <v>3</v>
      </c>
      <c r="L1" s="276" t="s">
        <v>34</v>
      </c>
      <c r="M1" s="279" t="s">
        <v>8</v>
      </c>
    </row>
    <row r="2" spans="1:13" x14ac:dyDescent="0.25">
      <c r="A2" s="271"/>
      <c r="B2" s="36"/>
      <c r="C2" s="36" t="s">
        <v>62</v>
      </c>
      <c r="D2" s="30">
        <f>'Aug 2025 - Sales'!D162</f>
        <v>63725</v>
      </c>
      <c r="E2" s="36"/>
      <c r="F2" s="250"/>
      <c r="G2" s="36"/>
      <c r="H2" s="36"/>
      <c r="I2" s="36"/>
      <c r="J2" s="223"/>
      <c r="K2" s="36"/>
      <c r="L2" s="36"/>
      <c r="M2" s="273"/>
    </row>
    <row r="3" spans="1:13" x14ac:dyDescent="0.25">
      <c r="A3" s="271">
        <v>45901</v>
      </c>
      <c r="B3" s="36" t="s">
        <v>721</v>
      </c>
      <c r="C3" s="69" t="s">
        <v>32</v>
      </c>
      <c r="D3" s="37">
        <v>340</v>
      </c>
      <c r="E3" s="78"/>
      <c r="F3" s="251" t="s">
        <v>521</v>
      </c>
      <c r="G3" s="78"/>
      <c r="H3" s="78"/>
      <c r="I3" s="78"/>
      <c r="J3" s="224"/>
      <c r="K3" s="78"/>
      <c r="L3" s="36"/>
      <c r="M3" s="273"/>
    </row>
    <row r="4" spans="1:13" x14ac:dyDescent="0.25">
      <c r="A4" s="271">
        <v>45901</v>
      </c>
      <c r="B4" s="289" t="s">
        <v>722</v>
      </c>
      <c r="C4" s="69" t="s">
        <v>32</v>
      </c>
      <c r="D4" s="37">
        <v>80</v>
      </c>
      <c r="E4" s="78"/>
      <c r="F4" s="251" t="s">
        <v>707</v>
      </c>
      <c r="G4" s="78"/>
      <c r="H4" s="78"/>
      <c r="I4" s="78"/>
      <c r="J4" s="224"/>
      <c r="K4" s="78"/>
      <c r="L4" s="36"/>
      <c r="M4" s="273"/>
    </row>
    <row r="5" spans="1:13" x14ac:dyDescent="0.25">
      <c r="A5" s="271">
        <v>45901</v>
      </c>
      <c r="B5" s="36" t="s">
        <v>723</v>
      </c>
      <c r="C5" s="69" t="s">
        <v>32</v>
      </c>
      <c r="D5" s="37">
        <v>100</v>
      </c>
      <c r="E5" s="70"/>
      <c r="F5" s="252" t="s">
        <v>141</v>
      </c>
      <c r="G5" s="70"/>
      <c r="H5" s="70"/>
      <c r="I5" s="70"/>
      <c r="J5" s="223"/>
      <c r="K5" s="70"/>
      <c r="L5" s="36"/>
      <c r="M5" s="273"/>
    </row>
    <row r="6" spans="1:13" x14ac:dyDescent="0.25">
      <c r="A6" s="271">
        <v>45901</v>
      </c>
      <c r="B6" s="289" t="s">
        <v>724</v>
      </c>
      <c r="C6" s="69" t="s">
        <v>32</v>
      </c>
      <c r="D6" s="37">
        <v>400</v>
      </c>
      <c r="E6" s="70"/>
      <c r="F6" s="252" t="s">
        <v>142</v>
      </c>
      <c r="G6" s="70"/>
      <c r="H6" s="70"/>
      <c r="I6" s="70"/>
      <c r="J6" s="223"/>
      <c r="K6" s="70"/>
      <c r="L6" s="36"/>
      <c r="M6" s="273"/>
    </row>
    <row r="7" spans="1:13" x14ac:dyDescent="0.25">
      <c r="A7" s="271">
        <v>45901</v>
      </c>
      <c r="B7" s="36" t="s">
        <v>725</v>
      </c>
      <c r="C7" s="69" t="s">
        <v>32</v>
      </c>
      <c r="D7" s="37">
        <v>240</v>
      </c>
      <c r="E7" s="70"/>
      <c r="F7" s="252" t="s">
        <v>731</v>
      </c>
      <c r="G7" s="70"/>
      <c r="H7" s="70"/>
      <c r="I7" s="70"/>
      <c r="J7" s="223"/>
      <c r="K7" s="70"/>
      <c r="L7" s="36"/>
      <c r="M7" s="273"/>
    </row>
    <row r="8" spans="1:13" x14ac:dyDescent="0.25">
      <c r="A8" s="271">
        <v>45901</v>
      </c>
      <c r="B8" s="289" t="s">
        <v>726</v>
      </c>
      <c r="C8" s="69" t="s">
        <v>32</v>
      </c>
      <c r="D8" s="37">
        <v>240</v>
      </c>
      <c r="E8" s="78"/>
      <c r="F8" s="251" t="s">
        <v>732</v>
      </c>
      <c r="G8" s="78"/>
      <c r="H8" s="78"/>
      <c r="I8" s="78"/>
      <c r="J8" s="224"/>
      <c r="K8" s="78"/>
      <c r="L8" s="36"/>
      <c r="M8" s="273"/>
    </row>
    <row r="9" spans="1:13" x14ac:dyDescent="0.25">
      <c r="A9" s="271">
        <v>45901</v>
      </c>
      <c r="B9" s="36" t="s">
        <v>727</v>
      </c>
      <c r="C9" s="69" t="s">
        <v>32</v>
      </c>
      <c r="D9" s="37">
        <v>1800</v>
      </c>
      <c r="E9" s="70"/>
      <c r="F9" s="252" t="s">
        <v>733</v>
      </c>
      <c r="G9" s="70"/>
      <c r="H9" s="70"/>
      <c r="I9" s="70"/>
      <c r="J9" s="223"/>
      <c r="K9" s="70"/>
      <c r="L9" s="36"/>
      <c r="M9" s="273"/>
    </row>
    <row r="10" spans="1:13" x14ac:dyDescent="0.25">
      <c r="A10" s="271">
        <v>45901</v>
      </c>
      <c r="B10" s="289"/>
      <c r="C10" s="69" t="s">
        <v>33</v>
      </c>
      <c r="D10" s="37"/>
      <c r="E10" s="129">
        <v>50</v>
      </c>
      <c r="F10" s="253"/>
      <c r="G10" s="129"/>
      <c r="H10" s="129"/>
      <c r="I10" s="129"/>
      <c r="J10" s="225"/>
      <c r="K10" s="129"/>
      <c r="L10" s="36"/>
      <c r="M10" s="273"/>
    </row>
    <row r="11" spans="1:13" x14ac:dyDescent="0.25">
      <c r="A11" s="271">
        <v>45901</v>
      </c>
      <c r="B11" s="289"/>
      <c r="C11" s="69" t="s">
        <v>682</v>
      </c>
      <c r="D11" s="37"/>
      <c r="E11" s="129">
        <v>400</v>
      </c>
      <c r="F11" s="253"/>
      <c r="G11" s="129"/>
      <c r="H11" s="129"/>
      <c r="I11" s="129"/>
      <c r="J11" s="225"/>
      <c r="K11" s="129"/>
      <c r="L11" s="36"/>
      <c r="M11" s="273"/>
    </row>
    <row r="12" spans="1:13" x14ac:dyDescent="0.25">
      <c r="A12" s="271">
        <v>45902</v>
      </c>
      <c r="B12" s="289"/>
      <c r="C12" s="69" t="s">
        <v>145</v>
      </c>
      <c r="D12" s="37"/>
      <c r="E12" s="78">
        <v>3900</v>
      </c>
      <c r="F12" s="251"/>
      <c r="G12" s="78" t="s">
        <v>619</v>
      </c>
      <c r="H12" s="78">
        <v>78</v>
      </c>
      <c r="I12" s="78"/>
      <c r="J12" s="224">
        <v>50</v>
      </c>
      <c r="K12" s="78" t="s">
        <v>19</v>
      </c>
      <c r="L12" s="36"/>
      <c r="M12" s="273"/>
    </row>
    <row r="13" spans="1:13" x14ac:dyDescent="0.25">
      <c r="A13" s="271">
        <v>45902</v>
      </c>
      <c r="B13" s="289" t="s">
        <v>728</v>
      </c>
      <c r="C13" s="69" t="s">
        <v>32</v>
      </c>
      <c r="D13" s="37">
        <v>1200</v>
      </c>
      <c r="E13" s="129"/>
      <c r="F13" s="253" t="s">
        <v>739</v>
      </c>
      <c r="G13" s="129"/>
      <c r="H13" s="129"/>
      <c r="I13" s="129"/>
      <c r="J13" s="225"/>
      <c r="K13" s="129"/>
      <c r="L13" s="36"/>
      <c r="M13" s="273"/>
    </row>
    <row r="14" spans="1:13" ht="26.25" x14ac:dyDescent="0.25">
      <c r="A14" s="271">
        <v>45902</v>
      </c>
      <c r="B14" s="36" t="s">
        <v>729</v>
      </c>
      <c r="C14" s="69" t="s">
        <v>32</v>
      </c>
      <c r="D14" s="37">
        <v>1500</v>
      </c>
      <c r="E14" s="129"/>
      <c r="F14" s="253" t="s">
        <v>740</v>
      </c>
      <c r="G14" s="129"/>
      <c r="H14" s="129"/>
      <c r="I14" s="129"/>
      <c r="J14" s="225"/>
      <c r="K14" s="129"/>
      <c r="L14" s="36"/>
      <c r="M14" s="273"/>
    </row>
    <row r="15" spans="1:13" x14ac:dyDescent="0.25">
      <c r="A15" s="271">
        <v>45902</v>
      </c>
      <c r="B15" s="289" t="s">
        <v>730</v>
      </c>
      <c r="C15" s="69" t="s">
        <v>32</v>
      </c>
      <c r="D15" s="37">
        <v>160</v>
      </c>
      <c r="E15" s="129"/>
      <c r="F15" s="253" t="s">
        <v>707</v>
      </c>
      <c r="G15" s="129"/>
      <c r="H15" s="129"/>
      <c r="I15" s="129"/>
      <c r="J15" s="225"/>
      <c r="K15" s="129"/>
      <c r="L15" s="36"/>
      <c r="M15" s="274"/>
    </row>
    <row r="16" spans="1:13" x14ac:dyDescent="0.25">
      <c r="A16" s="271">
        <v>45902</v>
      </c>
      <c r="B16" s="289" t="s">
        <v>734</v>
      </c>
      <c r="C16" s="69" t="s">
        <v>32</v>
      </c>
      <c r="D16" s="37">
        <v>90</v>
      </c>
      <c r="E16" s="129"/>
      <c r="F16" s="253" t="s">
        <v>521</v>
      </c>
      <c r="G16" s="129"/>
      <c r="H16" s="129"/>
      <c r="I16" s="129"/>
      <c r="J16" s="225"/>
      <c r="K16" s="129"/>
      <c r="L16" s="36"/>
      <c r="M16" s="273"/>
    </row>
    <row r="17" spans="1:17" x14ac:dyDescent="0.25">
      <c r="A17" s="271">
        <v>45902</v>
      </c>
      <c r="B17" s="36" t="s">
        <v>735</v>
      </c>
      <c r="C17" s="69" t="s">
        <v>32</v>
      </c>
      <c r="D17" s="37">
        <v>3000</v>
      </c>
      <c r="E17" s="129"/>
      <c r="F17" s="253" t="s">
        <v>741</v>
      </c>
      <c r="G17" s="129"/>
      <c r="H17" s="129"/>
      <c r="I17" s="129"/>
      <c r="J17" s="225"/>
      <c r="K17" s="129"/>
      <c r="L17" s="36"/>
      <c r="M17" s="273"/>
    </row>
    <row r="18" spans="1:17" x14ac:dyDescent="0.25">
      <c r="A18" s="271">
        <v>45902</v>
      </c>
      <c r="B18" s="289"/>
      <c r="C18" s="69" t="s">
        <v>618</v>
      </c>
      <c r="D18" s="37"/>
      <c r="E18" s="37">
        <v>160</v>
      </c>
      <c r="F18" s="254"/>
      <c r="G18" s="37"/>
      <c r="H18" s="37"/>
      <c r="I18" s="37"/>
      <c r="J18" s="223"/>
      <c r="K18" s="37"/>
      <c r="L18" s="36"/>
      <c r="M18" s="273"/>
      <c r="O18" s="73"/>
      <c r="P18" s="79"/>
      <c r="Q18" s="79"/>
    </row>
    <row r="19" spans="1:17" x14ac:dyDescent="0.25">
      <c r="A19" s="271">
        <v>45902</v>
      </c>
      <c r="B19" s="289"/>
      <c r="C19" s="217" t="s">
        <v>33</v>
      </c>
      <c r="D19" s="37"/>
      <c r="E19" s="78">
        <v>100</v>
      </c>
      <c r="F19" s="251"/>
      <c r="G19" s="78"/>
      <c r="H19" s="78"/>
      <c r="I19" s="78"/>
      <c r="J19" s="224"/>
      <c r="K19" s="78"/>
      <c r="L19" s="36"/>
      <c r="M19" s="273"/>
      <c r="O19" s="73"/>
      <c r="P19" s="79"/>
      <c r="Q19" s="79"/>
    </row>
    <row r="20" spans="1:17" x14ac:dyDescent="0.25">
      <c r="A20" s="271">
        <v>45903</v>
      </c>
      <c r="B20" s="289" t="s">
        <v>736</v>
      </c>
      <c r="C20" s="217" t="s">
        <v>32</v>
      </c>
      <c r="D20" s="37">
        <v>1200</v>
      </c>
      <c r="E20" s="129"/>
      <c r="F20" s="253" t="s">
        <v>748</v>
      </c>
      <c r="G20" s="129"/>
      <c r="H20" s="129"/>
      <c r="I20" s="129"/>
      <c r="J20" s="225"/>
      <c r="K20" s="129"/>
      <c r="L20" s="36"/>
      <c r="M20" s="273"/>
      <c r="O20" s="73"/>
      <c r="P20" s="79"/>
      <c r="Q20" s="79"/>
    </row>
    <row r="21" spans="1:17" x14ac:dyDescent="0.25">
      <c r="A21" s="271">
        <v>45903</v>
      </c>
      <c r="B21" s="289"/>
      <c r="C21" s="69" t="s">
        <v>147</v>
      </c>
      <c r="D21" s="37"/>
      <c r="E21" s="78">
        <v>9825</v>
      </c>
      <c r="F21" s="251"/>
      <c r="G21" s="78" t="s">
        <v>623</v>
      </c>
      <c r="H21" s="78">
        <v>75</v>
      </c>
      <c r="I21" s="78">
        <v>450</v>
      </c>
      <c r="J21" s="224">
        <v>125</v>
      </c>
      <c r="K21" s="78" t="s">
        <v>667</v>
      </c>
      <c r="L21" s="36"/>
      <c r="M21" s="273"/>
      <c r="O21" s="73"/>
      <c r="P21" s="79"/>
      <c r="Q21" s="79"/>
    </row>
    <row r="22" spans="1:17" x14ac:dyDescent="0.25">
      <c r="A22" s="271">
        <v>45903</v>
      </c>
      <c r="B22" s="36"/>
      <c r="C22" s="69" t="s">
        <v>145</v>
      </c>
      <c r="D22" s="37"/>
      <c r="E22" s="129">
        <v>8000</v>
      </c>
      <c r="F22" s="253"/>
      <c r="G22" s="129" t="s">
        <v>619</v>
      </c>
      <c r="H22" s="129">
        <v>80</v>
      </c>
      <c r="I22" s="129"/>
      <c r="J22" s="225">
        <v>100</v>
      </c>
      <c r="K22" s="129" t="s">
        <v>19</v>
      </c>
      <c r="L22" s="36"/>
      <c r="M22" s="273"/>
      <c r="O22" s="73"/>
      <c r="P22" s="79"/>
      <c r="Q22" s="79"/>
    </row>
    <row r="23" spans="1:17" x14ac:dyDescent="0.25">
      <c r="A23" s="271">
        <v>45903</v>
      </c>
      <c r="B23" s="289" t="s">
        <v>737</v>
      </c>
      <c r="C23" s="217" t="s">
        <v>32</v>
      </c>
      <c r="D23" s="37">
        <v>825</v>
      </c>
      <c r="E23" s="129"/>
      <c r="F23" s="253" t="s">
        <v>749</v>
      </c>
      <c r="G23" s="129"/>
      <c r="H23" s="129"/>
      <c r="I23" s="129"/>
      <c r="J23" s="225"/>
      <c r="K23" s="129"/>
      <c r="L23" s="36"/>
      <c r="M23" s="273"/>
      <c r="O23" s="73"/>
      <c r="P23" s="79"/>
      <c r="Q23" s="79"/>
    </row>
    <row r="24" spans="1:17" ht="26.25" x14ac:dyDescent="0.25">
      <c r="A24" s="271">
        <v>45903</v>
      </c>
      <c r="B24" s="36" t="s">
        <v>738</v>
      </c>
      <c r="C24" s="69" t="s">
        <v>32</v>
      </c>
      <c r="D24" s="37">
        <v>600</v>
      </c>
      <c r="E24" s="129"/>
      <c r="F24" s="253" t="s">
        <v>750</v>
      </c>
      <c r="G24" s="129"/>
      <c r="H24" s="129"/>
      <c r="I24" s="129"/>
      <c r="J24" s="225"/>
      <c r="K24" s="129"/>
      <c r="L24" s="36"/>
      <c r="M24" s="273"/>
      <c r="O24" s="73"/>
      <c r="P24" s="79"/>
      <c r="Q24" s="79"/>
    </row>
    <row r="25" spans="1:17" x14ac:dyDescent="0.25">
      <c r="A25" s="271">
        <v>45903</v>
      </c>
      <c r="B25" s="289" t="s">
        <v>742</v>
      </c>
      <c r="C25" s="69" t="s">
        <v>32</v>
      </c>
      <c r="D25" s="37">
        <v>2040</v>
      </c>
      <c r="E25" s="129"/>
      <c r="F25" s="253" t="s">
        <v>521</v>
      </c>
      <c r="G25" s="129"/>
      <c r="H25" s="129"/>
      <c r="I25" s="129"/>
      <c r="J25" s="225"/>
      <c r="K25" s="129"/>
      <c r="L25" s="36"/>
      <c r="M25" s="273"/>
      <c r="O25" s="73"/>
      <c r="P25" s="79"/>
      <c r="Q25" s="79"/>
    </row>
    <row r="26" spans="1:17" x14ac:dyDescent="0.25">
      <c r="A26" s="271">
        <v>45903</v>
      </c>
      <c r="B26" s="289" t="s">
        <v>743</v>
      </c>
      <c r="C26" s="69" t="s">
        <v>32</v>
      </c>
      <c r="D26" s="37">
        <v>240</v>
      </c>
      <c r="E26" s="129"/>
      <c r="F26" s="253" t="s">
        <v>707</v>
      </c>
      <c r="G26" s="129"/>
      <c r="H26" s="129"/>
      <c r="I26" s="129"/>
      <c r="J26" s="225"/>
      <c r="K26" s="129"/>
      <c r="L26" s="36"/>
      <c r="M26" s="273"/>
      <c r="O26" s="73"/>
      <c r="P26" s="79"/>
      <c r="Q26" s="79"/>
    </row>
    <row r="27" spans="1:17" ht="26.25" x14ac:dyDescent="0.25">
      <c r="A27" s="271">
        <v>45903</v>
      </c>
      <c r="B27" s="36" t="s">
        <v>744</v>
      </c>
      <c r="C27" s="36" t="s">
        <v>32</v>
      </c>
      <c r="D27" s="37">
        <v>2700</v>
      </c>
      <c r="E27" s="129"/>
      <c r="F27" s="253" t="s">
        <v>740</v>
      </c>
      <c r="G27" s="129"/>
      <c r="H27" s="129"/>
      <c r="I27" s="129"/>
      <c r="J27" s="225"/>
      <c r="K27" s="129"/>
      <c r="L27" s="36"/>
      <c r="M27" s="273"/>
      <c r="O27" s="73"/>
      <c r="P27" s="79"/>
      <c r="Q27" s="79"/>
    </row>
    <row r="28" spans="1:17" x14ac:dyDescent="0.25">
      <c r="A28" s="271">
        <v>45903</v>
      </c>
      <c r="B28" s="289" t="s">
        <v>745</v>
      </c>
      <c r="C28" s="290" t="s">
        <v>32</v>
      </c>
      <c r="D28" s="37">
        <v>2250</v>
      </c>
      <c r="E28" s="78"/>
      <c r="F28" s="251" t="s">
        <v>752</v>
      </c>
      <c r="G28" s="78"/>
      <c r="H28" s="78"/>
      <c r="I28" s="78"/>
      <c r="J28" s="224"/>
      <c r="K28" s="78"/>
      <c r="L28" s="36"/>
      <c r="M28" s="273"/>
      <c r="O28" s="197" t="s">
        <v>163</v>
      </c>
      <c r="P28" s="83" t="s">
        <v>165</v>
      </c>
      <c r="Q28" s="83" t="s">
        <v>164</v>
      </c>
    </row>
    <row r="29" spans="1:17" x14ac:dyDescent="0.25">
      <c r="A29" s="271">
        <v>45903</v>
      </c>
      <c r="B29" s="289" t="s">
        <v>746</v>
      </c>
      <c r="C29" s="290" t="s">
        <v>32</v>
      </c>
      <c r="D29" s="37">
        <v>3900</v>
      </c>
      <c r="E29" s="129"/>
      <c r="F29" s="253" t="s">
        <v>749</v>
      </c>
      <c r="G29" s="129"/>
      <c r="H29" s="129"/>
      <c r="I29" s="129"/>
      <c r="J29" s="225"/>
      <c r="K29" s="129"/>
      <c r="L29" s="36"/>
      <c r="M29" s="273"/>
      <c r="O29" s="198" t="s">
        <v>62</v>
      </c>
      <c r="P29" s="124">
        <v>63725</v>
      </c>
      <c r="Q29" s="124"/>
    </row>
    <row r="30" spans="1:17" ht="26.25" x14ac:dyDescent="0.25">
      <c r="A30" s="271">
        <v>45903</v>
      </c>
      <c r="B30" s="36" t="s">
        <v>747</v>
      </c>
      <c r="C30" s="217" t="s">
        <v>32</v>
      </c>
      <c r="D30" s="37">
        <v>5120</v>
      </c>
      <c r="E30" s="129"/>
      <c r="F30" s="253" t="s">
        <v>751</v>
      </c>
      <c r="G30" s="129"/>
      <c r="H30" s="129"/>
      <c r="I30" s="129"/>
      <c r="J30" s="225"/>
      <c r="K30" s="129"/>
      <c r="L30" s="36"/>
      <c r="M30" s="273"/>
      <c r="O30" s="198" t="s">
        <v>32</v>
      </c>
      <c r="P30" s="124">
        <v>229785</v>
      </c>
      <c r="Q30" s="124"/>
    </row>
    <row r="31" spans="1:17" x14ac:dyDescent="0.25">
      <c r="A31" s="271">
        <v>45903</v>
      </c>
      <c r="B31" s="289" t="s">
        <v>754</v>
      </c>
      <c r="C31" s="69" t="s">
        <v>32</v>
      </c>
      <c r="D31" s="37">
        <v>360</v>
      </c>
      <c r="E31" s="129"/>
      <c r="F31" s="253" t="s">
        <v>753</v>
      </c>
      <c r="G31" s="129"/>
      <c r="H31" s="129"/>
      <c r="I31" s="129"/>
      <c r="J31" s="225"/>
      <c r="K31" s="129"/>
      <c r="L31" s="36"/>
      <c r="M31" s="273"/>
      <c r="O31" s="198" t="s">
        <v>33</v>
      </c>
      <c r="P31" s="124"/>
      <c r="Q31" s="124">
        <v>1770</v>
      </c>
    </row>
    <row r="32" spans="1:17" x14ac:dyDescent="0.25">
      <c r="A32" s="271">
        <v>45903</v>
      </c>
      <c r="B32" s="36"/>
      <c r="C32" s="69" t="s">
        <v>33</v>
      </c>
      <c r="D32" s="37"/>
      <c r="E32" s="129">
        <v>200</v>
      </c>
      <c r="F32" s="253"/>
      <c r="G32" s="129"/>
      <c r="H32" s="129"/>
      <c r="I32" s="129"/>
      <c r="J32" s="225"/>
      <c r="K32" s="129"/>
      <c r="L32" s="36"/>
      <c r="M32" s="273" t="s">
        <v>762</v>
      </c>
      <c r="O32" s="198" t="s">
        <v>682</v>
      </c>
      <c r="P32" s="124"/>
      <c r="Q32" s="124">
        <v>3378</v>
      </c>
    </row>
    <row r="33" spans="1:17" x14ac:dyDescent="0.25">
      <c r="A33" s="271">
        <v>45903</v>
      </c>
      <c r="B33" s="289"/>
      <c r="C33" s="69" t="s">
        <v>682</v>
      </c>
      <c r="D33" s="37"/>
      <c r="E33" s="129">
        <v>638</v>
      </c>
      <c r="F33" s="253"/>
      <c r="G33" s="129"/>
      <c r="H33" s="129"/>
      <c r="I33" s="129"/>
      <c r="J33" s="225"/>
      <c r="K33" s="129"/>
      <c r="L33" s="36"/>
      <c r="M33" s="273" t="s">
        <v>531</v>
      </c>
      <c r="O33" s="198" t="s">
        <v>145</v>
      </c>
      <c r="P33" s="124"/>
      <c r="Q33" s="124">
        <v>45609</v>
      </c>
    </row>
    <row r="34" spans="1:17" x14ac:dyDescent="0.25">
      <c r="A34" s="271">
        <v>45903</v>
      </c>
      <c r="B34" s="36"/>
      <c r="C34" s="69" t="s">
        <v>109</v>
      </c>
      <c r="D34" s="37"/>
      <c r="E34" s="136">
        <v>400</v>
      </c>
      <c r="F34" s="255"/>
      <c r="G34" s="136"/>
      <c r="H34" s="136"/>
      <c r="I34" s="136"/>
      <c r="J34" s="226"/>
      <c r="K34" s="136"/>
      <c r="L34" s="36"/>
      <c r="M34" s="273"/>
      <c r="O34" s="198" t="s">
        <v>618</v>
      </c>
      <c r="P34" s="124"/>
      <c r="Q34" s="124">
        <v>760</v>
      </c>
    </row>
    <row r="35" spans="1:17" x14ac:dyDescent="0.25">
      <c r="A35" s="271">
        <v>45903</v>
      </c>
      <c r="B35" s="289"/>
      <c r="C35" s="69" t="s">
        <v>161</v>
      </c>
      <c r="D35" s="37"/>
      <c r="E35" s="129">
        <v>300</v>
      </c>
      <c r="F35" s="253"/>
      <c r="G35" s="129"/>
      <c r="H35" s="129"/>
      <c r="I35" s="129"/>
      <c r="J35" s="225"/>
      <c r="K35" s="129"/>
      <c r="L35" s="36"/>
      <c r="M35" s="273" t="s">
        <v>763</v>
      </c>
      <c r="O35" s="198" t="s">
        <v>147</v>
      </c>
      <c r="P35" s="124"/>
      <c r="Q35" s="124">
        <v>81350</v>
      </c>
    </row>
    <row r="36" spans="1:17" x14ac:dyDescent="0.25">
      <c r="A36" s="271">
        <v>45903</v>
      </c>
      <c r="B36" s="36"/>
      <c r="C36" s="69" t="s">
        <v>545</v>
      </c>
      <c r="D36" s="37"/>
      <c r="E36" s="78">
        <v>250</v>
      </c>
      <c r="F36" s="251"/>
      <c r="G36" s="78"/>
      <c r="H36" s="78"/>
      <c r="I36" s="78"/>
      <c r="J36" s="224"/>
      <c r="K36" s="78"/>
      <c r="L36" s="36"/>
      <c r="M36" s="273" t="s">
        <v>764</v>
      </c>
      <c r="O36" s="198" t="s">
        <v>109</v>
      </c>
      <c r="P36" s="124"/>
      <c r="Q36" s="124">
        <v>1995</v>
      </c>
    </row>
    <row r="37" spans="1:17" x14ac:dyDescent="0.25">
      <c r="A37" s="271">
        <v>45903</v>
      </c>
      <c r="B37" s="36"/>
      <c r="C37" s="69" t="s">
        <v>33</v>
      </c>
      <c r="D37" s="37"/>
      <c r="E37" s="129">
        <v>40</v>
      </c>
      <c r="F37" s="253"/>
      <c r="G37" s="129"/>
      <c r="H37" s="129"/>
      <c r="I37" s="129"/>
      <c r="J37" s="225"/>
      <c r="K37" s="129"/>
      <c r="L37" s="36"/>
      <c r="M37" s="273"/>
      <c r="O37" s="198" t="s">
        <v>161</v>
      </c>
      <c r="P37" s="124"/>
      <c r="Q37" s="124">
        <v>24400</v>
      </c>
    </row>
    <row r="38" spans="1:17" x14ac:dyDescent="0.25">
      <c r="A38" s="271">
        <v>45904</v>
      </c>
      <c r="B38" s="36" t="s">
        <v>755</v>
      </c>
      <c r="C38" s="69" t="s">
        <v>32</v>
      </c>
      <c r="D38" s="37">
        <v>5700</v>
      </c>
      <c r="E38" s="129"/>
      <c r="F38" s="253" t="s">
        <v>521</v>
      </c>
      <c r="G38" s="129"/>
      <c r="H38" s="129"/>
      <c r="I38" s="129"/>
      <c r="J38" s="225"/>
      <c r="K38" s="129"/>
      <c r="L38" s="36"/>
      <c r="M38" s="273"/>
      <c r="O38" s="198" t="s">
        <v>545</v>
      </c>
      <c r="P38" s="124"/>
      <c r="Q38" s="124">
        <v>1250</v>
      </c>
    </row>
    <row r="39" spans="1:17" x14ac:dyDescent="0.25">
      <c r="A39" s="271">
        <v>45904</v>
      </c>
      <c r="B39" s="289" t="s">
        <v>756</v>
      </c>
      <c r="C39" s="69" t="s">
        <v>32</v>
      </c>
      <c r="D39" s="37">
        <v>8730</v>
      </c>
      <c r="E39" s="129"/>
      <c r="F39" s="253" t="s">
        <v>752</v>
      </c>
      <c r="G39" s="129"/>
      <c r="H39" s="129"/>
      <c r="I39" s="129"/>
      <c r="J39" s="225"/>
      <c r="K39" s="129"/>
      <c r="L39" s="36"/>
      <c r="M39" s="273"/>
      <c r="O39" s="198" t="s">
        <v>546</v>
      </c>
      <c r="P39" s="124"/>
      <c r="Q39" s="124">
        <v>450</v>
      </c>
    </row>
    <row r="40" spans="1:17" ht="26.25" x14ac:dyDescent="0.25">
      <c r="A40" s="271">
        <v>45904</v>
      </c>
      <c r="B40" s="36" t="s">
        <v>757</v>
      </c>
      <c r="C40" s="36" t="s">
        <v>32</v>
      </c>
      <c r="D40" s="37">
        <v>1500</v>
      </c>
      <c r="E40" s="129"/>
      <c r="F40" s="253" t="s">
        <v>740</v>
      </c>
      <c r="G40" s="129"/>
      <c r="H40" s="129"/>
      <c r="I40" s="129"/>
      <c r="J40" s="225"/>
      <c r="K40" s="129"/>
      <c r="L40" s="36"/>
      <c r="M40" s="273"/>
      <c r="O40" s="198" t="s">
        <v>77</v>
      </c>
      <c r="P40" s="124"/>
      <c r="Q40" s="124">
        <v>9000</v>
      </c>
    </row>
    <row r="41" spans="1:17" x14ac:dyDescent="0.25">
      <c r="A41" s="271">
        <v>45904</v>
      </c>
      <c r="B41" s="289" t="s">
        <v>758</v>
      </c>
      <c r="C41" s="36" t="s">
        <v>32</v>
      </c>
      <c r="D41" s="37">
        <v>2250</v>
      </c>
      <c r="E41" s="129"/>
      <c r="F41" s="253" t="s">
        <v>765</v>
      </c>
      <c r="G41" s="129"/>
      <c r="H41" s="129"/>
      <c r="I41" s="129"/>
      <c r="J41" s="225"/>
      <c r="K41" s="129"/>
      <c r="L41" s="36"/>
      <c r="M41" s="273"/>
      <c r="O41" s="198" t="s">
        <v>818</v>
      </c>
      <c r="P41" s="124"/>
      <c r="Q41" s="124">
        <v>2253</v>
      </c>
    </row>
    <row r="42" spans="1:17" x14ac:dyDescent="0.25">
      <c r="A42" s="271">
        <v>45904</v>
      </c>
      <c r="B42" s="36" t="s">
        <v>759</v>
      </c>
      <c r="C42" s="36" t="s">
        <v>32</v>
      </c>
      <c r="D42" s="37">
        <v>1650</v>
      </c>
      <c r="E42" s="129"/>
      <c r="F42" s="253" t="s">
        <v>766</v>
      </c>
      <c r="G42" s="129"/>
      <c r="H42" s="129"/>
      <c r="I42" s="129"/>
      <c r="J42" s="225"/>
      <c r="K42" s="129"/>
      <c r="L42" s="36"/>
      <c r="M42" s="273"/>
      <c r="O42" s="198" t="s">
        <v>207</v>
      </c>
      <c r="P42" s="124"/>
      <c r="Q42" s="124">
        <v>820</v>
      </c>
    </row>
    <row r="43" spans="1:17" x14ac:dyDescent="0.25">
      <c r="A43" s="271">
        <v>45904</v>
      </c>
      <c r="B43" s="289" t="s">
        <v>760</v>
      </c>
      <c r="C43" s="36" t="s">
        <v>32</v>
      </c>
      <c r="D43" s="37">
        <v>320</v>
      </c>
      <c r="E43" s="129"/>
      <c r="F43" s="253" t="s">
        <v>707</v>
      </c>
      <c r="G43" s="129"/>
      <c r="H43" s="129"/>
      <c r="I43" s="129"/>
      <c r="J43" s="225"/>
      <c r="K43" s="129"/>
      <c r="L43" s="36"/>
      <c r="M43" s="273"/>
      <c r="O43" s="198" t="s">
        <v>16</v>
      </c>
      <c r="P43" s="124">
        <v>293510</v>
      </c>
      <c r="Q43" s="124">
        <v>173035</v>
      </c>
    </row>
    <row r="44" spans="1:17" x14ac:dyDescent="0.25">
      <c r="A44" s="271">
        <v>45904</v>
      </c>
      <c r="B44" s="36" t="s">
        <v>761</v>
      </c>
      <c r="C44" s="36" t="s">
        <v>32</v>
      </c>
      <c r="D44" s="37">
        <v>600</v>
      </c>
      <c r="E44" s="129"/>
      <c r="F44" s="253" t="s">
        <v>733</v>
      </c>
      <c r="G44" s="129"/>
      <c r="H44" s="129"/>
      <c r="I44" s="129"/>
      <c r="J44" s="225"/>
      <c r="K44" s="129"/>
      <c r="L44" s="36"/>
      <c r="M44" s="273"/>
    </row>
    <row r="45" spans="1:17" x14ac:dyDescent="0.25">
      <c r="A45" s="271">
        <v>45904</v>
      </c>
      <c r="B45" s="289" t="s">
        <v>767</v>
      </c>
      <c r="C45" s="36" t="s">
        <v>32</v>
      </c>
      <c r="D45" s="37">
        <v>540</v>
      </c>
      <c r="E45" s="129"/>
      <c r="F45" s="253" t="s">
        <v>753</v>
      </c>
      <c r="G45" s="129"/>
      <c r="H45" s="129"/>
      <c r="I45" s="129"/>
      <c r="J45" s="225"/>
      <c r="K45" s="129"/>
      <c r="L45" s="36"/>
      <c r="M45" s="273"/>
      <c r="O45" s="73"/>
      <c r="P45" s="79"/>
      <c r="Q45" s="79"/>
    </row>
    <row r="46" spans="1:17" x14ac:dyDescent="0.25">
      <c r="A46" s="271">
        <v>45904</v>
      </c>
      <c r="B46" s="36" t="s">
        <v>768</v>
      </c>
      <c r="C46" s="69" t="s">
        <v>32</v>
      </c>
      <c r="D46" s="37">
        <v>1500</v>
      </c>
      <c r="E46" s="129"/>
      <c r="F46" s="253" t="s">
        <v>739</v>
      </c>
      <c r="G46" s="129"/>
      <c r="H46" s="129"/>
      <c r="I46" s="129"/>
      <c r="J46" s="225"/>
      <c r="K46" s="129"/>
      <c r="L46" s="36"/>
      <c r="M46" s="273"/>
      <c r="O46" s="73"/>
      <c r="P46" s="79"/>
      <c r="Q46" s="79"/>
    </row>
    <row r="47" spans="1:17" x14ac:dyDescent="0.25">
      <c r="A47" s="271">
        <v>45904</v>
      </c>
      <c r="B47" s="289" t="s">
        <v>769</v>
      </c>
      <c r="C47" s="36" t="s">
        <v>32</v>
      </c>
      <c r="D47" s="37">
        <v>1040</v>
      </c>
      <c r="E47" s="129"/>
      <c r="F47" s="253" t="s">
        <v>521</v>
      </c>
      <c r="G47" s="129"/>
      <c r="H47" s="129"/>
      <c r="I47" s="129"/>
      <c r="J47" s="225"/>
      <c r="K47" s="129"/>
      <c r="L47" s="36"/>
      <c r="M47" s="273"/>
      <c r="O47" s="73"/>
      <c r="P47" s="79"/>
      <c r="Q47" s="79"/>
    </row>
    <row r="48" spans="1:17" x14ac:dyDescent="0.25">
      <c r="A48" s="271">
        <v>45904</v>
      </c>
      <c r="B48" s="36" t="s">
        <v>770</v>
      </c>
      <c r="C48" s="36" t="s">
        <v>32</v>
      </c>
      <c r="D48" s="37">
        <v>5250</v>
      </c>
      <c r="E48" s="129"/>
      <c r="F48" s="253" t="s">
        <v>741</v>
      </c>
      <c r="G48" s="129"/>
      <c r="H48" s="129"/>
      <c r="I48" s="129"/>
      <c r="J48" s="225"/>
      <c r="K48" s="129"/>
      <c r="L48" s="36"/>
      <c r="M48" s="273"/>
      <c r="O48" s="73"/>
      <c r="P48" s="79"/>
      <c r="Q48" s="79"/>
    </row>
    <row r="49" spans="1:17" x14ac:dyDescent="0.25">
      <c r="A49" s="271">
        <v>45904</v>
      </c>
      <c r="B49" s="289" t="s">
        <v>771</v>
      </c>
      <c r="C49" s="36" t="s">
        <v>32</v>
      </c>
      <c r="D49" s="37">
        <v>3600</v>
      </c>
      <c r="E49" s="129"/>
      <c r="F49" s="253" t="s">
        <v>748</v>
      </c>
      <c r="G49" s="129"/>
      <c r="H49" s="129"/>
      <c r="I49" s="129"/>
      <c r="J49" s="225"/>
      <c r="K49" s="129"/>
      <c r="L49" s="36"/>
      <c r="M49" s="273"/>
      <c r="O49" s="73"/>
      <c r="P49" s="79"/>
      <c r="Q49" s="79"/>
    </row>
    <row r="50" spans="1:17" x14ac:dyDescent="0.25">
      <c r="A50" s="271">
        <v>45904</v>
      </c>
      <c r="B50" s="36" t="s">
        <v>772</v>
      </c>
      <c r="C50" s="36" t="s">
        <v>32</v>
      </c>
      <c r="D50" s="37">
        <v>600</v>
      </c>
      <c r="E50" s="129"/>
      <c r="F50" s="253" t="s">
        <v>777</v>
      </c>
      <c r="G50" s="129"/>
      <c r="H50" s="129"/>
      <c r="I50" s="129"/>
      <c r="J50" s="225"/>
      <c r="K50" s="129"/>
      <c r="L50" s="36"/>
      <c r="M50" s="273"/>
      <c r="O50" s="73"/>
      <c r="P50" s="79"/>
      <c r="Q50" s="79"/>
    </row>
    <row r="51" spans="1:17" x14ac:dyDescent="0.25">
      <c r="A51" s="271">
        <v>45904</v>
      </c>
      <c r="B51" s="289"/>
      <c r="C51" s="69" t="s">
        <v>161</v>
      </c>
      <c r="D51" s="37"/>
      <c r="E51" s="129">
        <v>400</v>
      </c>
      <c r="F51" s="253"/>
      <c r="G51" s="129"/>
      <c r="H51" s="129"/>
      <c r="I51" s="129"/>
      <c r="J51" s="225"/>
      <c r="K51" s="129"/>
      <c r="L51" s="36"/>
      <c r="M51" s="273"/>
      <c r="O51" s="73"/>
      <c r="P51" s="79"/>
      <c r="Q51" s="79"/>
    </row>
    <row r="52" spans="1:17" x14ac:dyDescent="0.25">
      <c r="A52" s="271">
        <v>45904</v>
      </c>
      <c r="B52" s="36"/>
      <c r="C52" s="69" t="s">
        <v>618</v>
      </c>
      <c r="D52" s="37"/>
      <c r="E52" s="129">
        <v>160</v>
      </c>
      <c r="F52" s="253"/>
      <c r="G52" s="129"/>
      <c r="H52" s="129"/>
      <c r="I52" s="129"/>
      <c r="J52" s="225"/>
      <c r="K52" s="129"/>
      <c r="L52" s="36"/>
      <c r="M52" s="273"/>
      <c r="O52" s="72" t="s">
        <v>163</v>
      </c>
      <c r="P52" t="s">
        <v>165</v>
      </c>
    </row>
    <row r="53" spans="1:17" x14ac:dyDescent="0.25">
      <c r="A53" s="271">
        <v>45904</v>
      </c>
      <c r="B53" s="289"/>
      <c r="C53" s="69" t="s">
        <v>33</v>
      </c>
      <c r="D53" s="37"/>
      <c r="E53" s="129">
        <v>60</v>
      </c>
      <c r="F53" s="253"/>
      <c r="G53" s="129"/>
      <c r="H53" s="129"/>
      <c r="I53" s="129"/>
      <c r="J53" s="225"/>
      <c r="K53" s="129"/>
      <c r="L53" s="36"/>
      <c r="M53" s="273"/>
      <c r="O53" s="73" t="s">
        <v>740</v>
      </c>
      <c r="P53" s="137">
        <v>25200</v>
      </c>
    </row>
    <row r="54" spans="1:17" x14ac:dyDescent="0.25">
      <c r="A54" s="271">
        <v>45904</v>
      </c>
      <c r="B54" s="36"/>
      <c r="C54" s="69" t="s">
        <v>546</v>
      </c>
      <c r="D54" s="37"/>
      <c r="E54" s="78">
        <v>200</v>
      </c>
      <c r="F54" s="251"/>
      <c r="G54" s="78"/>
      <c r="H54" s="78"/>
      <c r="I54" s="78"/>
      <c r="J54" s="224"/>
      <c r="K54" s="78"/>
      <c r="L54" s="36"/>
      <c r="M54" s="273"/>
      <c r="O54" s="73" t="s">
        <v>837</v>
      </c>
      <c r="P54" s="137">
        <v>2250</v>
      </c>
    </row>
    <row r="55" spans="1:17" x14ac:dyDescent="0.25">
      <c r="A55" s="271">
        <v>45905</v>
      </c>
      <c r="B55" s="289"/>
      <c r="C55" s="69" t="s">
        <v>145</v>
      </c>
      <c r="D55" s="37"/>
      <c r="E55" s="129">
        <v>3900</v>
      </c>
      <c r="F55" s="253"/>
      <c r="G55" s="129" t="s">
        <v>619</v>
      </c>
      <c r="H55" s="129">
        <v>78</v>
      </c>
      <c r="I55" s="129"/>
      <c r="J55" s="225">
        <v>50</v>
      </c>
      <c r="K55" s="129" t="s">
        <v>19</v>
      </c>
      <c r="L55" s="36"/>
      <c r="M55" s="273"/>
      <c r="O55" s="73" t="s">
        <v>741</v>
      </c>
      <c r="P55" s="137">
        <v>29430</v>
      </c>
    </row>
    <row r="56" spans="1:17" x14ac:dyDescent="0.25">
      <c r="A56" s="271">
        <v>45905</v>
      </c>
      <c r="B56" s="289" t="s">
        <v>773</v>
      </c>
      <c r="C56" s="69" t="s">
        <v>32</v>
      </c>
      <c r="D56" s="37">
        <v>640</v>
      </c>
      <c r="E56" s="129"/>
      <c r="F56" s="253" t="s">
        <v>709</v>
      </c>
      <c r="G56" s="129"/>
      <c r="H56" s="129"/>
      <c r="I56" s="129"/>
      <c r="J56" s="225"/>
      <c r="K56" s="129"/>
      <c r="L56" s="36"/>
      <c r="M56" s="273"/>
      <c r="O56" s="73" t="s">
        <v>875</v>
      </c>
      <c r="P56" s="137">
        <v>1200</v>
      </c>
    </row>
    <row r="57" spans="1:17" x14ac:dyDescent="0.25">
      <c r="A57" s="271">
        <v>45905</v>
      </c>
      <c r="B57" s="36" t="s">
        <v>774</v>
      </c>
      <c r="C57" s="36" t="s">
        <v>32</v>
      </c>
      <c r="D57" s="37">
        <v>80</v>
      </c>
      <c r="E57" s="129"/>
      <c r="F57" s="253" t="s">
        <v>749</v>
      </c>
      <c r="G57" s="129"/>
      <c r="H57" s="129"/>
      <c r="I57" s="129"/>
      <c r="J57" s="225"/>
      <c r="K57" s="129"/>
      <c r="L57" s="36"/>
      <c r="M57" s="273"/>
      <c r="O57" s="73" t="s">
        <v>141</v>
      </c>
      <c r="P57" s="137">
        <v>400</v>
      </c>
    </row>
    <row r="58" spans="1:17" x14ac:dyDescent="0.25">
      <c r="A58" s="271">
        <v>45905</v>
      </c>
      <c r="B58" s="292" t="s">
        <v>775</v>
      </c>
      <c r="C58" s="36" t="s">
        <v>32</v>
      </c>
      <c r="D58" s="37">
        <v>260</v>
      </c>
      <c r="E58" s="129"/>
      <c r="F58" s="253" t="s">
        <v>521</v>
      </c>
      <c r="G58" s="129"/>
      <c r="H58" s="129"/>
      <c r="I58" s="129"/>
      <c r="J58" s="225"/>
      <c r="K58" s="129"/>
      <c r="L58" s="36"/>
      <c r="M58" s="273"/>
      <c r="O58" s="73" t="s">
        <v>804</v>
      </c>
      <c r="P58" s="137">
        <v>5500</v>
      </c>
    </row>
    <row r="59" spans="1:17" x14ac:dyDescent="0.25">
      <c r="A59" s="271">
        <v>45905</v>
      </c>
      <c r="B59" s="291" t="s">
        <v>776</v>
      </c>
      <c r="C59" s="36" t="s">
        <v>32</v>
      </c>
      <c r="D59" s="37">
        <v>320</v>
      </c>
      <c r="E59" s="129"/>
      <c r="F59" s="253" t="s">
        <v>778</v>
      </c>
      <c r="G59" s="129"/>
      <c r="H59" s="129"/>
      <c r="I59" s="129"/>
      <c r="J59" s="225"/>
      <c r="K59" s="129"/>
      <c r="L59" s="36"/>
      <c r="M59" s="273"/>
      <c r="O59" s="73" t="s">
        <v>794</v>
      </c>
      <c r="P59" s="137">
        <v>3040</v>
      </c>
    </row>
    <row r="60" spans="1:17" x14ac:dyDescent="0.25">
      <c r="A60" s="271">
        <v>45905</v>
      </c>
      <c r="B60" s="291"/>
      <c r="C60" s="69" t="s">
        <v>33</v>
      </c>
      <c r="D60" s="37"/>
      <c r="E60" s="129">
        <v>50</v>
      </c>
      <c r="F60" s="253"/>
      <c r="G60" s="129"/>
      <c r="H60" s="129"/>
      <c r="I60" s="129"/>
      <c r="J60" s="225"/>
      <c r="K60" s="129"/>
      <c r="L60" s="36"/>
      <c r="M60" s="273"/>
      <c r="O60" s="73" t="s">
        <v>749</v>
      </c>
      <c r="P60" s="137">
        <v>8115</v>
      </c>
    </row>
    <row r="61" spans="1:17" x14ac:dyDescent="0.25">
      <c r="A61" s="271">
        <v>45905</v>
      </c>
      <c r="B61" s="292"/>
      <c r="C61" s="69" t="s">
        <v>77</v>
      </c>
      <c r="D61" s="37"/>
      <c r="E61" s="129">
        <v>9000</v>
      </c>
      <c r="F61" s="253"/>
      <c r="G61" s="129"/>
      <c r="H61" s="129"/>
      <c r="I61" s="129"/>
      <c r="J61" s="225"/>
      <c r="K61" s="129"/>
      <c r="L61" s="36"/>
      <c r="M61" s="273"/>
      <c r="O61" s="73" t="s">
        <v>858</v>
      </c>
      <c r="P61" s="137">
        <v>3000</v>
      </c>
    </row>
    <row r="62" spans="1:17" x14ac:dyDescent="0.25">
      <c r="A62" s="271">
        <v>45905</v>
      </c>
      <c r="B62" s="292" t="s">
        <v>779</v>
      </c>
      <c r="C62" s="69" t="s">
        <v>32</v>
      </c>
      <c r="D62" s="37">
        <v>720</v>
      </c>
      <c r="E62" s="129"/>
      <c r="F62" s="253" t="s">
        <v>753</v>
      </c>
      <c r="G62" s="129"/>
      <c r="H62" s="129"/>
      <c r="I62" s="129"/>
      <c r="J62" s="225"/>
      <c r="K62" s="129"/>
      <c r="L62" s="36"/>
      <c r="M62" s="273"/>
      <c r="O62" s="73" t="s">
        <v>733</v>
      </c>
      <c r="P62" s="137">
        <v>9370</v>
      </c>
    </row>
    <row r="63" spans="1:17" x14ac:dyDescent="0.25">
      <c r="A63" s="271">
        <v>45906</v>
      </c>
      <c r="B63" s="291" t="s">
        <v>780</v>
      </c>
      <c r="C63" s="69" t="s">
        <v>32</v>
      </c>
      <c r="D63" s="37">
        <v>600</v>
      </c>
      <c r="E63" s="129"/>
      <c r="F63" s="253" t="s">
        <v>777</v>
      </c>
      <c r="G63" s="129"/>
      <c r="H63" s="129"/>
      <c r="I63" s="129"/>
      <c r="J63" s="225"/>
      <c r="K63" s="129"/>
      <c r="L63" s="36"/>
      <c r="M63" s="273"/>
      <c r="O63" s="73" t="s">
        <v>521</v>
      </c>
      <c r="P63" s="137">
        <v>24750</v>
      </c>
    </row>
    <row r="64" spans="1:17" x14ac:dyDescent="0.25">
      <c r="A64" s="271">
        <v>45906</v>
      </c>
      <c r="B64" s="292" t="s">
        <v>781</v>
      </c>
      <c r="C64" s="69" t="s">
        <v>32</v>
      </c>
      <c r="D64" s="37">
        <v>1370</v>
      </c>
      <c r="E64" s="129"/>
      <c r="F64" s="253" t="s">
        <v>521</v>
      </c>
      <c r="G64" s="129"/>
      <c r="H64" s="129"/>
      <c r="I64" s="129"/>
      <c r="J64" s="225"/>
      <c r="K64" s="129"/>
      <c r="L64" s="36"/>
      <c r="M64" s="273"/>
      <c r="O64" s="73" t="s">
        <v>739</v>
      </c>
      <c r="P64" s="137">
        <v>4460</v>
      </c>
    </row>
    <row r="65" spans="1:17" x14ac:dyDescent="0.25">
      <c r="A65" s="271">
        <v>45906</v>
      </c>
      <c r="B65" s="291" t="s">
        <v>782</v>
      </c>
      <c r="C65" s="69" t="s">
        <v>32</v>
      </c>
      <c r="D65" s="37">
        <v>400</v>
      </c>
      <c r="E65" s="129"/>
      <c r="F65" s="253" t="s">
        <v>707</v>
      </c>
      <c r="G65" s="129"/>
      <c r="H65" s="129"/>
      <c r="I65" s="129"/>
      <c r="J65" s="225"/>
      <c r="K65" s="129"/>
      <c r="L65" s="36"/>
      <c r="M65" s="273"/>
      <c r="O65" s="73" t="s">
        <v>766</v>
      </c>
      <c r="P65" s="137">
        <v>1650</v>
      </c>
    </row>
    <row r="66" spans="1:17" x14ac:dyDescent="0.25">
      <c r="A66" s="271">
        <v>45906</v>
      </c>
      <c r="B66" s="292" t="s">
        <v>783</v>
      </c>
      <c r="C66" s="69" t="s">
        <v>32</v>
      </c>
      <c r="D66" s="37">
        <v>480</v>
      </c>
      <c r="E66" s="136"/>
      <c r="F66" s="255" t="s">
        <v>794</v>
      </c>
      <c r="G66" s="136"/>
      <c r="H66" s="136"/>
      <c r="I66" s="136"/>
      <c r="J66" s="226"/>
      <c r="K66" s="136"/>
      <c r="L66" s="36"/>
      <c r="M66" s="273"/>
      <c r="O66" s="73" t="s">
        <v>748</v>
      </c>
      <c r="P66" s="137">
        <v>7580</v>
      </c>
    </row>
    <row r="67" spans="1:17" x14ac:dyDescent="0.25">
      <c r="A67" s="271">
        <v>45906</v>
      </c>
      <c r="B67" s="291" t="s">
        <v>784</v>
      </c>
      <c r="C67" s="69" t="s">
        <v>32</v>
      </c>
      <c r="D67" s="37">
        <v>2720</v>
      </c>
      <c r="E67" s="129"/>
      <c r="F67" s="253" t="s">
        <v>521</v>
      </c>
      <c r="G67" s="129"/>
      <c r="H67" s="129"/>
      <c r="I67" s="129"/>
      <c r="J67" s="225"/>
      <c r="K67" s="129"/>
      <c r="L67" s="36"/>
      <c r="M67" s="273"/>
      <c r="O67" s="73" t="s">
        <v>796</v>
      </c>
      <c r="P67" s="137">
        <v>11700</v>
      </c>
    </row>
    <row r="68" spans="1:17" x14ac:dyDescent="0.25">
      <c r="A68" s="271">
        <v>45906</v>
      </c>
      <c r="B68" s="292" t="s">
        <v>785</v>
      </c>
      <c r="C68" s="69" t="s">
        <v>32</v>
      </c>
      <c r="D68" s="37">
        <v>320</v>
      </c>
      <c r="E68" s="129"/>
      <c r="F68" s="253" t="s">
        <v>795</v>
      </c>
      <c r="G68" s="129"/>
      <c r="H68" s="129"/>
      <c r="I68" s="129"/>
      <c r="J68" s="225"/>
      <c r="K68" s="129"/>
      <c r="L68" s="36"/>
      <c r="M68" s="273"/>
      <c r="O68" s="73" t="s">
        <v>142</v>
      </c>
      <c r="P68" s="137">
        <v>900</v>
      </c>
    </row>
    <row r="69" spans="1:17" ht="26.25" x14ac:dyDescent="0.25">
      <c r="A69" s="271">
        <v>45906</v>
      </c>
      <c r="B69" s="291" t="s">
        <v>786</v>
      </c>
      <c r="C69" s="69" t="s">
        <v>32</v>
      </c>
      <c r="D69" s="37">
        <v>160</v>
      </c>
      <c r="E69" s="129"/>
      <c r="F69" s="253" t="s">
        <v>750</v>
      </c>
      <c r="G69" s="129"/>
      <c r="H69" s="129"/>
      <c r="I69" s="129"/>
      <c r="J69" s="225"/>
      <c r="K69" s="129"/>
      <c r="L69" s="36"/>
      <c r="M69" s="273"/>
      <c r="O69" s="73" t="s">
        <v>752</v>
      </c>
      <c r="P69" s="137">
        <v>37540</v>
      </c>
    </row>
    <row r="70" spans="1:17" x14ac:dyDescent="0.25">
      <c r="A70" s="271">
        <v>45906</v>
      </c>
      <c r="B70" s="292" t="s">
        <v>787</v>
      </c>
      <c r="C70" s="69" t="s">
        <v>32</v>
      </c>
      <c r="D70" s="37">
        <v>450</v>
      </c>
      <c r="E70" s="129"/>
      <c r="F70" s="253" t="s">
        <v>521</v>
      </c>
      <c r="G70" s="129"/>
      <c r="H70" s="129"/>
      <c r="I70" s="129"/>
      <c r="J70" s="225"/>
      <c r="K70" s="129"/>
      <c r="L70" s="36"/>
      <c r="M70" s="273"/>
      <c r="O70" s="73" t="s">
        <v>753</v>
      </c>
      <c r="P70" s="137">
        <v>9960</v>
      </c>
      <c r="Q70" s="79"/>
    </row>
    <row r="71" spans="1:17" x14ac:dyDescent="0.25">
      <c r="A71" s="271">
        <v>45906</v>
      </c>
      <c r="B71" s="291" t="s">
        <v>788</v>
      </c>
      <c r="C71" s="69" t="s">
        <v>32</v>
      </c>
      <c r="D71" s="37">
        <v>2250</v>
      </c>
      <c r="E71" s="129"/>
      <c r="F71" s="253" t="s">
        <v>796</v>
      </c>
      <c r="G71" s="129"/>
      <c r="H71" s="129"/>
      <c r="I71" s="129"/>
      <c r="J71" s="225"/>
      <c r="K71" s="129"/>
      <c r="L71" s="36"/>
      <c r="M71" s="273"/>
      <c r="O71" s="73" t="s">
        <v>707</v>
      </c>
      <c r="P71" s="137">
        <v>6360</v>
      </c>
      <c r="Q71" s="79"/>
    </row>
    <row r="72" spans="1:17" ht="26.25" x14ac:dyDescent="0.25">
      <c r="A72" s="271">
        <v>45906</v>
      </c>
      <c r="B72" s="292" t="s">
        <v>789</v>
      </c>
      <c r="C72" s="69" t="s">
        <v>32</v>
      </c>
      <c r="D72" s="37">
        <v>1500</v>
      </c>
      <c r="E72" s="129"/>
      <c r="F72" s="253" t="s">
        <v>740</v>
      </c>
      <c r="G72" s="129"/>
      <c r="H72" s="129"/>
      <c r="I72" s="129"/>
      <c r="J72" s="225"/>
      <c r="K72" s="129"/>
      <c r="L72" s="36"/>
      <c r="M72" s="273"/>
      <c r="O72" s="73" t="s">
        <v>751</v>
      </c>
      <c r="P72" s="137">
        <v>5120</v>
      </c>
      <c r="Q72" s="79"/>
    </row>
    <row r="73" spans="1:17" x14ac:dyDescent="0.25">
      <c r="A73" s="271">
        <v>45906</v>
      </c>
      <c r="B73" s="291" t="s">
        <v>790</v>
      </c>
      <c r="C73" s="69" t="s">
        <v>32</v>
      </c>
      <c r="D73" s="37">
        <v>160</v>
      </c>
      <c r="E73" s="129"/>
      <c r="F73" s="253" t="s">
        <v>797</v>
      </c>
      <c r="G73" s="129"/>
      <c r="H73" s="129"/>
      <c r="I73" s="129"/>
      <c r="J73" s="225"/>
      <c r="K73" s="129"/>
      <c r="L73" s="36"/>
      <c r="M73" s="273"/>
      <c r="O73" s="73" t="s">
        <v>795</v>
      </c>
      <c r="P73" s="137">
        <v>1920</v>
      </c>
      <c r="Q73" s="79"/>
    </row>
    <row r="74" spans="1:17" x14ac:dyDescent="0.25">
      <c r="A74" s="271">
        <v>45906</v>
      </c>
      <c r="B74" s="292" t="s">
        <v>791</v>
      </c>
      <c r="C74" s="69" t="s">
        <v>32</v>
      </c>
      <c r="D74" s="37">
        <v>1120</v>
      </c>
      <c r="E74" s="129"/>
      <c r="F74" s="253" t="s">
        <v>733</v>
      </c>
      <c r="G74" s="129"/>
      <c r="H74" s="129"/>
      <c r="I74" s="129"/>
      <c r="J74" s="225"/>
      <c r="K74" s="129"/>
      <c r="L74" s="36"/>
      <c r="M74" s="273"/>
      <c r="O74" s="73" t="s">
        <v>709</v>
      </c>
      <c r="P74" s="137">
        <v>1840</v>
      </c>
      <c r="Q74" s="79"/>
    </row>
    <row r="75" spans="1:17" x14ac:dyDescent="0.25">
      <c r="A75" s="271">
        <v>45906</v>
      </c>
      <c r="B75" s="291"/>
      <c r="C75" s="69" t="s">
        <v>161</v>
      </c>
      <c r="D75" s="37"/>
      <c r="E75" s="129">
        <v>300</v>
      </c>
      <c r="F75" s="253"/>
      <c r="G75" s="129"/>
      <c r="H75" s="129"/>
      <c r="I75" s="129"/>
      <c r="J75" s="225"/>
      <c r="K75" s="129"/>
      <c r="L75" s="36"/>
      <c r="M75" s="273" t="s">
        <v>763</v>
      </c>
      <c r="O75" s="73" t="s">
        <v>731</v>
      </c>
      <c r="P75" s="137">
        <v>1200</v>
      </c>
      <c r="Q75" s="79"/>
    </row>
    <row r="76" spans="1:17" ht="15.4" customHeight="1" x14ac:dyDescent="0.25">
      <c r="A76" s="271">
        <v>45906</v>
      </c>
      <c r="B76" s="289"/>
      <c r="C76" s="69" t="s">
        <v>33</v>
      </c>
      <c r="D76" s="37"/>
      <c r="E76" s="129">
        <v>50</v>
      </c>
      <c r="F76" s="253"/>
      <c r="G76" s="129"/>
      <c r="H76" s="129"/>
      <c r="I76" s="129"/>
      <c r="J76" s="225"/>
      <c r="K76" s="129"/>
      <c r="L76" s="36"/>
      <c r="M76" s="273"/>
      <c r="O76" s="73" t="s">
        <v>606</v>
      </c>
      <c r="P76" s="137">
        <v>100</v>
      </c>
      <c r="Q76" s="79"/>
    </row>
    <row r="77" spans="1:17" ht="15.4" customHeight="1" x14ac:dyDescent="0.25">
      <c r="A77" s="271">
        <v>45907</v>
      </c>
      <c r="B77" s="289" t="s">
        <v>792</v>
      </c>
      <c r="C77" s="69" t="s">
        <v>32</v>
      </c>
      <c r="D77" s="37">
        <v>750</v>
      </c>
      <c r="E77" s="129"/>
      <c r="F77" s="253" t="s">
        <v>741</v>
      </c>
      <c r="G77" s="129"/>
      <c r="H77" s="129"/>
      <c r="I77" s="129"/>
      <c r="J77" s="225"/>
      <c r="K77" s="129"/>
      <c r="L77" s="36"/>
      <c r="M77" s="273"/>
      <c r="O77" s="73" t="s">
        <v>817</v>
      </c>
      <c r="P77" s="137">
        <v>11120</v>
      </c>
      <c r="Q77" s="79"/>
    </row>
    <row r="78" spans="1:17" ht="15.4" customHeight="1" x14ac:dyDescent="0.25">
      <c r="A78" s="271">
        <v>45907</v>
      </c>
      <c r="B78" s="289" t="s">
        <v>793</v>
      </c>
      <c r="C78" s="69" t="s">
        <v>32</v>
      </c>
      <c r="D78" s="37">
        <v>640</v>
      </c>
      <c r="E78" s="129"/>
      <c r="F78" s="253" t="s">
        <v>798</v>
      </c>
      <c r="G78" s="129"/>
      <c r="H78" s="129"/>
      <c r="I78" s="129"/>
      <c r="J78" s="225"/>
      <c r="K78" s="129"/>
      <c r="L78" s="36"/>
      <c r="M78" s="273"/>
      <c r="O78" s="73" t="s">
        <v>732</v>
      </c>
      <c r="P78" s="137">
        <v>400</v>
      </c>
      <c r="Q78" s="79"/>
    </row>
    <row r="79" spans="1:17" ht="15.4" customHeight="1" x14ac:dyDescent="0.25">
      <c r="A79" s="271">
        <v>45907</v>
      </c>
      <c r="B79" s="36" t="s">
        <v>799</v>
      </c>
      <c r="C79" s="69" t="s">
        <v>32</v>
      </c>
      <c r="D79" s="37">
        <v>240</v>
      </c>
      <c r="E79" s="129"/>
      <c r="F79" s="253" t="s">
        <v>731</v>
      </c>
      <c r="G79" s="129"/>
      <c r="H79" s="129"/>
      <c r="I79" s="129"/>
      <c r="J79" s="225"/>
      <c r="K79" s="129"/>
      <c r="L79" s="36"/>
      <c r="M79" s="273"/>
      <c r="O79" s="73" t="s">
        <v>777</v>
      </c>
      <c r="P79" s="137">
        <v>2350</v>
      </c>
      <c r="Q79" s="79"/>
    </row>
    <row r="80" spans="1:17" x14ac:dyDescent="0.25">
      <c r="A80" s="271">
        <v>45907</v>
      </c>
      <c r="B80" s="69"/>
      <c r="C80" s="69" t="s">
        <v>33</v>
      </c>
      <c r="D80" s="37"/>
      <c r="E80" s="129">
        <v>50</v>
      </c>
      <c r="F80" s="253"/>
      <c r="G80" s="129"/>
      <c r="H80" s="129"/>
      <c r="I80" s="129"/>
      <c r="J80" s="225"/>
      <c r="K80" s="129"/>
      <c r="L80" s="36"/>
      <c r="M80" s="273"/>
      <c r="O80" s="73" t="s">
        <v>798</v>
      </c>
      <c r="P80" s="137">
        <v>1760</v>
      </c>
      <c r="Q80" s="79"/>
    </row>
    <row r="81" spans="1:17" x14ac:dyDescent="0.25">
      <c r="A81" s="271">
        <v>45908</v>
      </c>
      <c r="B81" s="69"/>
      <c r="C81" s="69" t="s">
        <v>145</v>
      </c>
      <c r="D81" s="37"/>
      <c r="E81" s="136">
        <v>3900</v>
      </c>
      <c r="F81" s="255"/>
      <c r="G81" s="136" t="s">
        <v>619</v>
      </c>
      <c r="H81" s="136">
        <v>78</v>
      </c>
      <c r="I81" s="136"/>
      <c r="J81" s="226">
        <v>50</v>
      </c>
      <c r="K81" s="70" t="s">
        <v>19</v>
      </c>
      <c r="L81" s="36"/>
      <c r="M81" s="273"/>
      <c r="O81" s="73" t="s">
        <v>765</v>
      </c>
      <c r="P81" s="137">
        <v>2410</v>
      </c>
      <c r="Q81" s="79"/>
    </row>
    <row r="82" spans="1:17" x14ac:dyDescent="0.25">
      <c r="A82" s="271">
        <v>45908</v>
      </c>
      <c r="B82" s="69"/>
      <c r="C82" s="69" t="s">
        <v>147</v>
      </c>
      <c r="D82" s="37"/>
      <c r="E82" s="129">
        <v>9000</v>
      </c>
      <c r="F82" s="253"/>
      <c r="G82" s="129" t="s">
        <v>623</v>
      </c>
      <c r="H82" s="129">
        <v>60</v>
      </c>
      <c r="I82" s="129">
        <v>600</v>
      </c>
      <c r="J82" s="225">
        <v>140</v>
      </c>
      <c r="K82" s="129" t="s">
        <v>667</v>
      </c>
      <c r="L82" s="36"/>
      <c r="M82" s="273"/>
      <c r="O82" s="73" t="s">
        <v>797</v>
      </c>
      <c r="P82" s="137">
        <v>820</v>
      </c>
      <c r="Q82" s="79"/>
    </row>
    <row r="83" spans="1:17" x14ac:dyDescent="0.25">
      <c r="A83" s="271">
        <v>45908</v>
      </c>
      <c r="B83" s="69"/>
      <c r="C83" s="69" t="s">
        <v>147</v>
      </c>
      <c r="D83" s="37"/>
      <c r="E83" s="129">
        <v>600</v>
      </c>
      <c r="F83" s="253"/>
      <c r="G83" s="129" t="s">
        <v>800</v>
      </c>
      <c r="H83" s="129">
        <v>60</v>
      </c>
      <c r="I83" s="129"/>
      <c r="J83" s="225">
        <v>10</v>
      </c>
      <c r="K83" s="129" t="s">
        <v>667</v>
      </c>
      <c r="L83" s="36"/>
      <c r="M83" s="273"/>
      <c r="O83" s="73" t="s">
        <v>847</v>
      </c>
      <c r="P83" s="137">
        <v>730</v>
      </c>
      <c r="Q83" s="79"/>
    </row>
    <row r="84" spans="1:17" x14ac:dyDescent="0.25">
      <c r="A84" s="271">
        <v>45908</v>
      </c>
      <c r="B84" s="69" t="s">
        <v>801</v>
      </c>
      <c r="C84" s="69" t="s">
        <v>32</v>
      </c>
      <c r="D84" s="37">
        <v>1200</v>
      </c>
      <c r="E84" s="129"/>
      <c r="F84" s="253" t="s">
        <v>709</v>
      </c>
      <c r="G84" s="129"/>
      <c r="H84" s="129"/>
      <c r="I84" s="129"/>
      <c r="J84" s="225"/>
      <c r="K84" s="129"/>
      <c r="L84" s="36"/>
      <c r="M84" s="273"/>
      <c r="O84" s="73" t="s">
        <v>750</v>
      </c>
      <c r="P84" s="137">
        <v>1240</v>
      </c>
      <c r="Q84" s="79"/>
    </row>
    <row r="85" spans="1:17" x14ac:dyDescent="0.25">
      <c r="A85" s="271">
        <v>45908</v>
      </c>
      <c r="B85" s="69" t="s">
        <v>802</v>
      </c>
      <c r="C85" s="69" t="s">
        <v>32</v>
      </c>
      <c r="D85" s="37">
        <v>450</v>
      </c>
      <c r="E85" s="129"/>
      <c r="F85" s="253" t="s">
        <v>741</v>
      </c>
      <c r="G85" s="129"/>
      <c r="H85" s="129"/>
      <c r="I85" s="129"/>
      <c r="J85" s="225"/>
      <c r="K85" s="129"/>
      <c r="L85" s="36"/>
      <c r="M85" s="273"/>
      <c r="O85" s="73" t="s">
        <v>778</v>
      </c>
      <c r="P85" s="137">
        <v>800</v>
      </c>
      <c r="Q85" s="79"/>
    </row>
    <row r="86" spans="1:17" x14ac:dyDescent="0.25">
      <c r="A86" s="271">
        <v>45908</v>
      </c>
      <c r="B86" s="36" t="s">
        <v>803</v>
      </c>
      <c r="C86" s="69" t="s">
        <v>32</v>
      </c>
      <c r="D86" s="37">
        <v>1600</v>
      </c>
      <c r="E86" s="129"/>
      <c r="F86" s="253" t="s">
        <v>804</v>
      </c>
      <c r="G86" s="129"/>
      <c r="H86" s="129"/>
      <c r="I86" s="129"/>
      <c r="J86" s="225"/>
      <c r="K86" s="129"/>
      <c r="L86" s="36"/>
      <c r="M86" s="273"/>
      <c r="O86" s="73" t="s">
        <v>234</v>
      </c>
      <c r="P86" s="137">
        <v>63725</v>
      </c>
      <c r="Q86" s="79"/>
    </row>
    <row r="87" spans="1:17" x14ac:dyDescent="0.25">
      <c r="A87" s="271">
        <v>45908</v>
      </c>
      <c r="B87" s="36" t="s">
        <v>805</v>
      </c>
      <c r="C87" s="69" t="s">
        <v>32</v>
      </c>
      <c r="D87" s="37">
        <v>540</v>
      </c>
      <c r="E87" s="129"/>
      <c r="F87" s="253" t="s">
        <v>753</v>
      </c>
      <c r="G87" s="129"/>
      <c r="H87" s="129"/>
      <c r="I87" s="129"/>
      <c r="J87" s="225"/>
      <c r="K87" s="129"/>
      <c r="L87" s="36"/>
      <c r="M87" s="273"/>
      <c r="O87" s="73" t="s">
        <v>951</v>
      </c>
      <c r="P87" s="137">
        <v>160</v>
      </c>
      <c r="Q87" s="79"/>
    </row>
    <row r="88" spans="1:17" x14ac:dyDescent="0.25">
      <c r="A88" s="271">
        <v>45908</v>
      </c>
      <c r="B88" s="36" t="s">
        <v>806</v>
      </c>
      <c r="C88" s="69" t="s">
        <v>32</v>
      </c>
      <c r="D88" s="37">
        <v>240</v>
      </c>
      <c r="E88" s="129"/>
      <c r="F88" s="253" t="s">
        <v>707</v>
      </c>
      <c r="G88" s="129"/>
      <c r="H88" s="129"/>
      <c r="I88" s="129"/>
      <c r="J88" s="225"/>
      <c r="K88" s="129"/>
      <c r="L88" s="36"/>
      <c r="M88" s="274"/>
      <c r="O88" s="73" t="s">
        <v>978</v>
      </c>
      <c r="P88" s="137">
        <v>1500</v>
      </c>
      <c r="Q88" s="79"/>
    </row>
    <row r="89" spans="1:17" x14ac:dyDescent="0.25">
      <c r="A89" s="271">
        <v>45908</v>
      </c>
      <c r="B89" s="36" t="s">
        <v>807</v>
      </c>
      <c r="C89" s="69" t="s">
        <v>32</v>
      </c>
      <c r="D89" s="37">
        <v>760</v>
      </c>
      <c r="E89" s="129"/>
      <c r="F89" s="253" t="s">
        <v>521</v>
      </c>
      <c r="G89" s="129"/>
      <c r="H89" s="129"/>
      <c r="I89" s="129"/>
      <c r="J89" s="225"/>
      <c r="K89" s="129"/>
      <c r="L89" s="36"/>
      <c r="M89" s="273"/>
      <c r="O89" s="73" t="s">
        <v>986</v>
      </c>
      <c r="P89" s="137">
        <v>3750</v>
      </c>
      <c r="Q89" s="79"/>
    </row>
    <row r="90" spans="1:17" x14ac:dyDescent="0.25">
      <c r="A90" s="271">
        <v>45908</v>
      </c>
      <c r="B90" s="36" t="s">
        <v>808</v>
      </c>
      <c r="C90" s="69" t="s">
        <v>32</v>
      </c>
      <c r="D90" s="37">
        <v>300</v>
      </c>
      <c r="E90" s="129"/>
      <c r="F90" s="253" t="s">
        <v>749</v>
      </c>
      <c r="G90" s="129"/>
      <c r="H90" s="129"/>
      <c r="I90" s="129"/>
      <c r="J90" s="225"/>
      <c r="K90" s="129"/>
      <c r="L90" s="36"/>
      <c r="M90" s="273"/>
      <c r="O90" s="73" t="s">
        <v>1012</v>
      </c>
      <c r="P90" s="137">
        <v>160</v>
      </c>
      <c r="Q90" s="79"/>
    </row>
    <row r="91" spans="1:17" ht="26.25" x14ac:dyDescent="0.25">
      <c r="A91" s="271">
        <v>45908</v>
      </c>
      <c r="B91" s="36" t="s">
        <v>809</v>
      </c>
      <c r="C91" s="69" t="s">
        <v>32</v>
      </c>
      <c r="D91" s="37">
        <v>1500</v>
      </c>
      <c r="E91" s="129"/>
      <c r="F91" s="253" t="s">
        <v>740</v>
      </c>
      <c r="G91" s="129"/>
      <c r="H91" s="129"/>
      <c r="I91" s="129"/>
      <c r="J91" s="225"/>
      <c r="K91" s="129"/>
      <c r="L91" s="36"/>
      <c r="M91" s="273"/>
      <c r="O91" s="73" t="s">
        <v>16</v>
      </c>
      <c r="P91" s="137">
        <v>293510</v>
      </c>
      <c r="Q91" s="79"/>
    </row>
    <row r="92" spans="1:17" x14ac:dyDescent="0.25">
      <c r="A92" s="271">
        <v>45908</v>
      </c>
      <c r="B92" s="36" t="s">
        <v>810</v>
      </c>
      <c r="C92" s="69" t="s">
        <v>32</v>
      </c>
      <c r="D92" s="37">
        <v>250</v>
      </c>
      <c r="E92" s="129"/>
      <c r="F92" s="253" t="s">
        <v>521</v>
      </c>
      <c r="G92" s="129"/>
      <c r="H92" s="129"/>
      <c r="I92" s="129"/>
      <c r="J92" s="225"/>
      <c r="K92" s="129"/>
      <c r="L92" s="36"/>
      <c r="M92" s="273"/>
      <c r="O92" s="73"/>
      <c r="P92" s="79"/>
      <c r="Q92" s="79"/>
    </row>
    <row r="93" spans="1:17" x14ac:dyDescent="0.25">
      <c r="A93" s="271">
        <v>45908</v>
      </c>
      <c r="B93" s="36"/>
      <c r="C93" s="69" t="s">
        <v>109</v>
      </c>
      <c r="D93" s="37"/>
      <c r="E93" s="129">
        <v>400</v>
      </c>
      <c r="F93" s="253"/>
      <c r="G93" s="129"/>
      <c r="H93" s="129"/>
      <c r="I93" s="129"/>
      <c r="J93" s="225"/>
      <c r="K93" s="129"/>
      <c r="L93" s="36"/>
      <c r="M93" s="273"/>
      <c r="O93" s="73"/>
      <c r="P93" s="79"/>
      <c r="Q93" s="79"/>
    </row>
    <row r="94" spans="1:17" x14ac:dyDescent="0.25">
      <c r="A94" s="271">
        <v>45908</v>
      </c>
      <c r="B94" s="36"/>
      <c r="C94" s="69" t="s">
        <v>161</v>
      </c>
      <c r="D94" s="37"/>
      <c r="E94" s="129">
        <v>300</v>
      </c>
      <c r="F94" s="253"/>
      <c r="G94" s="129"/>
      <c r="H94" s="129"/>
      <c r="I94" s="129"/>
      <c r="J94" s="225"/>
      <c r="K94" s="129"/>
      <c r="L94" s="36"/>
      <c r="M94" s="273"/>
      <c r="O94" s="73"/>
      <c r="P94" s="79"/>
      <c r="Q94" s="79"/>
    </row>
    <row r="95" spans="1:17" x14ac:dyDescent="0.25">
      <c r="A95" s="271">
        <v>45908</v>
      </c>
      <c r="B95" s="36"/>
      <c r="C95" s="69" t="s">
        <v>33</v>
      </c>
      <c r="D95" s="37"/>
      <c r="E95" s="129">
        <v>110</v>
      </c>
      <c r="F95" s="253"/>
      <c r="G95" s="129"/>
      <c r="H95" s="129"/>
      <c r="I95" s="129"/>
      <c r="J95" s="225"/>
      <c r="K95" s="129"/>
      <c r="L95" s="36"/>
      <c r="M95" s="273"/>
      <c r="O95" s="73"/>
      <c r="P95" s="79"/>
      <c r="Q95" s="79"/>
    </row>
    <row r="96" spans="1:17" x14ac:dyDescent="0.25">
      <c r="A96" s="271">
        <v>45908</v>
      </c>
      <c r="B96" s="36"/>
      <c r="C96" s="69" t="s">
        <v>546</v>
      </c>
      <c r="D96" s="37"/>
      <c r="E96" s="129">
        <v>250</v>
      </c>
      <c r="F96" s="253"/>
      <c r="G96" s="129"/>
      <c r="H96" s="129"/>
      <c r="I96" s="129"/>
      <c r="J96" s="225"/>
      <c r="K96" s="129"/>
      <c r="L96" s="36"/>
      <c r="M96" s="273"/>
      <c r="O96" s="73"/>
      <c r="P96" s="79"/>
      <c r="Q96" s="79"/>
    </row>
    <row r="97" spans="1:17" x14ac:dyDescent="0.25">
      <c r="A97" s="271">
        <v>45909</v>
      </c>
      <c r="B97" s="36" t="s">
        <v>811</v>
      </c>
      <c r="C97" s="36" t="s">
        <v>32</v>
      </c>
      <c r="D97" s="37">
        <v>120</v>
      </c>
      <c r="E97" s="129"/>
      <c r="F97" s="253" t="s">
        <v>521</v>
      </c>
      <c r="G97" s="129"/>
      <c r="H97" s="129"/>
      <c r="I97" s="129"/>
      <c r="J97" s="225"/>
      <c r="K97" s="129"/>
      <c r="L97" s="36"/>
      <c r="M97" s="273"/>
      <c r="O97" s="73"/>
      <c r="P97" s="79"/>
      <c r="Q97" s="79"/>
    </row>
    <row r="98" spans="1:17" x14ac:dyDescent="0.25">
      <c r="A98" s="271">
        <v>45909</v>
      </c>
      <c r="B98" s="36" t="s">
        <v>812</v>
      </c>
      <c r="C98" s="69" t="s">
        <v>32</v>
      </c>
      <c r="D98" s="37">
        <v>450</v>
      </c>
      <c r="E98" s="136"/>
      <c r="F98" s="252" t="s">
        <v>741</v>
      </c>
      <c r="G98" s="136"/>
      <c r="H98" s="136"/>
      <c r="I98" s="136"/>
      <c r="J98" s="226"/>
      <c r="K98" s="136"/>
      <c r="L98" s="36"/>
      <c r="M98" s="274"/>
      <c r="O98" s="73"/>
      <c r="P98" s="79"/>
      <c r="Q98" s="79"/>
    </row>
    <row r="99" spans="1:17" x14ac:dyDescent="0.25">
      <c r="A99" s="271">
        <v>45909</v>
      </c>
      <c r="B99" s="36" t="s">
        <v>813</v>
      </c>
      <c r="C99" s="69" t="s">
        <v>32</v>
      </c>
      <c r="D99" s="37">
        <v>980</v>
      </c>
      <c r="E99" s="129"/>
      <c r="F99" s="253" t="s">
        <v>748</v>
      </c>
      <c r="G99" s="129"/>
      <c r="H99" s="129"/>
      <c r="I99" s="129"/>
      <c r="J99" s="225"/>
      <c r="K99" s="129"/>
      <c r="L99" s="36"/>
      <c r="M99" s="273"/>
      <c r="O99" s="73"/>
      <c r="P99" s="79"/>
      <c r="Q99" s="79"/>
    </row>
    <row r="100" spans="1:17" x14ac:dyDescent="0.25">
      <c r="A100" s="271">
        <v>45909</v>
      </c>
      <c r="B100" s="36" t="s">
        <v>814</v>
      </c>
      <c r="C100" s="69" t="s">
        <v>32</v>
      </c>
      <c r="D100" s="37">
        <v>240</v>
      </c>
      <c r="E100" s="129"/>
      <c r="F100" s="253" t="s">
        <v>707</v>
      </c>
      <c r="G100" s="129"/>
      <c r="H100" s="129"/>
      <c r="I100" s="129"/>
      <c r="J100" s="225"/>
      <c r="K100" s="129"/>
      <c r="L100" s="36"/>
      <c r="M100" s="273"/>
      <c r="O100" s="73"/>
      <c r="P100" s="79"/>
      <c r="Q100" s="79"/>
    </row>
    <row r="101" spans="1:17" x14ac:dyDescent="0.25">
      <c r="A101" s="271">
        <v>45909</v>
      </c>
      <c r="B101" s="36" t="s">
        <v>815</v>
      </c>
      <c r="C101" s="69" t="s">
        <v>32</v>
      </c>
      <c r="D101" s="37">
        <v>150</v>
      </c>
      <c r="E101" s="129"/>
      <c r="F101" s="253" t="s">
        <v>749</v>
      </c>
      <c r="G101" s="129"/>
      <c r="H101" s="129"/>
      <c r="I101" s="129"/>
      <c r="J101" s="225"/>
      <c r="K101" s="129"/>
      <c r="L101" s="36"/>
      <c r="M101" s="273"/>
      <c r="O101" s="73"/>
      <c r="P101" s="79"/>
      <c r="Q101" s="79"/>
    </row>
    <row r="102" spans="1:17" x14ac:dyDescent="0.25">
      <c r="A102" s="271">
        <v>45909</v>
      </c>
      <c r="B102" s="36" t="s">
        <v>816</v>
      </c>
      <c r="C102" s="69" t="s">
        <v>32</v>
      </c>
      <c r="D102" s="37">
        <v>640</v>
      </c>
      <c r="E102" s="129"/>
      <c r="F102" s="253" t="s">
        <v>817</v>
      </c>
      <c r="G102" s="129"/>
      <c r="H102" s="129"/>
      <c r="I102" s="129"/>
      <c r="J102" s="225"/>
      <c r="K102" s="129"/>
      <c r="L102" s="36"/>
      <c r="M102" s="273"/>
      <c r="O102" s="73"/>
      <c r="P102" s="79"/>
      <c r="Q102" s="79"/>
    </row>
    <row r="103" spans="1:17" x14ac:dyDescent="0.25">
      <c r="A103" s="271">
        <v>45909</v>
      </c>
      <c r="B103" s="36"/>
      <c r="C103" s="69" t="s">
        <v>618</v>
      </c>
      <c r="D103" s="37"/>
      <c r="E103" s="129">
        <v>160</v>
      </c>
      <c r="F103" s="253"/>
      <c r="G103" s="129"/>
      <c r="H103" s="129"/>
      <c r="I103" s="129"/>
      <c r="J103" s="225"/>
      <c r="K103" s="129"/>
      <c r="L103" s="36"/>
      <c r="M103" s="273"/>
      <c r="O103" s="73"/>
      <c r="P103" s="79"/>
      <c r="Q103" s="79"/>
    </row>
    <row r="104" spans="1:17" x14ac:dyDescent="0.25">
      <c r="A104" s="271">
        <v>45909</v>
      </c>
      <c r="B104" s="36"/>
      <c r="C104" s="69" t="s">
        <v>33</v>
      </c>
      <c r="D104" s="37"/>
      <c r="E104" s="129">
        <v>50</v>
      </c>
      <c r="F104" s="253"/>
      <c r="G104" s="129"/>
      <c r="H104" s="129"/>
      <c r="I104" s="129"/>
      <c r="J104" s="225"/>
      <c r="K104" s="129"/>
      <c r="L104" s="36"/>
      <c r="M104" s="273"/>
      <c r="O104" s="73"/>
      <c r="P104" s="79"/>
      <c r="Q104" s="79"/>
    </row>
    <row r="105" spans="1:17" x14ac:dyDescent="0.25">
      <c r="A105" s="271">
        <v>45909</v>
      </c>
      <c r="B105" s="36"/>
      <c r="C105" s="69" t="s">
        <v>818</v>
      </c>
      <c r="D105" s="37"/>
      <c r="E105" s="129">
        <v>700</v>
      </c>
      <c r="F105" s="253"/>
      <c r="G105" s="129"/>
      <c r="H105" s="129"/>
      <c r="I105" s="129"/>
      <c r="J105" s="225"/>
      <c r="K105" s="129"/>
      <c r="L105" s="36"/>
      <c r="M105" s="273"/>
      <c r="O105" s="73"/>
      <c r="P105" s="79"/>
      <c r="Q105" s="79"/>
    </row>
    <row r="106" spans="1:17" x14ac:dyDescent="0.25">
      <c r="A106" s="271">
        <v>45910</v>
      </c>
      <c r="B106" s="36" t="s">
        <v>819</v>
      </c>
      <c r="C106" s="69" t="s">
        <v>32</v>
      </c>
      <c r="D106" s="37">
        <v>480</v>
      </c>
      <c r="E106" s="129"/>
      <c r="F106" s="253" t="s">
        <v>778</v>
      </c>
      <c r="G106" s="129"/>
      <c r="H106" s="129"/>
      <c r="I106" s="129"/>
      <c r="J106" s="225"/>
      <c r="K106" s="129"/>
      <c r="L106" s="36"/>
      <c r="M106" s="273"/>
      <c r="O106" s="73"/>
      <c r="P106" s="79"/>
      <c r="Q106" s="79"/>
    </row>
    <row r="107" spans="1:17" x14ac:dyDescent="0.25">
      <c r="A107" s="271">
        <v>45910</v>
      </c>
      <c r="B107" s="36" t="s">
        <v>820</v>
      </c>
      <c r="C107" s="69" t="s">
        <v>32</v>
      </c>
      <c r="D107" s="37">
        <v>240</v>
      </c>
      <c r="E107" s="129"/>
      <c r="F107" s="253" t="s">
        <v>707</v>
      </c>
      <c r="G107" s="129"/>
      <c r="H107" s="129"/>
      <c r="I107" s="129"/>
      <c r="J107" s="225"/>
      <c r="K107" s="129"/>
      <c r="L107" s="36"/>
      <c r="M107" s="273"/>
      <c r="O107" s="73"/>
      <c r="P107" s="79"/>
      <c r="Q107" s="79"/>
    </row>
    <row r="108" spans="1:17" x14ac:dyDescent="0.25">
      <c r="A108" s="271">
        <v>45910</v>
      </c>
      <c r="B108" s="36" t="s">
        <v>821</v>
      </c>
      <c r="C108" s="69" t="s">
        <v>32</v>
      </c>
      <c r="D108" s="37">
        <v>360</v>
      </c>
      <c r="E108" s="129"/>
      <c r="F108" s="253" t="s">
        <v>753</v>
      </c>
      <c r="G108" s="129"/>
      <c r="H108" s="129"/>
      <c r="I108" s="129"/>
      <c r="J108" s="225"/>
      <c r="K108" s="129"/>
      <c r="L108" s="36"/>
      <c r="M108" s="273"/>
      <c r="O108" s="73"/>
      <c r="P108" s="79"/>
      <c r="Q108" s="79"/>
    </row>
    <row r="109" spans="1:17" x14ac:dyDescent="0.25">
      <c r="A109" s="271">
        <v>45910</v>
      </c>
      <c r="B109" s="36" t="s">
        <v>822</v>
      </c>
      <c r="C109" s="69" t="s">
        <v>32</v>
      </c>
      <c r="D109" s="37">
        <v>7500</v>
      </c>
      <c r="E109" s="129"/>
      <c r="F109" s="253" t="s">
        <v>796</v>
      </c>
      <c r="G109" s="129"/>
      <c r="H109" s="129"/>
      <c r="I109" s="129"/>
      <c r="J109" s="225"/>
      <c r="K109" s="129"/>
      <c r="L109" s="36"/>
      <c r="M109" s="273"/>
      <c r="O109" s="73"/>
      <c r="P109" s="79"/>
      <c r="Q109" s="79"/>
    </row>
    <row r="110" spans="1:17" x14ac:dyDescent="0.25">
      <c r="A110" s="271">
        <v>45910</v>
      </c>
      <c r="B110" s="36" t="s">
        <v>823</v>
      </c>
      <c r="C110" s="69" t="s">
        <v>32</v>
      </c>
      <c r="D110" s="37">
        <v>170</v>
      </c>
      <c r="E110" s="129"/>
      <c r="F110" s="253" t="s">
        <v>817</v>
      </c>
      <c r="G110" s="129"/>
      <c r="H110" s="129"/>
      <c r="I110" s="129"/>
      <c r="J110" s="225"/>
      <c r="K110" s="129"/>
      <c r="L110" s="36"/>
      <c r="M110" s="273"/>
      <c r="O110" s="73"/>
      <c r="P110" s="79"/>
      <c r="Q110" s="79"/>
    </row>
    <row r="111" spans="1:17" x14ac:dyDescent="0.25">
      <c r="A111" s="271">
        <v>45910</v>
      </c>
      <c r="B111" s="36" t="s">
        <v>824</v>
      </c>
      <c r="C111" s="69" t="s">
        <v>32</v>
      </c>
      <c r="D111" s="37">
        <v>320</v>
      </c>
      <c r="E111" s="129"/>
      <c r="F111" s="253" t="s">
        <v>795</v>
      </c>
      <c r="G111" s="129"/>
      <c r="H111" s="129"/>
      <c r="I111" s="129"/>
      <c r="J111" s="225"/>
      <c r="K111" s="129"/>
      <c r="L111" s="36"/>
      <c r="M111" s="273"/>
      <c r="O111" s="73"/>
      <c r="P111" s="79"/>
      <c r="Q111" s="79"/>
    </row>
    <row r="112" spans="1:17" x14ac:dyDescent="0.25">
      <c r="A112" s="271">
        <v>45910</v>
      </c>
      <c r="B112" s="36" t="s">
        <v>825</v>
      </c>
      <c r="C112" s="69" t="s">
        <v>32</v>
      </c>
      <c r="D112" s="37">
        <v>2250</v>
      </c>
      <c r="E112" s="129"/>
      <c r="F112" s="253" t="s">
        <v>521</v>
      </c>
      <c r="G112" s="129"/>
      <c r="H112" s="129"/>
      <c r="I112" s="129"/>
      <c r="J112" s="225"/>
      <c r="K112" s="129"/>
      <c r="L112" s="36"/>
      <c r="M112" s="273"/>
      <c r="O112" s="73"/>
      <c r="P112" s="79"/>
      <c r="Q112" s="79"/>
    </row>
    <row r="113" spans="1:17" x14ac:dyDescent="0.25">
      <c r="A113" s="271">
        <v>45910</v>
      </c>
      <c r="B113" s="36" t="s">
        <v>826</v>
      </c>
      <c r="C113" s="69" t="s">
        <v>32</v>
      </c>
      <c r="D113" s="37">
        <v>2250</v>
      </c>
      <c r="E113" s="129"/>
      <c r="F113" s="253" t="s">
        <v>741</v>
      </c>
      <c r="G113" s="129"/>
      <c r="H113" s="129"/>
      <c r="I113" s="129"/>
      <c r="J113" s="225"/>
      <c r="K113" s="129"/>
      <c r="L113" s="36"/>
      <c r="M113" s="273"/>
      <c r="O113" s="73"/>
      <c r="P113" s="79"/>
      <c r="Q113" s="79"/>
    </row>
    <row r="114" spans="1:17" x14ac:dyDescent="0.25">
      <c r="A114" s="271">
        <v>45910</v>
      </c>
      <c r="B114" s="36"/>
      <c r="C114" s="36" t="s">
        <v>161</v>
      </c>
      <c r="D114" s="37"/>
      <c r="E114" s="129">
        <v>100</v>
      </c>
      <c r="F114" s="253"/>
      <c r="G114" s="129"/>
      <c r="H114" s="129"/>
      <c r="I114" s="129"/>
      <c r="J114" s="225"/>
      <c r="K114" s="129"/>
      <c r="L114" s="36"/>
      <c r="M114" s="273" t="s">
        <v>763</v>
      </c>
      <c r="O114" s="73"/>
      <c r="P114" s="79"/>
      <c r="Q114" s="79"/>
    </row>
    <row r="115" spans="1:17" x14ac:dyDescent="0.25">
      <c r="A115" s="271">
        <v>45910</v>
      </c>
      <c r="B115" s="36"/>
      <c r="C115" s="69" t="s">
        <v>207</v>
      </c>
      <c r="D115" s="37"/>
      <c r="E115" s="129">
        <v>700</v>
      </c>
      <c r="F115" s="253"/>
      <c r="G115" s="129"/>
      <c r="H115" s="129"/>
      <c r="I115" s="129"/>
      <c r="J115" s="225"/>
      <c r="K115" s="129"/>
      <c r="L115" s="36"/>
      <c r="M115" s="273" t="s">
        <v>827</v>
      </c>
      <c r="O115" s="73"/>
      <c r="P115" s="79"/>
      <c r="Q115" s="79"/>
    </row>
    <row r="116" spans="1:17" x14ac:dyDescent="0.25">
      <c r="A116" s="271">
        <v>45910</v>
      </c>
      <c r="B116" s="36"/>
      <c r="C116" s="69" t="s">
        <v>818</v>
      </c>
      <c r="D116" s="37"/>
      <c r="E116" s="129">
        <v>140</v>
      </c>
      <c r="F116" s="253"/>
      <c r="G116" s="129"/>
      <c r="H116" s="129"/>
      <c r="I116" s="129"/>
      <c r="J116" s="225"/>
      <c r="K116" s="129"/>
      <c r="L116" s="36"/>
      <c r="M116" s="273"/>
      <c r="O116" s="73"/>
      <c r="P116" s="79"/>
      <c r="Q116" s="79"/>
    </row>
    <row r="117" spans="1:17" x14ac:dyDescent="0.25">
      <c r="A117" s="271">
        <v>45910</v>
      </c>
      <c r="B117" s="36"/>
      <c r="C117" s="69" t="s">
        <v>33</v>
      </c>
      <c r="D117" s="37"/>
      <c r="E117" s="129">
        <v>50</v>
      </c>
      <c r="F117" s="253"/>
      <c r="G117" s="129"/>
      <c r="H117" s="129"/>
      <c r="I117" s="129"/>
      <c r="J117" s="225"/>
      <c r="K117" s="129"/>
      <c r="L117" s="36"/>
      <c r="M117" s="273"/>
      <c r="O117" s="73"/>
      <c r="P117" s="79"/>
      <c r="Q117" s="79"/>
    </row>
    <row r="118" spans="1:17" x14ac:dyDescent="0.25">
      <c r="A118" s="271">
        <v>45911</v>
      </c>
      <c r="B118" s="36"/>
      <c r="C118" s="69" t="s">
        <v>147</v>
      </c>
      <c r="D118" s="37"/>
      <c r="E118" s="129">
        <v>27450</v>
      </c>
      <c r="F118" s="253"/>
      <c r="G118" s="129" t="s">
        <v>623</v>
      </c>
      <c r="H118" s="129">
        <v>65</v>
      </c>
      <c r="I118" s="129">
        <v>2100</v>
      </c>
      <c r="J118" s="225">
        <v>390</v>
      </c>
      <c r="K118" s="129" t="s">
        <v>548</v>
      </c>
      <c r="L118" s="36"/>
      <c r="M118" s="273"/>
      <c r="O118" s="73"/>
      <c r="P118" s="79"/>
      <c r="Q118" s="79"/>
    </row>
    <row r="119" spans="1:17" x14ac:dyDescent="0.25">
      <c r="A119" s="271">
        <v>45911</v>
      </c>
      <c r="B119" s="36"/>
      <c r="C119" s="69" t="s">
        <v>147</v>
      </c>
      <c r="D119" s="37"/>
      <c r="E119" s="129">
        <v>6240</v>
      </c>
      <c r="F119" s="253"/>
      <c r="G119" s="129" t="s">
        <v>620</v>
      </c>
      <c r="H119" s="129">
        <v>80</v>
      </c>
      <c r="I119" s="129"/>
      <c r="J119" s="225">
        <v>78</v>
      </c>
      <c r="K119" s="129" t="s">
        <v>548</v>
      </c>
      <c r="L119" s="36"/>
      <c r="M119" s="273"/>
      <c r="O119" s="73"/>
      <c r="P119" s="79"/>
      <c r="Q119" s="79"/>
    </row>
    <row r="120" spans="1:17" x14ac:dyDescent="0.25">
      <c r="A120" s="271">
        <v>45911</v>
      </c>
      <c r="B120" s="36"/>
      <c r="C120" s="69" t="s">
        <v>145</v>
      </c>
      <c r="D120" s="37"/>
      <c r="E120" s="129">
        <v>3900</v>
      </c>
      <c r="F120" s="253"/>
      <c r="G120" s="129" t="s">
        <v>619</v>
      </c>
      <c r="H120" s="129">
        <v>78</v>
      </c>
      <c r="I120" s="129"/>
      <c r="J120" s="225">
        <v>50</v>
      </c>
      <c r="K120" s="129" t="s">
        <v>19</v>
      </c>
      <c r="L120" s="36"/>
      <c r="M120" s="273"/>
      <c r="O120" s="73"/>
      <c r="P120" s="79"/>
      <c r="Q120" s="79"/>
    </row>
    <row r="121" spans="1:17" ht="26.25" x14ac:dyDescent="0.25">
      <c r="A121" s="271">
        <v>45911</v>
      </c>
      <c r="B121" s="36" t="s">
        <v>829</v>
      </c>
      <c r="C121" s="36" t="s">
        <v>32</v>
      </c>
      <c r="D121" s="37">
        <v>1500</v>
      </c>
      <c r="E121" s="129"/>
      <c r="F121" s="253" t="s">
        <v>740</v>
      </c>
      <c r="G121" s="129"/>
      <c r="H121" s="129"/>
      <c r="I121" s="129"/>
      <c r="J121" s="225"/>
      <c r="K121" s="129"/>
      <c r="L121" s="36"/>
      <c r="M121" s="273"/>
      <c r="O121" s="73"/>
      <c r="P121" s="79"/>
      <c r="Q121" s="79"/>
    </row>
    <row r="122" spans="1:17" x14ac:dyDescent="0.25">
      <c r="A122" s="271">
        <v>45911</v>
      </c>
      <c r="B122" s="36" t="s">
        <v>828</v>
      </c>
      <c r="C122" s="69" t="s">
        <v>32</v>
      </c>
      <c r="D122" s="37">
        <v>200</v>
      </c>
      <c r="E122" s="129"/>
      <c r="F122" s="253" t="s">
        <v>707</v>
      </c>
      <c r="G122" s="129"/>
      <c r="H122" s="129"/>
      <c r="I122" s="129"/>
      <c r="J122" s="225"/>
      <c r="K122" s="129"/>
      <c r="L122" s="36"/>
      <c r="M122" s="273"/>
      <c r="O122" s="73"/>
      <c r="P122" s="79"/>
      <c r="Q122" s="79"/>
    </row>
    <row r="123" spans="1:17" x14ac:dyDescent="0.25">
      <c r="A123" s="271">
        <v>45911</v>
      </c>
      <c r="B123" s="36" t="s">
        <v>830</v>
      </c>
      <c r="C123" s="69" t="s">
        <v>32</v>
      </c>
      <c r="D123" s="37">
        <v>2250</v>
      </c>
      <c r="E123" s="129"/>
      <c r="F123" s="253" t="s">
        <v>837</v>
      </c>
      <c r="G123" s="129"/>
      <c r="H123" s="129"/>
      <c r="I123" s="129"/>
      <c r="J123" s="225"/>
      <c r="K123" s="129"/>
      <c r="L123" s="36"/>
      <c r="M123" s="273"/>
      <c r="O123" s="73"/>
      <c r="P123" s="79"/>
      <c r="Q123" s="79"/>
    </row>
    <row r="124" spans="1:17" x14ac:dyDescent="0.25">
      <c r="A124" s="271">
        <v>45911</v>
      </c>
      <c r="B124" s="36" t="s">
        <v>831</v>
      </c>
      <c r="C124" s="69" t="s">
        <v>32</v>
      </c>
      <c r="D124" s="37">
        <v>160</v>
      </c>
      <c r="E124" s="129"/>
      <c r="F124" s="253" t="s">
        <v>817</v>
      </c>
      <c r="G124" s="129"/>
      <c r="H124" s="129"/>
      <c r="I124" s="129"/>
      <c r="J124" s="225"/>
      <c r="K124" s="129"/>
      <c r="L124" s="36"/>
      <c r="M124" s="273"/>
      <c r="O124" s="73"/>
      <c r="P124" s="79"/>
      <c r="Q124" s="79"/>
    </row>
    <row r="125" spans="1:17" x14ac:dyDescent="0.25">
      <c r="A125" s="271">
        <v>45911</v>
      </c>
      <c r="B125" s="36" t="s">
        <v>832</v>
      </c>
      <c r="C125" s="36" t="s">
        <v>32</v>
      </c>
      <c r="D125" s="37">
        <v>360</v>
      </c>
      <c r="E125" s="129"/>
      <c r="F125" s="253" t="s">
        <v>753</v>
      </c>
      <c r="G125" s="129"/>
      <c r="H125" s="129"/>
      <c r="I125" s="129"/>
      <c r="J125" s="225"/>
      <c r="K125" s="129"/>
      <c r="L125" s="36"/>
      <c r="M125" s="273"/>
      <c r="O125" s="73"/>
      <c r="P125" s="79"/>
      <c r="Q125" s="79"/>
    </row>
    <row r="126" spans="1:17" x14ac:dyDescent="0.25">
      <c r="A126" s="271">
        <v>45911</v>
      </c>
      <c r="B126" s="36" t="s">
        <v>833</v>
      </c>
      <c r="C126" s="69" t="s">
        <v>32</v>
      </c>
      <c r="D126" s="37">
        <v>180</v>
      </c>
      <c r="E126" s="129"/>
      <c r="F126" s="253" t="s">
        <v>521</v>
      </c>
      <c r="G126" s="129"/>
      <c r="H126" s="129"/>
      <c r="I126" s="129"/>
      <c r="J126" s="225"/>
      <c r="K126" s="129"/>
      <c r="L126" s="36"/>
      <c r="M126" s="273"/>
    </row>
    <row r="127" spans="1:17" x14ac:dyDescent="0.25">
      <c r="A127" s="271">
        <v>45911</v>
      </c>
      <c r="B127" s="36" t="s">
        <v>834</v>
      </c>
      <c r="C127" s="36" t="s">
        <v>32</v>
      </c>
      <c r="D127" s="37">
        <v>800</v>
      </c>
      <c r="E127" s="129"/>
      <c r="F127" s="253" t="s">
        <v>804</v>
      </c>
      <c r="G127" s="129"/>
      <c r="H127" s="129"/>
      <c r="I127" s="129"/>
      <c r="J127" s="225"/>
      <c r="K127" s="129"/>
      <c r="L127" s="36"/>
      <c r="M127" s="273"/>
    </row>
    <row r="128" spans="1:17" x14ac:dyDescent="0.25">
      <c r="A128" s="271">
        <v>45911</v>
      </c>
      <c r="B128" s="36" t="s">
        <v>835</v>
      </c>
      <c r="C128" s="36" t="s">
        <v>32</v>
      </c>
      <c r="D128" s="37">
        <v>2250</v>
      </c>
      <c r="E128" s="129"/>
      <c r="F128" s="253" t="s">
        <v>741</v>
      </c>
      <c r="G128" s="129"/>
      <c r="H128" s="129"/>
      <c r="I128" s="129"/>
      <c r="J128" s="225"/>
      <c r="K128" s="129"/>
      <c r="L128" s="36"/>
      <c r="M128" s="273"/>
    </row>
    <row r="129" spans="1:13" ht="26.25" x14ac:dyDescent="0.25">
      <c r="A129" s="271">
        <v>45911</v>
      </c>
      <c r="B129" s="36" t="s">
        <v>836</v>
      </c>
      <c r="C129" s="36" t="s">
        <v>32</v>
      </c>
      <c r="D129" s="37">
        <v>1500</v>
      </c>
      <c r="E129" s="129"/>
      <c r="F129" s="253" t="s">
        <v>740</v>
      </c>
      <c r="G129" s="129"/>
      <c r="H129" s="129"/>
      <c r="I129" s="129"/>
      <c r="J129" s="225"/>
      <c r="K129" s="129"/>
      <c r="L129" s="36"/>
      <c r="M129" s="273"/>
    </row>
    <row r="130" spans="1:13" x14ac:dyDescent="0.25">
      <c r="A130" s="271">
        <v>45911</v>
      </c>
      <c r="B130" s="36"/>
      <c r="C130" s="69" t="s">
        <v>33</v>
      </c>
      <c r="D130" s="37"/>
      <c r="E130" s="129">
        <v>100</v>
      </c>
      <c r="F130" s="253"/>
      <c r="G130" s="129"/>
      <c r="H130" s="129"/>
      <c r="I130" s="129"/>
      <c r="J130" s="225"/>
      <c r="K130" s="129"/>
      <c r="L130" s="36"/>
      <c r="M130" s="273"/>
    </row>
    <row r="131" spans="1:13" x14ac:dyDescent="0.25">
      <c r="A131" s="271">
        <v>45911</v>
      </c>
      <c r="B131" s="36"/>
      <c r="C131" s="69" t="s">
        <v>818</v>
      </c>
      <c r="D131" s="37"/>
      <c r="E131" s="129">
        <v>58</v>
      </c>
      <c r="F131" s="253"/>
      <c r="G131" s="129"/>
      <c r="H131" s="129"/>
      <c r="I131" s="129"/>
      <c r="J131" s="225"/>
      <c r="K131" s="129"/>
      <c r="L131" s="36"/>
      <c r="M131" s="273"/>
    </row>
    <row r="132" spans="1:13" x14ac:dyDescent="0.25">
      <c r="A132" s="271">
        <v>45912</v>
      </c>
      <c r="B132" s="36" t="s">
        <v>838</v>
      </c>
      <c r="C132" s="69" t="s">
        <v>32</v>
      </c>
      <c r="D132" s="37">
        <v>310</v>
      </c>
      <c r="E132" s="129"/>
      <c r="F132" s="253" t="s">
        <v>839</v>
      </c>
      <c r="G132" s="129"/>
      <c r="H132" s="129"/>
      <c r="I132" s="129"/>
      <c r="J132" s="225"/>
      <c r="K132" s="129"/>
      <c r="L132" s="36"/>
      <c r="M132" s="273"/>
    </row>
    <row r="133" spans="1:13" x14ac:dyDescent="0.25">
      <c r="A133" s="271">
        <v>45912</v>
      </c>
      <c r="B133" s="36" t="s">
        <v>840</v>
      </c>
      <c r="C133" s="69" t="s">
        <v>32</v>
      </c>
      <c r="D133" s="37">
        <v>470</v>
      </c>
      <c r="E133" s="129"/>
      <c r="F133" s="253" t="s">
        <v>521</v>
      </c>
      <c r="G133" s="129"/>
      <c r="H133" s="129"/>
      <c r="I133" s="129"/>
      <c r="J133" s="225"/>
      <c r="K133" s="129"/>
      <c r="L133" s="36"/>
      <c r="M133" s="273"/>
    </row>
    <row r="134" spans="1:13" x14ac:dyDescent="0.25">
      <c r="A134" s="271">
        <v>45912</v>
      </c>
      <c r="B134" s="36" t="s">
        <v>841</v>
      </c>
      <c r="C134" s="69" t="s">
        <v>32</v>
      </c>
      <c r="D134" s="37">
        <v>70</v>
      </c>
      <c r="E134" s="129"/>
      <c r="F134" s="253" t="s">
        <v>817</v>
      </c>
      <c r="G134" s="129"/>
      <c r="H134" s="129"/>
      <c r="I134" s="129"/>
      <c r="J134" s="225"/>
      <c r="K134" s="129"/>
      <c r="L134" s="36"/>
      <c r="M134" s="273"/>
    </row>
    <row r="135" spans="1:13" x14ac:dyDescent="0.25">
      <c r="A135" s="271">
        <v>45912</v>
      </c>
      <c r="B135" s="36" t="s">
        <v>842</v>
      </c>
      <c r="C135" s="69" t="s">
        <v>32</v>
      </c>
      <c r="D135" s="37">
        <v>160</v>
      </c>
      <c r="E135" s="129"/>
      <c r="F135" s="253" t="s">
        <v>847</v>
      </c>
      <c r="G135" s="129"/>
      <c r="H135" s="129"/>
      <c r="I135" s="129"/>
      <c r="J135" s="225"/>
      <c r="K135" s="129"/>
      <c r="L135" s="36"/>
      <c r="M135" s="273"/>
    </row>
    <row r="136" spans="1:13" ht="26.25" x14ac:dyDescent="0.25">
      <c r="A136" s="271">
        <v>45912</v>
      </c>
      <c r="B136" s="36" t="s">
        <v>843</v>
      </c>
      <c r="C136" s="36" t="s">
        <v>32</v>
      </c>
      <c r="D136" s="37">
        <v>480</v>
      </c>
      <c r="E136" s="129"/>
      <c r="F136" s="253" t="s">
        <v>750</v>
      </c>
      <c r="G136" s="129"/>
      <c r="H136" s="129"/>
      <c r="I136" s="129"/>
      <c r="J136" s="225"/>
      <c r="K136" s="129"/>
      <c r="L136" s="36"/>
      <c r="M136" s="273"/>
    </row>
    <row r="137" spans="1:13" x14ac:dyDescent="0.25">
      <c r="A137" s="271">
        <v>45912</v>
      </c>
      <c r="B137" s="36" t="s">
        <v>844</v>
      </c>
      <c r="C137" s="36" t="s">
        <v>32</v>
      </c>
      <c r="D137" s="37">
        <v>240</v>
      </c>
      <c r="E137" s="129"/>
      <c r="F137" s="253" t="s">
        <v>707</v>
      </c>
      <c r="G137" s="129"/>
      <c r="H137" s="129"/>
      <c r="I137" s="129"/>
      <c r="J137" s="225"/>
      <c r="K137" s="129"/>
      <c r="L137" s="36"/>
      <c r="M137" s="273"/>
    </row>
    <row r="138" spans="1:13" x14ac:dyDescent="0.25">
      <c r="A138" s="271">
        <v>45912</v>
      </c>
      <c r="B138" s="36" t="s">
        <v>845</v>
      </c>
      <c r="C138" s="36" t="s">
        <v>32</v>
      </c>
      <c r="D138" s="37">
        <v>320</v>
      </c>
      <c r="E138" s="129"/>
      <c r="F138" s="253" t="s">
        <v>739</v>
      </c>
      <c r="G138" s="129"/>
      <c r="H138" s="129"/>
      <c r="I138" s="129"/>
      <c r="J138" s="225"/>
      <c r="K138" s="129"/>
      <c r="L138" s="36"/>
      <c r="M138" s="273"/>
    </row>
    <row r="139" spans="1:13" x14ac:dyDescent="0.25">
      <c r="A139" s="271">
        <v>45912</v>
      </c>
      <c r="B139" s="36" t="s">
        <v>846</v>
      </c>
      <c r="C139" s="36" t="s">
        <v>32</v>
      </c>
      <c r="D139" s="37">
        <v>360</v>
      </c>
      <c r="E139" s="129"/>
      <c r="F139" s="253" t="s">
        <v>753</v>
      </c>
      <c r="G139" s="129"/>
      <c r="H139" s="129"/>
      <c r="I139" s="129"/>
      <c r="J139" s="225"/>
      <c r="K139" s="129"/>
      <c r="L139" s="36"/>
      <c r="M139" s="273"/>
    </row>
    <row r="140" spans="1:13" x14ac:dyDescent="0.25">
      <c r="A140" s="271">
        <v>45912</v>
      </c>
      <c r="B140" s="36" t="s">
        <v>848</v>
      </c>
      <c r="C140" s="69" t="s">
        <v>32</v>
      </c>
      <c r="D140" s="37">
        <v>160</v>
      </c>
      <c r="E140" s="129"/>
      <c r="F140" s="253" t="s">
        <v>732</v>
      </c>
      <c r="G140" s="129"/>
      <c r="H140" s="129"/>
      <c r="I140" s="129"/>
      <c r="J140" s="225"/>
      <c r="K140" s="129"/>
      <c r="L140" s="36"/>
      <c r="M140" s="273"/>
    </row>
    <row r="141" spans="1:13" x14ac:dyDescent="0.25">
      <c r="A141" s="271">
        <v>45912</v>
      </c>
      <c r="B141" s="36" t="s">
        <v>849</v>
      </c>
      <c r="C141" s="36" t="s">
        <v>32</v>
      </c>
      <c r="D141" s="37">
        <v>2250</v>
      </c>
      <c r="E141" s="129"/>
      <c r="F141" s="253" t="s">
        <v>741</v>
      </c>
      <c r="G141" s="129"/>
      <c r="H141" s="129"/>
      <c r="I141" s="129"/>
      <c r="J141" s="225"/>
      <c r="K141" s="129"/>
      <c r="L141" s="36"/>
      <c r="M141" s="273"/>
    </row>
    <row r="142" spans="1:13" x14ac:dyDescent="0.25">
      <c r="A142" s="271">
        <v>45912</v>
      </c>
      <c r="B142" s="36" t="s">
        <v>850</v>
      </c>
      <c r="C142" s="69" t="s">
        <v>32</v>
      </c>
      <c r="D142" s="37">
        <v>2250</v>
      </c>
      <c r="E142" s="129"/>
      <c r="F142" s="253" t="s">
        <v>752</v>
      </c>
      <c r="G142" s="129"/>
      <c r="H142" s="129"/>
      <c r="I142" s="129"/>
      <c r="J142" s="225"/>
      <c r="K142" s="129"/>
      <c r="L142" s="36"/>
      <c r="M142" s="273"/>
    </row>
    <row r="143" spans="1:13" x14ac:dyDescent="0.25">
      <c r="A143" s="271">
        <v>45912</v>
      </c>
      <c r="B143" s="36"/>
      <c r="C143" s="69" t="s">
        <v>33</v>
      </c>
      <c r="D143" s="37"/>
      <c r="E143" s="129">
        <v>50</v>
      </c>
      <c r="F143" s="253"/>
      <c r="G143" s="129"/>
      <c r="H143" s="129"/>
      <c r="I143" s="129"/>
      <c r="J143" s="225"/>
      <c r="K143" s="129"/>
      <c r="L143" s="36"/>
      <c r="M143" s="273"/>
    </row>
    <row r="144" spans="1:13" x14ac:dyDescent="0.25">
      <c r="A144" s="271">
        <v>45912</v>
      </c>
      <c r="B144" s="36"/>
      <c r="C144" s="69" t="s">
        <v>818</v>
      </c>
      <c r="D144" s="37"/>
      <c r="E144" s="129">
        <v>15</v>
      </c>
      <c r="F144" s="253"/>
      <c r="G144" s="129"/>
      <c r="H144" s="129"/>
      <c r="I144" s="129"/>
      <c r="J144" s="225"/>
      <c r="K144" s="129"/>
      <c r="L144" s="36"/>
      <c r="M144" s="273"/>
    </row>
    <row r="145" spans="1:13" x14ac:dyDescent="0.25">
      <c r="A145" s="271">
        <v>45912</v>
      </c>
      <c r="B145" s="36"/>
      <c r="C145" s="69" t="s">
        <v>161</v>
      </c>
      <c r="D145" s="37"/>
      <c r="E145" s="129">
        <v>1000</v>
      </c>
      <c r="F145" s="253"/>
      <c r="G145" s="129"/>
      <c r="H145" s="129"/>
      <c r="I145" s="129"/>
      <c r="J145" s="225"/>
      <c r="K145" s="129"/>
      <c r="L145" s="36"/>
      <c r="M145" s="273" t="s">
        <v>851</v>
      </c>
    </row>
    <row r="146" spans="1:13" x14ac:dyDescent="0.25">
      <c r="A146" s="302">
        <v>45913</v>
      </c>
      <c r="B146" s="294"/>
      <c r="C146" s="294" t="s">
        <v>145</v>
      </c>
      <c r="D146" s="295"/>
      <c r="E146" s="297">
        <v>3700</v>
      </c>
      <c r="F146" s="300"/>
      <c r="G146" s="297" t="s">
        <v>619</v>
      </c>
      <c r="H146" s="297">
        <v>74</v>
      </c>
      <c r="I146" s="297"/>
      <c r="J146" s="298">
        <v>50</v>
      </c>
      <c r="K146" s="297" t="s">
        <v>19</v>
      </c>
      <c r="L146" s="294"/>
      <c r="M146" s="303"/>
    </row>
    <row r="147" spans="1:13" x14ac:dyDescent="0.25">
      <c r="A147" s="302">
        <v>45913</v>
      </c>
      <c r="B147" s="294" t="s">
        <v>852</v>
      </c>
      <c r="C147" s="294" t="s">
        <v>32</v>
      </c>
      <c r="D147" s="295">
        <v>750</v>
      </c>
      <c r="E147" s="297"/>
      <c r="F147" s="300" t="s">
        <v>741</v>
      </c>
      <c r="G147" s="297"/>
      <c r="H147" s="297"/>
      <c r="I147" s="297"/>
      <c r="J147" s="298"/>
      <c r="K147" s="297"/>
      <c r="L147" s="294"/>
      <c r="M147" s="303"/>
    </row>
    <row r="148" spans="1:13" x14ac:dyDescent="0.25">
      <c r="A148" s="302">
        <v>45913</v>
      </c>
      <c r="B148" s="294" t="s">
        <v>853</v>
      </c>
      <c r="C148" s="294" t="s">
        <v>32</v>
      </c>
      <c r="D148" s="295">
        <v>160</v>
      </c>
      <c r="E148" s="297"/>
      <c r="F148" s="300" t="s">
        <v>765</v>
      </c>
      <c r="G148" s="297"/>
      <c r="H148" s="297"/>
      <c r="I148" s="297"/>
      <c r="J148" s="298"/>
      <c r="K148" s="297"/>
      <c r="L148" s="294"/>
      <c r="M148" s="303"/>
    </row>
    <row r="149" spans="1:13" x14ac:dyDescent="0.25">
      <c r="A149" s="302">
        <v>45913</v>
      </c>
      <c r="B149" s="294" t="s">
        <v>854</v>
      </c>
      <c r="C149" s="294" t="s">
        <v>32</v>
      </c>
      <c r="D149" s="295">
        <v>240</v>
      </c>
      <c r="E149" s="296"/>
      <c r="F149" s="301" t="s">
        <v>731</v>
      </c>
      <c r="G149" s="296"/>
      <c r="H149" s="296"/>
      <c r="I149" s="296"/>
      <c r="J149" s="299"/>
      <c r="K149" s="296"/>
      <c r="L149" s="294"/>
      <c r="M149" s="303"/>
    </row>
    <row r="150" spans="1:13" x14ac:dyDescent="0.25">
      <c r="A150" s="302">
        <v>45913</v>
      </c>
      <c r="B150" s="294" t="s">
        <v>855</v>
      </c>
      <c r="C150" s="294" t="s">
        <v>32</v>
      </c>
      <c r="D150" s="295">
        <v>540</v>
      </c>
      <c r="E150" s="296"/>
      <c r="F150" s="301" t="s">
        <v>753</v>
      </c>
      <c r="G150" s="296"/>
      <c r="H150" s="296"/>
      <c r="I150" s="296"/>
      <c r="J150" s="299"/>
      <c r="K150" s="296"/>
      <c r="L150" s="294"/>
      <c r="M150" s="303"/>
    </row>
    <row r="151" spans="1:13" x14ac:dyDescent="0.25">
      <c r="A151" s="302">
        <v>45913</v>
      </c>
      <c r="B151" s="294" t="s">
        <v>856</v>
      </c>
      <c r="C151" s="294" t="s">
        <v>32</v>
      </c>
      <c r="D151" s="295">
        <v>750</v>
      </c>
      <c r="E151" s="296"/>
      <c r="F151" s="301" t="s">
        <v>752</v>
      </c>
      <c r="G151" s="296"/>
      <c r="H151" s="296"/>
      <c r="I151" s="296"/>
      <c r="J151" s="299"/>
      <c r="K151" s="296"/>
      <c r="L151" s="294"/>
      <c r="M151" s="303"/>
    </row>
    <row r="152" spans="1:13" x14ac:dyDescent="0.25">
      <c r="A152" s="302">
        <v>45913</v>
      </c>
      <c r="B152" s="294" t="s">
        <v>857</v>
      </c>
      <c r="C152" s="294" t="s">
        <v>32</v>
      </c>
      <c r="D152" s="295">
        <v>3000</v>
      </c>
      <c r="E152" s="296"/>
      <c r="F152" s="301" t="s">
        <v>858</v>
      </c>
      <c r="G152" s="296"/>
      <c r="H152" s="296"/>
      <c r="I152" s="296"/>
      <c r="J152" s="299"/>
      <c r="K152" s="296"/>
      <c r="L152" s="294"/>
      <c r="M152" s="303"/>
    </row>
    <row r="153" spans="1:13" x14ac:dyDescent="0.25">
      <c r="A153" s="302">
        <v>45913</v>
      </c>
      <c r="B153" s="294" t="s">
        <v>859</v>
      </c>
      <c r="C153" s="294" t="s">
        <v>32</v>
      </c>
      <c r="D153" s="295">
        <v>90</v>
      </c>
      <c r="E153" s="296"/>
      <c r="F153" s="301" t="s">
        <v>521</v>
      </c>
      <c r="G153" s="296"/>
      <c r="H153" s="296"/>
      <c r="I153" s="296"/>
      <c r="J153" s="299"/>
      <c r="K153" s="296"/>
      <c r="L153" s="294"/>
      <c r="M153" s="303"/>
    </row>
    <row r="154" spans="1:13" x14ac:dyDescent="0.25">
      <c r="A154" s="302">
        <v>45913</v>
      </c>
      <c r="B154" s="294" t="s">
        <v>860</v>
      </c>
      <c r="C154" s="294" t="s">
        <v>32</v>
      </c>
      <c r="D154" s="295">
        <v>640</v>
      </c>
      <c r="E154" s="296"/>
      <c r="F154" s="301" t="s">
        <v>707</v>
      </c>
      <c r="G154" s="296"/>
      <c r="H154" s="296"/>
      <c r="I154" s="296"/>
      <c r="J154" s="299"/>
      <c r="K154" s="296"/>
      <c r="L154" s="294"/>
      <c r="M154" s="303"/>
    </row>
    <row r="155" spans="1:13" x14ac:dyDescent="0.25">
      <c r="A155" s="302">
        <v>45913</v>
      </c>
      <c r="B155" s="294" t="s">
        <v>861</v>
      </c>
      <c r="C155" s="294" t="s">
        <v>32</v>
      </c>
      <c r="D155" s="295">
        <v>340</v>
      </c>
      <c r="E155" s="296"/>
      <c r="F155" s="301" t="s">
        <v>817</v>
      </c>
      <c r="G155" s="296"/>
      <c r="H155" s="296"/>
      <c r="I155" s="296"/>
      <c r="J155" s="299"/>
      <c r="K155" s="296"/>
      <c r="L155" s="294"/>
      <c r="M155" s="303"/>
    </row>
    <row r="156" spans="1:13" x14ac:dyDescent="0.25">
      <c r="A156" s="302">
        <v>45913</v>
      </c>
      <c r="B156" s="294" t="s">
        <v>862</v>
      </c>
      <c r="C156" s="294" t="s">
        <v>32</v>
      </c>
      <c r="D156" s="295">
        <v>200</v>
      </c>
      <c r="E156" s="296"/>
      <c r="F156" s="301" t="s">
        <v>141</v>
      </c>
      <c r="G156" s="296"/>
      <c r="H156" s="296"/>
      <c r="I156" s="296"/>
      <c r="J156" s="299"/>
      <c r="K156" s="296"/>
      <c r="L156" s="294"/>
      <c r="M156" s="303"/>
    </row>
    <row r="157" spans="1:13" ht="26.25" x14ac:dyDescent="0.25">
      <c r="A157" s="302">
        <v>45913</v>
      </c>
      <c r="B157" s="294" t="s">
        <v>863</v>
      </c>
      <c r="C157" s="294" t="s">
        <v>32</v>
      </c>
      <c r="D157" s="295">
        <v>1500</v>
      </c>
      <c r="E157" s="296"/>
      <c r="F157" s="301" t="s">
        <v>740</v>
      </c>
      <c r="G157" s="296"/>
      <c r="H157" s="296"/>
      <c r="I157" s="296"/>
      <c r="J157" s="299"/>
      <c r="K157" s="296"/>
      <c r="L157" s="294"/>
      <c r="M157" s="303"/>
    </row>
    <row r="158" spans="1:13" x14ac:dyDescent="0.25">
      <c r="A158" s="302">
        <v>45913</v>
      </c>
      <c r="B158" s="294" t="s">
        <v>864</v>
      </c>
      <c r="C158" s="304" t="s">
        <v>32</v>
      </c>
      <c r="D158" s="305">
        <v>1150</v>
      </c>
      <c r="E158" s="306"/>
      <c r="F158" s="307" t="s">
        <v>777</v>
      </c>
      <c r="G158" s="306"/>
      <c r="H158" s="306"/>
      <c r="I158" s="306"/>
      <c r="J158" s="308"/>
      <c r="K158" s="306"/>
      <c r="L158" s="304"/>
      <c r="M158" s="309"/>
    </row>
    <row r="159" spans="1:13" x14ac:dyDescent="0.25">
      <c r="A159" s="302">
        <v>45913</v>
      </c>
      <c r="B159" s="304"/>
      <c r="C159" s="304" t="s">
        <v>161</v>
      </c>
      <c r="D159" s="305"/>
      <c r="E159" s="306">
        <v>2000</v>
      </c>
      <c r="F159" s="307"/>
      <c r="G159" s="306"/>
      <c r="H159" s="306"/>
      <c r="I159" s="306"/>
      <c r="J159" s="308"/>
      <c r="K159" s="306"/>
      <c r="L159" s="304"/>
      <c r="M159" s="309" t="s">
        <v>866</v>
      </c>
    </row>
    <row r="160" spans="1:13" x14ac:dyDescent="0.25">
      <c r="A160" s="302">
        <v>45914</v>
      </c>
      <c r="B160" s="304" t="s">
        <v>867</v>
      </c>
      <c r="C160" s="304" t="s">
        <v>32</v>
      </c>
      <c r="D160" s="305">
        <v>2250</v>
      </c>
      <c r="E160" s="306"/>
      <c r="F160" s="307" t="s">
        <v>752</v>
      </c>
      <c r="G160" s="306"/>
      <c r="H160" s="306"/>
      <c r="I160" s="306"/>
      <c r="J160" s="308"/>
      <c r="K160" s="306"/>
      <c r="L160" s="304"/>
      <c r="M160" s="309"/>
    </row>
    <row r="161" spans="1:13" x14ac:dyDescent="0.25">
      <c r="A161" s="302">
        <v>45914</v>
      </c>
      <c r="B161" s="304" t="s">
        <v>868</v>
      </c>
      <c r="C161" s="304" t="s">
        <v>32</v>
      </c>
      <c r="D161" s="305">
        <v>1200</v>
      </c>
      <c r="E161" s="306"/>
      <c r="F161" s="307" t="s">
        <v>741</v>
      </c>
      <c r="G161" s="306"/>
      <c r="H161" s="306"/>
      <c r="I161" s="306"/>
      <c r="J161" s="308"/>
      <c r="K161" s="306"/>
      <c r="L161" s="304"/>
      <c r="M161" s="309"/>
    </row>
    <row r="162" spans="1:13" x14ac:dyDescent="0.25">
      <c r="A162" s="302">
        <v>45914</v>
      </c>
      <c r="B162" s="304" t="s">
        <v>869</v>
      </c>
      <c r="C162" s="304" t="s">
        <v>32</v>
      </c>
      <c r="D162" s="305">
        <v>80</v>
      </c>
      <c r="E162" s="306"/>
      <c r="F162" s="307" t="s">
        <v>847</v>
      </c>
      <c r="G162" s="306"/>
      <c r="H162" s="306"/>
      <c r="I162" s="306"/>
      <c r="J162" s="308"/>
      <c r="K162" s="306"/>
      <c r="L162" s="304"/>
      <c r="M162" s="309"/>
    </row>
    <row r="163" spans="1:13" ht="26.25" x14ac:dyDescent="0.25">
      <c r="A163" s="302">
        <v>45914</v>
      </c>
      <c r="B163" s="304" t="s">
        <v>870</v>
      </c>
      <c r="C163" s="304" t="s">
        <v>32</v>
      </c>
      <c r="D163" s="305">
        <v>1500</v>
      </c>
      <c r="E163" s="306"/>
      <c r="F163" s="307" t="s">
        <v>740</v>
      </c>
      <c r="G163" s="306"/>
      <c r="H163" s="306"/>
      <c r="I163" s="306"/>
      <c r="J163" s="308"/>
      <c r="K163" s="306"/>
      <c r="L163" s="304"/>
      <c r="M163" s="309"/>
    </row>
    <row r="164" spans="1:13" x14ac:dyDescent="0.25">
      <c r="A164" s="302">
        <v>45914</v>
      </c>
      <c r="B164" s="304" t="s">
        <v>871</v>
      </c>
      <c r="C164" s="304" t="s">
        <v>32</v>
      </c>
      <c r="D164" s="305">
        <v>750</v>
      </c>
      <c r="E164" s="306"/>
      <c r="F164" s="307" t="s">
        <v>839</v>
      </c>
      <c r="G164" s="306"/>
      <c r="H164" s="306"/>
      <c r="I164" s="306"/>
      <c r="J164" s="308"/>
      <c r="K164" s="306"/>
      <c r="L164" s="304"/>
      <c r="M164" s="309"/>
    </row>
    <row r="165" spans="1:13" x14ac:dyDescent="0.25">
      <c r="A165" s="302">
        <v>45914</v>
      </c>
      <c r="B165" s="304" t="s">
        <v>872</v>
      </c>
      <c r="C165" s="304" t="s">
        <v>32</v>
      </c>
      <c r="D165" s="305">
        <v>360</v>
      </c>
      <c r="E165" s="306"/>
      <c r="F165" s="307" t="s">
        <v>753</v>
      </c>
      <c r="G165" s="306"/>
      <c r="H165" s="306"/>
      <c r="I165" s="306"/>
      <c r="J165" s="308"/>
      <c r="K165" s="306"/>
      <c r="L165" s="304"/>
      <c r="M165" s="309"/>
    </row>
    <row r="166" spans="1:13" x14ac:dyDescent="0.25">
      <c r="A166" s="302">
        <v>45914</v>
      </c>
      <c r="B166" s="304" t="s">
        <v>873</v>
      </c>
      <c r="C166" s="304" t="s">
        <v>32</v>
      </c>
      <c r="D166" s="305">
        <v>180</v>
      </c>
      <c r="E166" s="306"/>
      <c r="F166" s="307" t="s">
        <v>797</v>
      </c>
      <c r="G166" s="306"/>
      <c r="H166" s="306"/>
      <c r="I166" s="306"/>
      <c r="J166" s="308"/>
      <c r="K166" s="306"/>
      <c r="L166" s="304"/>
      <c r="M166" s="309"/>
    </row>
    <row r="167" spans="1:13" x14ac:dyDescent="0.25">
      <c r="A167" s="302">
        <v>45914</v>
      </c>
      <c r="B167" s="304" t="s">
        <v>874</v>
      </c>
      <c r="C167" s="304" t="s">
        <v>32</v>
      </c>
      <c r="D167" s="305">
        <v>1200</v>
      </c>
      <c r="E167" s="306"/>
      <c r="F167" s="307" t="s">
        <v>875</v>
      </c>
      <c r="G167" s="306"/>
      <c r="H167" s="306"/>
      <c r="I167" s="306"/>
      <c r="J167" s="308"/>
      <c r="K167" s="306"/>
      <c r="L167" s="304"/>
      <c r="M167" s="309"/>
    </row>
    <row r="168" spans="1:13" x14ac:dyDescent="0.25">
      <c r="A168" s="302">
        <v>45915</v>
      </c>
      <c r="B168" s="304"/>
      <c r="C168" s="304" t="s">
        <v>145</v>
      </c>
      <c r="D168" s="305"/>
      <c r="E168" s="306">
        <v>1899</v>
      </c>
      <c r="F168" s="307"/>
      <c r="G168" s="306" t="s">
        <v>619</v>
      </c>
      <c r="H168" s="306">
        <v>67.849999999999994</v>
      </c>
      <c r="I168" s="306">
        <v>0</v>
      </c>
      <c r="J168" s="308">
        <v>28</v>
      </c>
      <c r="K168" s="306" t="s">
        <v>19</v>
      </c>
      <c r="L168" s="304"/>
      <c r="M168" s="309"/>
    </row>
    <row r="169" spans="1:13" x14ac:dyDescent="0.25">
      <c r="A169" s="302">
        <v>45915</v>
      </c>
      <c r="B169" s="304" t="s">
        <v>876</v>
      </c>
      <c r="C169" s="304" t="s">
        <v>32</v>
      </c>
      <c r="D169" s="305">
        <v>1120</v>
      </c>
      <c r="E169" s="306"/>
      <c r="F169" s="307" t="s">
        <v>521</v>
      </c>
      <c r="G169" s="306"/>
      <c r="H169" s="306"/>
      <c r="I169" s="306"/>
      <c r="J169" s="308"/>
      <c r="K169" s="306"/>
      <c r="L169" s="304"/>
      <c r="M169" s="309"/>
    </row>
    <row r="170" spans="1:13" x14ac:dyDescent="0.25">
      <c r="A170" s="302">
        <v>45915</v>
      </c>
      <c r="B170" s="304" t="s">
        <v>877</v>
      </c>
      <c r="C170" s="304" t="s">
        <v>32</v>
      </c>
      <c r="D170" s="305">
        <v>160</v>
      </c>
      <c r="E170" s="306"/>
      <c r="F170" s="307" t="s">
        <v>707</v>
      </c>
      <c r="G170" s="306"/>
      <c r="H170" s="306"/>
      <c r="I170" s="306"/>
      <c r="J170" s="308"/>
      <c r="K170" s="306"/>
      <c r="L170" s="304"/>
      <c r="M170" s="309"/>
    </row>
    <row r="171" spans="1:13" x14ac:dyDescent="0.25">
      <c r="A171" s="302">
        <v>45915</v>
      </c>
      <c r="B171" s="304" t="s">
        <v>878</v>
      </c>
      <c r="C171" s="304" t="s">
        <v>32</v>
      </c>
      <c r="D171" s="305">
        <v>340</v>
      </c>
      <c r="E171" s="306"/>
      <c r="F171" s="307" t="s">
        <v>753</v>
      </c>
      <c r="G171" s="306"/>
      <c r="H171" s="306"/>
      <c r="I171" s="306"/>
      <c r="J171" s="308"/>
      <c r="K171" s="306"/>
      <c r="L171" s="304"/>
      <c r="M171" s="309"/>
    </row>
    <row r="172" spans="1:13" x14ac:dyDescent="0.25">
      <c r="A172" s="302">
        <v>45915</v>
      </c>
      <c r="B172" s="304" t="s">
        <v>879</v>
      </c>
      <c r="C172" s="304" t="s">
        <v>32</v>
      </c>
      <c r="D172" s="305">
        <v>300</v>
      </c>
      <c r="E172" s="306"/>
      <c r="F172" s="307" t="s">
        <v>733</v>
      </c>
      <c r="G172" s="306"/>
      <c r="H172" s="306"/>
      <c r="I172" s="306"/>
      <c r="J172" s="308"/>
      <c r="K172" s="306"/>
      <c r="L172" s="304"/>
      <c r="M172" s="309"/>
    </row>
    <row r="173" spans="1:13" x14ac:dyDescent="0.25">
      <c r="A173" s="302">
        <v>45915</v>
      </c>
      <c r="B173" s="304" t="s">
        <v>880</v>
      </c>
      <c r="C173" s="304" t="s">
        <v>32</v>
      </c>
      <c r="D173" s="305">
        <v>270</v>
      </c>
      <c r="E173" s="306"/>
      <c r="F173" s="307" t="s">
        <v>817</v>
      </c>
      <c r="G173" s="306"/>
      <c r="H173" s="306"/>
      <c r="I173" s="306"/>
      <c r="J173" s="308"/>
      <c r="K173" s="306"/>
      <c r="L173" s="304"/>
      <c r="M173" s="309"/>
    </row>
    <row r="174" spans="1:13" x14ac:dyDescent="0.25">
      <c r="A174" s="302">
        <v>45915</v>
      </c>
      <c r="B174" s="304" t="s">
        <v>881</v>
      </c>
      <c r="C174" s="304" t="s">
        <v>32</v>
      </c>
      <c r="D174" s="305">
        <v>100</v>
      </c>
      <c r="E174" s="306"/>
      <c r="F174" s="307" t="s">
        <v>141</v>
      </c>
      <c r="G174" s="306"/>
      <c r="H174" s="306"/>
      <c r="I174" s="306"/>
      <c r="J174" s="308"/>
      <c r="K174" s="306"/>
      <c r="L174" s="304"/>
      <c r="M174" s="309"/>
    </row>
    <row r="175" spans="1:13" x14ac:dyDescent="0.25">
      <c r="A175" s="302">
        <v>45915</v>
      </c>
      <c r="B175" s="304" t="s">
        <v>882</v>
      </c>
      <c r="C175" s="304" t="s">
        <v>32</v>
      </c>
      <c r="D175" s="305">
        <v>320</v>
      </c>
      <c r="E175" s="306"/>
      <c r="F175" s="307" t="s">
        <v>798</v>
      </c>
      <c r="G175" s="306"/>
      <c r="H175" s="306"/>
      <c r="I175" s="306"/>
      <c r="J175" s="308"/>
      <c r="K175" s="306"/>
      <c r="L175" s="304"/>
      <c r="M175" s="309"/>
    </row>
    <row r="176" spans="1:13" x14ac:dyDescent="0.25">
      <c r="A176" s="302">
        <v>45915</v>
      </c>
      <c r="B176" s="304"/>
      <c r="C176" s="304" t="s">
        <v>818</v>
      </c>
      <c r="D176" s="305"/>
      <c r="E176" s="306">
        <v>1300</v>
      </c>
      <c r="F176" s="307"/>
      <c r="G176" s="306"/>
      <c r="H176" s="306"/>
      <c r="I176" s="306"/>
      <c r="J176" s="308"/>
      <c r="K176" s="306"/>
      <c r="L176" s="304"/>
      <c r="M176" s="309" t="s">
        <v>883</v>
      </c>
    </row>
    <row r="177" spans="1:13" x14ac:dyDescent="0.25">
      <c r="A177" s="302">
        <v>45915</v>
      </c>
      <c r="B177" s="304"/>
      <c r="C177" s="304" t="s">
        <v>33</v>
      </c>
      <c r="D177" s="305"/>
      <c r="E177" s="306">
        <v>30</v>
      </c>
      <c r="F177" s="307"/>
      <c r="G177" s="306"/>
      <c r="H177" s="306"/>
      <c r="I177" s="306"/>
      <c r="J177" s="308"/>
      <c r="K177" s="306"/>
      <c r="L177" s="304"/>
      <c r="M177" s="309"/>
    </row>
    <row r="178" spans="1:13" x14ac:dyDescent="0.25">
      <c r="A178" s="302">
        <v>45916</v>
      </c>
      <c r="B178" s="304"/>
      <c r="C178" s="304" t="s">
        <v>145</v>
      </c>
      <c r="D178" s="305"/>
      <c r="E178" s="306">
        <v>3700</v>
      </c>
      <c r="F178" s="307"/>
      <c r="G178" s="306" t="s">
        <v>619</v>
      </c>
      <c r="H178" s="306">
        <v>74</v>
      </c>
      <c r="I178" s="306">
        <v>0</v>
      </c>
      <c r="J178" s="308">
        <v>50</v>
      </c>
      <c r="K178" s="306" t="s">
        <v>19</v>
      </c>
      <c r="L178" s="304"/>
      <c r="M178" s="309"/>
    </row>
    <row r="179" spans="1:13" x14ac:dyDescent="0.25">
      <c r="A179" s="302">
        <v>45916</v>
      </c>
      <c r="B179" s="304" t="s">
        <v>884</v>
      </c>
      <c r="C179" s="304" t="s">
        <v>32</v>
      </c>
      <c r="D179" s="305">
        <v>240</v>
      </c>
      <c r="E179" s="306"/>
      <c r="F179" s="307" t="s">
        <v>707</v>
      </c>
      <c r="G179" s="306"/>
      <c r="H179" s="306"/>
      <c r="I179" s="306"/>
      <c r="J179" s="308"/>
      <c r="K179" s="306"/>
      <c r="L179" s="304"/>
      <c r="M179" s="309"/>
    </row>
    <row r="180" spans="1:13" x14ac:dyDescent="0.25">
      <c r="A180" s="302">
        <v>45916</v>
      </c>
      <c r="B180" s="304" t="s">
        <v>885</v>
      </c>
      <c r="C180" s="304" t="s">
        <v>32</v>
      </c>
      <c r="D180" s="305">
        <v>800</v>
      </c>
      <c r="E180" s="306"/>
      <c r="F180" s="307" t="s">
        <v>804</v>
      </c>
      <c r="G180" s="306"/>
      <c r="H180" s="306"/>
      <c r="I180" s="306"/>
      <c r="J180" s="308"/>
      <c r="K180" s="306"/>
      <c r="L180" s="304"/>
      <c r="M180" s="309"/>
    </row>
    <row r="181" spans="1:13" x14ac:dyDescent="0.25">
      <c r="A181" s="302">
        <v>45916</v>
      </c>
      <c r="B181" s="304" t="s">
        <v>886</v>
      </c>
      <c r="C181" s="304" t="s">
        <v>32</v>
      </c>
      <c r="D181" s="305">
        <v>170</v>
      </c>
      <c r="E181" s="306"/>
      <c r="F181" s="307" t="s">
        <v>817</v>
      </c>
      <c r="G181" s="306"/>
      <c r="H181" s="306"/>
      <c r="I181" s="306"/>
      <c r="J181" s="308"/>
      <c r="K181" s="306"/>
      <c r="L181" s="304"/>
      <c r="M181" s="309"/>
    </row>
    <row r="182" spans="1:13" x14ac:dyDescent="0.25">
      <c r="A182" s="302">
        <v>45916</v>
      </c>
      <c r="B182" s="304" t="s">
        <v>887</v>
      </c>
      <c r="C182" s="304" t="s">
        <v>32</v>
      </c>
      <c r="D182" s="305">
        <v>360</v>
      </c>
      <c r="E182" s="306"/>
      <c r="F182" s="307" t="s">
        <v>753</v>
      </c>
      <c r="G182" s="306"/>
      <c r="H182" s="306"/>
      <c r="I182" s="306"/>
      <c r="J182" s="308"/>
      <c r="K182" s="306"/>
      <c r="L182" s="304"/>
      <c r="M182" s="309"/>
    </row>
    <row r="183" spans="1:13" x14ac:dyDescent="0.25">
      <c r="A183" s="302">
        <v>45916</v>
      </c>
      <c r="B183" s="304" t="s">
        <v>888</v>
      </c>
      <c r="C183" s="304" t="s">
        <v>32</v>
      </c>
      <c r="D183" s="305">
        <v>680</v>
      </c>
      <c r="E183" s="306"/>
      <c r="F183" s="307" t="s">
        <v>521</v>
      </c>
      <c r="G183" s="306"/>
      <c r="H183" s="306"/>
      <c r="I183" s="306"/>
      <c r="J183" s="308"/>
      <c r="K183" s="306"/>
      <c r="L183" s="304"/>
      <c r="M183" s="309"/>
    </row>
    <row r="184" spans="1:13" x14ac:dyDescent="0.25">
      <c r="A184" s="302">
        <v>45916</v>
      </c>
      <c r="B184" s="304" t="s">
        <v>889</v>
      </c>
      <c r="C184" s="304" t="s">
        <v>32</v>
      </c>
      <c r="D184" s="305">
        <v>900</v>
      </c>
      <c r="E184" s="306"/>
      <c r="F184" s="307" t="s">
        <v>741</v>
      </c>
      <c r="G184" s="306"/>
      <c r="H184" s="306"/>
      <c r="I184" s="306"/>
      <c r="J184" s="308"/>
      <c r="K184" s="306"/>
      <c r="L184" s="304"/>
      <c r="M184" s="309"/>
    </row>
    <row r="185" spans="1:13" x14ac:dyDescent="0.25">
      <c r="A185" s="302">
        <v>45916</v>
      </c>
      <c r="B185" s="304" t="s">
        <v>890</v>
      </c>
      <c r="C185" s="304" t="s">
        <v>32</v>
      </c>
      <c r="D185" s="305">
        <v>450</v>
      </c>
      <c r="E185" s="306"/>
      <c r="F185" s="307" t="s">
        <v>796</v>
      </c>
      <c r="G185" s="306"/>
      <c r="H185" s="306"/>
      <c r="I185" s="306"/>
      <c r="J185" s="308"/>
      <c r="K185" s="306"/>
      <c r="L185" s="304"/>
      <c r="M185" s="309"/>
    </row>
    <row r="186" spans="1:13" x14ac:dyDescent="0.25">
      <c r="A186" s="302">
        <v>45916</v>
      </c>
      <c r="B186" s="304" t="s">
        <v>891</v>
      </c>
      <c r="C186" s="304" t="s">
        <v>32</v>
      </c>
      <c r="D186" s="305">
        <v>1800</v>
      </c>
      <c r="E186" s="306"/>
      <c r="F186" s="307" t="s">
        <v>748</v>
      </c>
      <c r="G186" s="306"/>
      <c r="H186" s="306"/>
      <c r="I186" s="306"/>
      <c r="J186" s="308"/>
      <c r="K186" s="306"/>
      <c r="L186" s="304"/>
      <c r="M186" s="309"/>
    </row>
    <row r="187" spans="1:13" x14ac:dyDescent="0.25">
      <c r="A187" s="302">
        <v>45916</v>
      </c>
      <c r="B187" s="304"/>
      <c r="C187" s="304" t="s">
        <v>33</v>
      </c>
      <c r="D187" s="305"/>
      <c r="E187" s="306">
        <v>70</v>
      </c>
      <c r="F187" s="307"/>
      <c r="G187" s="306"/>
      <c r="H187" s="306"/>
      <c r="I187" s="306"/>
      <c r="J187" s="308"/>
      <c r="K187" s="306"/>
      <c r="L187" s="304"/>
      <c r="M187" s="309"/>
    </row>
    <row r="188" spans="1:13" x14ac:dyDescent="0.25">
      <c r="A188" s="302">
        <v>45917</v>
      </c>
      <c r="B188" s="304" t="s">
        <v>892</v>
      </c>
      <c r="C188" s="304" t="s">
        <v>32</v>
      </c>
      <c r="D188" s="305">
        <v>240</v>
      </c>
      <c r="E188" s="306"/>
      <c r="F188" s="307" t="s">
        <v>731</v>
      </c>
      <c r="G188" s="306"/>
      <c r="H188" s="306"/>
      <c r="I188" s="306"/>
      <c r="J188" s="308"/>
      <c r="K188" s="306"/>
      <c r="L188" s="304"/>
      <c r="M188" s="309"/>
    </row>
    <row r="189" spans="1:13" x14ac:dyDescent="0.25">
      <c r="A189" s="302">
        <v>45917</v>
      </c>
      <c r="B189" s="304" t="s">
        <v>893</v>
      </c>
      <c r="C189" s="304" t="s">
        <v>32</v>
      </c>
      <c r="D189" s="305">
        <v>240</v>
      </c>
      <c r="E189" s="306"/>
      <c r="F189" s="307" t="s">
        <v>707</v>
      </c>
      <c r="G189" s="306"/>
      <c r="H189" s="306"/>
      <c r="I189" s="306"/>
      <c r="J189" s="308"/>
      <c r="K189" s="306"/>
      <c r="L189" s="304"/>
      <c r="M189" s="309"/>
    </row>
    <row r="190" spans="1:13" x14ac:dyDescent="0.25">
      <c r="A190" s="302">
        <v>45917</v>
      </c>
      <c r="B190" s="304" t="s">
        <v>894</v>
      </c>
      <c r="C190" s="304" t="s">
        <v>32</v>
      </c>
      <c r="D190" s="305">
        <v>320</v>
      </c>
      <c r="E190" s="306"/>
      <c r="F190" s="307" t="s">
        <v>795</v>
      </c>
      <c r="G190" s="306"/>
      <c r="H190" s="306"/>
      <c r="I190" s="306"/>
      <c r="J190" s="308"/>
      <c r="K190" s="306"/>
      <c r="L190" s="304"/>
      <c r="M190" s="309"/>
    </row>
    <row r="191" spans="1:13" x14ac:dyDescent="0.25">
      <c r="A191" s="302">
        <v>45917</v>
      </c>
      <c r="B191" s="304" t="s">
        <v>895</v>
      </c>
      <c r="C191" s="304" t="s">
        <v>32</v>
      </c>
      <c r="D191" s="305">
        <v>360</v>
      </c>
      <c r="E191" s="306"/>
      <c r="F191" s="307" t="s">
        <v>753</v>
      </c>
      <c r="G191" s="306"/>
      <c r="H191" s="306"/>
      <c r="I191" s="306"/>
      <c r="J191" s="308"/>
      <c r="K191" s="306"/>
      <c r="L191" s="304"/>
      <c r="M191" s="309"/>
    </row>
    <row r="192" spans="1:13" x14ac:dyDescent="0.25">
      <c r="A192" s="302">
        <v>45917</v>
      </c>
      <c r="B192" s="304" t="s">
        <v>896</v>
      </c>
      <c r="C192" s="304" t="s">
        <v>32</v>
      </c>
      <c r="D192" s="305">
        <v>2400</v>
      </c>
      <c r="E192" s="306"/>
      <c r="F192" s="307" t="s">
        <v>752</v>
      </c>
      <c r="G192" s="306"/>
      <c r="H192" s="306"/>
      <c r="I192" s="306"/>
      <c r="J192" s="308"/>
      <c r="K192" s="306"/>
      <c r="L192" s="304"/>
      <c r="M192" s="309"/>
    </row>
    <row r="193" spans="1:13" x14ac:dyDescent="0.25">
      <c r="A193" s="302">
        <v>45917</v>
      </c>
      <c r="B193" s="304" t="s">
        <v>897</v>
      </c>
      <c r="C193" s="304" t="s">
        <v>32</v>
      </c>
      <c r="D193" s="305">
        <v>510</v>
      </c>
      <c r="E193" s="306"/>
      <c r="F193" s="307" t="s">
        <v>521</v>
      </c>
      <c r="G193" s="306"/>
      <c r="H193" s="306"/>
      <c r="I193" s="306"/>
      <c r="J193" s="308"/>
      <c r="K193" s="306"/>
      <c r="L193" s="304"/>
      <c r="M193" s="309"/>
    </row>
    <row r="194" spans="1:13" x14ac:dyDescent="0.25">
      <c r="A194" s="302">
        <v>45917</v>
      </c>
      <c r="B194" s="304"/>
      <c r="C194" s="304" t="s">
        <v>33</v>
      </c>
      <c r="D194" s="305"/>
      <c r="E194" s="306">
        <v>45</v>
      </c>
      <c r="F194" s="307"/>
      <c r="G194" s="306"/>
      <c r="H194" s="306"/>
      <c r="I194" s="306"/>
      <c r="J194" s="308"/>
      <c r="K194" s="306"/>
      <c r="L194" s="304"/>
      <c r="M194" s="309"/>
    </row>
    <row r="195" spans="1:13" x14ac:dyDescent="0.25">
      <c r="A195" s="302">
        <v>45917</v>
      </c>
      <c r="B195" s="304"/>
      <c r="C195" s="304" t="s">
        <v>618</v>
      </c>
      <c r="D195" s="305"/>
      <c r="E195" s="306">
        <v>120</v>
      </c>
      <c r="F195" s="307"/>
      <c r="G195" s="306"/>
      <c r="H195" s="306"/>
      <c r="I195" s="306"/>
      <c r="J195" s="308"/>
      <c r="K195" s="306"/>
      <c r="L195" s="304"/>
      <c r="M195" s="309"/>
    </row>
    <row r="196" spans="1:13" x14ac:dyDescent="0.25">
      <c r="A196" s="302">
        <v>45918</v>
      </c>
      <c r="B196" s="304"/>
      <c r="C196" s="304" t="s">
        <v>168</v>
      </c>
      <c r="D196" s="305"/>
      <c r="E196" s="306">
        <v>550</v>
      </c>
      <c r="F196" s="307"/>
      <c r="G196" s="306"/>
      <c r="H196" s="306"/>
      <c r="I196" s="306"/>
      <c r="J196" s="308"/>
      <c r="K196" s="306"/>
      <c r="L196" s="304"/>
      <c r="M196" s="309" t="s">
        <v>360</v>
      </c>
    </row>
    <row r="197" spans="1:13" x14ac:dyDescent="0.25">
      <c r="A197" s="302">
        <v>45918</v>
      </c>
      <c r="B197" s="304"/>
      <c r="C197" s="304" t="s">
        <v>145</v>
      </c>
      <c r="D197" s="305"/>
      <c r="E197" s="306">
        <v>5510</v>
      </c>
      <c r="F197" s="307"/>
      <c r="G197" s="306" t="s">
        <v>619</v>
      </c>
      <c r="H197" s="306">
        <v>44.64</v>
      </c>
      <c r="I197" s="306">
        <v>510</v>
      </c>
      <c r="J197" s="308">
        <v>112</v>
      </c>
      <c r="K197" s="306" t="s">
        <v>289</v>
      </c>
      <c r="L197" s="304"/>
      <c r="M197" s="309"/>
    </row>
    <row r="198" spans="1:13" x14ac:dyDescent="0.25">
      <c r="A198" s="302">
        <v>45918</v>
      </c>
      <c r="B198" s="304" t="s">
        <v>898</v>
      </c>
      <c r="C198" s="304" t="s">
        <v>32</v>
      </c>
      <c r="D198" s="305">
        <v>240</v>
      </c>
      <c r="E198" s="306"/>
      <c r="F198" s="307" t="s">
        <v>521</v>
      </c>
      <c r="G198" s="306"/>
      <c r="H198" s="306"/>
      <c r="I198" s="306"/>
      <c r="J198" s="308"/>
      <c r="K198" s="306"/>
      <c r="L198" s="304"/>
      <c r="M198" s="309"/>
    </row>
    <row r="199" spans="1:13" x14ac:dyDescent="0.25">
      <c r="A199" s="302">
        <v>45918</v>
      </c>
      <c r="B199" s="304" t="s">
        <v>899</v>
      </c>
      <c r="C199" s="304" t="s">
        <v>32</v>
      </c>
      <c r="D199" s="305">
        <v>160</v>
      </c>
      <c r="E199" s="306"/>
      <c r="F199" s="307" t="s">
        <v>707</v>
      </c>
      <c r="G199" s="306"/>
      <c r="H199" s="306"/>
      <c r="I199" s="306"/>
      <c r="J199" s="308"/>
      <c r="K199" s="306"/>
      <c r="L199" s="304"/>
      <c r="M199" s="309"/>
    </row>
    <row r="200" spans="1:13" x14ac:dyDescent="0.25">
      <c r="A200" s="302">
        <v>45918</v>
      </c>
      <c r="B200" s="304" t="s">
        <v>900</v>
      </c>
      <c r="C200" s="304"/>
      <c r="D200" s="305"/>
      <c r="E200" s="306"/>
      <c r="F200" s="307"/>
      <c r="G200" s="306"/>
      <c r="H200" s="306"/>
      <c r="I200" s="306"/>
      <c r="J200" s="308"/>
      <c r="K200" s="306"/>
      <c r="L200" s="304"/>
      <c r="M200" s="309"/>
    </row>
    <row r="201" spans="1:13" x14ac:dyDescent="0.25">
      <c r="A201" s="302">
        <v>45918</v>
      </c>
      <c r="B201" s="304" t="s">
        <v>901</v>
      </c>
      <c r="C201" s="304" t="s">
        <v>32</v>
      </c>
      <c r="D201" s="305">
        <v>750</v>
      </c>
      <c r="E201" s="306"/>
      <c r="F201" s="307" t="s">
        <v>741</v>
      </c>
      <c r="G201" s="306"/>
      <c r="H201" s="306"/>
      <c r="I201" s="306"/>
      <c r="J201" s="308"/>
      <c r="K201" s="306"/>
      <c r="L201" s="304"/>
      <c r="M201" s="309"/>
    </row>
    <row r="202" spans="1:13" x14ac:dyDescent="0.25">
      <c r="A202" s="302">
        <v>45918</v>
      </c>
      <c r="B202" s="304" t="s">
        <v>902</v>
      </c>
      <c r="C202" s="304" t="s">
        <v>32</v>
      </c>
      <c r="D202" s="305">
        <v>540</v>
      </c>
      <c r="E202" s="306"/>
      <c r="F202" s="307" t="s">
        <v>753</v>
      </c>
      <c r="G202" s="306"/>
      <c r="H202" s="306"/>
      <c r="I202" s="306"/>
      <c r="J202" s="308"/>
      <c r="K202" s="306"/>
      <c r="L202" s="304"/>
      <c r="M202" s="309"/>
    </row>
    <row r="203" spans="1:13" x14ac:dyDescent="0.25">
      <c r="A203" s="302">
        <v>45918</v>
      </c>
      <c r="B203" s="304" t="s">
        <v>903</v>
      </c>
      <c r="C203" s="304" t="s">
        <v>32</v>
      </c>
      <c r="D203" s="305">
        <v>100</v>
      </c>
      <c r="E203" s="306"/>
      <c r="F203" s="307" t="s">
        <v>606</v>
      </c>
      <c r="G203" s="306"/>
      <c r="H203" s="306"/>
      <c r="I203" s="306"/>
      <c r="J203" s="308"/>
      <c r="K203" s="306"/>
      <c r="L203" s="304"/>
      <c r="M203" s="309"/>
    </row>
    <row r="204" spans="1:13" x14ac:dyDescent="0.25">
      <c r="A204" s="302">
        <v>45918</v>
      </c>
      <c r="B204" s="304" t="s">
        <v>904</v>
      </c>
      <c r="C204" s="304" t="s">
        <v>32</v>
      </c>
      <c r="D204" s="305">
        <v>80</v>
      </c>
      <c r="E204" s="306"/>
      <c r="F204" s="307" t="s">
        <v>847</v>
      </c>
      <c r="G204" s="306"/>
      <c r="H204" s="306"/>
      <c r="I204" s="306"/>
      <c r="J204" s="308"/>
      <c r="K204" s="306"/>
      <c r="L204" s="304"/>
      <c r="M204" s="309"/>
    </row>
    <row r="205" spans="1:13" x14ac:dyDescent="0.25">
      <c r="A205" s="302">
        <v>45918</v>
      </c>
      <c r="B205" s="304" t="s">
        <v>905</v>
      </c>
      <c r="C205" s="304" t="s">
        <v>32</v>
      </c>
      <c r="D205" s="305">
        <v>2250</v>
      </c>
      <c r="E205" s="306"/>
      <c r="F205" s="307" t="s">
        <v>752</v>
      </c>
      <c r="G205" s="306"/>
      <c r="H205" s="306"/>
      <c r="I205" s="306"/>
      <c r="J205" s="308"/>
      <c r="K205" s="306"/>
      <c r="L205" s="304"/>
      <c r="M205" s="309"/>
    </row>
    <row r="206" spans="1:13" ht="26.25" x14ac:dyDescent="0.25">
      <c r="A206" s="302">
        <v>45918</v>
      </c>
      <c r="B206" s="304" t="s">
        <v>906</v>
      </c>
      <c r="C206" s="304" t="s">
        <v>32</v>
      </c>
      <c r="D206" s="305">
        <v>1500</v>
      </c>
      <c r="E206" s="306"/>
      <c r="F206" s="307" t="s">
        <v>740</v>
      </c>
      <c r="G206" s="306"/>
      <c r="H206" s="306"/>
      <c r="I206" s="306"/>
      <c r="J206" s="308"/>
      <c r="K206" s="306"/>
      <c r="L206" s="304"/>
      <c r="M206" s="309"/>
    </row>
    <row r="207" spans="1:13" x14ac:dyDescent="0.25">
      <c r="A207" s="302">
        <v>45918</v>
      </c>
      <c r="B207" s="304" t="s">
        <v>907</v>
      </c>
      <c r="C207" s="304" t="s">
        <v>32</v>
      </c>
      <c r="D207" s="305">
        <v>160</v>
      </c>
      <c r="E207" s="306"/>
      <c r="F207" s="307" t="s">
        <v>739</v>
      </c>
      <c r="G207" s="306"/>
      <c r="H207" s="306"/>
      <c r="I207" s="306"/>
      <c r="J207" s="308"/>
      <c r="K207" s="306"/>
      <c r="L207" s="304"/>
      <c r="M207" s="309"/>
    </row>
    <row r="208" spans="1:13" x14ac:dyDescent="0.25">
      <c r="A208" s="302">
        <v>45918</v>
      </c>
      <c r="B208" s="304" t="s">
        <v>908</v>
      </c>
      <c r="C208" s="304" t="s">
        <v>32</v>
      </c>
      <c r="D208" s="305">
        <v>480</v>
      </c>
      <c r="E208" s="306"/>
      <c r="F208" s="307" t="s">
        <v>794</v>
      </c>
      <c r="G208" s="306"/>
      <c r="H208" s="306"/>
      <c r="I208" s="306"/>
      <c r="J208" s="308"/>
      <c r="K208" s="306"/>
      <c r="L208" s="304"/>
      <c r="M208" s="309"/>
    </row>
    <row r="209" spans="1:13" x14ac:dyDescent="0.25">
      <c r="A209" s="302">
        <v>45918</v>
      </c>
      <c r="B209" s="304"/>
      <c r="C209" s="304" t="s">
        <v>33</v>
      </c>
      <c r="D209" s="305"/>
      <c r="E209" s="306">
        <v>50</v>
      </c>
      <c r="F209" s="307"/>
      <c r="G209" s="306"/>
      <c r="H209" s="306"/>
      <c r="I209" s="306"/>
      <c r="J209" s="308"/>
      <c r="K209" s="306"/>
      <c r="L209" s="304"/>
      <c r="M209" s="309"/>
    </row>
    <row r="210" spans="1:13" x14ac:dyDescent="0.25">
      <c r="A210" s="302">
        <v>45919</v>
      </c>
      <c r="B210" s="304"/>
      <c r="C210" s="304" t="s">
        <v>147</v>
      </c>
      <c r="D210" s="305"/>
      <c r="E210" s="306">
        <v>12265</v>
      </c>
      <c r="F210" s="307"/>
      <c r="G210" s="306" t="s">
        <v>623</v>
      </c>
      <c r="H210" s="306">
        <v>65</v>
      </c>
      <c r="I210" s="306">
        <v>1150</v>
      </c>
      <c r="J210" s="308">
        <v>171</v>
      </c>
      <c r="K210" s="306" t="s">
        <v>667</v>
      </c>
      <c r="L210" s="304"/>
      <c r="M210" s="309"/>
    </row>
    <row r="211" spans="1:13" x14ac:dyDescent="0.25">
      <c r="A211" s="302">
        <v>45919</v>
      </c>
      <c r="B211" s="304" t="s">
        <v>909</v>
      </c>
      <c r="C211" s="304" t="s">
        <v>32</v>
      </c>
      <c r="D211" s="305">
        <v>2400</v>
      </c>
      <c r="E211" s="306"/>
      <c r="F211" s="307" t="s">
        <v>733</v>
      </c>
      <c r="G211" s="306"/>
      <c r="H211" s="306"/>
      <c r="I211" s="306"/>
      <c r="J211" s="308"/>
      <c r="K211" s="306"/>
      <c r="L211" s="304"/>
      <c r="M211" s="309"/>
    </row>
    <row r="212" spans="1:13" x14ac:dyDescent="0.25">
      <c r="A212" s="302">
        <v>45919</v>
      </c>
      <c r="B212" s="304" t="s">
        <v>910</v>
      </c>
      <c r="C212" s="304" t="s">
        <v>32</v>
      </c>
      <c r="D212" s="305">
        <v>170</v>
      </c>
      <c r="E212" s="306"/>
      <c r="F212" s="307" t="s">
        <v>521</v>
      </c>
      <c r="G212" s="306"/>
      <c r="H212" s="306"/>
      <c r="I212" s="306"/>
      <c r="J212" s="308"/>
      <c r="K212" s="306"/>
      <c r="L212" s="304"/>
      <c r="M212" s="309"/>
    </row>
    <row r="213" spans="1:13" x14ac:dyDescent="0.25">
      <c r="A213" s="302">
        <v>45919</v>
      </c>
      <c r="B213" s="304" t="s">
        <v>911</v>
      </c>
      <c r="C213" s="304" t="s">
        <v>32</v>
      </c>
      <c r="D213" s="305">
        <v>320</v>
      </c>
      <c r="E213" s="306"/>
      <c r="F213" s="307" t="s">
        <v>795</v>
      </c>
      <c r="G213" s="306"/>
      <c r="H213" s="306"/>
      <c r="I213" s="306"/>
      <c r="J213" s="308"/>
      <c r="K213" s="306"/>
      <c r="L213" s="304"/>
      <c r="M213" s="309"/>
    </row>
    <row r="214" spans="1:13" x14ac:dyDescent="0.25">
      <c r="A214" s="302">
        <v>45919</v>
      </c>
      <c r="B214" s="304" t="s">
        <v>912</v>
      </c>
      <c r="C214" s="304" t="s">
        <v>32</v>
      </c>
      <c r="D214" s="305">
        <v>260</v>
      </c>
      <c r="E214" s="306"/>
      <c r="F214" s="307" t="s">
        <v>817</v>
      </c>
      <c r="G214" s="306"/>
      <c r="H214" s="306"/>
      <c r="I214" s="306"/>
      <c r="J214" s="308"/>
      <c r="K214" s="306"/>
      <c r="L214" s="304"/>
      <c r="M214" s="309"/>
    </row>
    <row r="215" spans="1:13" x14ac:dyDescent="0.25">
      <c r="A215" s="302">
        <v>45919</v>
      </c>
      <c r="B215" s="304" t="s">
        <v>913</v>
      </c>
      <c r="C215" s="304" t="s">
        <v>32</v>
      </c>
      <c r="D215" s="305">
        <v>4500</v>
      </c>
      <c r="E215" s="306"/>
      <c r="F215" s="307" t="s">
        <v>752</v>
      </c>
      <c r="G215" s="306"/>
      <c r="H215" s="306"/>
      <c r="I215" s="306"/>
      <c r="J215" s="308"/>
      <c r="K215" s="306"/>
      <c r="L215" s="304"/>
      <c r="M215" s="309"/>
    </row>
    <row r="216" spans="1:13" x14ac:dyDescent="0.25">
      <c r="A216" s="302">
        <v>45919</v>
      </c>
      <c r="B216" s="304" t="s">
        <v>914</v>
      </c>
      <c r="C216" s="304" t="s">
        <v>32</v>
      </c>
      <c r="D216" s="305">
        <v>320</v>
      </c>
      <c r="E216" s="306"/>
      <c r="F216" s="307" t="s">
        <v>707</v>
      </c>
      <c r="G216" s="306"/>
      <c r="H216" s="306"/>
      <c r="I216" s="306"/>
      <c r="J216" s="308"/>
      <c r="K216" s="306"/>
      <c r="L216" s="304"/>
      <c r="M216" s="309"/>
    </row>
    <row r="217" spans="1:13" x14ac:dyDescent="0.25">
      <c r="A217" s="302">
        <v>45919</v>
      </c>
      <c r="B217" s="304" t="s">
        <v>915</v>
      </c>
      <c r="C217" s="304" t="s">
        <v>32</v>
      </c>
      <c r="D217" s="305">
        <v>540</v>
      </c>
      <c r="E217" s="306"/>
      <c r="F217" s="307" t="s">
        <v>753</v>
      </c>
      <c r="G217" s="306"/>
      <c r="H217" s="306"/>
      <c r="I217" s="306"/>
      <c r="J217" s="308"/>
      <c r="K217" s="306"/>
      <c r="L217" s="304"/>
      <c r="M217" s="309"/>
    </row>
    <row r="218" spans="1:13" x14ac:dyDescent="0.25">
      <c r="A218" s="302">
        <v>45919</v>
      </c>
      <c r="B218" s="304" t="s">
        <v>916</v>
      </c>
      <c r="C218" s="304" t="s">
        <v>32</v>
      </c>
      <c r="D218" s="305">
        <v>800</v>
      </c>
      <c r="E218" s="306"/>
      <c r="F218" s="307" t="s">
        <v>817</v>
      </c>
      <c r="G218" s="306"/>
      <c r="H218" s="306"/>
      <c r="I218" s="306"/>
      <c r="J218" s="308"/>
      <c r="K218" s="306"/>
      <c r="L218" s="304"/>
      <c r="M218" s="309"/>
    </row>
    <row r="219" spans="1:13" x14ac:dyDescent="0.25">
      <c r="A219" s="302">
        <v>45919</v>
      </c>
      <c r="B219" s="304" t="s">
        <v>917</v>
      </c>
      <c r="C219" s="304" t="s">
        <v>32</v>
      </c>
      <c r="D219" s="305">
        <v>1500</v>
      </c>
      <c r="E219" s="306"/>
      <c r="F219" s="307" t="s">
        <v>752</v>
      </c>
      <c r="G219" s="306"/>
      <c r="H219" s="306"/>
      <c r="I219" s="306"/>
      <c r="J219" s="308"/>
      <c r="K219" s="306"/>
      <c r="L219" s="304"/>
      <c r="M219" s="309"/>
    </row>
    <row r="220" spans="1:13" x14ac:dyDescent="0.25">
      <c r="A220" s="302">
        <v>45919</v>
      </c>
      <c r="B220" s="304" t="s">
        <v>918</v>
      </c>
      <c r="C220" s="304" t="s">
        <v>32</v>
      </c>
      <c r="D220" s="305">
        <v>160</v>
      </c>
      <c r="E220" s="306"/>
      <c r="F220" s="307" t="s">
        <v>797</v>
      </c>
      <c r="G220" s="306"/>
      <c r="H220" s="306"/>
      <c r="I220" s="306"/>
      <c r="J220" s="308"/>
      <c r="K220" s="306"/>
      <c r="L220" s="304"/>
      <c r="M220" s="309"/>
    </row>
    <row r="221" spans="1:13" x14ac:dyDescent="0.25">
      <c r="A221" s="302">
        <v>45919</v>
      </c>
      <c r="B221" s="304" t="s">
        <v>919</v>
      </c>
      <c r="C221" s="304" t="s">
        <v>32</v>
      </c>
      <c r="D221" s="305">
        <v>300</v>
      </c>
      <c r="E221" s="306"/>
      <c r="F221" s="307" t="s">
        <v>839</v>
      </c>
      <c r="G221" s="306"/>
      <c r="H221" s="306"/>
      <c r="I221" s="306"/>
      <c r="J221" s="308"/>
      <c r="K221" s="306"/>
      <c r="L221" s="304"/>
      <c r="M221" s="309"/>
    </row>
    <row r="222" spans="1:13" x14ac:dyDescent="0.25">
      <c r="A222" s="302">
        <v>45919</v>
      </c>
      <c r="B222" s="304"/>
      <c r="C222" s="304" t="s">
        <v>109</v>
      </c>
      <c r="D222" s="305"/>
      <c r="E222" s="306">
        <v>400</v>
      </c>
      <c r="F222" s="307"/>
      <c r="G222" s="306"/>
      <c r="H222" s="306"/>
      <c r="I222" s="306"/>
      <c r="J222" s="308"/>
      <c r="K222" s="306"/>
      <c r="L222" s="304"/>
      <c r="M222" s="309"/>
    </row>
    <row r="223" spans="1:13" x14ac:dyDescent="0.25">
      <c r="A223" s="302">
        <v>45919</v>
      </c>
      <c r="B223" s="304"/>
      <c r="C223" s="304" t="s">
        <v>33</v>
      </c>
      <c r="D223" s="305"/>
      <c r="E223" s="306">
        <v>50</v>
      </c>
      <c r="F223" s="307"/>
      <c r="G223" s="306"/>
      <c r="H223" s="306"/>
      <c r="I223" s="306"/>
      <c r="J223" s="308"/>
      <c r="K223" s="306"/>
      <c r="L223" s="304"/>
      <c r="M223" s="309"/>
    </row>
    <row r="224" spans="1:13" x14ac:dyDescent="0.25">
      <c r="A224" s="302">
        <v>45920</v>
      </c>
      <c r="B224" s="304" t="s">
        <v>920</v>
      </c>
      <c r="C224" s="304" t="s">
        <v>32</v>
      </c>
      <c r="D224" s="305">
        <v>540</v>
      </c>
      <c r="E224" s="306"/>
      <c r="F224" s="307" t="s">
        <v>753</v>
      </c>
      <c r="G224" s="306"/>
      <c r="H224" s="306"/>
      <c r="I224" s="306"/>
      <c r="J224" s="308"/>
      <c r="K224" s="306"/>
      <c r="L224" s="304"/>
      <c r="M224" s="309"/>
    </row>
    <row r="225" spans="1:13" x14ac:dyDescent="0.25">
      <c r="A225" s="302">
        <v>45920</v>
      </c>
      <c r="B225" s="304" t="s">
        <v>921</v>
      </c>
      <c r="C225" s="304" t="s">
        <v>32</v>
      </c>
      <c r="D225" s="305">
        <v>90</v>
      </c>
      <c r="E225" s="306"/>
      <c r="F225" s="307" t="s">
        <v>847</v>
      </c>
      <c r="G225" s="306"/>
      <c r="H225" s="306"/>
      <c r="I225" s="306"/>
      <c r="J225" s="308"/>
      <c r="K225" s="306"/>
      <c r="L225" s="304"/>
      <c r="M225" s="309"/>
    </row>
    <row r="226" spans="1:13" x14ac:dyDescent="0.25">
      <c r="A226" s="302">
        <v>45920</v>
      </c>
      <c r="B226" s="304" t="s">
        <v>922</v>
      </c>
      <c r="C226" s="304" t="s">
        <v>32</v>
      </c>
      <c r="D226" s="305">
        <v>560</v>
      </c>
      <c r="E226" s="306"/>
      <c r="F226" s="307" t="s">
        <v>707</v>
      </c>
      <c r="G226" s="306"/>
      <c r="H226" s="306"/>
      <c r="I226" s="306"/>
      <c r="J226" s="308"/>
      <c r="K226" s="306"/>
      <c r="L226" s="304"/>
      <c r="M226" s="309"/>
    </row>
    <row r="227" spans="1:13" x14ac:dyDescent="0.25">
      <c r="A227" s="302">
        <v>45920</v>
      </c>
      <c r="B227" s="304" t="s">
        <v>923</v>
      </c>
      <c r="C227" s="304" t="s">
        <v>32</v>
      </c>
      <c r="D227" s="305">
        <v>750</v>
      </c>
      <c r="E227" s="306"/>
      <c r="F227" s="307" t="s">
        <v>733</v>
      </c>
      <c r="G227" s="306"/>
      <c r="H227" s="306"/>
      <c r="I227" s="306"/>
      <c r="J227" s="308"/>
      <c r="K227" s="306"/>
      <c r="L227" s="304"/>
      <c r="M227" s="309"/>
    </row>
    <row r="228" spans="1:13" x14ac:dyDescent="0.25">
      <c r="A228" s="302">
        <v>45920</v>
      </c>
      <c r="B228" s="304" t="s">
        <v>924</v>
      </c>
      <c r="C228" s="304" t="s">
        <v>32</v>
      </c>
      <c r="D228" s="305">
        <v>1800</v>
      </c>
      <c r="E228" s="306"/>
      <c r="F228" s="307" t="s">
        <v>817</v>
      </c>
      <c r="G228" s="306"/>
      <c r="H228" s="306"/>
      <c r="I228" s="306"/>
      <c r="J228" s="308"/>
      <c r="K228" s="306"/>
      <c r="L228" s="304"/>
      <c r="M228" s="309"/>
    </row>
    <row r="229" spans="1:13" x14ac:dyDescent="0.25">
      <c r="A229" s="302">
        <v>45920</v>
      </c>
      <c r="B229" s="304" t="s">
        <v>925</v>
      </c>
      <c r="C229" s="304" t="s">
        <v>32</v>
      </c>
      <c r="D229" s="305">
        <v>3000</v>
      </c>
      <c r="E229" s="306"/>
      <c r="F229" s="307" t="s">
        <v>752</v>
      </c>
      <c r="G229" s="306"/>
      <c r="H229" s="306"/>
      <c r="I229" s="306"/>
      <c r="J229" s="308"/>
      <c r="K229" s="306"/>
      <c r="L229" s="304"/>
      <c r="M229" s="309"/>
    </row>
    <row r="230" spans="1:13" x14ac:dyDescent="0.25">
      <c r="A230" s="302">
        <v>45920</v>
      </c>
      <c r="B230" s="304"/>
      <c r="C230" s="304" t="s">
        <v>33</v>
      </c>
      <c r="D230" s="305"/>
      <c r="E230" s="306">
        <v>50</v>
      </c>
      <c r="F230" s="307"/>
      <c r="G230" s="306"/>
      <c r="H230" s="306"/>
      <c r="I230" s="306"/>
      <c r="J230" s="308"/>
      <c r="K230" s="306"/>
      <c r="L230" s="304"/>
      <c r="M230" s="309"/>
    </row>
    <row r="231" spans="1:13" x14ac:dyDescent="0.25">
      <c r="A231" s="302">
        <v>45921</v>
      </c>
      <c r="B231" s="304" t="s">
        <v>926</v>
      </c>
      <c r="C231" s="304" t="s">
        <v>32</v>
      </c>
      <c r="D231" s="305">
        <v>1350</v>
      </c>
      <c r="E231" s="306"/>
      <c r="F231" s="307" t="s">
        <v>733</v>
      </c>
      <c r="G231" s="306"/>
      <c r="H231" s="306"/>
      <c r="I231" s="306"/>
      <c r="J231" s="308"/>
      <c r="K231" s="306"/>
      <c r="L231" s="304"/>
      <c r="M231" s="309"/>
    </row>
    <row r="232" spans="1:13" ht="26.25" x14ac:dyDescent="0.25">
      <c r="A232" s="302">
        <v>45921</v>
      </c>
      <c r="B232" s="304" t="s">
        <v>927</v>
      </c>
      <c r="C232" s="304" t="s">
        <v>32</v>
      </c>
      <c r="D232" s="305">
        <v>1500</v>
      </c>
      <c r="E232" s="306"/>
      <c r="F232" s="307" t="s">
        <v>740</v>
      </c>
      <c r="G232" s="306"/>
      <c r="H232" s="306"/>
      <c r="I232" s="306"/>
      <c r="J232" s="308"/>
      <c r="K232" s="306"/>
      <c r="L232" s="304"/>
      <c r="M232" s="309"/>
    </row>
    <row r="233" spans="1:13" x14ac:dyDescent="0.25">
      <c r="A233" s="302">
        <v>45921</v>
      </c>
      <c r="B233" s="304" t="s">
        <v>928</v>
      </c>
      <c r="C233" s="304" t="s">
        <v>32</v>
      </c>
      <c r="D233" s="305">
        <v>300</v>
      </c>
      <c r="E233" s="306"/>
      <c r="F233" s="307" t="s">
        <v>521</v>
      </c>
      <c r="G233" s="306"/>
      <c r="H233" s="306"/>
      <c r="I233" s="306"/>
      <c r="J233" s="308"/>
      <c r="K233" s="306"/>
      <c r="L233" s="304"/>
      <c r="M233" s="309"/>
    </row>
    <row r="234" spans="1:13" x14ac:dyDescent="0.25">
      <c r="A234" s="302">
        <v>45921</v>
      </c>
      <c r="B234" s="304" t="s">
        <v>929</v>
      </c>
      <c r="C234" s="304" t="s">
        <v>32</v>
      </c>
      <c r="D234" s="305">
        <v>360</v>
      </c>
      <c r="E234" s="306"/>
      <c r="F234" s="307" t="s">
        <v>753</v>
      </c>
      <c r="G234" s="306"/>
      <c r="H234" s="306"/>
      <c r="I234" s="306"/>
      <c r="J234" s="308"/>
      <c r="K234" s="306"/>
      <c r="L234" s="304"/>
      <c r="M234" s="309"/>
    </row>
    <row r="235" spans="1:13" x14ac:dyDescent="0.25">
      <c r="A235" s="302">
        <v>45921</v>
      </c>
      <c r="B235" s="304" t="s">
        <v>930</v>
      </c>
      <c r="C235" s="304" t="s">
        <v>32</v>
      </c>
      <c r="D235" s="305">
        <v>5250</v>
      </c>
      <c r="E235" s="306"/>
      <c r="F235" s="307" t="s">
        <v>741</v>
      </c>
      <c r="G235" s="306"/>
      <c r="H235" s="306"/>
      <c r="I235" s="306"/>
      <c r="J235" s="308"/>
      <c r="K235" s="306"/>
      <c r="L235" s="304"/>
      <c r="M235" s="309"/>
    </row>
    <row r="236" spans="1:13" x14ac:dyDescent="0.25">
      <c r="A236" s="302">
        <v>45921</v>
      </c>
      <c r="B236" s="304"/>
      <c r="C236" s="304" t="s">
        <v>33</v>
      </c>
      <c r="D236" s="305"/>
      <c r="E236" s="306">
        <v>50</v>
      </c>
      <c r="F236" s="307"/>
      <c r="G236" s="306"/>
      <c r="H236" s="306"/>
      <c r="I236" s="306"/>
      <c r="J236" s="308"/>
      <c r="K236" s="306"/>
      <c r="L236" s="304"/>
      <c r="M236" s="309"/>
    </row>
    <row r="237" spans="1:13" ht="26.25" x14ac:dyDescent="0.25">
      <c r="A237" s="302">
        <v>45922</v>
      </c>
      <c r="B237" s="304" t="s">
        <v>931</v>
      </c>
      <c r="C237" s="304" t="s">
        <v>32</v>
      </c>
      <c r="D237" s="305">
        <v>1500</v>
      </c>
      <c r="E237" s="306"/>
      <c r="F237" s="307" t="s">
        <v>740</v>
      </c>
      <c r="G237" s="306"/>
      <c r="H237" s="306"/>
      <c r="I237" s="306"/>
      <c r="J237" s="308"/>
      <c r="K237" s="306"/>
      <c r="L237" s="304"/>
      <c r="M237" s="309"/>
    </row>
    <row r="238" spans="1:13" x14ac:dyDescent="0.25">
      <c r="A238" s="302">
        <v>45922</v>
      </c>
      <c r="B238" s="304" t="s">
        <v>932</v>
      </c>
      <c r="C238" s="304" t="s">
        <v>32</v>
      </c>
      <c r="D238" s="305">
        <v>480</v>
      </c>
      <c r="E238" s="306"/>
      <c r="F238" s="307" t="s">
        <v>794</v>
      </c>
      <c r="G238" s="306"/>
      <c r="H238" s="306"/>
      <c r="I238" s="306"/>
      <c r="J238" s="308"/>
      <c r="K238" s="306"/>
      <c r="L238" s="304"/>
      <c r="M238" s="309"/>
    </row>
    <row r="239" spans="1:13" x14ac:dyDescent="0.25">
      <c r="A239" s="302">
        <v>45922</v>
      </c>
      <c r="B239" s="304" t="s">
        <v>933</v>
      </c>
      <c r="C239" s="304" t="s">
        <v>32</v>
      </c>
      <c r="D239" s="305">
        <v>160</v>
      </c>
      <c r="E239" s="306"/>
      <c r="F239" s="307" t="s">
        <v>752</v>
      </c>
      <c r="G239" s="306"/>
      <c r="H239" s="306"/>
      <c r="I239" s="306"/>
      <c r="J239" s="308"/>
      <c r="K239" s="306"/>
      <c r="L239" s="304"/>
      <c r="M239" s="309"/>
    </row>
    <row r="240" spans="1:13" x14ac:dyDescent="0.25">
      <c r="A240" s="302">
        <v>45922</v>
      </c>
      <c r="B240" s="304" t="s">
        <v>934</v>
      </c>
      <c r="C240" s="304" t="s">
        <v>32</v>
      </c>
      <c r="D240" s="305">
        <v>160</v>
      </c>
      <c r="E240" s="306"/>
      <c r="F240" s="307" t="s">
        <v>707</v>
      </c>
      <c r="G240" s="306"/>
      <c r="H240" s="306"/>
      <c r="I240" s="306"/>
      <c r="J240" s="308"/>
      <c r="K240" s="306"/>
      <c r="L240" s="304"/>
      <c r="M240" s="309"/>
    </row>
    <row r="241" spans="1:13" x14ac:dyDescent="0.25">
      <c r="A241" s="302">
        <v>45922</v>
      </c>
      <c r="B241" s="304" t="s">
        <v>935</v>
      </c>
      <c r="C241" s="304" t="s">
        <v>32</v>
      </c>
      <c r="D241" s="305">
        <v>300</v>
      </c>
      <c r="E241" s="306"/>
      <c r="F241" s="307" t="s">
        <v>839</v>
      </c>
      <c r="G241" s="306"/>
      <c r="H241" s="306"/>
      <c r="I241" s="306"/>
      <c r="J241" s="308"/>
      <c r="K241" s="306"/>
      <c r="L241" s="304"/>
      <c r="M241" s="309"/>
    </row>
    <row r="242" spans="1:13" x14ac:dyDescent="0.25">
      <c r="A242" s="302">
        <v>45922</v>
      </c>
      <c r="B242" s="304" t="s">
        <v>936</v>
      </c>
      <c r="C242" s="304" t="s">
        <v>32</v>
      </c>
      <c r="D242" s="305">
        <v>890</v>
      </c>
      <c r="E242" s="306"/>
      <c r="F242" s="307" t="s">
        <v>817</v>
      </c>
      <c r="G242" s="306"/>
      <c r="H242" s="306"/>
      <c r="I242" s="306"/>
      <c r="J242" s="308"/>
      <c r="K242" s="306"/>
      <c r="L242" s="304"/>
      <c r="M242" s="309"/>
    </row>
    <row r="243" spans="1:13" x14ac:dyDescent="0.25">
      <c r="A243" s="302">
        <v>45922</v>
      </c>
      <c r="B243" s="304" t="s">
        <v>937</v>
      </c>
      <c r="C243" s="304" t="s">
        <v>32</v>
      </c>
      <c r="D243" s="305">
        <v>800</v>
      </c>
      <c r="E243" s="306"/>
      <c r="F243" s="307" t="s">
        <v>804</v>
      </c>
      <c r="G243" s="306"/>
      <c r="H243" s="306"/>
      <c r="I243" s="306"/>
      <c r="J243" s="308"/>
      <c r="K243" s="306"/>
      <c r="L243" s="304"/>
      <c r="M243" s="309"/>
    </row>
    <row r="244" spans="1:13" x14ac:dyDescent="0.25">
      <c r="A244" s="302">
        <v>45922</v>
      </c>
      <c r="B244" s="304" t="s">
        <v>938</v>
      </c>
      <c r="C244" s="304" t="s">
        <v>32</v>
      </c>
      <c r="D244" s="305">
        <v>940</v>
      </c>
      <c r="E244" s="306"/>
      <c r="F244" s="307" t="s">
        <v>521</v>
      </c>
      <c r="G244" s="306"/>
      <c r="H244" s="306"/>
      <c r="I244" s="306"/>
      <c r="J244" s="308"/>
      <c r="K244" s="306"/>
      <c r="L244" s="304"/>
      <c r="M244" s="309"/>
    </row>
    <row r="245" spans="1:13" x14ac:dyDescent="0.25">
      <c r="A245" s="302">
        <v>45922</v>
      </c>
      <c r="B245" s="304" t="s">
        <v>939</v>
      </c>
      <c r="C245" s="304" t="s">
        <v>32</v>
      </c>
      <c r="D245" s="305">
        <v>160</v>
      </c>
      <c r="E245" s="306"/>
      <c r="F245" s="307" t="s">
        <v>798</v>
      </c>
      <c r="G245" s="306"/>
      <c r="H245" s="306"/>
      <c r="I245" s="306"/>
      <c r="J245" s="308"/>
      <c r="K245" s="306"/>
      <c r="L245" s="304"/>
      <c r="M245" s="309"/>
    </row>
    <row r="246" spans="1:13" x14ac:dyDescent="0.25">
      <c r="A246" s="302">
        <v>45922</v>
      </c>
      <c r="B246" s="304"/>
      <c r="C246" s="304" t="s">
        <v>33</v>
      </c>
      <c r="D246" s="305"/>
      <c r="E246" s="306">
        <v>50</v>
      </c>
      <c r="F246" s="307"/>
      <c r="G246" s="306"/>
      <c r="H246" s="306"/>
      <c r="I246" s="306"/>
      <c r="J246" s="308"/>
      <c r="K246" s="306"/>
      <c r="L246" s="304"/>
      <c r="M246" s="309"/>
    </row>
    <row r="247" spans="1:13" x14ac:dyDescent="0.25">
      <c r="A247" s="302">
        <v>45923</v>
      </c>
      <c r="B247" s="304" t="s">
        <v>940</v>
      </c>
      <c r="C247" s="304" t="s">
        <v>32</v>
      </c>
      <c r="D247" s="305">
        <v>240</v>
      </c>
      <c r="E247" s="306"/>
      <c r="F247" s="307" t="s">
        <v>707</v>
      </c>
      <c r="G247" s="306"/>
      <c r="H247" s="306"/>
      <c r="I247" s="306"/>
      <c r="J247" s="308"/>
      <c r="K247" s="306"/>
      <c r="L247" s="304"/>
      <c r="M247" s="309"/>
    </row>
    <row r="248" spans="1:13" x14ac:dyDescent="0.25">
      <c r="A248" s="302">
        <v>45923</v>
      </c>
      <c r="B248" s="304" t="s">
        <v>941</v>
      </c>
      <c r="C248" s="304" t="s">
        <v>32</v>
      </c>
      <c r="D248" s="305">
        <v>360</v>
      </c>
      <c r="E248" s="306"/>
      <c r="F248" s="307" t="s">
        <v>753</v>
      </c>
      <c r="G248" s="306"/>
      <c r="H248" s="306"/>
      <c r="I248" s="306"/>
      <c r="J248" s="308"/>
      <c r="K248" s="306"/>
      <c r="L248" s="304"/>
      <c r="M248" s="309"/>
    </row>
    <row r="249" spans="1:13" x14ac:dyDescent="0.25">
      <c r="A249" s="302">
        <v>45923</v>
      </c>
      <c r="B249" s="304" t="s">
        <v>942</v>
      </c>
      <c r="C249" s="304" t="s">
        <v>32</v>
      </c>
      <c r="D249" s="305">
        <v>90</v>
      </c>
      <c r="E249" s="306"/>
      <c r="F249" s="307" t="s">
        <v>521</v>
      </c>
      <c r="G249" s="306"/>
      <c r="H249" s="306"/>
      <c r="I249" s="306"/>
      <c r="J249" s="308"/>
      <c r="K249" s="306"/>
      <c r="L249" s="304"/>
      <c r="M249" s="309"/>
    </row>
    <row r="250" spans="1:13" x14ac:dyDescent="0.25">
      <c r="A250" s="302">
        <v>45923</v>
      </c>
      <c r="B250" s="304" t="s">
        <v>943</v>
      </c>
      <c r="C250" s="304" t="s">
        <v>32</v>
      </c>
      <c r="D250" s="305">
        <v>510</v>
      </c>
      <c r="E250" s="306"/>
      <c r="F250" s="307" t="s">
        <v>817</v>
      </c>
      <c r="G250" s="306"/>
      <c r="H250" s="306"/>
      <c r="I250" s="306"/>
      <c r="J250" s="308"/>
      <c r="K250" s="306"/>
      <c r="L250" s="304"/>
      <c r="M250" s="309"/>
    </row>
    <row r="251" spans="1:13" x14ac:dyDescent="0.25">
      <c r="A251" s="302">
        <v>45923</v>
      </c>
      <c r="B251" s="304" t="s">
        <v>944</v>
      </c>
      <c r="C251" s="304" t="s">
        <v>32</v>
      </c>
      <c r="D251" s="305">
        <v>160</v>
      </c>
      <c r="E251" s="306"/>
      <c r="F251" s="307" t="s">
        <v>951</v>
      </c>
      <c r="G251" s="306"/>
      <c r="H251" s="306"/>
      <c r="I251" s="306"/>
      <c r="J251" s="308"/>
      <c r="K251" s="306"/>
      <c r="L251" s="304"/>
      <c r="M251" s="309"/>
    </row>
    <row r="252" spans="1:13" x14ac:dyDescent="0.25">
      <c r="A252" s="302">
        <v>45923</v>
      </c>
      <c r="B252" s="304"/>
      <c r="C252" s="304" t="s">
        <v>33</v>
      </c>
      <c r="D252" s="305"/>
      <c r="E252" s="306">
        <v>50</v>
      </c>
      <c r="F252" s="307"/>
      <c r="G252" s="306"/>
      <c r="H252" s="306"/>
      <c r="I252" s="306"/>
      <c r="J252" s="308"/>
      <c r="K252" s="306"/>
      <c r="L252" s="304"/>
      <c r="M252" s="309"/>
    </row>
    <row r="253" spans="1:13" ht="26.25" x14ac:dyDescent="0.25">
      <c r="A253" s="302">
        <v>45923</v>
      </c>
      <c r="B253" s="304"/>
      <c r="C253" s="304" t="s">
        <v>545</v>
      </c>
      <c r="D253" s="305"/>
      <c r="E253" s="306">
        <v>700</v>
      </c>
      <c r="F253" s="307"/>
      <c r="G253" s="306"/>
      <c r="H253" s="306"/>
      <c r="I253" s="306"/>
      <c r="J253" s="308"/>
      <c r="K253" s="306"/>
      <c r="L253" s="304"/>
      <c r="M253" s="309" t="s">
        <v>952</v>
      </c>
    </row>
    <row r="254" spans="1:13" x14ac:dyDescent="0.25">
      <c r="A254" s="302">
        <v>45924</v>
      </c>
      <c r="B254" s="304" t="s">
        <v>945</v>
      </c>
      <c r="C254" s="304" t="s">
        <v>32</v>
      </c>
      <c r="D254" s="305">
        <v>240</v>
      </c>
      <c r="E254" s="306"/>
      <c r="F254" s="307" t="s">
        <v>707</v>
      </c>
      <c r="G254" s="306"/>
      <c r="H254" s="306"/>
      <c r="I254" s="306"/>
      <c r="J254" s="308"/>
      <c r="K254" s="306"/>
      <c r="L254" s="304"/>
      <c r="M254" s="309"/>
    </row>
    <row r="255" spans="1:13" x14ac:dyDescent="0.25">
      <c r="A255" s="302">
        <v>45924</v>
      </c>
      <c r="B255" s="304" t="s">
        <v>946</v>
      </c>
      <c r="C255" s="304" t="s">
        <v>32</v>
      </c>
      <c r="D255" s="305">
        <v>100</v>
      </c>
      <c r="E255" s="306"/>
      <c r="F255" s="307" t="s">
        <v>142</v>
      </c>
      <c r="G255" s="306"/>
      <c r="H255" s="306"/>
      <c r="I255" s="306"/>
      <c r="J255" s="308"/>
      <c r="K255" s="306"/>
      <c r="L255" s="304"/>
      <c r="M255" s="309"/>
    </row>
    <row r="256" spans="1:13" x14ac:dyDescent="0.25">
      <c r="A256" s="302">
        <v>45924</v>
      </c>
      <c r="B256" s="304" t="s">
        <v>947</v>
      </c>
      <c r="C256" s="304" t="s">
        <v>32</v>
      </c>
      <c r="D256" s="305">
        <v>260</v>
      </c>
      <c r="E256" s="306"/>
      <c r="F256" s="307" t="s">
        <v>817</v>
      </c>
      <c r="G256" s="306"/>
      <c r="H256" s="306"/>
      <c r="I256" s="306"/>
      <c r="J256" s="308"/>
      <c r="K256" s="306"/>
      <c r="L256" s="304"/>
      <c r="M256" s="309"/>
    </row>
    <row r="257" spans="1:13" x14ac:dyDescent="0.25">
      <c r="A257" s="302">
        <v>45924</v>
      </c>
      <c r="B257" s="304" t="s">
        <v>948</v>
      </c>
      <c r="C257" s="304" t="s">
        <v>32</v>
      </c>
      <c r="D257" s="305">
        <v>240</v>
      </c>
      <c r="E257" s="306"/>
      <c r="F257" s="307" t="s">
        <v>731</v>
      </c>
      <c r="G257" s="306"/>
      <c r="H257" s="306"/>
      <c r="I257" s="306"/>
      <c r="J257" s="308"/>
      <c r="K257" s="306"/>
      <c r="L257" s="304"/>
      <c r="M257" s="309"/>
    </row>
    <row r="258" spans="1:13" x14ac:dyDescent="0.25">
      <c r="A258" s="302">
        <v>45924</v>
      </c>
      <c r="B258" s="304" t="s">
        <v>949</v>
      </c>
      <c r="C258" s="304" t="s">
        <v>32</v>
      </c>
      <c r="D258" s="305">
        <v>1500</v>
      </c>
      <c r="E258" s="306"/>
      <c r="F258" s="307" t="s">
        <v>752</v>
      </c>
      <c r="G258" s="306"/>
      <c r="H258" s="306"/>
      <c r="I258" s="306"/>
      <c r="J258" s="308"/>
      <c r="K258" s="306"/>
      <c r="L258" s="304"/>
      <c r="M258" s="309"/>
    </row>
    <row r="259" spans="1:13" x14ac:dyDescent="0.25">
      <c r="A259" s="302">
        <v>45924</v>
      </c>
      <c r="B259" s="304" t="s">
        <v>950</v>
      </c>
      <c r="C259" s="304" t="s">
        <v>32</v>
      </c>
      <c r="D259" s="305">
        <v>60</v>
      </c>
      <c r="E259" s="306"/>
      <c r="F259" s="307" t="s">
        <v>521</v>
      </c>
      <c r="G259" s="306"/>
      <c r="H259" s="306"/>
      <c r="I259" s="306"/>
      <c r="J259" s="308"/>
      <c r="K259" s="306"/>
      <c r="L259" s="304"/>
      <c r="M259" s="309"/>
    </row>
    <row r="260" spans="1:13" x14ac:dyDescent="0.25">
      <c r="A260" s="302">
        <v>45924</v>
      </c>
      <c r="B260" s="304" t="s">
        <v>953</v>
      </c>
      <c r="C260" s="304" t="s">
        <v>32</v>
      </c>
      <c r="D260" s="305">
        <v>900</v>
      </c>
      <c r="E260" s="306"/>
      <c r="F260" s="307" t="s">
        <v>839</v>
      </c>
      <c r="G260" s="306"/>
      <c r="H260" s="306"/>
      <c r="I260" s="306"/>
      <c r="J260" s="308"/>
      <c r="K260" s="306"/>
      <c r="L260" s="304"/>
      <c r="M260" s="309"/>
    </row>
    <row r="261" spans="1:13" x14ac:dyDescent="0.25">
      <c r="A261" s="302">
        <v>45924</v>
      </c>
      <c r="B261" s="304"/>
      <c r="C261" s="304" t="s">
        <v>33</v>
      </c>
      <c r="D261" s="305"/>
      <c r="E261" s="306">
        <v>50</v>
      </c>
      <c r="F261" s="307"/>
      <c r="G261" s="306"/>
      <c r="H261" s="306"/>
      <c r="I261" s="306"/>
      <c r="J261" s="308"/>
      <c r="K261" s="306"/>
      <c r="L261" s="304"/>
      <c r="M261" s="309"/>
    </row>
    <row r="262" spans="1:13" x14ac:dyDescent="0.25">
      <c r="A262" s="302">
        <v>45924</v>
      </c>
      <c r="B262" s="304"/>
      <c r="C262" s="304" t="s">
        <v>682</v>
      </c>
      <c r="D262" s="305"/>
      <c r="E262" s="306">
        <v>1090</v>
      </c>
      <c r="F262" s="307"/>
      <c r="G262" s="306"/>
      <c r="H262" s="306"/>
      <c r="I262" s="306"/>
      <c r="J262" s="308"/>
      <c r="K262" s="306"/>
      <c r="L262" s="304"/>
      <c r="M262" s="309"/>
    </row>
    <row r="263" spans="1:13" x14ac:dyDescent="0.25">
      <c r="A263" s="302">
        <v>45924</v>
      </c>
      <c r="B263" s="304"/>
      <c r="C263" s="304" t="s">
        <v>109</v>
      </c>
      <c r="D263" s="305"/>
      <c r="E263" s="306">
        <v>400</v>
      </c>
      <c r="F263" s="307"/>
      <c r="G263" s="306"/>
      <c r="H263" s="306"/>
      <c r="I263" s="306"/>
      <c r="J263" s="308"/>
      <c r="K263" s="306"/>
      <c r="L263" s="304"/>
      <c r="M263" s="309"/>
    </row>
    <row r="264" spans="1:13" x14ac:dyDescent="0.25">
      <c r="A264" s="302">
        <v>45925</v>
      </c>
      <c r="B264" s="304" t="s">
        <v>954</v>
      </c>
      <c r="C264" s="304" t="s">
        <v>32</v>
      </c>
      <c r="D264" s="305">
        <v>160</v>
      </c>
      <c r="E264" s="306"/>
      <c r="F264" s="307" t="s">
        <v>707</v>
      </c>
      <c r="G264" s="306"/>
      <c r="H264" s="306"/>
      <c r="I264" s="306"/>
      <c r="J264" s="308"/>
      <c r="K264" s="306"/>
      <c r="L264" s="304"/>
      <c r="M264" s="309"/>
    </row>
    <row r="265" spans="1:13" ht="26.25" x14ac:dyDescent="0.25">
      <c r="A265" s="302">
        <v>45925</v>
      </c>
      <c r="B265" s="304" t="s">
        <v>955</v>
      </c>
      <c r="C265" s="304" t="s">
        <v>32</v>
      </c>
      <c r="D265" s="305">
        <v>1500</v>
      </c>
      <c r="E265" s="306"/>
      <c r="F265" s="307" t="s">
        <v>740</v>
      </c>
      <c r="G265" s="306"/>
      <c r="H265" s="306"/>
      <c r="I265" s="306"/>
      <c r="J265" s="308"/>
      <c r="K265" s="306"/>
      <c r="L265" s="304"/>
      <c r="M265" s="309"/>
    </row>
    <row r="266" spans="1:13" x14ac:dyDescent="0.25">
      <c r="A266" s="302">
        <v>45925</v>
      </c>
      <c r="B266" s="304" t="s">
        <v>956</v>
      </c>
      <c r="C266" s="304" t="s">
        <v>32</v>
      </c>
      <c r="D266" s="305">
        <v>480</v>
      </c>
      <c r="E266" s="306"/>
      <c r="F266" s="307" t="s">
        <v>794</v>
      </c>
      <c r="G266" s="306"/>
      <c r="H266" s="306"/>
      <c r="I266" s="306"/>
      <c r="J266" s="308"/>
      <c r="K266" s="306"/>
      <c r="L266" s="304"/>
      <c r="M266" s="309"/>
    </row>
    <row r="267" spans="1:13" x14ac:dyDescent="0.25">
      <c r="A267" s="302">
        <v>45925</v>
      </c>
      <c r="B267" s="304" t="s">
        <v>957</v>
      </c>
      <c r="C267" s="304" t="s">
        <v>32</v>
      </c>
      <c r="D267" s="305">
        <v>750</v>
      </c>
      <c r="E267" s="306"/>
      <c r="F267" s="307" t="s">
        <v>741</v>
      </c>
      <c r="G267" s="306"/>
      <c r="H267" s="306"/>
      <c r="I267" s="306"/>
      <c r="J267" s="308"/>
      <c r="K267" s="306"/>
      <c r="L267" s="304"/>
      <c r="M267" s="309"/>
    </row>
    <row r="268" spans="1:13" x14ac:dyDescent="0.25">
      <c r="A268" s="302">
        <v>45925</v>
      </c>
      <c r="B268" s="304" t="s">
        <v>958</v>
      </c>
      <c r="C268" s="304" t="s">
        <v>32</v>
      </c>
      <c r="D268" s="305">
        <v>300</v>
      </c>
      <c r="E268" s="306"/>
      <c r="F268" s="307" t="s">
        <v>142</v>
      </c>
      <c r="G268" s="306"/>
      <c r="H268" s="306"/>
      <c r="I268" s="306"/>
      <c r="J268" s="308"/>
      <c r="K268" s="306"/>
      <c r="L268" s="304"/>
      <c r="M268" s="309"/>
    </row>
    <row r="269" spans="1:13" x14ac:dyDescent="0.25">
      <c r="A269" s="302">
        <v>45925</v>
      </c>
      <c r="B269" s="304" t="s">
        <v>959</v>
      </c>
      <c r="C269" s="304" t="s">
        <v>32</v>
      </c>
      <c r="D269" s="305">
        <v>320</v>
      </c>
      <c r="E269" s="306"/>
      <c r="F269" s="307" t="s">
        <v>795</v>
      </c>
      <c r="G269" s="306"/>
      <c r="H269" s="306"/>
      <c r="I269" s="306"/>
      <c r="J269" s="308"/>
      <c r="K269" s="306"/>
      <c r="L269" s="304"/>
      <c r="M269" s="309"/>
    </row>
    <row r="270" spans="1:13" x14ac:dyDescent="0.25">
      <c r="A270" s="302">
        <v>45925</v>
      </c>
      <c r="B270" s="304"/>
      <c r="C270" s="304" t="s">
        <v>145</v>
      </c>
      <c r="D270" s="305"/>
      <c r="E270" s="306">
        <v>3600</v>
      </c>
      <c r="F270" s="307"/>
      <c r="G270" s="306" t="s">
        <v>619</v>
      </c>
      <c r="H270" s="306">
        <v>72</v>
      </c>
      <c r="I270" s="306"/>
      <c r="J270" s="308">
        <v>50</v>
      </c>
      <c r="K270" s="306" t="s">
        <v>19</v>
      </c>
      <c r="L270" s="304"/>
      <c r="M270" s="309"/>
    </row>
    <row r="271" spans="1:13" x14ac:dyDescent="0.25">
      <c r="A271" s="302">
        <v>45925</v>
      </c>
      <c r="B271" s="304"/>
      <c r="C271" s="304" t="s">
        <v>33</v>
      </c>
      <c r="D271" s="305"/>
      <c r="E271" s="306">
        <v>50</v>
      </c>
      <c r="F271" s="307"/>
      <c r="G271" s="306"/>
      <c r="H271" s="306"/>
      <c r="I271" s="306"/>
      <c r="J271" s="308"/>
      <c r="K271" s="306"/>
      <c r="L271" s="304"/>
      <c r="M271" s="309"/>
    </row>
    <row r="272" spans="1:13" x14ac:dyDescent="0.25">
      <c r="A272" s="302">
        <v>45925</v>
      </c>
      <c r="B272" s="304"/>
      <c r="C272" s="304" t="s">
        <v>207</v>
      </c>
      <c r="D272" s="305"/>
      <c r="E272" s="306">
        <v>20</v>
      </c>
      <c r="F272" s="307"/>
      <c r="G272" s="306"/>
      <c r="H272" s="306"/>
      <c r="I272" s="306"/>
      <c r="J272" s="308"/>
      <c r="K272" s="306"/>
      <c r="L272" s="304"/>
      <c r="M272" s="309"/>
    </row>
    <row r="273" spans="1:13" x14ac:dyDescent="0.25">
      <c r="A273" s="302">
        <v>45925</v>
      </c>
      <c r="B273" s="304"/>
      <c r="C273" s="304" t="s">
        <v>545</v>
      </c>
      <c r="D273" s="305"/>
      <c r="E273" s="306">
        <v>300</v>
      </c>
      <c r="F273" s="307"/>
      <c r="G273" s="306"/>
      <c r="H273" s="306"/>
      <c r="I273" s="306"/>
      <c r="J273" s="308"/>
      <c r="K273" s="306"/>
      <c r="L273" s="304"/>
      <c r="M273" s="309"/>
    </row>
    <row r="274" spans="1:13" x14ac:dyDescent="0.25">
      <c r="A274" s="302">
        <v>45925</v>
      </c>
      <c r="B274" s="304"/>
      <c r="C274" s="304" t="s">
        <v>682</v>
      </c>
      <c r="D274" s="305"/>
      <c r="E274" s="306">
        <v>400</v>
      </c>
      <c r="F274" s="307"/>
      <c r="G274" s="306"/>
      <c r="H274" s="306"/>
      <c r="I274" s="306"/>
      <c r="J274" s="308"/>
      <c r="K274" s="306"/>
      <c r="L274" s="304"/>
      <c r="M274" s="309"/>
    </row>
    <row r="275" spans="1:13" x14ac:dyDescent="0.25">
      <c r="A275" s="302">
        <v>45925</v>
      </c>
      <c r="B275" s="304"/>
      <c r="C275" s="304" t="s">
        <v>618</v>
      </c>
      <c r="D275" s="305"/>
      <c r="E275" s="306">
        <v>160</v>
      </c>
      <c r="F275" s="307"/>
      <c r="G275" s="306"/>
      <c r="H275" s="306"/>
      <c r="I275" s="306"/>
      <c r="J275" s="308"/>
      <c r="K275" s="306"/>
      <c r="L275" s="304"/>
      <c r="M275" s="309"/>
    </row>
    <row r="276" spans="1:13" ht="26.25" x14ac:dyDescent="0.25">
      <c r="A276" s="302">
        <v>45926</v>
      </c>
      <c r="B276" s="304" t="s">
        <v>960</v>
      </c>
      <c r="C276" s="304" t="s">
        <v>32</v>
      </c>
      <c r="D276" s="305">
        <v>1500</v>
      </c>
      <c r="E276" s="306"/>
      <c r="F276" s="307" t="s">
        <v>740</v>
      </c>
      <c r="G276" s="306"/>
      <c r="H276" s="306"/>
      <c r="I276" s="306"/>
      <c r="J276" s="308"/>
      <c r="K276" s="306"/>
      <c r="L276" s="304"/>
      <c r="M276" s="309"/>
    </row>
    <row r="277" spans="1:13" x14ac:dyDescent="0.25">
      <c r="A277" s="302">
        <v>45926</v>
      </c>
      <c r="B277" s="304" t="s">
        <v>961</v>
      </c>
      <c r="C277" s="304" t="s">
        <v>32</v>
      </c>
      <c r="D277" s="305">
        <v>1050</v>
      </c>
      <c r="E277" s="306"/>
      <c r="F277" s="307" t="s">
        <v>733</v>
      </c>
      <c r="G277" s="306"/>
      <c r="H277" s="306"/>
      <c r="I277" s="306"/>
      <c r="J277" s="308"/>
      <c r="K277" s="306"/>
      <c r="L277" s="304"/>
      <c r="M277" s="309"/>
    </row>
    <row r="278" spans="1:13" x14ac:dyDescent="0.25">
      <c r="A278" s="302">
        <v>45926</v>
      </c>
      <c r="B278" s="304" t="s">
        <v>962</v>
      </c>
      <c r="C278" s="304" t="s">
        <v>32</v>
      </c>
      <c r="D278" s="305">
        <v>510</v>
      </c>
      <c r="E278" s="306"/>
      <c r="F278" s="307" t="s">
        <v>817</v>
      </c>
      <c r="G278" s="306"/>
      <c r="H278" s="306"/>
      <c r="I278" s="306"/>
      <c r="J278" s="308"/>
      <c r="K278" s="306"/>
      <c r="L278" s="304"/>
      <c r="M278" s="309"/>
    </row>
    <row r="279" spans="1:13" x14ac:dyDescent="0.25">
      <c r="A279" s="302">
        <v>45926</v>
      </c>
      <c r="B279" s="304" t="s">
        <v>963</v>
      </c>
      <c r="C279" s="304" t="s">
        <v>32</v>
      </c>
      <c r="D279" s="305">
        <v>500</v>
      </c>
      <c r="E279" s="306"/>
      <c r="F279" s="307" t="s">
        <v>753</v>
      </c>
      <c r="G279" s="306"/>
      <c r="H279" s="306"/>
      <c r="I279" s="306"/>
      <c r="J279" s="308"/>
      <c r="K279" s="306"/>
      <c r="L279" s="304"/>
      <c r="M279" s="309"/>
    </row>
    <row r="280" spans="1:13" x14ac:dyDescent="0.25">
      <c r="A280" s="302">
        <v>45926</v>
      </c>
      <c r="B280" s="304" t="s">
        <v>964</v>
      </c>
      <c r="C280" s="304" t="s">
        <v>32</v>
      </c>
      <c r="D280" s="305">
        <v>320</v>
      </c>
      <c r="E280" s="306"/>
      <c r="F280" s="307" t="s">
        <v>798</v>
      </c>
      <c r="G280" s="306"/>
      <c r="H280" s="306"/>
      <c r="I280" s="306"/>
      <c r="J280" s="308"/>
      <c r="K280" s="306"/>
      <c r="L280" s="304"/>
      <c r="M280" s="309"/>
    </row>
    <row r="281" spans="1:13" x14ac:dyDescent="0.25">
      <c r="A281" s="302">
        <v>45926</v>
      </c>
      <c r="B281" s="304" t="s">
        <v>965</v>
      </c>
      <c r="C281" s="304" t="s">
        <v>32</v>
      </c>
      <c r="D281" s="305">
        <v>480</v>
      </c>
      <c r="E281" s="306"/>
      <c r="F281" s="307" t="s">
        <v>753</v>
      </c>
      <c r="G281" s="306"/>
      <c r="H281" s="306"/>
      <c r="I281" s="306"/>
      <c r="J281" s="308"/>
      <c r="K281" s="306"/>
      <c r="L281" s="304"/>
      <c r="M281" s="309"/>
    </row>
    <row r="282" spans="1:13" x14ac:dyDescent="0.25">
      <c r="A282" s="302">
        <v>45926</v>
      </c>
      <c r="B282" s="304" t="s">
        <v>966</v>
      </c>
      <c r="C282" s="304" t="s">
        <v>32</v>
      </c>
      <c r="D282" s="305">
        <v>960</v>
      </c>
      <c r="E282" s="306"/>
      <c r="F282" s="307" t="s">
        <v>739</v>
      </c>
      <c r="G282" s="306"/>
      <c r="H282" s="306"/>
      <c r="I282" s="306"/>
      <c r="J282" s="308"/>
      <c r="K282" s="306"/>
      <c r="L282" s="304"/>
      <c r="M282" s="309"/>
    </row>
    <row r="283" spans="1:13" x14ac:dyDescent="0.25">
      <c r="A283" s="302">
        <v>45926</v>
      </c>
      <c r="B283" s="304" t="s">
        <v>967</v>
      </c>
      <c r="C283" s="304" t="s">
        <v>32</v>
      </c>
      <c r="D283" s="305">
        <v>80</v>
      </c>
      <c r="E283" s="306"/>
      <c r="F283" s="307" t="s">
        <v>521</v>
      </c>
      <c r="G283" s="306"/>
      <c r="H283" s="306"/>
      <c r="I283" s="306"/>
      <c r="J283" s="308"/>
      <c r="K283" s="306"/>
      <c r="L283" s="304"/>
      <c r="M283" s="309"/>
    </row>
    <row r="284" spans="1:13" x14ac:dyDescent="0.25">
      <c r="A284" s="302">
        <v>45926</v>
      </c>
      <c r="B284" s="304" t="s">
        <v>968</v>
      </c>
      <c r="C284" s="304" t="s">
        <v>32</v>
      </c>
      <c r="D284" s="305">
        <v>320</v>
      </c>
      <c r="E284" s="306"/>
      <c r="F284" s="307" t="s">
        <v>794</v>
      </c>
      <c r="G284" s="306"/>
      <c r="H284" s="306"/>
      <c r="I284" s="306"/>
      <c r="J284" s="308"/>
      <c r="K284" s="306"/>
      <c r="L284" s="304"/>
      <c r="M284" s="309"/>
    </row>
    <row r="285" spans="1:13" x14ac:dyDescent="0.25">
      <c r="A285" s="302">
        <v>45926</v>
      </c>
      <c r="B285" s="304"/>
      <c r="C285" s="304" t="s">
        <v>33</v>
      </c>
      <c r="D285" s="305"/>
      <c r="E285" s="306">
        <v>50</v>
      </c>
      <c r="F285" s="307"/>
      <c r="G285" s="306"/>
      <c r="H285" s="306"/>
      <c r="I285" s="306"/>
      <c r="J285" s="308"/>
      <c r="K285" s="306"/>
      <c r="L285" s="304"/>
      <c r="M285" s="309"/>
    </row>
    <row r="286" spans="1:13" x14ac:dyDescent="0.25">
      <c r="A286" s="302">
        <v>45926</v>
      </c>
      <c r="B286" s="304"/>
      <c r="C286" s="304" t="s">
        <v>207</v>
      </c>
      <c r="D286" s="305"/>
      <c r="E286" s="306">
        <v>100</v>
      </c>
      <c r="F286" s="307"/>
      <c r="G286" s="306"/>
      <c r="H286" s="306"/>
      <c r="I286" s="306"/>
      <c r="J286" s="308"/>
      <c r="K286" s="306"/>
      <c r="L286" s="304"/>
      <c r="M286" s="309"/>
    </row>
    <row r="287" spans="1:13" x14ac:dyDescent="0.25">
      <c r="A287" s="302">
        <v>45927</v>
      </c>
      <c r="B287" s="304" t="s">
        <v>969</v>
      </c>
      <c r="C287" s="304" t="s">
        <v>32</v>
      </c>
      <c r="D287" s="305">
        <v>560</v>
      </c>
      <c r="E287" s="306"/>
      <c r="F287" s="307" t="s">
        <v>707</v>
      </c>
      <c r="G287" s="306"/>
      <c r="H287" s="306"/>
      <c r="I287" s="306"/>
      <c r="J287" s="308"/>
      <c r="K287" s="306"/>
      <c r="L287" s="304"/>
      <c r="M287" s="309"/>
    </row>
    <row r="288" spans="1:13" x14ac:dyDescent="0.25">
      <c r="A288" s="302">
        <v>45927</v>
      </c>
      <c r="B288" s="304" t="s">
        <v>970</v>
      </c>
      <c r="C288" s="304" t="s">
        <v>32</v>
      </c>
      <c r="D288" s="305">
        <v>480</v>
      </c>
      <c r="E288" s="306"/>
      <c r="F288" s="307" t="s">
        <v>741</v>
      </c>
      <c r="G288" s="306"/>
      <c r="H288" s="306"/>
      <c r="I288" s="306"/>
      <c r="J288" s="308"/>
      <c r="K288" s="306"/>
      <c r="L288" s="304"/>
      <c r="M288" s="309"/>
    </row>
    <row r="289" spans="1:13" x14ac:dyDescent="0.25">
      <c r="A289" s="302">
        <v>45927</v>
      </c>
      <c r="B289" s="304" t="s">
        <v>971</v>
      </c>
      <c r="C289" s="304" t="s">
        <v>32</v>
      </c>
      <c r="D289" s="305">
        <v>480</v>
      </c>
      <c r="E289" s="306"/>
      <c r="F289" s="307" t="s">
        <v>753</v>
      </c>
      <c r="G289" s="306"/>
      <c r="H289" s="306"/>
      <c r="I289" s="306"/>
      <c r="J289" s="308"/>
      <c r="K289" s="306"/>
      <c r="L289" s="304"/>
      <c r="M289" s="309"/>
    </row>
    <row r="290" spans="1:13" x14ac:dyDescent="0.25">
      <c r="A290" s="302">
        <v>45927</v>
      </c>
      <c r="B290" s="304" t="s">
        <v>972</v>
      </c>
      <c r="C290" s="304" t="s">
        <v>32</v>
      </c>
      <c r="D290" s="305">
        <v>480</v>
      </c>
      <c r="E290" s="306"/>
      <c r="F290" s="307" t="s">
        <v>794</v>
      </c>
      <c r="G290" s="306"/>
      <c r="H290" s="306"/>
      <c r="I290" s="306"/>
      <c r="J290" s="308"/>
      <c r="K290" s="306"/>
      <c r="L290" s="304"/>
      <c r="M290" s="309"/>
    </row>
    <row r="291" spans="1:13" ht="26.25" x14ac:dyDescent="0.25">
      <c r="A291" s="302">
        <v>45927</v>
      </c>
      <c r="B291" s="304" t="s">
        <v>973</v>
      </c>
      <c r="C291" s="304" t="s">
        <v>32</v>
      </c>
      <c r="D291" s="305">
        <v>1500</v>
      </c>
      <c r="E291" s="306"/>
      <c r="F291" s="307" t="s">
        <v>740</v>
      </c>
      <c r="G291" s="306"/>
      <c r="H291" s="306"/>
      <c r="I291" s="306"/>
      <c r="J291" s="308"/>
      <c r="K291" s="306"/>
      <c r="L291" s="304"/>
      <c r="M291" s="309"/>
    </row>
    <row r="292" spans="1:13" x14ac:dyDescent="0.25">
      <c r="A292" s="302">
        <v>45927</v>
      </c>
      <c r="B292" s="304" t="s">
        <v>974</v>
      </c>
      <c r="C292" s="304" t="s">
        <v>32</v>
      </c>
      <c r="D292" s="305">
        <v>2250</v>
      </c>
      <c r="E292" s="306"/>
      <c r="F292" s="307" t="s">
        <v>741</v>
      </c>
      <c r="G292" s="306"/>
      <c r="H292" s="306"/>
      <c r="I292" s="306"/>
      <c r="J292" s="308"/>
      <c r="K292" s="306"/>
      <c r="L292" s="304"/>
      <c r="M292" s="309"/>
    </row>
    <row r="293" spans="1:13" x14ac:dyDescent="0.25">
      <c r="A293" s="302">
        <v>45927</v>
      </c>
      <c r="B293" s="304" t="s">
        <v>975</v>
      </c>
      <c r="C293" s="304" t="s">
        <v>32</v>
      </c>
      <c r="D293" s="305">
        <v>2250</v>
      </c>
      <c r="E293" s="306"/>
      <c r="F293" s="307" t="s">
        <v>752</v>
      </c>
      <c r="G293" s="306"/>
      <c r="H293" s="306"/>
      <c r="I293" s="306"/>
      <c r="J293" s="308"/>
      <c r="K293" s="306"/>
      <c r="L293" s="304"/>
      <c r="M293" s="309"/>
    </row>
    <row r="294" spans="1:13" x14ac:dyDescent="0.25">
      <c r="A294" s="302">
        <v>45927</v>
      </c>
      <c r="B294" s="304" t="s">
        <v>976</v>
      </c>
      <c r="C294" s="304" t="s">
        <v>32</v>
      </c>
      <c r="D294" s="305">
        <v>1500</v>
      </c>
      <c r="E294" s="306"/>
      <c r="F294" s="307" t="s">
        <v>978</v>
      </c>
      <c r="G294" s="306"/>
      <c r="H294" s="306"/>
      <c r="I294" s="306"/>
      <c r="J294" s="308"/>
      <c r="K294" s="306"/>
      <c r="L294" s="304"/>
      <c r="M294" s="309"/>
    </row>
    <row r="295" spans="1:13" x14ac:dyDescent="0.25">
      <c r="A295" s="302">
        <v>45927</v>
      </c>
      <c r="B295" s="304" t="s">
        <v>977</v>
      </c>
      <c r="C295" s="304" t="s">
        <v>32</v>
      </c>
      <c r="D295" s="305">
        <v>300</v>
      </c>
      <c r="E295" s="306"/>
      <c r="F295" s="307" t="s">
        <v>839</v>
      </c>
      <c r="G295" s="306"/>
      <c r="H295" s="306"/>
      <c r="I295" s="306"/>
      <c r="J295" s="308"/>
      <c r="K295" s="306"/>
      <c r="L295" s="304"/>
      <c r="M295" s="309"/>
    </row>
    <row r="296" spans="1:13" x14ac:dyDescent="0.25">
      <c r="A296" s="302">
        <v>45927</v>
      </c>
      <c r="B296" s="304"/>
      <c r="C296" s="304" t="s">
        <v>33</v>
      </c>
      <c r="D296" s="305"/>
      <c r="E296" s="306">
        <v>50</v>
      </c>
      <c r="F296" s="307"/>
      <c r="G296" s="306"/>
      <c r="H296" s="306"/>
      <c r="I296" s="306"/>
      <c r="J296" s="308"/>
      <c r="K296" s="306"/>
      <c r="L296" s="304"/>
      <c r="M296" s="309"/>
    </row>
    <row r="297" spans="1:13" x14ac:dyDescent="0.25">
      <c r="A297" s="302">
        <v>45928</v>
      </c>
      <c r="B297" s="304" t="s">
        <v>979</v>
      </c>
      <c r="C297" s="304" t="s">
        <v>32</v>
      </c>
      <c r="D297" s="305">
        <v>1600</v>
      </c>
      <c r="E297" s="306"/>
      <c r="F297" s="307" t="s">
        <v>817</v>
      </c>
      <c r="G297" s="306"/>
      <c r="H297" s="306"/>
      <c r="I297" s="306"/>
      <c r="J297" s="308"/>
      <c r="K297" s="306"/>
      <c r="L297" s="304"/>
      <c r="M297" s="309"/>
    </row>
    <row r="298" spans="1:13" x14ac:dyDescent="0.25">
      <c r="A298" s="302">
        <v>45928</v>
      </c>
      <c r="B298" s="304" t="s">
        <v>980</v>
      </c>
      <c r="C298" s="304" t="s">
        <v>32</v>
      </c>
      <c r="D298" s="305">
        <v>170</v>
      </c>
      <c r="E298" s="306"/>
      <c r="F298" s="307" t="s">
        <v>817</v>
      </c>
      <c r="G298" s="306"/>
      <c r="H298" s="306"/>
      <c r="I298" s="306"/>
      <c r="J298" s="308"/>
      <c r="K298" s="306"/>
      <c r="L298" s="304"/>
      <c r="M298" s="309"/>
    </row>
    <row r="299" spans="1:13" x14ac:dyDescent="0.25">
      <c r="A299" s="302">
        <v>45928</v>
      </c>
      <c r="B299" s="304" t="s">
        <v>981</v>
      </c>
      <c r="C299" s="304" t="s">
        <v>32</v>
      </c>
      <c r="D299" s="305">
        <v>320</v>
      </c>
      <c r="E299" s="306"/>
      <c r="F299" s="307" t="s">
        <v>739</v>
      </c>
      <c r="G299" s="306"/>
      <c r="H299" s="306"/>
      <c r="I299" s="306"/>
      <c r="J299" s="308"/>
      <c r="K299" s="306"/>
      <c r="L299" s="304"/>
      <c r="M299" s="309"/>
    </row>
    <row r="300" spans="1:13" x14ac:dyDescent="0.25">
      <c r="A300" s="302">
        <v>45928</v>
      </c>
      <c r="B300" s="304" t="s">
        <v>982</v>
      </c>
      <c r="C300" s="304" t="s">
        <v>32</v>
      </c>
      <c r="D300" s="305">
        <v>320</v>
      </c>
      <c r="E300" s="306"/>
      <c r="F300" s="307" t="s">
        <v>753</v>
      </c>
      <c r="G300" s="306"/>
      <c r="H300" s="306"/>
      <c r="I300" s="306"/>
      <c r="J300" s="308"/>
      <c r="K300" s="306"/>
      <c r="L300" s="304"/>
      <c r="M300" s="309"/>
    </row>
    <row r="301" spans="1:13" x14ac:dyDescent="0.25">
      <c r="A301" s="302">
        <v>45928</v>
      </c>
      <c r="B301" s="304" t="s">
        <v>983</v>
      </c>
      <c r="C301" s="304" t="s">
        <v>32</v>
      </c>
      <c r="D301" s="305">
        <v>100</v>
      </c>
      <c r="E301" s="306"/>
      <c r="F301" s="307" t="s">
        <v>521</v>
      </c>
      <c r="G301" s="306"/>
      <c r="H301" s="306"/>
      <c r="I301" s="306"/>
      <c r="J301" s="308"/>
      <c r="K301" s="306"/>
      <c r="L301" s="304"/>
      <c r="M301" s="309"/>
    </row>
    <row r="302" spans="1:13" x14ac:dyDescent="0.25">
      <c r="A302" s="302">
        <v>45928</v>
      </c>
      <c r="B302" s="304" t="s">
        <v>984</v>
      </c>
      <c r="C302" s="304" t="s">
        <v>32</v>
      </c>
      <c r="D302" s="305">
        <v>750</v>
      </c>
      <c r="E302" s="306"/>
      <c r="F302" s="307" t="s">
        <v>804</v>
      </c>
      <c r="G302" s="306"/>
      <c r="H302" s="306"/>
      <c r="I302" s="306"/>
      <c r="J302" s="308"/>
      <c r="K302" s="306"/>
      <c r="L302" s="304"/>
      <c r="M302" s="309"/>
    </row>
    <row r="303" spans="1:13" x14ac:dyDescent="0.25">
      <c r="A303" s="302">
        <v>45928</v>
      </c>
      <c r="B303" s="304" t="s">
        <v>985</v>
      </c>
      <c r="C303" s="304" t="s">
        <v>32</v>
      </c>
      <c r="D303" s="305">
        <v>3750</v>
      </c>
      <c r="E303" s="306"/>
      <c r="F303" s="307" t="s">
        <v>986</v>
      </c>
      <c r="G303" s="306"/>
      <c r="H303" s="306"/>
      <c r="I303" s="306"/>
      <c r="J303" s="308"/>
      <c r="K303" s="306"/>
      <c r="L303" s="304"/>
      <c r="M303" s="309"/>
    </row>
    <row r="304" spans="1:13" x14ac:dyDescent="0.25">
      <c r="A304" s="302">
        <v>45928</v>
      </c>
      <c r="B304" s="304"/>
      <c r="C304" s="304" t="s">
        <v>33</v>
      </c>
      <c r="D304" s="305"/>
      <c r="E304" s="306">
        <v>50</v>
      </c>
      <c r="F304" s="307"/>
      <c r="G304" s="306"/>
      <c r="H304" s="306"/>
      <c r="I304" s="306"/>
      <c r="J304" s="308"/>
      <c r="K304" s="306"/>
      <c r="L304" s="304"/>
      <c r="M304" s="309"/>
    </row>
    <row r="305" spans="1:13" x14ac:dyDescent="0.25">
      <c r="A305" s="302">
        <v>45928</v>
      </c>
      <c r="B305" s="304"/>
      <c r="C305" s="304" t="s">
        <v>168</v>
      </c>
      <c r="D305" s="305"/>
      <c r="E305" s="306">
        <v>350</v>
      </c>
      <c r="F305" s="307"/>
      <c r="G305" s="306"/>
      <c r="H305" s="306"/>
      <c r="I305" s="306"/>
      <c r="J305" s="308"/>
      <c r="K305" s="306"/>
      <c r="L305" s="304"/>
      <c r="M305" s="309" t="s">
        <v>987</v>
      </c>
    </row>
    <row r="306" spans="1:13" x14ac:dyDescent="0.25">
      <c r="A306" s="302">
        <v>45929</v>
      </c>
      <c r="B306" s="304"/>
      <c r="C306" s="304" t="s">
        <v>145</v>
      </c>
      <c r="D306" s="305"/>
      <c r="E306" s="306">
        <v>3600</v>
      </c>
      <c r="F306" s="307"/>
      <c r="G306" s="306" t="s">
        <v>619</v>
      </c>
      <c r="H306" s="306">
        <v>72</v>
      </c>
      <c r="I306" s="306"/>
      <c r="J306" s="308">
        <v>50</v>
      </c>
      <c r="K306" s="306" t="s">
        <v>19</v>
      </c>
      <c r="L306" s="304"/>
      <c r="M306" s="309"/>
    </row>
    <row r="307" spans="1:13" x14ac:dyDescent="0.25">
      <c r="A307" s="302">
        <v>45929</v>
      </c>
      <c r="B307" s="304" t="s">
        <v>988</v>
      </c>
      <c r="C307" s="304" t="s">
        <v>32</v>
      </c>
      <c r="D307" s="305">
        <v>2250</v>
      </c>
      <c r="E307" s="306"/>
      <c r="F307" s="307" t="s">
        <v>752</v>
      </c>
      <c r="G307" s="306"/>
      <c r="H307" s="306"/>
      <c r="I307" s="306"/>
      <c r="J307" s="308"/>
      <c r="K307" s="306"/>
      <c r="L307" s="304"/>
      <c r="M307" s="309"/>
    </row>
    <row r="308" spans="1:13" x14ac:dyDescent="0.25">
      <c r="A308" s="302">
        <v>45929</v>
      </c>
      <c r="B308" s="304" t="s">
        <v>989</v>
      </c>
      <c r="C308" s="304" t="s">
        <v>32</v>
      </c>
      <c r="D308" s="305">
        <v>450</v>
      </c>
      <c r="E308" s="306"/>
      <c r="F308" s="307" t="s">
        <v>741</v>
      </c>
      <c r="G308" s="306"/>
      <c r="H308" s="306"/>
      <c r="I308" s="306"/>
      <c r="J308" s="308"/>
      <c r="K308" s="306"/>
      <c r="L308" s="304"/>
      <c r="M308" s="309"/>
    </row>
    <row r="309" spans="1:13" x14ac:dyDescent="0.25">
      <c r="A309" s="302">
        <v>45929</v>
      </c>
      <c r="B309" s="304" t="s">
        <v>990</v>
      </c>
      <c r="C309" s="304" t="s">
        <v>32</v>
      </c>
      <c r="D309" s="305">
        <v>2340</v>
      </c>
      <c r="E309" s="306"/>
      <c r="F309" s="307" t="s">
        <v>817</v>
      </c>
      <c r="G309" s="306"/>
      <c r="H309" s="306"/>
      <c r="I309" s="306"/>
      <c r="J309" s="308"/>
      <c r="K309" s="306"/>
      <c r="L309" s="304"/>
      <c r="M309" s="309"/>
    </row>
    <row r="310" spans="1:13" x14ac:dyDescent="0.25">
      <c r="A310" s="302">
        <v>45929</v>
      </c>
      <c r="B310" s="304" t="s">
        <v>991</v>
      </c>
      <c r="C310" s="304" t="s">
        <v>32</v>
      </c>
      <c r="D310" s="305">
        <v>100</v>
      </c>
      <c r="E310" s="306"/>
      <c r="F310" s="307" t="s">
        <v>998</v>
      </c>
      <c r="G310" s="306"/>
      <c r="H310" s="306"/>
      <c r="I310" s="306"/>
      <c r="J310" s="308"/>
      <c r="K310" s="306"/>
      <c r="L310" s="304"/>
      <c r="M310" s="309"/>
    </row>
    <row r="311" spans="1:13" x14ac:dyDescent="0.25">
      <c r="A311" s="302">
        <v>45929</v>
      </c>
      <c r="B311" s="304" t="s">
        <v>992</v>
      </c>
      <c r="C311" s="304" t="s">
        <v>32</v>
      </c>
      <c r="D311" s="305">
        <v>320</v>
      </c>
      <c r="E311" s="306"/>
      <c r="F311" s="307" t="s">
        <v>795</v>
      </c>
      <c r="G311" s="306"/>
      <c r="H311" s="306"/>
      <c r="I311" s="306"/>
      <c r="J311" s="308"/>
      <c r="K311" s="306"/>
      <c r="L311" s="304"/>
      <c r="M311" s="309"/>
    </row>
    <row r="312" spans="1:13" x14ac:dyDescent="0.25">
      <c r="A312" s="302">
        <v>45929</v>
      </c>
      <c r="B312" s="304" t="s">
        <v>993</v>
      </c>
      <c r="C312" s="304" t="s">
        <v>32</v>
      </c>
      <c r="D312" s="305">
        <v>160</v>
      </c>
      <c r="E312" s="306"/>
      <c r="F312" s="307" t="s">
        <v>847</v>
      </c>
      <c r="G312" s="306"/>
      <c r="H312" s="306"/>
      <c r="I312" s="306"/>
      <c r="J312" s="308"/>
      <c r="K312" s="306"/>
      <c r="L312" s="304"/>
      <c r="M312" s="309"/>
    </row>
    <row r="313" spans="1:13" x14ac:dyDescent="0.25">
      <c r="A313" s="302">
        <v>45929</v>
      </c>
      <c r="B313" s="304" t="s">
        <v>994</v>
      </c>
      <c r="C313" s="304" t="s">
        <v>32</v>
      </c>
      <c r="D313" s="305">
        <v>80</v>
      </c>
      <c r="E313" s="306"/>
      <c r="F313" s="307" t="s">
        <v>707</v>
      </c>
      <c r="G313" s="306"/>
      <c r="H313" s="306"/>
      <c r="I313" s="306"/>
      <c r="J313" s="308"/>
      <c r="K313" s="306"/>
      <c r="L313" s="304"/>
      <c r="M313" s="309"/>
    </row>
    <row r="314" spans="1:13" x14ac:dyDescent="0.25">
      <c r="A314" s="302">
        <v>45929</v>
      </c>
      <c r="B314" s="304" t="s">
        <v>995</v>
      </c>
      <c r="C314" s="304" t="s">
        <v>32</v>
      </c>
      <c r="D314" s="305">
        <v>320</v>
      </c>
      <c r="E314" s="306"/>
      <c r="F314" s="307" t="s">
        <v>753</v>
      </c>
      <c r="G314" s="306"/>
      <c r="H314" s="306"/>
      <c r="I314" s="306"/>
      <c r="J314" s="308"/>
      <c r="K314" s="306"/>
      <c r="L314" s="304"/>
      <c r="M314" s="309"/>
    </row>
    <row r="315" spans="1:13" x14ac:dyDescent="0.25">
      <c r="A315" s="302">
        <v>45929</v>
      </c>
      <c r="B315" s="304" t="s">
        <v>996</v>
      </c>
      <c r="C315" s="304" t="s">
        <v>32</v>
      </c>
      <c r="D315" s="305">
        <v>320</v>
      </c>
      <c r="E315" s="306"/>
      <c r="F315" s="307" t="s">
        <v>794</v>
      </c>
      <c r="G315" s="306"/>
      <c r="H315" s="306"/>
      <c r="I315" s="306"/>
      <c r="J315" s="308"/>
      <c r="K315" s="306"/>
      <c r="L315" s="304"/>
      <c r="M315" s="309"/>
    </row>
    <row r="316" spans="1:13" x14ac:dyDescent="0.25">
      <c r="A316" s="302">
        <v>45929</v>
      </c>
      <c r="B316" s="304" t="s">
        <v>997</v>
      </c>
      <c r="C316" s="304" t="s">
        <v>32</v>
      </c>
      <c r="D316" s="305">
        <v>320</v>
      </c>
      <c r="E316" s="306"/>
      <c r="F316" s="307" t="s">
        <v>797</v>
      </c>
      <c r="G316" s="306"/>
      <c r="H316" s="306"/>
      <c r="I316" s="306"/>
      <c r="J316" s="308"/>
      <c r="K316" s="306"/>
      <c r="L316" s="304"/>
      <c r="M316" s="309"/>
    </row>
    <row r="317" spans="1:13" x14ac:dyDescent="0.25">
      <c r="A317" s="302">
        <v>45929</v>
      </c>
      <c r="B317" s="304" t="s">
        <v>999</v>
      </c>
      <c r="C317" s="304" t="s">
        <v>32</v>
      </c>
      <c r="D317" s="305">
        <v>2160</v>
      </c>
      <c r="E317" s="306"/>
      <c r="F317" s="307" t="s">
        <v>521</v>
      </c>
      <c r="G317" s="306"/>
      <c r="H317" s="306"/>
      <c r="I317" s="306"/>
      <c r="J317" s="308"/>
      <c r="K317" s="306"/>
      <c r="L317" s="304"/>
      <c r="M317" s="309"/>
    </row>
    <row r="318" spans="1:13" ht="26.25" x14ac:dyDescent="0.25">
      <c r="A318" s="302">
        <v>45929</v>
      </c>
      <c r="B318" s="304" t="s">
        <v>1000</v>
      </c>
      <c r="C318" s="304" t="s">
        <v>32</v>
      </c>
      <c r="D318" s="305">
        <v>1500</v>
      </c>
      <c r="E318" s="306"/>
      <c r="F318" s="307" t="s">
        <v>740</v>
      </c>
      <c r="G318" s="306"/>
      <c r="H318" s="306"/>
      <c r="I318" s="306"/>
      <c r="J318" s="308"/>
      <c r="K318" s="306"/>
      <c r="L318" s="304"/>
      <c r="M318" s="309"/>
    </row>
    <row r="319" spans="1:13" x14ac:dyDescent="0.25">
      <c r="A319" s="302">
        <v>45929</v>
      </c>
      <c r="B319" s="304" t="s">
        <v>1001</v>
      </c>
      <c r="C319" s="304" t="s">
        <v>32</v>
      </c>
      <c r="D319" s="305">
        <v>1500</v>
      </c>
      <c r="E319" s="306"/>
      <c r="F319" s="307" t="s">
        <v>752</v>
      </c>
      <c r="G319" s="306"/>
      <c r="H319" s="306"/>
      <c r="I319" s="306"/>
      <c r="J319" s="308"/>
      <c r="K319" s="306"/>
      <c r="L319" s="304"/>
      <c r="M319" s="309"/>
    </row>
    <row r="320" spans="1:13" x14ac:dyDescent="0.25">
      <c r="A320" s="302">
        <v>45929</v>
      </c>
      <c r="B320" s="304"/>
      <c r="C320" s="304" t="s">
        <v>33</v>
      </c>
      <c r="D320" s="305"/>
      <c r="E320" s="306">
        <v>50</v>
      </c>
      <c r="F320" s="307"/>
      <c r="G320" s="306"/>
      <c r="H320" s="306"/>
      <c r="I320" s="306"/>
      <c r="J320" s="308"/>
      <c r="K320" s="306"/>
      <c r="L320" s="304"/>
      <c r="M320" s="309"/>
    </row>
    <row r="321" spans="1:13" x14ac:dyDescent="0.25">
      <c r="A321" s="302">
        <v>45929</v>
      </c>
      <c r="B321" s="304"/>
      <c r="C321" s="304" t="s">
        <v>682</v>
      </c>
      <c r="D321" s="305"/>
      <c r="E321" s="306">
        <v>850</v>
      </c>
      <c r="F321" s="307"/>
      <c r="G321" s="306"/>
      <c r="H321" s="306"/>
      <c r="I321" s="306"/>
      <c r="J321" s="308"/>
      <c r="K321" s="306"/>
      <c r="L321" s="304"/>
      <c r="M321" s="309"/>
    </row>
    <row r="322" spans="1:13" x14ac:dyDescent="0.25">
      <c r="A322" s="302">
        <v>45929</v>
      </c>
      <c r="B322" s="304"/>
      <c r="C322" s="304" t="s">
        <v>109</v>
      </c>
      <c r="D322" s="305"/>
      <c r="E322" s="306">
        <v>395</v>
      </c>
      <c r="F322" s="307"/>
      <c r="G322" s="306"/>
      <c r="H322" s="306"/>
      <c r="I322" s="306"/>
      <c r="J322" s="308"/>
      <c r="K322" s="306"/>
      <c r="L322" s="304"/>
      <c r="M322" s="309"/>
    </row>
    <row r="323" spans="1:13" x14ac:dyDescent="0.25">
      <c r="A323" s="302">
        <v>45929</v>
      </c>
      <c r="B323" s="304"/>
      <c r="C323" s="304" t="s">
        <v>818</v>
      </c>
      <c r="D323" s="305"/>
      <c r="E323" s="306">
        <v>40</v>
      </c>
      <c r="F323" s="307"/>
      <c r="G323" s="306"/>
      <c r="H323" s="306"/>
      <c r="I323" s="306"/>
      <c r="J323" s="308"/>
      <c r="K323" s="306"/>
      <c r="L323" s="304"/>
      <c r="M323" s="309" t="s">
        <v>1002</v>
      </c>
    </row>
    <row r="324" spans="1:13" x14ac:dyDescent="0.25">
      <c r="A324" s="302">
        <v>45930</v>
      </c>
      <c r="B324" s="304"/>
      <c r="C324" s="304" t="s">
        <v>147</v>
      </c>
      <c r="D324" s="305"/>
      <c r="E324" s="306">
        <v>6370</v>
      </c>
      <c r="F324" s="307"/>
      <c r="G324" s="306" t="s">
        <v>621</v>
      </c>
      <c r="H324" s="306">
        <v>65</v>
      </c>
      <c r="I324" s="306">
        <v>1170</v>
      </c>
      <c r="J324" s="308">
        <v>80</v>
      </c>
      <c r="K324" s="306" t="s">
        <v>667</v>
      </c>
      <c r="L324" s="304"/>
      <c r="M324" s="309"/>
    </row>
    <row r="325" spans="1:13" x14ac:dyDescent="0.25">
      <c r="A325" s="302">
        <v>45930</v>
      </c>
      <c r="B325" s="304"/>
      <c r="C325" s="304" t="s">
        <v>147</v>
      </c>
      <c r="D325" s="305"/>
      <c r="E325" s="306">
        <v>9600</v>
      </c>
      <c r="F325" s="307"/>
      <c r="G325" s="306" t="s">
        <v>623</v>
      </c>
      <c r="H325" s="306">
        <v>60</v>
      </c>
      <c r="I325" s="306">
        <v>0</v>
      </c>
      <c r="J325" s="308">
        <v>160</v>
      </c>
      <c r="K325" s="306" t="s">
        <v>667</v>
      </c>
      <c r="L325" s="304"/>
      <c r="M325" s="309"/>
    </row>
    <row r="326" spans="1:13" x14ac:dyDescent="0.25">
      <c r="A326" s="302">
        <v>45930</v>
      </c>
      <c r="B326" s="304" t="s">
        <v>1003</v>
      </c>
      <c r="C326" s="304" t="s">
        <v>32</v>
      </c>
      <c r="D326" s="305">
        <v>240</v>
      </c>
      <c r="E326" s="306"/>
      <c r="F326" s="307" t="s">
        <v>707</v>
      </c>
      <c r="G326" s="306"/>
      <c r="H326" s="306"/>
      <c r="I326" s="306"/>
      <c r="J326" s="308"/>
      <c r="K326" s="306"/>
      <c r="L326" s="304"/>
      <c r="M326" s="309"/>
    </row>
    <row r="327" spans="1:13" x14ac:dyDescent="0.25">
      <c r="A327" s="302">
        <v>45930</v>
      </c>
      <c r="B327" s="304" t="s">
        <v>1004</v>
      </c>
      <c r="C327" s="304" t="s">
        <v>32</v>
      </c>
      <c r="D327" s="305">
        <v>160</v>
      </c>
      <c r="E327" s="306"/>
      <c r="F327" s="307" t="s">
        <v>847</v>
      </c>
      <c r="G327" s="306"/>
      <c r="H327" s="306"/>
      <c r="I327" s="306"/>
      <c r="J327" s="308"/>
      <c r="K327" s="306"/>
      <c r="L327" s="304"/>
      <c r="M327" s="309"/>
    </row>
    <row r="328" spans="1:13" x14ac:dyDescent="0.25">
      <c r="A328" s="302">
        <v>45930</v>
      </c>
      <c r="B328" s="304" t="s">
        <v>1005</v>
      </c>
      <c r="C328" s="304" t="s">
        <v>32</v>
      </c>
      <c r="D328" s="305">
        <v>160</v>
      </c>
      <c r="E328" s="306"/>
      <c r="F328" s="307" t="s">
        <v>1012</v>
      </c>
      <c r="G328" s="306"/>
      <c r="H328" s="306"/>
      <c r="I328" s="306"/>
      <c r="J328" s="308"/>
      <c r="K328" s="306"/>
      <c r="L328" s="304"/>
      <c r="M328" s="309"/>
    </row>
    <row r="329" spans="1:13" x14ac:dyDescent="0.25">
      <c r="A329" s="302">
        <v>45930</v>
      </c>
      <c r="B329" s="304" t="s">
        <v>1006</v>
      </c>
      <c r="C329" s="304" t="s">
        <v>32</v>
      </c>
      <c r="D329" s="305">
        <v>320</v>
      </c>
      <c r="E329" s="306"/>
      <c r="F329" s="307" t="s">
        <v>798</v>
      </c>
      <c r="G329" s="306"/>
      <c r="H329" s="306"/>
      <c r="I329" s="306"/>
      <c r="J329" s="308"/>
      <c r="K329" s="306"/>
      <c r="L329" s="304"/>
      <c r="M329" s="309"/>
    </row>
    <row r="330" spans="1:13" x14ac:dyDescent="0.25">
      <c r="A330" s="302">
        <v>45930</v>
      </c>
      <c r="B330" s="304" t="s">
        <v>1007</v>
      </c>
      <c r="C330" s="304" t="s">
        <v>32</v>
      </c>
      <c r="D330" s="305">
        <v>320</v>
      </c>
      <c r="E330" s="306"/>
      <c r="F330" s="307" t="s">
        <v>753</v>
      </c>
      <c r="G330" s="306"/>
      <c r="H330" s="306"/>
      <c r="I330" s="306"/>
      <c r="J330" s="308"/>
      <c r="K330" s="306"/>
      <c r="L330" s="304"/>
      <c r="M330" s="309"/>
    </row>
    <row r="331" spans="1:13" x14ac:dyDescent="0.25">
      <c r="A331" s="302">
        <v>45930</v>
      </c>
      <c r="B331" s="304" t="s">
        <v>1008</v>
      </c>
      <c r="C331" s="304" t="s">
        <v>32</v>
      </c>
      <c r="D331" s="305">
        <v>160</v>
      </c>
      <c r="E331" s="306"/>
      <c r="F331" s="307" t="s">
        <v>817</v>
      </c>
      <c r="G331" s="306"/>
      <c r="H331" s="306"/>
      <c r="I331" s="306"/>
      <c r="J331" s="308"/>
      <c r="K331" s="306"/>
      <c r="L331" s="304"/>
      <c r="M331" s="309"/>
    </row>
    <row r="332" spans="1:13" x14ac:dyDescent="0.25">
      <c r="A332" s="302">
        <v>45930</v>
      </c>
      <c r="B332" s="304" t="s">
        <v>1009</v>
      </c>
      <c r="C332" s="304" t="s">
        <v>32</v>
      </c>
      <c r="D332" s="305">
        <v>170</v>
      </c>
      <c r="E332" s="306"/>
      <c r="F332" s="307" t="s">
        <v>521</v>
      </c>
      <c r="G332" s="306"/>
      <c r="H332" s="306"/>
      <c r="I332" s="306"/>
      <c r="J332" s="308"/>
      <c r="K332" s="306"/>
      <c r="L332" s="304"/>
      <c r="M332" s="309"/>
    </row>
    <row r="333" spans="1:13" x14ac:dyDescent="0.25">
      <c r="A333" s="302">
        <v>45930</v>
      </c>
      <c r="B333" s="304" t="s">
        <v>1010</v>
      </c>
      <c r="C333" s="304" t="s">
        <v>32</v>
      </c>
      <c r="D333" s="305">
        <v>1500</v>
      </c>
      <c r="E333" s="306"/>
      <c r="F333" s="307" t="s">
        <v>796</v>
      </c>
      <c r="G333" s="306"/>
      <c r="H333" s="306"/>
      <c r="I333" s="306"/>
      <c r="J333" s="308"/>
      <c r="K333" s="306"/>
      <c r="L333" s="304"/>
      <c r="M333" s="309"/>
    </row>
    <row r="334" spans="1:13" x14ac:dyDescent="0.25">
      <c r="A334" s="302">
        <v>45930</v>
      </c>
      <c r="B334" s="304" t="s">
        <v>1011</v>
      </c>
      <c r="C334" s="304" t="s">
        <v>32</v>
      </c>
      <c r="D334" s="305">
        <v>750</v>
      </c>
      <c r="E334" s="306"/>
      <c r="F334" s="307" t="s">
        <v>804</v>
      </c>
      <c r="G334" s="306"/>
      <c r="H334" s="306"/>
      <c r="I334" s="306"/>
      <c r="J334" s="308"/>
      <c r="K334" s="306"/>
      <c r="L334" s="304"/>
      <c r="M334" s="309"/>
    </row>
    <row r="335" spans="1:13" x14ac:dyDescent="0.25">
      <c r="A335" s="302">
        <v>45930</v>
      </c>
      <c r="B335" s="304"/>
      <c r="C335" s="304" t="s">
        <v>33</v>
      </c>
      <c r="D335" s="305"/>
      <c r="E335" s="306">
        <v>65</v>
      </c>
      <c r="F335" s="307"/>
      <c r="G335" s="306"/>
      <c r="H335" s="306"/>
      <c r="I335" s="306"/>
      <c r="J335" s="308"/>
      <c r="K335" s="306"/>
      <c r="L335" s="304"/>
      <c r="M335" s="309"/>
    </row>
    <row r="336" spans="1:13" x14ac:dyDescent="0.25">
      <c r="A336" s="302">
        <v>45930</v>
      </c>
      <c r="B336" s="304"/>
      <c r="C336" s="304" t="s">
        <v>161</v>
      </c>
      <c r="D336" s="305"/>
      <c r="E336" s="306">
        <v>150</v>
      </c>
      <c r="F336" s="307"/>
      <c r="G336" s="306"/>
      <c r="H336" s="306"/>
      <c r="I336" s="306"/>
      <c r="J336" s="308"/>
      <c r="K336" s="306"/>
      <c r="L336" s="304"/>
      <c r="M336" s="309"/>
    </row>
    <row r="337" spans="1:13" x14ac:dyDescent="0.25">
      <c r="A337" s="302">
        <v>45930</v>
      </c>
      <c r="B337" s="304"/>
      <c r="C337" s="304" t="s">
        <v>161</v>
      </c>
      <c r="D337" s="305"/>
      <c r="E337" s="306">
        <v>5000</v>
      </c>
      <c r="F337" s="307"/>
      <c r="G337" s="306"/>
      <c r="H337" s="306"/>
      <c r="I337" s="306"/>
      <c r="J337" s="308"/>
      <c r="K337" s="306"/>
      <c r="L337" s="304"/>
      <c r="M337" s="309" t="s">
        <v>485</v>
      </c>
    </row>
    <row r="338" spans="1:13" x14ac:dyDescent="0.25">
      <c r="A338" s="302">
        <v>45930</v>
      </c>
      <c r="B338" s="304"/>
      <c r="C338" s="304" t="s">
        <v>161</v>
      </c>
      <c r="D338" s="305"/>
      <c r="E338" s="306">
        <v>4850</v>
      </c>
      <c r="F338" s="307"/>
      <c r="G338" s="306"/>
      <c r="H338" s="306"/>
      <c r="I338" s="306"/>
      <c r="J338" s="308"/>
      <c r="K338" s="306"/>
      <c r="L338" s="304"/>
      <c r="M338" s="309" t="s">
        <v>1013</v>
      </c>
    </row>
    <row r="339" spans="1:13" x14ac:dyDescent="0.25">
      <c r="A339" s="302">
        <v>45930</v>
      </c>
      <c r="B339" s="304"/>
      <c r="C339" s="304" t="s">
        <v>161</v>
      </c>
      <c r="D339" s="305"/>
      <c r="E339" s="306">
        <v>10000</v>
      </c>
      <c r="F339" s="307"/>
      <c r="G339" s="306"/>
      <c r="H339" s="306"/>
      <c r="I339" s="306"/>
      <c r="J339" s="308"/>
      <c r="K339" s="306"/>
      <c r="L339" s="304"/>
      <c r="M339" s="309" t="s">
        <v>1014</v>
      </c>
    </row>
    <row r="340" spans="1:13" x14ac:dyDescent="0.25">
      <c r="A340" s="302"/>
      <c r="B340" s="304"/>
      <c r="C340" s="304"/>
      <c r="D340" s="305"/>
      <c r="E340" s="306"/>
      <c r="F340" s="307"/>
      <c r="G340" s="306"/>
      <c r="H340" s="306"/>
      <c r="I340" s="306"/>
      <c r="J340" s="308"/>
      <c r="K340" s="306"/>
      <c r="L340" s="304"/>
      <c r="M340" s="309"/>
    </row>
    <row r="341" spans="1:13" ht="15.75" customHeight="1" x14ac:dyDescent="0.25">
      <c r="A341" s="36"/>
      <c r="B341" s="36"/>
      <c r="C341" s="7" t="s">
        <v>126</v>
      </c>
      <c r="D341" s="9">
        <f>SUM(D3:D340)</f>
        <v>229785</v>
      </c>
      <c r="E341" s="36" t="s">
        <v>706</v>
      </c>
      <c r="F341" s="250" t="s">
        <v>706</v>
      </c>
      <c r="G341" s="36" t="s">
        <v>706</v>
      </c>
      <c r="H341" s="36" t="s">
        <v>706</v>
      </c>
      <c r="I341" s="36" t="s">
        <v>706</v>
      </c>
      <c r="J341" s="223" t="s">
        <v>706</v>
      </c>
      <c r="K341" s="36" t="s">
        <v>706</v>
      </c>
      <c r="L341" s="36" t="s">
        <v>706</v>
      </c>
      <c r="M341" s="36" t="s">
        <v>706</v>
      </c>
    </row>
    <row r="342" spans="1:13" ht="15.75" customHeight="1" x14ac:dyDescent="0.25">
      <c r="A342" s="36"/>
      <c r="B342" s="36"/>
      <c r="C342" s="39" t="s">
        <v>21</v>
      </c>
      <c r="D342" s="40">
        <f>SUM(D341,D2)</f>
        <v>293510</v>
      </c>
      <c r="E342" s="40">
        <f>SUM(E2:E341)</f>
        <v>173935</v>
      </c>
      <c r="F342" s="257"/>
      <c r="G342" s="40"/>
      <c r="H342" s="40"/>
      <c r="I342" s="40"/>
      <c r="J342" s="228"/>
      <c r="K342" s="40"/>
      <c r="L342" s="36"/>
      <c r="M342" s="36"/>
    </row>
    <row r="343" spans="1:13" ht="15.75" customHeight="1" x14ac:dyDescent="0.25">
      <c r="A343" s="10"/>
      <c r="B343" s="10"/>
      <c r="C343" s="10"/>
      <c r="D343" s="10"/>
      <c r="E343" s="10"/>
      <c r="F343" s="258"/>
      <c r="G343" s="10"/>
      <c r="H343" s="10"/>
      <c r="I343" s="10"/>
      <c r="J343" s="229"/>
      <c r="K343" s="10"/>
      <c r="L343" s="10"/>
      <c r="M343" s="10"/>
    </row>
    <row r="344" spans="1:13" ht="15.75" customHeight="1" x14ac:dyDescent="0.25">
      <c r="A344" s="10"/>
      <c r="B344" s="10"/>
      <c r="C344" s="29" t="s">
        <v>127</v>
      </c>
      <c r="D344" s="41">
        <f>D341-E342</f>
        <v>55850</v>
      </c>
      <c r="E344" s="10"/>
      <c r="F344" s="258"/>
      <c r="G344" s="10"/>
      <c r="H344" s="10"/>
      <c r="I344" s="10"/>
      <c r="J344" s="229"/>
      <c r="K344" s="10"/>
      <c r="L344" s="10"/>
      <c r="M344" s="10"/>
    </row>
    <row r="345" spans="1:13" ht="15.75" customHeight="1" x14ac:dyDescent="0.25">
      <c r="A345" s="10"/>
      <c r="B345" s="10"/>
      <c r="C345" s="29" t="s">
        <v>60</v>
      </c>
      <c r="D345" s="30">
        <f>D342-E342</f>
        <v>119575</v>
      </c>
      <c r="E345" s="10"/>
      <c r="F345" s="258"/>
      <c r="G345" s="10"/>
      <c r="H345" s="10"/>
      <c r="I345" s="10"/>
      <c r="J345" s="229"/>
      <c r="K345" s="10"/>
      <c r="L345" s="10"/>
      <c r="M345" s="10"/>
    </row>
    <row r="346" spans="1:13" ht="15.75" customHeight="1" x14ac:dyDescent="0.25"/>
    <row r="347" spans="1:13" ht="15.75" customHeight="1" x14ac:dyDescent="0.25">
      <c r="C347" s="119" t="s">
        <v>196</v>
      </c>
      <c r="D347" s="120">
        <f>D345-'Feb 2025 - Sales'!C2</f>
        <v>76647</v>
      </c>
    </row>
    <row r="348" spans="1:13" ht="15.75" customHeight="1" x14ac:dyDescent="0.25"/>
    <row r="349" spans="1:13" ht="15.75" customHeight="1" x14ac:dyDescent="0.25"/>
    <row r="350" spans="1:13" ht="15.75" customHeight="1" x14ac:dyDescent="0.25"/>
    <row r="351" spans="1:13" ht="15.75" customHeight="1" x14ac:dyDescent="0.25">
      <c r="D351" s="310"/>
      <c r="E351" s="310"/>
      <c r="F351" s="311"/>
      <c r="G351" s="310"/>
      <c r="H351" s="310"/>
    </row>
    <row r="352" spans="1:13"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row r="1015" ht="15.75" customHeight="1" x14ac:dyDescent="0.25"/>
    <row r="1016" ht="15.75" customHeight="1" x14ac:dyDescent="0.25"/>
    <row r="1017" ht="15.75" customHeight="1" x14ac:dyDescent="0.25"/>
    <row r="1018" ht="15.75" customHeight="1" x14ac:dyDescent="0.25"/>
    <row r="1019" ht="15.75" customHeight="1" x14ac:dyDescent="0.25"/>
    <row r="1020" ht="15.75" customHeight="1" x14ac:dyDescent="0.25"/>
    <row r="1021" ht="15.75" customHeight="1" x14ac:dyDescent="0.25"/>
    <row r="1022" ht="15.75" customHeight="1" x14ac:dyDescent="0.25"/>
    <row r="1023" ht="15.75" customHeight="1" x14ac:dyDescent="0.25"/>
    <row r="1024" ht="15.75" customHeight="1" x14ac:dyDescent="0.25"/>
    <row r="1025" ht="15.75" customHeight="1" x14ac:dyDescent="0.25"/>
    <row r="1026" ht="15.75" customHeight="1" x14ac:dyDescent="0.25"/>
    <row r="1027" ht="15.75" customHeight="1" x14ac:dyDescent="0.25"/>
    <row r="1028" ht="15.75" customHeight="1" x14ac:dyDescent="0.25"/>
    <row r="1029" ht="15.75" customHeight="1" x14ac:dyDescent="0.25"/>
    <row r="1030" ht="15.75" customHeight="1" x14ac:dyDescent="0.25"/>
    <row r="1031" ht="15.75" customHeight="1" x14ac:dyDescent="0.25"/>
    <row r="1032" ht="15.75" customHeight="1" x14ac:dyDescent="0.25"/>
    <row r="1033" ht="15.75" customHeight="1" x14ac:dyDescent="0.25"/>
    <row r="1034" ht="15.75" customHeight="1" x14ac:dyDescent="0.25"/>
    <row r="1035" ht="15.75" customHeight="1" x14ac:dyDescent="0.25"/>
    <row r="1036" ht="15.75" customHeight="1" x14ac:dyDescent="0.25"/>
    <row r="1037" ht="15.75" customHeight="1" x14ac:dyDescent="0.25"/>
    <row r="1038" ht="15.75" customHeight="1" x14ac:dyDescent="0.25"/>
    <row r="1039" ht="15.75" customHeight="1" x14ac:dyDescent="0.25"/>
    <row r="1040" ht="15.75" customHeight="1" x14ac:dyDescent="0.25"/>
    <row r="1041" ht="15.75" customHeight="1" x14ac:dyDescent="0.25"/>
    <row r="1042" ht="15.75" customHeight="1" x14ac:dyDescent="0.25"/>
    <row r="1043" ht="15.75" customHeight="1" x14ac:dyDescent="0.25"/>
    <row r="1044" ht="15.75" customHeight="1" x14ac:dyDescent="0.25"/>
    <row r="1045" ht="15.75" customHeight="1" x14ac:dyDescent="0.25"/>
    <row r="1046" ht="15.75" customHeight="1" x14ac:dyDescent="0.25"/>
    <row r="1047" ht="15.75" customHeight="1" x14ac:dyDescent="0.25"/>
    <row r="1048" ht="15.75" customHeight="1" x14ac:dyDescent="0.25"/>
    <row r="1049" ht="15.75" customHeight="1" x14ac:dyDescent="0.25"/>
    <row r="1050" ht="15.75" customHeight="1" x14ac:dyDescent="0.25"/>
    <row r="1051" ht="15.75" customHeight="1" x14ac:dyDescent="0.25"/>
    <row r="1052" ht="15.75" customHeight="1" x14ac:dyDescent="0.25"/>
    <row r="1053" ht="15.75" customHeight="1" x14ac:dyDescent="0.25"/>
    <row r="1054" ht="15.75" customHeight="1" x14ac:dyDescent="0.25"/>
    <row r="1055" ht="15.75" customHeight="1" x14ac:dyDescent="0.25"/>
    <row r="1056" ht="15.75" customHeight="1" x14ac:dyDescent="0.25"/>
    <row r="1057" ht="15.75" customHeight="1" x14ac:dyDescent="0.25"/>
    <row r="1058" ht="15.75" customHeight="1" x14ac:dyDescent="0.25"/>
    <row r="1059" ht="15.75" customHeight="1" x14ac:dyDescent="0.25"/>
    <row r="1060" ht="15.75" customHeight="1" x14ac:dyDescent="0.25"/>
    <row r="1061" ht="15.75" customHeight="1" x14ac:dyDescent="0.25"/>
    <row r="1062" ht="15.75" customHeight="1" x14ac:dyDescent="0.25"/>
    <row r="1063" ht="15.75" customHeight="1" x14ac:dyDescent="0.25"/>
    <row r="1064" ht="15.75" customHeight="1" x14ac:dyDescent="0.25"/>
    <row r="1065" ht="15.75" customHeight="1" x14ac:dyDescent="0.25"/>
    <row r="1066" ht="15.75" customHeight="1" x14ac:dyDescent="0.25"/>
    <row r="1067" ht="15.75" customHeight="1" x14ac:dyDescent="0.25"/>
    <row r="1068" ht="15.75" customHeight="1" x14ac:dyDescent="0.25"/>
    <row r="1069" ht="15.75" customHeight="1" x14ac:dyDescent="0.25"/>
    <row r="1070" ht="15.75" customHeight="1" x14ac:dyDescent="0.25"/>
    <row r="1071" ht="15.75" customHeight="1" x14ac:dyDescent="0.25"/>
    <row r="1072" ht="15.75" customHeight="1" x14ac:dyDescent="0.25"/>
    <row r="1073" ht="15.75" customHeight="1" x14ac:dyDescent="0.25"/>
    <row r="1074" ht="15.75" customHeight="1" x14ac:dyDescent="0.25"/>
    <row r="1075" ht="15.75" customHeight="1" x14ac:dyDescent="0.25"/>
    <row r="1076" ht="15.75" customHeight="1" x14ac:dyDescent="0.25"/>
    <row r="1077" ht="15.75" customHeight="1" x14ac:dyDescent="0.25"/>
    <row r="1078" ht="15.75" customHeight="1" x14ac:dyDescent="0.25"/>
    <row r="1079" ht="15.75" customHeight="1" x14ac:dyDescent="0.25"/>
    <row r="1080" ht="15.75" customHeight="1" x14ac:dyDescent="0.25"/>
    <row r="1081" ht="15.75" customHeight="1" x14ac:dyDescent="0.25"/>
    <row r="1082" ht="15.75" customHeight="1" x14ac:dyDescent="0.25"/>
    <row r="1083" ht="15.75" customHeight="1" x14ac:dyDescent="0.25"/>
    <row r="1084" ht="15.75" customHeight="1" x14ac:dyDescent="0.25"/>
    <row r="1085" ht="15.75" customHeight="1" x14ac:dyDescent="0.25"/>
    <row r="1086" ht="15.75" customHeight="1" x14ac:dyDescent="0.25"/>
    <row r="1087" ht="15.75" customHeight="1" x14ac:dyDescent="0.25"/>
    <row r="1088" ht="15.75" customHeight="1" x14ac:dyDescent="0.25"/>
    <row r="1089" ht="15.75" customHeight="1" x14ac:dyDescent="0.25"/>
    <row r="1090" ht="15.75" customHeight="1" x14ac:dyDescent="0.25"/>
    <row r="1091" ht="15.75" customHeight="1" x14ac:dyDescent="0.25"/>
    <row r="1092" ht="15.75" customHeight="1" x14ac:dyDescent="0.25"/>
    <row r="1093" ht="15.75" customHeight="1" x14ac:dyDescent="0.25"/>
    <row r="1094" ht="15.75" customHeight="1" x14ac:dyDescent="0.25"/>
    <row r="1095" ht="15.75" customHeight="1" x14ac:dyDescent="0.25"/>
    <row r="1096" ht="15.75" customHeight="1" x14ac:dyDescent="0.25"/>
    <row r="1097" ht="15.75" customHeight="1" x14ac:dyDescent="0.25"/>
    <row r="1098" ht="15.75" customHeight="1" x14ac:dyDescent="0.25"/>
    <row r="1099" ht="15.75" customHeight="1" x14ac:dyDescent="0.25"/>
    <row r="1100" ht="15.75" customHeight="1" x14ac:dyDescent="0.25"/>
    <row r="1101" ht="15.75" customHeight="1" x14ac:dyDescent="0.25"/>
    <row r="1102" ht="15.75" customHeight="1" x14ac:dyDescent="0.25"/>
    <row r="1103" ht="15.75" customHeight="1" x14ac:dyDescent="0.25"/>
    <row r="1104" ht="15.75" customHeight="1" x14ac:dyDescent="0.25"/>
    <row r="1105" ht="15.75" customHeight="1" x14ac:dyDescent="0.25"/>
    <row r="1106" ht="15.75" customHeight="1" x14ac:dyDescent="0.25"/>
    <row r="1107" ht="15.75" customHeight="1" x14ac:dyDescent="0.25"/>
    <row r="1108" ht="15.75" customHeight="1" x14ac:dyDescent="0.25"/>
    <row r="1109" ht="15.75" customHeight="1" x14ac:dyDescent="0.25"/>
    <row r="1110" ht="15.75" customHeight="1" x14ac:dyDescent="0.25"/>
    <row r="1111" ht="15.75" customHeight="1" x14ac:dyDescent="0.25"/>
    <row r="1112" ht="15.75" customHeight="1" x14ac:dyDescent="0.25"/>
    <row r="1113" ht="15.75" customHeight="1" x14ac:dyDescent="0.25"/>
    <row r="1114" ht="15.75" customHeight="1" x14ac:dyDescent="0.25"/>
    <row r="1115" ht="15.75" customHeight="1" x14ac:dyDescent="0.25"/>
    <row r="1116" ht="15.75" customHeight="1" x14ac:dyDescent="0.25"/>
    <row r="1117" ht="15.75" customHeight="1" x14ac:dyDescent="0.25"/>
    <row r="1118" ht="15.75" customHeight="1" x14ac:dyDescent="0.25"/>
    <row r="1119" ht="15.75" customHeight="1" x14ac:dyDescent="0.25"/>
    <row r="1120" ht="15.75" customHeight="1" x14ac:dyDescent="0.25"/>
    <row r="1121" ht="15.75" customHeight="1" x14ac:dyDescent="0.25"/>
    <row r="1122" ht="15.75" customHeight="1" x14ac:dyDescent="0.25"/>
    <row r="1123" ht="15.75" customHeight="1" x14ac:dyDescent="0.25"/>
    <row r="1124" ht="15.75" customHeight="1" x14ac:dyDescent="0.25"/>
    <row r="1125" ht="15.75" customHeight="1" x14ac:dyDescent="0.25"/>
    <row r="1126" ht="15.75" customHeight="1" x14ac:dyDescent="0.25"/>
    <row r="1127" ht="15.75" customHeight="1" x14ac:dyDescent="0.25"/>
    <row r="1128" ht="15.75" customHeight="1" x14ac:dyDescent="0.25"/>
    <row r="1129" ht="15.75" customHeight="1" x14ac:dyDescent="0.25"/>
    <row r="1130" ht="15.75" customHeight="1" x14ac:dyDescent="0.25"/>
    <row r="1131" ht="15.75" customHeight="1" x14ac:dyDescent="0.25"/>
    <row r="1132" ht="15.75" customHeight="1" x14ac:dyDescent="0.25"/>
    <row r="1133" ht="15.75" customHeight="1" x14ac:dyDescent="0.25"/>
    <row r="1134" ht="15.75" customHeight="1" x14ac:dyDescent="0.25"/>
    <row r="1135" ht="15.75" customHeight="1" x14ac:dyDescent="0.25"/>
    <row r="1136" ht="15.75" customHeight="1" x14ac:dyDescent="0.25"/>
    <row r="1137" ht="15.75" customHeight="1" x14ac:dyDescent="0.25"/>
    <row r="1138" ht="15.75" customHeight="1" x14ac:dyDescent="0.25"/>
    <row r="1139" ht="15.75" customHeight="1" x14ac:dyDescent="0.25"/>
    <row r="1140" ht="15.75" customHeight="1" x14ac:dyDescent="0.25"/>
    <row r="1141" ht="15.75" customHeight="1" x14ac:dyDescent="0.25"/>
    <row r="1142" ht="15.75" customHeight="1" x14ac:dyDescent="0.25"/>
    <row r="1143" ht="15.75" customHeight="1" x14ac:dyDescent="0.25"/>
    <row r="1144" ht="15.75" customHeight="1" x14ac:dyDescent="0.25"/>
    <row r="1145" ht="15.75" customHeight="1" x14ac:dyDescent="0.25"/>
    <row r="1146" ht="15.75" customHeight="1" x14ac:dyDescent="0.25"/>
    <row r="1147" ht="15.75" customHeight="1" x14ac:dyDescent="0.25"/>
    <row r="1148" ht="15.75" customHeight="1" x14ac:dyDescent="0.25"/>
    <row r="1149" ht="15.75" customHeight="1" x14ac:dyDescent="0.25"/>
    <row r="1150" ht="15.75" customHeight="1" x14ac:dyDescent="0.25"/>
    <row r="1151" ht="15.75" customHeight="1" x14ac:dyDescent="0.25"/>
    <row r="1152" ht="15.75" customHeight="1" x14ac:dyDescent="0.25"/>
    <row r="1153" ht="15.75" customHeight="1" x14ac:dyDescent="0.25"/>
    <row r="1154" ht="15.75" customHeight="1" x14ac:dyDescent="0.25"/>
    <row r="1155" ht="15.75" customHeight="1" x14ac:dyDescent="0.25"/>
    <row r="1156" ht="15.75" customHeight="1" x14ac:dyDescent="0.25"/>
    <row r="1157" ht="15.75" customHeight="1" x14ac:dyDescent="0.25"/>
    <row r="1158" ht="15.75" customHeight="1" x14ac:dyDescent="0.25"/>
    <row r="1159" ht="15.75" customHeight="1" x14ac:dyDescent="0.25"/>
    <row r="1160" ht="15.75" customHeight="1" x14ac:dyDescent="0.25"/>
    <row r="1161" ht="15.75" customHeight="1" x14ac:dyDescent="0.25"/>
    <row r="1162" ht="15.75" customHeight="1" x14ac:dyDescent="0.25"/>
    <row r="1163" ht="15.75" customHeight="1" x14ac:dyDescent="0.25"/>
    <row r="1164" ht="15.75" customHeight="1" x14ac:dyDescent="0.25"/>
    <row r="1165" ht="15.75" customHeight="1" x14ac:dyDescent="0.25"/>
    <row r="1166" ht="15.75" customHeight="1" x14ac:dyDescent="0.25"/>
    <row r="1167" ht="15.75" customHeight="1" x14ac:dyDescent="0.25"/>
    <row r="1168" ht="15.75" customHeight="1" x14ac:dyDescent="0.25"/>
    <row r="1169" ht="15.75" customHeight="1" x14ac:dyDescent="0.25"/>
    <row r="1170" ht="15.75" customHeight="1" x14ac:dyDescent="0.25"/>
    <row r="1171" ht="15.75" customHeight="1" x14ac:dyDescent="0.25"/>
    <row r="1172" ht="15.75" customHeight="1" x14ac:dyDescent="0.25"/>
    <row r="1173" ht="15.75" customHeight="1" x14ac:dyDescent="0.25"/>
    <row r="1174" ht="15.75" customHeight="1" x14ac:dyDescent="0.25"/>
    <row r="1175" ht="15.75" customHeight="1" x14ac:dyDescent="0.25"/>
    <row r="1176" ht="15.75" customHeight="1" x14ac:dyDescent="0.25"/>
    <row r="1177" ht="15.75" customHeight="1" x14ac:dyDescent="0.25"/>
    <row r="1178" ht="15.75" customHeight="1" x14ac:dyDescent="0.25"/>
    <row r="1179" ht="15.75" customHeight="1" x14ac:dyDescent="0.25"/>
    <row r="1180" ht="15.75" customHeight="1" x14ac:dyDescent="0.25"/>
    <row r="1181" ht="15.75" customHeight="1" x14ac:dyDescent="0.25"/>
    <row r="1182" ht="15.75" customHeight="1" x14ac:dyDescent="0.25"/>
    <row r="1183" ht="15.75" customHeight="1" x14ac:dyDescent="0.25"/>
    <row r="1184" ht="15.75" customHeight="1" x14ac:dyDescent="0.25"/>
    <row r="1185" ht="15.75" customHeight="1" x14ac:dyDescent="0.25"/>
    <row r="1186" ht="15.75" customHeight="1" x14ac:dyDescent="0.25"/>
    <row r="1187" ht="15.75" customHeight="1" x14ac:dyDescent="0.25"/>
    <row r="1188" ht="15.75" customHeight="1" x14ac:dyDescent="0.25"/>
    <row r="1189" ht="15.75" customHeight="1" x14ac:dyDescent="0.25"/>
    <row r="1190" ht="15.75" customHeight="1" x14ac:dyDescent="0.25"/>
    <row r="1191" ht="15.75" customHeight="1" x14ac:dyDescent="0.25"/>
    <row r="1192" ht="15.75" customHeight="1" x14ac:dyDescent="0.25"/>
    <row r="1193" ht="15.75" customHeight="1" x14ac:dyDescent="0.25"/>
    <row r="1194" ht="15.75" customHeight="1" x14ac:dyDescent="0.25"/>
    <row r="1195" ht="15.75" customHeight="1" x14ac:dyDescent="0.25"/>
    <row r="1196" ht="15.75" customHeight="1" x14ac:dyDescent="0.25"/>
    <row r="1197" ht="15.75" customHeight="1" x14ac:dyDescent="0.25"/>
    <row r="1198" ht="15.75" customHeight="1" x14ac:dyDescent="0.25"/>
    <row r="1199" ht="15.75" customHeight="1" x14ac:dyDescent="0.25"/>
    <row r="1200" ht="15.75" customHeight="1" x14ac:dyDescent="0.25"/>
    <row r="1201" ht="15.75" customHeight="1" x14ac:dyDescent="0.25"/>
    <row r="1202" ht="15.75" customHeight="1" x14ac:dyDescent="0.25"/>
    <row r="1203" ht="15.75" customHeight="1" x14ac:dyDescent="0.25"/>
    <row r="1204" ht="15.75" customHeight="1" x14ac:dyDescent="0.25"/>
    <row r="1205" ht="15.75" customHeight="1" x14ac:dyDescent="0.25"/>
    <row r="1206" ht="15.75" customHeight="1" x14ac:dyDescent="0.25"/>
    <row r="1207" ht="15.75" customHeight="1" x14ac:dyDescent="0.25"/>
    <row r="1208" ht="15.75" customHeight="1" x14ac:dyDescent="0.25"/>
    <row r="1209" ht="15.75" customHeight="1" x14ac:dyDescent="0.25"/>
    <row r="1210" ht="15.75" customHeight="1" x14ac:dyDescent="0.25"/>
    <row r="1211" ht="15.75" customHeight="1" x14ac:dyDescent="0.25"/>
    <row r="1212" ht="15.75" customHeight="1" x14ac:dyDescent="0.25"/>
    <row r="1213" ht="15.75" customHeight="1" x14ac:dyDescent="0.25"/>
    <row r="1214" ht="15.75" customHeight="1" x14ac:dyDescent="0.25"/>
    <row r="1215" ht="15.75" customHeight="1" x14ac:dyDescent="0.25"/>
    <row r="1216" ht="15.75" customHeight="1" x14ac:dyDescent="0.25"/>
    <row r="1217" ht="15.75" customHeight="1" x14ac:dyDescent="0.25"/>
    <row r="1218" ht="15.75" customHeight="1" x14ac:dyDescent="0.25"/>
    <row r="1219" ht="15.75" customHeight="1" x14ac:dyDescent="0.25"/>
    <row r="1220" ht="15.75" customHeight="1" x14ac:dyDescent="0.25"/>
    <row r="1221" ht="15.75" customHeight="1" x14ac:dyDescent="0.25"/>
    <row r="1222" ht="15.75" customHeight="1" x14ac:dyDescent="0.25"/>
    <row r="1223" ht="15.75" customHeight="1" x14ac:dyDescent="0.25"/>
    <row r="1224" ht="15.75" customHeight="1" x14ac:dyDescent="0.25"/>
    <row r="1225" ht="15.75" customHeight="1" x14ac:dyDescent="0.25"/>
    <row r="1226" ht="15.75" customHeight="1" x14ac:dyDescent="0.25"/>
    <row r="1227" ht="15.75" customHeight="1" x14ac:dyDescent="0.25"/>
    <row r="1228" ht="15.75" customHeight="1" x14ac:dyDescent="0.25"/>
    <row r="1229" ht="15.75" customHeight="1" x14ac:dyDescent="0.25"/>
    <row r="1230" ht="15.75" customHeight="1" x14ac:dyDescent="0.25"/>
    <row r="1231" ht="15.75" customHeight="1" x14ac:dyDescent="0.25"/>
    <row r="1232" ht="15.75" customHeight="1" x14ac:dyDescent="0.25"/>
    <row r="1233" ht="15.75" customHeight="1" x14ac:dyDescent="0.25"/>
    <row r="1234" ht="15.75" customHeight="1" x14ac:dyDescent="0.25"/>
    <row r="1235" ht="15.75" customHeight="1" x14ac:dyDescent="0.25"/>
    <row r="1236" ht="15.75" customHeight="1" x14ac:dyDescent="0.25"/>
    <row r="1237" ht="15.75" customHeight="1" x14ac:dyDescent="0.25"/>
    <row r="1238" ht="15.75" customHeight="1" x14ac:dyDescent="0.25"/>
    <row r="1239" ht="15.75" customHeight="1" x14ac:dyDescent="0.25"/>
    <row r="1240" ht="15.75" customHeight="1" x14ac:dyDescent="0.25"/>
    <row r="1241" ht="15.75" customHeight="1" x14ac:dyDescent="0.25"/>
    <row r="1242" ht="15.75" customHeight="1" x14ac:dyDescent="0.25"/>
    <row r="1243" ht="15.75" customHeight="1" x14ac:dyDescent="0.25"/>
    <row r="1244" ht="15.75" customHeight="1" x14ac:dyDescent="0.25"/>
    <row r="1245" ht="15.75" customHeight="1" x14ac:dyDescent="0.25"/>
    <row r="1246" ht="15.75" customHeight="1" x14ac:dyDescent="0.25"/>
    <row r="1247" ht="15.75" customHeight="1" x14ac:dyDescent="0.25"/>
    <row r="1248" ht="15.75" customHeight="1" x14ac:dyDescent="0.25"/>
    <row r="1249" ht="15.75" customHeight="1" x14ac:dyDescent="0.25"/>
    <row r="1250" ht="15.75" customHeight="1" x14ac:dyDescent="0.25"/>
    <row r="1251" ht="15.75" customHeight="1" x14ac:dyDescent="0.25"/>
  </sheetData>
  <conditionalFormatting sqref="D347">
    <cfRule type="cellIs" dxfId="24243" priority="5361" operator="lessThan">
      <formula>0</formula>
    </cfRule>
    <cfRule type="cellIs" dxfId="24242" priority="5362" operator="greaterThan">
      <formula>0</formula>
    </cfRule>
  </conditionalFormatting>
  <conditionalFormatting sqref="A2:M2 E21:M22 B15:M15 C3:M14 C16:M20 B18 C23:M147 B39:B57 B74:B147 A148:M340">
    <cfRule type="expression" dxfId="24241" priority="5360">
      <formula>$C2="Advance"</formula>
    </cfRule>
  </conditionalFormatting>
  <conditionalFormatting sqref="E21:M22 B2:M2 B15:M15 C3:M14 C16:M20 B18 B39:B57 C23:M340 B74:B340">
    <cfRule type="expression" dxfId="24240" priority="5347">
      <formula>$C2="Delivery charge"</formula>
    </cfRule>
    <cfRule type="expression" dxfId="24239" priority="5352">
      <formula>$C2="Staff Salary"</formula>
    </cfRule>
    <cfRule type="expression" dxfId="24238" priority="5353">
      <formula>$C2="Rent"</formula>
    </cfRule>
    <cfRule type="expression" dxfId="24237" priority="5354">
      <formula>$C2="Petrol"</formula>
    </cfRule>
    <cfRule type="expression" dxfId="24236" priority="5355">
      <formula>$C2="Bills"</formula>
    </cfRule>
    <cfRule type="expression" dxfId="24235" priority="5356">
      <formula>$C2="Sales"</formula>
    </cfRule>
    <cfRule type="expression" dxfId="24234" priority="5357">
      <formula>$C2="Expences"</formula>
    </cfRule>
    <cfRule type="expression" dxfId="24233" priority="5358">
      <formula>$C2="Garlic Purchase"</formula>
    </cfRule>
    <cfRule type="expression" dxfId="24232" priority="5359">
      <formula>$C2="Ginger Purchase"</formula>
    </cfRule>
  </conditionalFormatting>
  <conditionalFormatting sqref="A3">
    <cfRule type="expression" dxfId="24231" priority="5351">
      <formula>$C3="Advance"</formula>
    </cfRule>
  </conditionalFormatting>
  <conditionalFormatting sqref="A9">
    <cfRule type="expression" dxfId="24230" priority="5350">
      <formula>$C9="Advance"</formula>
    </cfRule>
  </conditionalFormatting>
  <conditionalFormatting sqref="C21:D22">
    <cfRule type="expression" dxfId="24229" priority="5345">
      <formula>$C21="Advance"</formula>
    </cfRule>
  </conditionalFormatting>
  <conditionalFormatting sqref="C21:D22">
    <cfRule type="expression" dxfId="24228" priority="5336">
      <formula>$C21="Delivery charge"</formula>
    </cfRule>
    <cfRule type="expression" dxfId="24227" priority="5337">
      <formula>$C21="Staff Salary"</formula>
    </cfRule>
    <cfRule type="expression" dxfId="24226" priority="5338">
      <formula>$C21="Rent"</formula>
    </cfRule>
    <cfRule type="expression" dxfId="24225" priority="5339">
      <formula>$C21="Petrol"</formula>
    </cfRule>
    <cfRule type="expression" dxfId="24224" priority="5340">
      <formula>$C21="Bills"</formula>
    </cfRule>
    <cfRule type="expression" dxfId="24223" priority="5341">
      <formula>$C21="Sales"</formula>
    </cfRule>
    <cfRule type="expression" dxfId="24222" priority="5342">
      <formula>$C21="Expences"</formula>
    </cfRule>
    <cfRule type="expression" dxfId="24221" priority="5343">
      <formula>$C21="Garlic Purchase"</formula>
    </cfRule>
    <cfRule type="expression" dxfId="24220" priority="5344">
      <formula>$C21="Ginger Purchase"</formula>
    </cfRule>
  </conditionalFormatting>
  <conditionalFormatting sqref="B74:B85">
    <cfRule type="expression" dxfId="24219" priority="5322">
      <formula>$C74="Delivery charge"</formula>
    </cfRule>
    <cfRule type="expression" dxfId="24218" priority="5323">
      <formula>$C74="Staff Salary"</formula>
    </cfRule>
    <cfRule type="expression" dxfId="24217" priority="5324">
      <formula>$C74="Rent"</formula>
    </cfRule>
    <cfRule type="expression" dxfId="24216" priority="5325">
      <formula>$C74="Petrol"</formula>
    </cfRule>
    <cfRule type="expression" dxfId="24215" priority="5326">
      <formula>$C74="Bills"</formula>
    </cfRule>
    <cfRule type="expression" dxfId="24214" priority="5327">
      <formula>$C74="Sales"</formula>
    </cfRule>
    <cfRule type="expression" dxfId="24213" priority="5328">
      <formula>$C74="Expences"</formula>
    </cfRule>
    <cfRule type="expression" dxfId="24212" priority="5329">
      <formula>$C74="Garlic Purchase"</formula>
    </cfRule>
    <cfRule type="expression" dxfId="24211" priority="5330">
      <formula>$C74="Ginger Purchase"</formula>
    </cfRule>
  </conditionalFormatting>
  <conditionalFormatting sqref="B74:B85">
    <cfRule type="expression" dxfId="24210" priority="5331">
      <formula>$C74="Advance"</formula>
    </cfRule>
  </conditionalFormatting>
  <conditionalFormatting sqref="B13 B15:B16 B18:B19">
    <cfRule type="expression" dxfId="24209" priority="4594">
      <formula>$C13="Advance"</formula>
    </cfRule>
  </conditionalFormatting>
  <conditionalFormatting sqref="B38 B40 B42">
    <cfRule type="expression" dxfId="24208" priority="2512">
      <formula>$C38="Advance"</formula>
    </cfRule>
  </conditionalFormatting>
  <conditionalFormatting sqref="B59:B78">
    <cfRule type="expression" dxfId="24207" priority="5312">
      <formula>$C58="Advance"</formula>
    </cfRule>
  </conditionalFormatting>
  <conditionalFormatting sqref="B59:B78">
    <cfRule type="expression" dxfId="24206" priority="5303">
      <formula>$C58="Delivery charge"</formula>
    </cfRule>
    <cfRule type="expression" dxfId="24205" priority="5304">
      <formula>$C58="Staff Salary"</formula>
    </cfRule>
    <cfRule type="expression" dxfId="24204" priority="5305">
      <formula>$C58="Rent"</formula>
    </cfRule>
    <cfRule type="expression" dxfId="24203" priority="5306">
      <formula>$C58="Petrol"</formula>
    </cfRule>
    <cfRule type="expression" dxfId="24202" priority="5307">
      <formula>$C58="Bills"</formula>
    </cfRule>
    <cfRule type="expression" dxfId="24201" priority="5308">
      <formula>$C58="Sales"</formula>
    </cfRule>
    <cfRule type="expression" dxfId="24200" priority="5309">
      <formula>$C58="Expences"</formula>
    </cfRule>
    <cfRule type="expression" dxfId="24199" priority="5310">
      <formula>$C58="Garlic Purchase"</formula>
    </cfRule>
    <cfRule type="expression" dxfId="24198" priority="5311">
      <formula>$C58="Ginger Purchase"</formula>
    </cfRule>
  </conditionalFormatting>
  <conditionalFormatting sqref="B88:B97 B99 B101">
    <cfRule type="expression" dxfId="24197" priority="5283">
      <formula>$C88="Delivery charge"</formula>
    </cfRule>
    <cfRule type="expression" dxfId="24196" priority="5284">
      <formula>$C88="Staff Salary"</formula>
    </cfRule>
    <cfRule type="expression" dxfId="24195" priority="5285">
      <formula>$C88="Rent"</formula>
    </cfRule>
    <cfRule type="expression" dxfId="24194" priority="5286">
      <formula>$C88="Petrol"</formula>
    </cfRule>
    <cfRule type="expression" dxfId="24193" priority="5287">
      <formula>$C88="Bills"</formula>
    </cfRule>
    <cfRule type="expression" dxfId="24192" priority="5288">
      <formula>$C88="Sales"</formula>
    </cfRule>
    <cfRule type="expression" dxfId="24191" priority="5289">
      <formula>$C88="Expences"</formula>
    </cfRule>
    <cfRule type="expression" dxfId="24190" priority="5290">
      <formula>$C88="Garlic Purchase"</formula>
    </cfRule>
    <cfRule type="expression" dxfId="24189" priority="5291">
      <formula>$C88="Ginger Purchase"</formula>
    </cfRule>
  </conditionalFormatting>
  <conditionalFormatting sqref="B88:B97 B99 B101">
    <cfRule type="expression" dxfId="24188" priority="5292">
      <formula>$C88="Advance"</formula>
    </cfRule>
  </conditionalFormatting>
  <conditionalFormatting sqref="B101 B105 B107 B113 B115 B117 B119 B121 B131 B133 B109 B111 B123 B125 B127 B129 B135 B137 B139 B141">
    <cfRule type="expression" dxfId="24187" priority="5268">
      <formula>$C101="Delivery charge"</formula>
    </cfRule>
    <cfRule type="expression" dxfId="24186" priority="5269">
      <formula>$C101="Staff Salary"</formula>
    </cfRule>
    <cfRule type="expression" dxfId="24185" priority="5270">
      <formula>$C101="Rent"</formula>
    </cfRule>
    <cfRule type="expression" dxfId="24184" priority="5271">
      <formula>$C101="Petrol"</formula>
    </cfRule>
    <cfRule type="expression" dxfId="24183" priority="5272">
      <formula>$C101="Bills"</formula>
    </cfRule>
    <cfRule type="expression" dxfId="24182" priority="5273">
      <formula>$C101="Sales"</formula>
    </cfRule>
    <cfRule type="expression" dxfId="24181" priority="5274">
      <formula>$C101="Expences"</formula>
    </cfRule>
    <cfRule type="expression" dxfId="24180" priority="5275">
      <formula>$C101="Garlic Purchase"</formula>
    </cfRule>
    <cfRule type="expression" dxfId="24179" priority="5276">
      <formula>$C101="Ginger Purchase"</formula>
    </cfRule>
  </conditionalFormatting>
  <conditionalFormatting sqref="B101 B105 B107 B113 B115 B117 B119 B121 B131 B133 B109 B111 B123 B125 B127 B129 B135 B137 B139 B141">
    <cfRule type="expression" dxfId="24178" priority="5277">
      <formula>$C101="Advance"</formula>
    </cfRule>
  </conditionalFormatting>
  <conditionalFormatting sqref="B102:B104 B106 B114 B116 B118 B120 B122 B130 B132 B108 B110 B112 B124 B126 B128 B134 B136 B138 B140 B142">
    <cfRule type="expression" dxfId="24177" priority="5258">
      <formula>$C102="Delivery charge"</formula>
    </cfRule>
    <cfRule type="expression" dxfId="24176" priority="5259">
      <formula>$C102="Staff Salary"</formula>
    </cfRule>
    <cfRule type="expression" dxfId="24175" priority="5260">
      <formula>$C102="Rent"</formula>
    </cfRule>
    <cfRule type="expression" dxfId="24174" priority="5261">
      <formula>$C102="Petrol"</formula>
    </cfRule>
    <cfRule type="expression" dxfId="24173" priority="5262">
      <formula>$C102="Bills"</formula>
    </cfRule>
    <cfRule type="expression" dxfId="24172" priority="5263">
      <formula>$C102="Sales"</formula>
    </cfRule>
    <cfRule type="expression" dxfId="24171" priority="5264">
      <formula>$C102="Expences"</formula>
    </cfRule>
    <cfRule type="expression" dxfId="24170" priority="5265">
      <formula>$C102="Garlic Purchase"</formula>
    </cfRule>
    <cfRule type="expression" dxfId="24169" priority="5266">
      <formula>$C102="Ginger Purchase"</formula>
    </cfRule>
  </conditionalFormatting>
  <conditionalFormatting sqref="B102:B104 B106 B114 B116 B118 B120 B122 B130 B132 B108 B110 B112 B124 B126 B128 B134 B136 B138 B140 B142">
    <cfRule type="expression" dxfId="24168" priority="5267">
      <formula>$C102="Advance"</formula>
    </cfRule>
  </conditionalFormatting>
  <conditionalFormatting sqref="B114 B116 B118 B120 B122 B130 B132 B144 B124 B126 B128 B134 B136 B138 B140 B142">
    <cfRule type="expression" dxfId="24167" priority="5243">
      <formula>$C114="Delivery charge"</formula>
    </cfRule>
    <cfRule type="expression" dxfId="24166" priority="5244">
      <formula>$C114="Staff Salary"</formula>
    </cfRule>
    <cfRule type="expression" dxfId="24165" priority="5245">
      <formula>$C114="Rent"</formula>
    </cfRule>
    <cfRule type="expression" dxfId="24164" priority="5246">
      <formula>$C114="Petrol"</formula>
    </cfRule>
    <cfRule type="expression" dxfId="24163" priority="5247">
      <formula>$C114="Bills"</formula>
    </cfRule>
    <cfRule type="expression" dxfId="24162" priority="5248">
      <formula>$C114="Sales"</formula>
    </cfRule>
    <cfRule type="expression" dxfId="24161" priority="5249">
      <formula>$C114="Expences"</formula>
    </cfRule>
    <cfRule type="expression" dxfId="24160" priority="5250">
      <formula>$C114="Garlic Purchase"</formula>
    </cfRule>
    <cfRule type="expression" dxfId="24159" priority="5251">
      <formula>$C114="Ginger Purchase"</formula>
    </cfRule>
  </conditionalFormatting>
  <conditionalFormatting sqref="B114 B116 B118 B120 B122 B130 B132 B144 B124 B126 B128 B134 B136 B138 B140 B142">
    <cfRule type="expression" dxfId="24158" priority="5252">
      <formula>$C114="Advance"</formula>
    </cfRule>
  </conditionalFormatting>
  <conditionalFormatting sqref="B115 B117 B119 B121 B131 B133 B143 B123 B125 B127 B129 B135 B137 B139 B141">
    <cfRule type="expression" dxfId="24157" priority="5233">
      <formula>$C115="Delivery charge"</formula>
    </cfRule>
    <cfRule type="expression" dxfId="24156" priority="5234">
      <formula>$C115="Staff Salary"</formula>
    </cfRule>
    <cfRule type="expression" dxfId="24155" priority="5235">
      <formula>$C115="Rent"</formula>
    </cfRule>
    <cfRule type="expression" dxfId="24154" priority="5236">
      <formula>$C115="Petrol"</formula>
    </cfRule>
    <cfRule type="expression" dxfId="24153" priority="5237">
      <formula>$C115="Bills"</formula>
    </cfRule>
    <cfRule type="expression" dxfId="24152" priority="5238">
      <formula>$C115="Sales"</formula>
    </cfRule>
    <cfRule type="expression" dxfId="24151" priority="5239">
      <formula>$C115="Expences"</formula>
    </cfRule>
    <cfRule type="expression" dxfId="24150" priority="5240">
      <formula>$C115="Garlic Purchase"</formula>
    </cfRule>
    <cfRule type="expression" dxfId="24149" priority="5241">
      <formula>$C115="Ginger Purchase"</formula>
    </cfRule>
  </conditionalFormatting>
  <conditionalFormatting sqref="B115 B117 B119 B121 B131 B133 B143 B123 B125 B127 B129 B135 B137 B139 B141">
    <cfRule type="expression" dxfId="24148" priority="5242">
      <formula>$C115="Advance"</formula>
    </cfRule>
  </conditionalFormatting>
  <conditionalFormatting sqref="B116 B118 B120 B122 B130 B132 B124 B126 B128 B134 B136 B138 B140 B142">
    <cfRule type="expression" dxfId="24147" priority="5223">
      <formula>$C116="Delivery charge"</formula>
    </cfRule>
    <cfRule type="expression" dxfId="24146" priority="5224">
      <formula>$C116="Staff Salary"</formula>
    </cfRule>
    <cfRule type="expression" dxfId="24145" priority="5225">
      <formula>$C116="Rent"</formula>
    </cfRule>
    <cfRule type="expression" dxfId="24144" priority="5226">
      <formula>$C116="Petrol"</formula>
    </cfRule>
    <cfRule type="expression" dxfId="24143" priority="5227">
      <formula>$C116="Bills"</formula>
    </cfRule>
    <cfRule type="expression" dxfId="24142" priority="5228">
      <formula>$C116="Sales"</formula>
    </cfRule>
    <cfRule type="expression" dxfId="24141" priority="5229">
      <formula>$C116="Expences"</formula>
    </cfRule>
    <cfRule type="expression" dxfId="24140" priority="5230">
      <formula>$C116="Garlic Purchase"</formula>
    </cfRule>
    <cfRule type="expression" dxfId="24139" priority="5231">
      <formula>$C116="Ginger Purchase"</formula>
    </cfRule>
  </conditionalFormatting>
  <conditionalFormatting sqref="B116 B118 B120 B122 B130 B132 B124 B126 B128 B134 B136 B138 B140 B142">
    <cfRule type="expression" dxfId="24138" priority="5232">
      <formula>$C116="Advance"</formula>
    </cfRule>
  </conditionalFormatting>
  <conditionalFormatting sqref="B115 B117 B119 B121 B131 B133 B123 B125 B127 B129 B135 B137 B139 B141">
    <cfRule type="expression" dxfId="24137" priority="5213">
      <formula>$C115="Delivery charge"</formula>
    </cfRule>
    <cfRule type="expression" dxfId="24136" priority="5214">
      <formula>$C115="Staff Salary"</formula>
    </cfRule>
    <cfRule type="expression" dxfId="24135" priority="5215">
      <formula>$C115="Rent"</formula>
    </cfRule>
    <cfRule type="expression" dxfId="24134" priority="5216">
      <formula>$C115="Petrol"</formula>
    </cfRule>
    <cfRule type="expression" dxfId="24133" priority="5217">
      <formula>$C115="Bills"</formula>
    </cfRule>
    <cfRule type="expression" dxfId="24132" priority="5218">
      <formula>$C115="Sales"</formula>
    </cfRule>
    <cfRule type="expression" dxfId="24131" priority="5219">
      <formula>$C115="Expences"</formula>
    </cfRule>
    <cfRule type="expression" dxfId="24130" priority="5220">
      <formula>$C115="Garlic Purchase"</formula>
    </cfRule>
    <cfRule type="expression" dxfId="24129" priority="5221">
      <formula>$C115="Ginger Purchase"</formula>
    </cfRule>
  </conditionalFormatting>
  <conditionalFormatting sqref="B115 B117 B119 B121 B131 B133 B123 B125 B127 B129 B135 B137 B139 B141">
    <cfRule type="expression" dxfId="24128" priority="5222">
      <formula>$C115="Advance"</formula>
    </cfRule>
  </conditionalFormatting>
  <conditionalFormatting sqref="B115 B117 B119 B121 B131 B133 B143 B145 B123 B125 B127 B129 B135 B137 B139 B141">
    <cfRule type="expression" dxfId="24127" priority="5203">
      <formula>$C115="Delivery charge"</formula>
    </cfRule>
    <cfRule type="expression" dxfId="24126" priority="5204">
      <formula>$C115="Staff Salary"</formula>
    </cfRule>
    <cfRule type="expression" dxfId="24125" priority="5205">
      <formula>$C115="Rent"</formula>
    </cfRule>
    <cfRule type="expression" dxfId="24124" priority="5206">
      <formula>$C115="Petrol"</formula>
    </cfRule>
    <cfRule type="expression" dxfId="24123" priority="5207">
      <formula>$C115="Bills"</formula>
    </cfRule>
    <cfRule type="expression" dxfId="24122" priority="5208">
      <formula>$C115="Sales"</formula>
    </cfRule>
    <cfRule type="expression" dxfId="24121" priority="5209">
      <formula>$C115="Expences"</formula>
    </cfRule>
    <cfRule type="expression" dxfId="24120" priority="5210">
      <formula>$C115="Garlic Purchase"</formula>
    </cfRule>
    <cfRule type="expression" dxfId="24119" priority="5211">
      <formula>$C115="Ginger Purchase"</formula>
    </cfRule>
  </conditionalFormatting>
  <conditionalFormatting sqref="B115 B117 B119 B121 B131 B133 B143 B145 B123 B125 B127 B129 B135 B137 B139 B141">
    <cfRule type="expression" dxfId="24118" priority="5212">
      <formula>$C115="Advance"</formula>
    </cfRule>
  </conditionalFormatting>
  <conditionalFormatting sqref="B116 B118 B120 B122 B130 B132 B144 B124 B126 B128 B134 B136 B138 B140 B142">
    <cfRule type="expression" dxfId="24117" priority="5193">
      <formula>$C116="Delivery charge"</formula>
    </cfRule>
    <cfRule type="expression" dxfId="24116" priority="5194">
      <formula>$C116="Staff Salary"</formula>
    </cfRule>
    <cfRule type="expression" dxfId="24115" priority="5195">
      <formula>$C116="Rent"</formula>
    </cfRule>
    <cfRule type="expression" dxfId="24114" priority="5196">
      <formula>$C116="Petrol"</formula>
    </cfRule>
    <cfRule type="expression" dxfId="24113" priority="5197">
      <formula>$C116="Bills"</formula>
    </cfRule>
    <cfRule type="expression" dxfId="24112" priority="5198">
      <formula>$C116="Sales"</formula>
    </cfRule>
    <cfRule type="expression" dxfId="24111" priority="5199">
      <formula>$C116="Expences"</formula>
    </cfRule>
    <cfRule type="expression" dxfId="24110" priority="5200">
      <formula>$C116="Garlic Purchase"</formula>
    </cfRule>
    <cfRule type="expression" dxfId="24109" priority="5201">
      <formula>$C116="Ginger Purchase"</formula>
    </cfRule>
  </conditionalFormatting>
  <conditionalFormatting sqref="B116 B118 B120 B122 B130 B132 B144 B124 B126 B128 B134 B136 B138 B140 B142">
    <cfRule type="expression" dxfId="24108" priority="5202">
      <formula>$C116="Advance"</formula>
    </cfRule>
  </conditionalFormatting>
  <conditionalFormatting sqref="B122 B130 B132 B124 B126 B128 B134 B136 B138 B140 B142">
    <cfRule type="expression" dxfId="24107" priority="5182">
      <formula>$C122="Delivery charge"</formula>
    </cfRule>
    <cfRule type="expression" dxfId="24106" priority="5183">
      <formula>$C122="Staff Salary"</formula>
    </cfRule>
    <cfRule type="expression" dxfId="24105" priority="5184">
      <formula>$C122="Rent"</formula>
    </cfRule>
    <cfRule type="expression" dxfId="24104" priority="5185">
      <formula>$C122="Petrol"</formula>
    </cfRule>
    <cfRule type="expression" dxfId="24103" priority="5186">
      <formula>$C122="Bills"</formula>
    </cfRule>
    <cfRule type="expression" dxfId="24102" priority="5187">
      <formula>$C122="Sales"</formula>
    </cfRule>
    <cfRule type="expression" dxfId="24101" priority="5188">
      <formula>$C122="Expences"</formula>
    </cfRule>
    <cfRule type="expression" dxfId="24100" priority="5189">
      <formula>$C122="Garlic Purchase"</formula>
    </cfRule>
    <cfRule type="expression" dxfId="24099" priority="5190">
      <formula>$C122="Ginger Purchase"</formula>
    </cfRule>
  </conditionalFormatting>
  <conditionalFormatting sqref="B122 B130 B132 B124 B126 B128 B134 B136 B138 B140 B142">
    <cfRule type="expression" dxfId="24098" priority="5191">
      <formula>$C122="Advance"</formula>
    </cfRule>
  </conditionalFormatting>
  <conditionalFormatting sqref="B123 B125 B127 B129 B131 B133 B135 B137 B139 B141">
    <cfRule type="expression" dxfId="24097" priority="5172">
      <formula>$C123="Delivery charge"</formula>
    </cfRule>
    <cfRule type="expression" dxfId="24096" priority="5173">
      <formula>$C123="Staff Salary"</formula>
    </cfRule>
    <cfRule type="expression" dxfId="24095" priority="5174">
      <formula>$C123="Rent"</formula>
    </cfRule>
    <cfRule type="expression" dxfId="24094" priority="5175">
      <formula>$C123="Petrol"</formula>
    </cfRule>
    <cfRule type="expression" dxfId="24093" priority="5176">
      <formula>$C123="Bills"</formula>
    </cfRule>
    <cfRule type="expression" dxfId="24092" priority="5177">
      <formula>$C123="Sales"</formula>
    </cfRule>
    <cfRule type="expression" dxfId="24091" priority="5178">
      <formula>$C123="Expences"</formula>
    </cfRule>
    <cfRule type="expression" dxfId="24090" priority="5179">
      <formula>$C123="Garlic Purchase"</formula>
    </cfRule>
    <cfRule type="expression" dxfId="24089" priority="5180">
      <formula>$C123="Ginger Purchase"</formula>
    </cfRule>
  </conditionalFormatting>
  <conditionalFormatting sqref="B123 B125 B127 B129 B131 B133 B135 B137 B139 B141">
    <cfRule type="expression" dxfId="24088" priority="5181">
      <formula>$C123="Advance"</formula>
    </cfRule>
  </conditionalFormatting>
  <conditionalFormatting sqref="B123 B125 B127 B129 B131 B133 B143 B145 B135 B137 B139 B141">
    <cfRule type="expression" dxfId="24087" priority="5162">
      <formula>$C123="Delivery charge"</formula>
    </cfRule>
    <cfRule type="expression" dxfId="24086" priority="5163">
      <formula>$C123="Staff Salary"</formula>
    </cfRule>
    <cfRule type="expression" dxfId="24085" priority="5164">
      <formula>$C123="Rent"</formula>
    </cfRule>
    <cfRule type="expression" dxfId="24084" priority="5165">
      <formula>$C123="Petrol"</formula>
    </cfRule>
    <cfRule type="expression" dxfId="24083" priority="5166">
      <formula>$C123="Bills"</formula>
    </cfRule>
    <cfRule type="expression" dxfId="24082" priority="5167">
      <formula>$C123="Sales"</formula>
    </cfRule>
    <cfRule type="expression" dxfId="24081" priority="5168">
      <formula>$C123="Expences"</formula>
    </cfRule>
    <cfRule type="expression" dxfId="24080" priority="5169">
      <formula>$C123="Garlic Purchase"</formula>
    </cfRule>
    <cfRule type="expression" dxfId="24079" priority="5170">
      <formula>$C123="Ginger Purchase"</formula>
    </cfRule>
  </conditionalFormatting>
  <conditionalFormatting sqref="B123 B125 B127 B129 B131 B133 B143 B145 B135 B137 B139 B141">
    <cfRule type="expression" dxfId="24078" priority="5171">
      <formula>$C123="Advance"</formula>
    </cfRule>
  </conditionalFormatting>
  <conditionalFormatting sqref="B122 B130 B132 B144 B124 B126 B128 B134 B136 B138 B140 B142">
    <cfRule type="expression" dxfId="24077" priority="5152">
      <formula>$C122="Delivery charge"</formula>
    </cfRule>
    <cfRule type="expression" dxfId="24076" priority="5153">
      <formula>$C122="Staff Salary"</formula>
    </cfRule>
    <cfRule type="expression" dxfId="24075" priority="5154">
      <formula>$C122="Rent"</formula>
    </cfRule>
    <cfRule type="expression" dxfId="24074" priority="5155">
      <formula>$C122="Petrol"</formula>
    </cfRule>
    <cfRule type="expression" dxfId="24073" priority="5156">
      <formula>$C122="Bills"</formula>
    </cfRule>
    <cfRule type="expression" dxfId="24072" priority="5157">
      <formula>$C122="Sales"</formula>
    </cfRule>
    <cfRule type="expression" dxfId="24071" priority="5158">
      <formula>$C122="Expences"</formula>
    </cfRule>
    <cfRule type="expression" dxfId="24070" priority="5159">
      <formula>$C122="Garlic Purchase"</formula>
    </cfRule>
    <cfRule type="expression" dxfId="24069" priority="5160">
      <formula>$C122="Ginger Purchase"</formula>
    </cfRule>
  </conditionalFormatting>
  <conditionalFormatting sqref="B122 B130 B132 B144 B124 B126 B128 B134 B136 B138 B140 B142">
    <cfRule type="expression" dxfId="24068" priority="5161">
      <formula>$C122="Advance"</formula>
    </cfRule>
  </conditionalFormatting>
  <conditionalFormatting sqref="B123 B125 B127 B129 B131 B133 B135 B137 B139 B141">
    <cfRule type="expression" dxfId="24067" priority="5142">
      <formula>$C123="Delivery charge"</formula>
    </cfRule>
    <cfRule type="expression" dxfId="24066" priority="5143">
      <formula>$C123="Staff Salary"</formula>
    </cfRule>
    <cfRule type="expression" dxfId="24065" priority="5144">
      <formula>$C123="Rent"</formula>
    </cfRule>
    <cfRule type="expression" dxfId="24064" priority="5145">
      <formula>$C123="Petrol"</formula>
    </cfRule>
    <cfRule type="expression" dxfId="24063" priority="5146">
      <formula>$C123="Bills"</formula>
    </cfRule>
    <cfRule type="expression" dxfId="24062" priority="5147">
      <formula>$C123="Sales"</formula>
    </cfRule>
    <cfRule type="expression" dxfId="24061" priority="5148">
      <formula>$C123="Expences"</formula>
    </cfRule>
    <cfRule type="expression" dxfId="24060" priority="5149">
      <formula>$C123="Garlic Purchase"</formula>
    </cfRule>
    <cfRule type="expression" dxfId="24059" priority="5150">
      <formula>$C123="Ginger Purchase"</formula>
    </cfRule>
  </conditionalFormatting>
  <conditionalFormatting sqref="B123 B125 B127 B129 B131 B133 B135 B137 B139 B141">
    <cfRule type="expression" dxfId="24058" priority="5151">
      <formula>$C123="Advance"</formula>
    </cfRule>
  </conditionalFormatting>
  <conditionalFormatting sqref="B122 B130 B132 B124 B126 B128 B134 B136 B138 B140 B142">
    <cfRule type="expression" dxfId="24057" priority="5132">
      <formula>$C122="Delivery charge"</formula>
    </cfRule>
    <cfRule type="expression" dxfId="24056" priority="5133">
      <formula>$C122="Staff Salary"</formula>
    </cfRule>
    <cfRule type="expression" dxfId="24055" priority="5134">
      <formula>$C122="Rent"</formula>
    </cfRule>
    <cfRule type="expression" dxfId="24054" priority="5135">
      <formula>$C122="Petrol"</formula>
    </cfRule>
    <cfRule type="expression" dxfId="24053" priority="5136">
      <formula>$C122="Bills"</formula>
    </cfRule>
    <cfRule type="expression" dxfId="24052" priority="5137">
      <formula>$C122="Sales"</formula>
    </cfRule>
    <cfRule type="expression" dxfId="24051" priority="5138">
      <formula>$C122="Expences"</formula>
    </cfRule>
    <cfRule type="expression" dxfId="24050" priority="5139">
      <formula>$C122="Garlic Purchase"</formula>
    </cfRule>
    <cfRule type="expression" dxfId="24049" priority="5140">
      <formula>$C122="Ginger Purchase"</formula>
    </cfRule>
  </conditionalFormatting>
  <conditionalFormatting sqref="B122 B130 B132 B124 B126 B128 B134 B136 B138 B140 B142">
    <cfRule type="expression" dxfId="24048" priority="5141">
      <formula>$C122="Advance"</formula>
    </cfRule>
  </conditionalFormatting>
  <conditionalFormatting sqref="B122 B130 B132 B144 B146 B124 B126 B128 B134 B136 B138 B140 B142">
    <cfRule type="expression" dxfId="24047" priority="5122">
      <formula>$C122="Delivery charge"</formula>
    </cfRule>
    <cfRule type="expression" dxfId="24046" priority="5123">
      <formula>$C122="Staff Salary"</formula>
    </cfRule>
    <cfRule type="expression" dxfId="24045" priority="5124">
      <formula>$C122="Rent"</formula>
    </cfRule>
    <cfRule type="expression" dxfId="24044" priority="5125">
      <formula>$C122="Petrol"</formula>
    </cfRule>
    <cfRule type="expression" dxfId="24043" priority="5126">
      <formula>$C122="Bills"</formula>
    </cfRule>
    <cfRule type="expression" dxfId="24042" priority="5127">
      <formula>$C122="Sales"</formula>
    </cfRule>
    <cfRule type="expression" dxfId="24041" priority="5128">
      <formula>$C122="Expences"</formula>
    </cfRule>
    <cfRule type="expression" dxfId="24040" priority="5129">
      <formula>$C122="Garlic Purchase"</formula>
    </cfRule>
    <cfRule type="expression" dxfId="24039" priority="5130">
      <formula>$C122="Ginger Purchase"</formula>
    </cfRule>
  </conditionalFormatting>
  <conditionalFormatting sqref="B122 B130 B132 B144 B146 B124 B126 B128 B134 B136 B138 B140 B142">
    <cfRule type="expression" dxfId="24038" priority="5131">
      <formula>$C122="Advance"</formula>
    </cfRule>
  </conditionalFormatting>
  <conditionalFormatting sqref="B123 B125 B127 B129 B131 B133 B143 B145 B135 B137 B139 B141">
    <cfRule type="expression" dxfId="24037" priority="5112">
      <formula>$C123="Delivery charge"</formula>
    </cfRule>
    <cfRule type="expression" dxfId="24036" priority="5113">
      <formula>$C123="Staff Salary"</formula>
    </cfRule>
    <cfRule type="expression" dxfId="24035" priority="5114">
      <formula>$C123="Rent"</formula>
    </cfRule>
    <cfRule type="expression" dxfId="24034" priority="5115">
      <formula>$C123="Petrol"</formula>
    </cfRule>
    <cfRule type="expression" dxfId="24033" priority="5116">
      <formula>$C123="Bills"</formula>
    </cfRule>
    <cfRule type="expression" dxfId="24032" priority="5117">
      <formula>$C123="Sales"</formula>
    </cfRule>
    <cfRule type="expression" dxfId="24031" priority="5118">
      <formula>$C123="Expences"</formula>
    </cfRule>
    <cfRule type="expression" dxfId="24030" priority="5119">
      <formula>$C123="Garlic Purchase"</formula>
    </cfRule>
    <cfRule type="expression" dxfId="24029" priority="5120">
      <formula>$C123="Ginger Purchase"</formula>
    </cfRule>
  </conditionalFormatting>
  <conditionalFormatting sqref="B123 B125 B127 B129 B131 B133 B143 B145 B135 B137 B139 B141">
    <cfRule type="expression" dxfId="24028" priority="5121">
      <formula>$C123="Advance"</formula>
    </cfRule>
  </conditionalFormatting>
  <conditionalFormatting sqref="B139 B141">
    <cfRule type="expression" dxfId="24027" priority="5099">
      <formula>$C139="Delivery charge"</formula>
    </cfRule>
    <cfRule type="expression" dxfId="24026" priority="5100">
      <formula>$C139="Staff Salary"</formula>
    </cfRule>
    <cfRule type="expression" dxfId="24025" priority="5101">
      <formula>$C139="Rent"</formula>
    </cfRule>
    <cfRule type="expression" dxfId="24024" priority="5102">
      <formula>$C139="Petrol"</formula>
    </cfRule>
    <cfRule type="expression" dxfId="24023" priority="5103">
      <formula>$C139="Bills"</formula>
    </cfRule>
    <cfRule type="expression" dxfId="24022" priority="5104">
      <formula>$C139="Sales"</formula>
    </cfRule>
    <cfRule type="expression" dxfId="24021" priority="5105">
      <formula>$C139="Expences"</formula>
    </cfRule>
    <cfRule type="expression" dxfId="24020" priority="5106">
      <formula>$C139="Garlic Purchase"</formula>
    </cfRule>
    <cfRule type="expression" dxfId="24019" priority="5107">
      <formula>$C139="Ginger Purchase"</formula>
    </cfRule>
  </conditionalFormatting>
  <conditionalFormatting sqref="B139 B141">
    <cfRule type="expression" dxfId="24018" priority="5108">
      <formula>$C139="Advance"</formula>
    </cfRule>
  </conditionalFormatting>
  <conditionalFormatting sqref="B138 B140 B142">
    <cfRule type="expression" dxfId="24017" priority="5089">
      <formula>$C138="Delivery charge"</formula>
    </cfRule>
    <cfRule type="expression" dxfId="24016" priority="5090">
      <formula>$C138="Staff Salary"</formula>
    </cfRule>
    <cfRule type="expression" dxfId="24015" priority="5091">
      <formula>$C138="Rent"</formula>
    </cfRule>
    <cfRule type="expression" dxfId="24014" priority="5092">
      <formula>$C138="Petrol"</formula>
    </cfRule>
    <cfRule type="expression" dxfId="24013" priority="5093">
      <formula>$C138="Bills"</formula>
    </cfRule>
    <cfRule type="expression" dxfId="24012" priority="5094">
      <formula>$C138="Sales"</formula>
    </cfRule>
    <cfRule type="expression" dxfId="24011" priority="5095">
      <formula>$C138="Expences"</formula>
    </cfRule>
    <cfRule type="expression" dxfId="24010" priority="5096">
      <formula>$C138="Garlic Purchase"</formula>
    </cfRule>
    <cfRule type="expression" dxfId="24009" priority="5097">
      <formula>$C138="Ginger Purchase"</formula>
    </cfRule>
  </conditionalFormatting>
  <conditionalFormatting sqref="B138 B140 B142">
    <cfRule type="expression" dxfId="24008" priority="5098">
      <formula>$C138="Advance"</formula>
    </cfRule>
  </conditionalFormatting>
  <conditionalFormatting sqref="B139 B141">
    <cfRule type="expression" dxfId="24007" priority="5079">
      <formula>$C139="Delivery charge"</formula>
    </cfRule>
    <cfRule type="expression" dxfId="24006" priority="5080">
      <formula>$C139="Staff Salary"</formula>
    </cfRule>
    <cfRule type="expression" dxfId="24005" priority="5081">
      <formula>$C139="Rent"</formula>
    </cfRule>
    <cfRule type="expression" dxfId="24004" priority="5082">
      <formula>$C139="Petrol"</formula>
    </cfRule>
    <cfRule type="expression" dxfId="24003" priority="5083">
      <formula>$C139="Bills"</formula>
    </cfRule>
    <cfRule type="expression" dxfId="24002" priority="5084">
      <formula>$C139="Sales"</formula>
    </cfRule>
    <cfRule type="expression" dxfId="24001" priority="5085">
      <formula>$C139="Expences"</formula>
    </cfRule>
    <cfRule type="expression" dxfId="24000" priority="5086">
      <formula>$C139="Garlic Purchase"</formula>
    </cfRule>
    <cfRule type="expression" dxfId="23999" priority="5087">
      <formula>$C139="Ginger Purchase"</formula>
    </cfRule>
  </conditionalFormatting>
  <conditionalFormatting sqref="B139 B141">
    <cfRule type="expression" dxfId="23998" priority="5088">
      <formula>$C139="Advance"</formula>
    </cfRule>
  </conditionalFormatting>
  <conditionalFormatting sqref="B139 B141">
    <cfRule type="expression" dxfId="23997" priority="5069">
      <formula>$C139="Delivery charge"</formula>
    </cfRule>
    <cfRule type="expression" dxfId="23996" priority="5070">
      <formula>$C139="Staff Salary"</formula>
    </cfRule>
    <cfRule type="expression" dxfId="23995" priority="5071">
      <formula>$C139="Rent"</formula>
    </cfRule>
    <cfRule type="expression" dxfId="23994" priority="5072">
      <formula>$C139="Petrol"</formula>
    </cfRule>
    <cfRule type="expression" dxfId="23993" priority="5073">
      <formula>$C139="Bills"</formula>
    </cfRule>
    <cfRule type="expression" dxfId="23992" priority="5074">
      <formula>$C139="Sales"</formula>
    </cfRule>
    <cfRule type="expression" dxfId="23991" priority="5075">
      <formula>$C139="Expences"</formula>
    </cfRule>
    <cfRule type="expression" dxfId="23990" priority="5076">
      <formula>$C139="Garlic Purchase"</formula>
    </cfRule>
    <cfRule type="expression" dxfId="23989" priority="5077">
      <formula>$C139="Ginger Purchase"</formula>
    </cfRule>
  </conditionalFormatting>
  <conditionalFormatting sqref="B139 B141">
    <cfRule type="expression" dxfId="23988" priority="5078">
      <formula>$C139="Advance"</formula>
    </cfRule>
  </conditionalFormatting>
  <conditionalFormatting sqref="B141 B143 B145">
    <cfRule type="expression" dxfId="23987" priority="5059">
      <formula>$C141="Delivery charge"</formula>
    </cfRule>
    <cfRule type="expression" dxfId="23986" priority="5060">
      <formula>$C141="Staff Salary"</formula>
    </cfRule>
    <cfRule type="expression" dxfId="23985" priority="5061">
      <formula>$C141="Rent"</formula>
    </cfRule>
    <cfRule type="expression" dxfId="23984" priority="5062">
      <formula>$C141="Petrol"</formula>
    </cfRule>
    <cfRule type="expression" dxfId="23983" priority="5063">
      <formula>$C141="Bills"</formula>
    </cfRule>
    <cfRule type="expression" dxfId="23982" priority="5064">
      <formula>$C141="Sales"</formula>
    </cfRule>
    <cfRule type="expression" dxfId="23981" priority="5065">
      <formula>$C141="Expences"</formula>
    </cfRule>
    <cfRule type="expression" dxfId="23980" priority="5066">
      <formula>$C141="Garlic Purchase"</formula>
    </cfRule>
    <cfRule type="expression" dxfId="23979" priority="5067">
      <formula>$C141="Ginger Purchase"</formula>
    </cfRule>
  </conditionalFormatting>
  <conditionalFormatting sqref="B141 B143 B145">
    <cfRule type="expression" dxfId="23978" priority="5068">
      <formula>$C141="Advance"</formula>
    </cfRule>
  </conditionalFormatting>
  <conditionalFormatting sqref="B140 B142 B144">
    <cfRule type="expression" dxfId="23977" priority="5049">
      <formula>$C140="Delivery charge"</formula>
    </cfRule>
    <cfRule type="expression" dxfId="23976" priority="5050">
      <formula>$C140="Staff Salary"</formula>
    </cfRule>
    <cfRule type="expression" dxfId="23975" priority="5051">
      <formula>$C140="Rent"</formula>
    </cfRule>
    <cfRule type="expression" dxfId="23974" priority="5052">
      <formula>$C140="Petrol"</formula>
    </cfRule>
    <cfRule type="expression" dxfId="23973" priority="5053">
      <formula>$C140="Bills"</formula>
    </cfRule>
    <cfRule type="expression" dxfId="23972" priority="5054">
      <formula>$C140="Sales"</formula>
    </cfRule>
    <cfRule type="expression" dxfId="23971" priority="5055">
      <formula>$C140="Expences"</formula>
    </cfRule>
    <cfRule type="expression" dxfId="23970" priority="5056">
      <formula>$C140="Garlic Purchase"</formula>
    </cfRule>
    <cfRule type="expression" dxfId="23969" priority="5057">
      <formula>$C140="Ginger Purchase"</formula>
    </cfRule>
  </conditionalFormatting>
  <conditionalFormatting sqref="B140 B142 B144">
    <cfRule type="expression" dxfId="23968" priority="5058">
      <formula>$C140="Advance"</formula>
    </cfRule>
  </conditionalFormatting>
  <conditionalFormatting sqref="B141">
    <cfRule type="expression" dxfId="23967" priority="5039">
      <formula>$C141="Delivery charge"</formula>
    </cfRule>
    <cfRule type="expression" dxfId="23966" priority="5040">
      <formula>$C141="Staff Salary"</formula>
    </cfRule>
    <cfRule type="expression" dxfId="23965" priority="5041">
      <formula>$C141="Rent"</formula>
    </cfRule>
    <cfRule type="expression" dxfId="23964" priority="5042">
      <formula>$C141="Petrol"</formula>
    </cfRule>
    <cfRule type="expression" dxfId="23963" priority="5043">
      <formula>$C141="Bills"</formula>
    </cfRule>
    <cfRule type="expression" dxfId="23962" priority="5044">
      <formula>$C141="Sales"</formula>
    </cfRule>
    <cfRule type="expression" dxfId="23961" priority="5045">
      <formula>$C141="Expences"</formula>
    </cfRule>
    <cfRule type="expression" dxfId="23960" priority="5046">
      <formula>$C141="Garlic Purchase"</formula>
    </cfRule>
    <cfRule type="expression" dxfId="23959" priority="5047">
      <formula>$C141="Ginger Purchase"</formula>
    </cfRule>
  </conditionalFormatting>
  <conditionalFormatting sqref="B141">
    <cfRule type="expression" dxfId="23958" priority="5048">
      <formula>$C141="Advance"</formula>
    </cfRule>
  </conditionalFormatting>
  <conditionalFormatting sqref="B140 B142 B144 B146">
    <cfRule type="expression" dxfId="23957" priority="5029">
      <formula>$C140="Delivery charge"</formula>
    </cfRule>
    <cfRule type="expression" dxfId="23956" priority="5030">
      <formula>$C140="Staff Salary"</formula>
    </cfRule>
    <cfRule type="expression" dxfId="23955" priority="5031">
      <formula>$C140="Rent"</formula>
    </cfRule>
    <cfRule type="expression" dxfId="23954" priority="5032">
      <formula>$C140="Petrol"</formula>
    </cfRule>
    <cfRule type="expression" dxfId="23953" priority="5033">
      <formula>$C140="Bills"</formula>
    </cfRule>
    <cfRule type="expression" dxfId="23952" priority="5034">
      <formula>$C140="Sales"</formula>
    </cfRule>
    <cfRule type="expression" dxfId="23951" priority="5035">
      <formula>$C140="Expences"</formula>
    </cfRule>
    <cfRule type="expression" dxfId="23950" priority="5036">
      <formula>$C140="Garlic Purchase"</formula>
    </cfRule>
    <cfRule type="expression" dxfId="23949" priority="5037">
      <formula>$C140="Ginger Purchase"</formula>
    </cfRule>
  </conditionalFormatting>
  <conditionalFormatting sqref="B140 B142 B144 B146">
    <cfRule type="expression" dxfId="23948" priority="5038">
      <formula>$C140="Advance"</formula>
    </cfRule>
  </conditionalFormatting>
  <conditionalFormatting sqref="B141 B143 B145">
    <cfRule type="expression" dxfId="23947" priority="5019">
      <formula>$C141="Delivery charge"</formula>
    </cfRule>
    <cfRule type="expression" dxfId="23946" priority="5020">
      <formula>$C141="Staff Salary"</formula>
    </cfRule>
    <cfRule type="expression" dxfId="23945" priority="5021">
      <formula>$C141="Rent"</formula>
    </cfRule>
    <cfRule type="expression" dxfId="23944" priority="5022">
      <formula>$C141="Petrol"</formula>
    </cfRule>
    <cfRule type="expression" dxfId="23943" priority="5023">
      <formula>$C141="Bills"</formula>
    </cfRule>
    <cfRule type="expression" dxfId="23942" priority="5024">
      <formula>$C141="Sales"</formula>
    </cfRule>
    <cfRule type="expression" dxfId="23941" priority="5025">
      <formula>$C141="Expences"</formula>
    </cfRule>
    <cfRule type="expression" dxfId="23940" priority="5026">
      <formula>$C141="Garlic Purchase"</formula>
    </cfRule>
    <cfRule type="expression" dxfId="23939" priority="5027">
      <formula>$C141="Ginger Purchase"</formula>
    </cfRule>
  </conditionalFormatting>
  <conditionalFormatting sqref="B141 B143 B145">
    <cfRule type="expression" dxfId="23938" priority="5028">
      <formula>$C141="Advance"</formula>
    </cfRule>
  </conditionalFormatting>
  <conditionalFormatting sqref="B141">
    <cfRule type="expression" dxfId="23937" priority="5009">
      <formula>$C141="Delivery charge"</formula>
    </cfRule>
    <cfRule type="expression" dxfId="23936" priority="5010">
      <formula>$C141="Staff Salary"</formula>
    </cfRule>
    <cfRule type="expression" dxfId="23935" priority="5011">
      <formula>$C141="Rent"</formula>
    </cfRule>
    <cfRule type="expression" dxfId="23934" priority="5012">
      <formula>$C141="Petrol"</formula>
    </cfRule>
    <cfRule type="expression" dxfId="23933" priority="5013">
      <formula>$C141="Bills"</formula>
    </cfRule>
    <cfRule type="expression" dxfId="23932" priority="5014">
      <formula>$C141="Sales"</formula>
    </cfRule>
    <cfRule type="expression" dxfId="23931" priority="5015">
      <formula>$C141="Expences"</formula>
    </cfRule>
    <cfRule type="expression" dxfId="23930" priority="5016">
      <formula>$C141="Garlic Purchase"</formula>
    </cfRule>
    <cfRule type="expression" dxfId="23929" priority="5017">
      <formula>$C141="Ginger Purchase"</formula>
    </cfRule>
  </conditionalFormatting>
  <conditionalFormatting sqref="B141">
    <cfRule type="expression" dxfId="23928" priority="5018">
      <formula>$C141="Advance"</formula>
    </cfRule>
  </conditionalFormatting>
  <conditionalFormatting sqref="B140 B142 B144 B146">
    <cfRule type="expression" dxfId="23927" priority="4999">
      <formula>$C140="Delivery charge"</formula>
    </cfRule>
    <cfRule type="expression" dxfId="23926" priority="5000">
      <formula>$C140="Staff Salary"</formula>
    </cfRule>
    <cfRule type="expression" dxfId="23925" priority="5001">
      <formula>$C140="Rent"</formula>
    </cfRule>
    <cfRule type="expression" dxfId="23924" priority="5002">
      <formula>$C140="Petrol"</formula>
    </cfRule>
    <cfRule type="expression" dxfId="23923" priority="5003">
      <formula>$C140="Bills"</formula>
    </cfRule>
    <cfRule type="expression" dxfId="23922" priority="5004">
      <formula>$C140="Sales"</formula>
    </cfRule>
    <cfRule type="expression" dxfId="23921" priority="5005">
      <formula>$C140="Expences"</formula>
    </cfRule>
    <cfRule type="expression" dxfId="23920" priority="5006">
      <formula>$C140="Garlic Purchase"</formula>
    </cfRule>
    <cfRule type="expression" dxfId="23919" priority="5007">
      <formula>$C140="Ginger Purchase"</formula>
    </cfRule>
  </conditionalFormatting>
  <conditionalFormatting sqref="B140 B142 B144 B146">
    <cfRule type="expression" dxfId="23918" priority="5008">
      <formula>$C140="Advance"</formula>
    </cfRule>
  </conditionalFormatting>
  <conditionalFormatting sqref="B141 B143 B145">
    <cfRule type="expression" dxfId="23917" priority="4989">
      <formula>$C141="Delivery charge"</formula>
    </cfRule>
    <cfRule type="expression" dxfId="23916" priority="4990">
      <formula>$C141="Staff Salary"</formula>
    </cfRule>
    <cfRule type="expression" dxfId="23915" priority="4991">
      <formula>$C141="Rent"</formula>
    </cfRule>
    <cfRule type="expression" dxfId="23914" priority="4992">
      <formula>$C141="Petrol"</formula>
    </cfRule>
    <cfRule type="expression" dxfId="23913" priority="4993">
      <formula>$C141="Bills"</formula>
    </cfRule>
    <cfRule type="expression" dxfId="23912" priority="4994">
      <formula>$C141="Sales"</formula>
    </cfRule>
    <cfRule type="expression" dxfId="23911" priority="4995">
      <formula>$C141="Expences"</formula>
    </cfRule>
    <cfRule type="expression" dxfId="23910" priority="4996">
      <formula>$C141="Garlic Purchase"</formula>
    </cfRule>
    <cfRule type="expression" dxfId="23909" priority="4997">
      <formula>$C141="Ginger Purchase"</formula>
    </cfRule>
  </conditionalFormatting>
  <conditionalFormatting sqref="B141 B143 B145">
    <cfRule type="expression" dxfId="23908" priority="4998">
      <formula>$C141="Advance"</formula>
    </cfRule>
  </conditionalFormatting>
  <conditionalFormatting sqref="B140 B142">
    <cfRule type="expression" dxfId="23907" priority="4979">
      <formula>$C140="Delivery charge"</formula>
    </cfRule>
    <cfRule type="expression" dxfId="23906" priority="4980">
      <formula>$C140="Staff Salary"</formula>
    </cfRule>
    <cfRule type="expression" dxfId="23905" priority="4981">
      <formula>$C140="Rent"</formula>
    </cfRule>
    <cfRule type="expression" dxfId="23904" priority="4982">
      <formula>$C140="Petrol"</formula>
    </cfRule>
    <cfRule type="expression" dxfId="23903" priority="4983">
      <formula>$C140="Bills"</formula>
    </cfRule>
    <cfRule type="expression" dxfId="23902" priority="4984">
      <formula>$C140="Sales"</formula>
    </cfRule>
    <cfRule type="expression" dxfId="23901" priority="4985">
      <formula>$C140="Expences"</formula>
    </cfRule>
    <cfRule type="expression" dxfId="23900" priority="4986">
      <formula>$C140="Garlic Purchase"</formula>
    </cfRule>
    <cfRule type="expression" dxfId="23899" priority="4987">
      <formula>$C140="Ginger Purchase"</formula>
    </cfRule>
  </conditionalFormatting>
  <conditionalFormatting sqref="B140 B142">
    <cfRule type="expression" dxfId="23898" priority="4988">
      <formula>$C140="Advance"</formula>
    </cfRule>
  </conditionalFormatting>
  <conditionalFormatting sqref="B141">
    <cfRule type="expression" dxfId="23897" priority="4969">
      <formula>$C141="Delivery charge"</formula>
    </cfRule>
    <cfRule type="expression" dxfId="23896" priority="4970">
      <formula>$C141="Staff Salary"</formula>
    </cfRule>
    <cfRule type="expression" dxfId="23895" priority="4971">
      <formula>$C141="Rent"</formula>
    </cfRule>
    <cfRule type="expression" dxfId="23894" priority="4972">
      <formula>$C141="Petrol"</formula>
    </cfRule>
    <cfRule type="expression" dxfId="23893" priority="4973">
      <formula>$C141="Bills"</formula>
    </cfRule>
    <cfRule type="expression" dxfId="23892" priority="4974">
      <formula>$C141="Sales"</formula>
    </cfRule>
    <cfRule type="expression" dxfId="23891" priority="4975">
      <formula>$C141="Expences"</formula>
    </cfRule>
    <cfRule type="expression" dxfId="23890" priority="4976">
      <formula>$C141="Garlic Purchase"</formula>
    </cfRule>
    <cfRule type="expression" dxfId="23889" priority="4977">
      <formula>$C141="Ginger Purchase"</formula>
    </cfRule>
  </conditionalFormatting>
  <conditionalFormatting sqref="B141">
    <cfRule type="expression" dxfId="23888" priority="4978">
      <formula>$C141="Advance"</formula>
    </cfRule>
  </conditionalFormatting>
  <conditionalFormatting sqref="B141 B143 B145 B147 B149">
    <cfRule type="expression" dxfId="23887" priority="4959">
      <formula>$C141="Delivery charge"</formula>
    </cfRule>
    <cfRule type="expression" dxfId="23886" priority="4960">
      <formula>$C141="Staff Salary"</formula>
    </cfRule>
    <cfRule type="expression" dxfId="23885" priority="4961">
      <formula>$C141="Rent"</formula>
    </cfRule>
    <cfRule type="expression" dxfId="23884" priority="4962">
      <formula>$C141="Petrol"</formula>
    </cfRule>
    <cfRule type="expression" dxfId="23883" priority="4963">
      <formula>$C141="Bills"</formula>
    </cfRule>
    <cfRule type="expression" dxfId="23882" priority="4964">
      <formula>$C141="Sales"</formula>
    </cfRule>
    <cfRule type="expression" dxfId="23881" priority="4965">
      <formula>$C141="Expences"</formula>
    </cfRule>
    <cfRule type="expression" dxfId="23880" priority="4966">
      <formula>$C141="Garlic Purchase"</formula>
    </cfRule>
    <cfRule type="expression" dxfId="23879" priority="4967">
      <formula>$C141="Ginger Purchase"</formula>
    </cfRule>
  </conditionalFormatting>
  <conditionalFormatting sqref="B141 B143 B145 B147 B149">
    <cfRule type="expression" dxfId="23878" priority="4968">
      <formula>$C141="Advance"</formula>
    </cfRule>
  </conditionalFormatting>
  <conditionalFormatting sqref="B140 B142 B144 B146">
    <cfRule type="expression" dxfId="23877" priority="4949">
      <formula>$C140="Delivery charge"</formula>
    </cfRule>
    <cfRule type="expression" dxfId="23876" priority="4950">
      <formula>$C140="Staff Salary"</formula>
    </cfRule>
    <cfRule type="expression" dxfId="23875" priority="4951">
      <formula>$C140="Rent"</formula>
    </cfRule>
    <cfRule type="expression" dxfId="23874" priority="4952">
      <formula>$C140="Petrol"</formula>
    </cfRule>
    <cfRule type="expression" dxfId="23873" priority="4953">
      <formula>$C140="Bills"</formula>
    </cfRule>
    <cfRule type="expression" dxfId="23872" priority="4954">
      <formula>$C140="Sales"</formula>
    </cfRule>
    <cfRule type="expression" dxfId="23871" priority="4955">
      <formula>$C140="Expences"</formula>
    </cfRule>
    <cfRule type="expression" dxfId="23870" priority="4956">
      <formula>$C140="Garlic Purchase"</formula>
    </cfRule>
    <cfRule type="expression" dxfId="23869" priority="4957">
      <formula>$C140="Ginger Purchase"</formula>
    </cfRule>
  </conditionalFormatting>
  <conditionalFormatting sqref="B140 B142 B144 B146">
    <cfRule type="expression" dxfId="23868" priority="4958">
      <formula>$C140="Advance"</formula>
    </cfRule>
  </conditionalFormatting>
  <conditionalFormatting sqref="B140">
    <cfRule type="expression" dxfId="23867" priority="4939">
      <formula>$C140="Delivery charge"</formula>
    </cfRule>
    <cfRule type="expression" dxfId="23866" priority="4940">
      <formula>$C140="Staff Salary"</formula>
    </cfRule>
    <cfRule type="expression" dxfId="23865" priority="4941">
      <formula>$C140="Rent"</formula>
    </cfRule>
    <cfRule type="expression" dxfId="23864" priority="4942">
      <formula>$C140="Petrol"</formula>
    </cfRule>
    <cfRule type="expression" dxfId="23863" priority="4943">
      <formula>$C140="Bills"</formula>
    </cfRule>
    <cfRule type="expression" dxfId="23862" priority="4944">
      <formula>$C140="Sales"</formula>
    </cfRule>
    <cfRule type="expression" dxfId="23861" priority="4945">
      <formula>$C140="Expences"</formula>
    </cfRule>
    <cfRule type="expression" dxfId="23860" priority="4946">
      <formula>$C140="Garlic Purchase"</formula>
    </cfRule>
    <cfRule type="expression" dxfId="23859" priority="4947">
      <formula>$C140="Ginger Purchase"</formula>
    </cfRule>
  </conditionalFormatting>
  <conditionalFormatting sqref="B140">
    <cfRule type="expression" dxfId="23858" priority="4948">
      <formula>$C140="Advance"</formula>
    </cfRule>
  </conditionalFormatting>
  <conditionalFormatting sqref="B140">
    <cfRule type="expression" dxfId="23857" priority="4929">
      <formula>$C140="Delivery charge"</formula>
    </cfRule>
    <cfRule type="expression" dxfId="23856" priority="4930">
      <formula>$C140="Staff Salary"</formula>
    </cfRule>
    <cfRule type="expression" dxfId="23855" priority="4931">
      <formula>$C140="Rent"</formula>
    </cfRule>
    <cfRule type="expression" dxfId="23854" priority="4932">
      <formula>$C140="Petrol"</formula>
    </cfRule>
    <cfRule type="expression" dxfId="23853" priority="4933">
      <formula>$C140="Bills"</formula>
    </cfRule>
    <cfRule type="expression" dxfId="23852" priority="4934">
      <formula>$C140="Sales"</formula>
    </cfRule>
    <cfRule type="expression" dxfId="23851" priority="4935">
      <formula>$C140="Expences"</formula>
    </cfRule>
    <cfRule type="expression" dxfId="23850" priority="4936">
      <formula>$C140="Garlic Purchase"</formula>
    </cfRule>
    <cfRule type="expression" dxfId="23849" priority="4937">
      <formula>$C140="Ginger Purchase"</formula>
    </cfRule>
  </conditionalFormatting>
  <conditionalFormatting sqref="B140">
    <cfRule type="expression" dxfId="23848" priority="4938">
      <formula>$C140="Advance"</formula>
    </cfRule>
  </conditionalFormatting>
  <conditionalFormatting sqref="B140">
    <cfRule type="expression" dxfId="23847" priority="4919">
      <formula>$C140="Delivery charge"</formula>
    </cfRule>
    <cfRule type="expression" dxfId="23846" priority="4920">
      <formula>$C140="Staff Salary"</formula>
    </cfRule>
    <cfRule type="expression" dxfId="23845" priority="4921">
      <formula>$C140="Rent"</formula>
    </cfRule>
    <cfRule type="expression" dxfId="23844" priority="4922">
      <formula>$C140="Petrol"</formula>
    </cfRule>
    <cfRule type="expression" dxfId="23843" priority="4923">
      <formula>$C140="Bills"</formula>
    </cfRule>
    <cfRule type="expression" dxfId="23842" priority="4924">
      <formula>$C140="Sales"</formula>
    </cfRule>
    <cfRule type="expression" dxfId="23841" priority="4925">
      <formula>$C140="Expences"</formula>
    </cfRule>
    <cfRule type="expression" dxfId="23840" priority="4926">
      <formula>$C140="Garlic Purchase"</formula>
    </cfRule>
    <cfRule type="expression" dxfId="23839" priority="4927">
      <formula>$C140="Ginger Purchase"</formula>
    </cfRule>
  </conditionalFormatting>
  <conditionalFormatting sqref="B140">
    <cfRule type="expression" dxfId="23838" priority="4928">
      <formula>$C140="Advance"</formula>
    </cfRule>
  </conditionalFormatting>
  <conditionalFormatting sqref="A147">
    <cfRule type="expression" dxfId="23837" priority="4918">
      <formula>$C147="Advance"</formula>
    </cfRule>
  </conditionalFormatting>
  <conditionalFormatting sqref="B147">
    <cfRule type="expression" dxfId="23836" priority="4908">
      <formula>$C147="Delivery charge"</formula>
    </cfRule>
    <cfRule type="expression" dxfId="23835" priority="4909">
      <formula>$C147="Staff Salary"</formula>
    </cfRule>
    <cfRule type="expression" dxfId="23834" priority="4910">
      <formula>$C147="Rent"</formula>
    </cfRule>
    <cfRule type="expression" dxfId="23833" priority="4911">
      <formula>$C147="Petrol"</formula>
    </cfRule>
    <cfRule type="expression" dxfId="23832" priority="4912">
      <formula>$C147="Bills"</formula>
    </cfRule>
    <cfRule type="expression" dxfId="23831" priority="4913">
      <formula>$C147="Sales"</formula>
    </cfRule>
    <cfRule type="expression" dxfId="23830" priority="4914">
      <formula>$C147="Expences"</formula>
    </cfRule>
    <cfRule type="expression" dxfId="23829" priority="4915">
      <formula>$C147="Garlic Purchase"</formula>
    </cfRule>
    <cfRule type="expression" dxfId="23828" priority="4916">
      <formula>$C147="Ginger Purchase"</formula>
    </cfRule>
  </conditionalFormatting>
  <conditionalFormatting sqref="B147">
    <cfRule type="expression" dxfId="23827" priority="4917">
      <formula>$C147="Advance"</formula>
    </cfRule>
  </conditionalFormatting>
  <conditionalFormatting sqref="B147">
    <cfRule type="expression" dxfId="23826" priority="4898">
      <formula>$C147="Delivery charge"</formula>
    </cfRule>
    <cfRule type="expression" dxfId="23825" priority="4899">
      <formula>$C147="Staff Salary"</formula>
    </cfRule>
    <cfRule type="expression" dxfId="23824" priority="4900">
      <formula>$C147="Rent"</formula>
    </cfRule>
    <cfRule type="expression" dxfId="23823" priority="4901">
      <formula>$C147="Petrol"</formula>
    </cfRule>
    <cfRule type="expression" dxfId="23822" priority="4902">
      <formula>$C147="Bills"</formula>
    </cfRule>
    <cfRule type="expression" dxfId="23821" priority="4903">
      <formula>$C147="Sales"</formula>
    </cfRule>
    <cfRule type="expression" dxfId="23820" priority="4904">
      <formula>$C147="Expences"</formula>
    </cfRule>
    <cfRule type="expression" dxfId="23819" priority="4905">
      <formula>$C147="Garlic Purchase"</formula>
    </cfRule>
    <cfRule type="expression" dxfId="23818" priority="4906">
      <formula>$C147="Ginger Purchase"</formula>
    </cfRule>
  </conditionalFormatting>
  <conditionalFormatting sqref="B147">
    <cfRule type="expression" dxfId="23817" priority="4907">
      <formula>$C147="Advance"</formula>
    </cfRule>
  </conditionalFormatting>
  <conditionalFormatting sqref="B148">
    <cfRule type="expression" dxfId="23816" priority="4888">
      <formula>$C148="Delivery charge"</formula>
    </cfRule>
    <cfRule type="expression" dxfId="23815" priority="4889">
      <formula>$C148="Staff Salary"</formula>
    </cfRule>
    <cfRule type="expression" dxfId="23814" priority="4890">
      <formula>$C148="Rent"</formula>
    </cfRule>
    <cfRule type="expression" dxfId="23813" priority="4891">
      <formula>$C148="Petrol"</formula>
    </cfRule>
    <cfRule type="expression" dxfId="23812" priority="4892">
      <formula>$C148="Bills"</formula>
    </cfRule>
    <cfRule type="expression" dxfId="23811" priority="4893">
      <formula>$C148="Sales"</formula>
    </cfRule>
    <cfRule type="expression" dxfId="23810" priority="4894">
      <formula>$C148="Expences"</formula>
    </cfRule>
    <cfRule type="expression" dxfId="23809" priority="4895">
      <formula>$C148="Garlic Purchase"</formula>
    </cfRule>
    <cfRule type="expression" dxfId="23808" priority="4896">
      <formula>$C148="Ginger Purchase"</formula>
    </cfRule>
  </conditionalFormatting>
  <conditionalFormatting sqref="B148">
    <cfRule type="expression" dxfId="23807" priority="4897">
      <formula>$C148="Advance"</formula>
    </cfRule>
  </conditionalFormatting>
  <conditionalFormatting sqref="B147">
    <cfRule type="expression" dxfId="23806" priority="4878">
      <formula>$C147="Delivery charge"</formula>
    </cfRule>
    <cfRule type="expression" dxfId="23805" priority="4879">
      <formula>$C147="Staff Salary"</formula>
    </cfRule>
    <cfRule type="expression" dxfId="23804" priority="4880">
      <formula>$C147="Rent"</formula>
    </cfRule>
    <cfRule type="expression" dxfId="23803" priority="4881">
      <formula>$C147="Petrol"</formula>
    </cfRule>
    <cfRule type="expression" dxfId="23802" priority="4882">
      <formula>$C147="Bills"</formula>
    </cfRule>
    <cfRule type="expression" dxfId="23801" priority="4883">
      <formula>$C147="Sales"</formula>
    </cfRule>
    <cfRule type="expression" dxfId="23800" priority="4884">
      <formula>$C147="Expences"</formula>
    </cfRule>
    <cfRule type="expression" dxfId="23799" priority="4885">
      <formula>$C147="Garlic Purchase"</formula>
    </cfRule>
    <cfRule type="expression" dxfId="23798" priority="4886">
      <formula>$C147="Ginger Purchase"</formula>
    </cfRule>
  </conditionalFormatting>
  <conditionalFormatting sqref="B147">
    <cfRule type="expression" dxfId="23797" priority="4887">
      <formula>$C147="Advance"</formula>
    </cfRule>
  </conditionalFormatting>
  <conditionalFormatting sqref="B147">
    <cfRule type="expression" dxfId="23796" priority="4868">
      <formula>$C147="Delivery charge"</formula>
    </cfRule>
    <cfRule type="expression" dxfId="23795" priority="4869">
      <formula>$C147="Staff Salary"</formula>
    </cfRule>
    <cfRule type="expression" dxfId="23794" priority="4870">
      <formula>$C147="Rent"</formula>
    </cfRule>
    <cfRule type="expression" dxfId="23793" priority="4871">
      <formula>$C147="Petrol"</formula>
    </cfRule>
    <cfRule type="expression" dxfId="23792" priority="4872">
      <formula>$C147="Bills"</formula>
    </cfRule>
    <cfRule type="expression" dxfId="23791" priority="4873">
      <formula>$C147="Sales"</formula>
    </cfRule>
    <cfRule type="expression" dxfId="23790" priority="4874">
      <formula>$C147="Expences"</formula>
    </cfRule>
    <cfRule type="expression" dxfId="23789" priority="4875">
      <formula>$C147="Garlic Purchase"</formula>
    </cfRule>
    <cfRule type="expression" dxfId="23788" priority="4876">
      <formula>$C147="Ginger Purchase"</formula>
    </cfRule>
  </conditionalFormatting>
  <conditionalFormatting sqref="B147">
    <cfRule type="expression" dxfId="23787" priority="4877">
      <formula>$C147="Advance"</formula>
    </cfRule>
  </conditionalFormatting>
  <conditionalFormatting sqref="B148">
    <cfRule type="expression" dxfId="23786" priority="4858">
      <formula>$C148="Delivery charge"</formula>
    </cfRule>
    <cfRule type="expression" dxfId="23785" priority="4859">
      <formula>$C148="Staff Salary"</formula>
    </cfRule>
    <cfRule type="expression" dxfId="23784" priority="4860">
      <formula>$C148="Rent"</formula>
    </cfRule>
    <cfRule type="expression" dxfId="23783" priority="4861">
      <formula>$C148="Petrol"</formula>
    </cfRule>
    <cfRule type="expression" dxfId="23782" priority="4862">
      <formula>$C148="Bills"</formula>
    </cfRule>
    <cfRule type="expression" dxfId="23781" priority="4863">
      <formula>$C148="Sales"</formula>
    </cfRule>
    <cfRule type="expression" dxfId="23780" priority="4864">
      <formula>$C148="Expences"</formula>
    </cfRule>
    <cfRule type="expression" dxfId="23779" priority="4865">
      <formula>$C148="Garlic Purchase"</formula>
    </cfRule>
    <cfRule type="expression" dxfId="23778" priority="4866">
      <formula>$C148="Ginger Purchase"</formula>
    </cfRule>
  </conditionalFormatting>
  <conditionalFormatting sqref="B148">
    <cfRule type="expression" dxfId="23777" priority="4867">
      <formula>$C148="Advance"</formula>
    </cfRule>
  </conditionalFormatting>
  <conditionalFormatting sqref="B147">
    <cfRule type="expression" dxfId="23776" priority="4848">
      <formula>$C147="Delivery charge"</formula>
    </cfRule>
    <cfRule type="expression" dxfId="23775" priority="4849">
      <formula>$C147="Staff Salary"</formula>
    </cfRule>
    <cfRule type="expression" dxfId="23774" priority="4850">
      <formula>$C147="Rent"</formula>
    </cfRule>
    <cfRule type="expression" dxfId="23773" priority="4851">
      <formula>$C147="Petrol"</formula>
    </cfRule>
    <cfRule type="expression" dxfId="23772" priority="4852">
      <formula>$C147="Bills"</formula>
    </cfRule>
    <cfRule type="expression" dxfId="23771" priority="4853">
      <formula>$C147="Sales"</formula>
    </cfRule>
    <cfRule type="expression" dxfId="23770" priority="4854">
      <formula>$C147="Expences"</formula>
    </cfRule>
    <cfRule type="expression" dxfId="23769" priority="4855">
      <formula>$C147="Garlic Purchase"</formula>
    </cfRule>
    <cfRule type="expression" dxfId="23768" priority="4856">
      <formula>$C147="Ginger Purchase"</formula>
    </cfRule>
  </conditionalFormatting>
  <conditionalFormatting sqref="B147">
    <cfRule type="expression" dxfId="23767" priority="4857">
      <formula>$C147="Advance"</formula>
    </cfRule>
  </conditionalFormatting>
  <conditionalFormatting sqref="B148">
    <cfRule type="expression" dxfId="23766" priority="4838">
      <formula>$C148="Delivery charge"</formula>
    </cfRule>
    <cfRule type="expression" dxfId="23765" priority="4839">
      <formula>$C148="Staff Salary"</formula>
    </cfRule>
    <cfRule type="expression" dxfId="23764" priority="4840">
      <formula>$C148="Rent"</formula>
    </cfRule>
    <cfRule type="expression" dxfId="23763" priority="4841">
      <formula>$C148="Petrol"</formula>
    </cfRule>
    <cfRule type="expression" dxfId="23762" priority="4842">
      <formula>$C148="Bills"</formula>
    </cfRule>
    <cfRule type="expression" dxfId="23761" priority="4843">
      <formula>$C148="Sales"</formula>
    </cfRule>
    <cfRule type="expression" dxfId="23760" priority="4844">
      <formula>$C148="Expences"</formula>
    </cfRule>
    <cfRule type="expression" dxfId="23759" priority="4845">
      <formula>$C148="Garlic Purchase"</formula>
    </cfRule>
    <cfRule type="expression" dxfId="23758" priority="4846">
      <formula>$C148="Ginger Purchase"</formula>
    </cfRule>
  </conditionalFormatting>
  <conditionalFormatting sqref="B148">
    <cfRule type="expression" dxfId="23757" priority="4847">
      <formula>$C148="Advance"</formula>
    </cfRule>
  </conditionalFormatting>
  <conditionalFormatting sqref="B147">
    <cfRule type="expression" dxfId="23756" priority="4828">
      <formula>$C147="Delivery charge"</formula>
    </cfRule>
    <cfRule type="expression" dxfId="23755" priority="4829">
      <formula>$C147="Staff Salary"</formula>
    </cfRule>
    <cfRule type="expression" dxfId="23754" priority="4830">
      <formula>$C147="Rent"</formula>
    </cfRule>
    <cfRule type="expression" dxfId="23753" priority="4831">
      <formula>$C147="Petrol"</formula>
    </cfRule>
    <cfRule type="expression" dxfId="23752" priority="4832">
      <formula>$C147="Bills"</formula>
    </cfRule>
    <cfRule type="expression" dxfId="23751" priority="4833">
      <formula>$C147="Sales"</formula>
    </cfRule>
    <cfRule type="expression" dxfId="23750" priority="4834">
      <formula>$C147="Expences"</formula>
    </cfRule>
    <cfRule type="expression" dxfId="23749" priority="4835">
      <formula>$C147="Garlic Purchase"</formula>
    </cfRule>
    <cfRule type="expression" dxfId="23748" priority="4836">
      <formula>$C147="Ginger Purchase"</formula>
    </cfRule>
  </conditionalFormatting>
  <conditionalFormatting sqref="B147">
    <cfRule type="expression" dxfId="23747" priority="4837">
      <formula>$C147="Advance"</formula>
    </cfRule>
  </conditionalFormatting>
  <conditionalFormatting sqref="B148">
    <cfRule type="expression" dxfId="23746" priority="4818">
      <formula>$C148="Delivery charge"</formula>
    </cfRule>
    <cfRule type="expression" dxfId="23745" priority="4819">
      <formula>$C148="Staff Salary"</formula>
    </cfRule>
    <cfRule type="expression" dxfId="23744" priority="4820">
      <formula>$C148="Rent"</formula>
    </cfRule>
    <cfRule type="expression" dxfId="23743" priority="4821">
      <formula>$C148="Petrol"</formula>
    </cfRule>
    <cfRule type="expression" dxfId="23742" priority="4822">
      <formula>$C148="Bills"</formula>
    </cfRule>
    <cfRule type="expression" dxfId="23741" priority="4823">
      <formula>$C148="Sales"</formula>
    </cfRule>
    <cfRule type="expression" dxfId="23740" priority="4824">
      <formula>$C148="Expences"</formula>
    </cfRule>
    <cfRule type="expression" dxfId="23739" priority="4825">
      <formula>$C148="Garlic Purchase"</formula>
    </cfRule>
    <cfRule type="expression" dxfId="23738" priority="4826">
      <formula>$C148="Ginger Purchase"</formula>
    </cfRule>
  </conditionalFormatting>
  <conditionalFormatting sqref="B148">
    <cfRule type="expression" dxfId="23737" priority="4827">
      <formula>$C148="Advance"</formula>
    </cfRule>
  </conditionalFormatting>
  <conditionalFormatting sqref="A4:A8">
    <cfRule type="expression" dxfId="23736" priority="4817">
      <formula>$C4="Advance"</formula>
    </cfRule>
  </conditionalFormatting>
  <conditionalFormatting sqref="B3:B20 B23 B26">
    <cfRule type="expression" dxfId="23735" priority="4816">
      <formula>$C3="Advance"</formula>
    </cfRule>
  </conditionalFormatting>
  <conditionalFormatting sqref="B3:B20 B23 B26">
    <cfRule type="expression" dxfId="23734" priority="4807">
      <formula>$C3="Delivery charge"</formula>
    </cfRule>
    <cfRule type="expression" dxfId="23733" priority="4808">
      <formula>$C3="Staff Salary"</formula>
    </cfRule>
    <cfRule type="expression" dxfId="23732" priority="4809">
      <formula>$C3="Rent"</formula>
    </cfRule>
    <cfRule type="expression" dxfId="23731" priority="4810">
      <formula>$C3="Petrol"</formula>
    </cfRule>
    <cfRule type="expression" dxfId="23730" priority="4811">
      <formula>$C3="Bills"</formula>
    </cfRule>
    <cfRule type="expression" dxfId="23729" priority="4812">
      <formula>$C3="Sales"</formula>
    </cfRule>
    <cfRule type="expression" dxfId="23728" priority="4813">
      <formula>$C3="Expences"</formula>
    </cfRule>
    <cfRule type="expression" dxfId="23727" priority="4814">
      <formula>$C3="Garlic Purchase"</formula>
    </cfRule>
    <cfRule type="expression" dxfId="23726" priority="4815">
      <formula>$C3="Ginger Purchase"</formula>
    </cfRule>
  </conditionalFormatting>
  <conditionalFormatting sqref="B13 B3 B5 B7 B9 B11 B16 B19">
    <cfRule type="expression" dxfId="23725" priority="4797">
      <formula>$C3="Delivery charge"</formula>
    </cfRule>
    <cfRule type="expression" dxfId="23724" priority="4798">
      <formula>$C3="Staff Salary"</formula>
    </cfRule>
    <cfRule type="expression" dxfId="23723" priority="4799">
      <formula>$C3="Rent"</formula>
    </cfRule>
    <cfRule type="expression" dxfId="23722" priority="4800">
      <formula>$C3="Petrol"</formula>
    </cfRule>
    <cfRule type="expression" dxfId="23721" priority="4801">
      <formula>$C3="Bills"</formula>
    </cfRule>
    <cfRule type="expression" dxfId="23720" priority="4802">
      <formula>$C3="Sales"</formula>
    </cfRule>
    <cfRule type="expression" dxfId="23719" priority="4803">
      <formula>$C3="Expences"</formula>
    </cfRule>
    <cfRule type="expression" dxfId="23718" priority="4804">
      <formula>$C3="Garlic Purchase"</formula>
    </cfRule>
    <cfRule type="expression" dxfId="23717" priority="4805">
      <formula>$C3="Ginger Purchase"</formula>
    </cfRule>
  </conditionalFormatting>
  <conditionalFormatting sqref="B13 B3 B5 B7 B9 B11 B16 B19">
    <cfRule type="expression" dxfId="23716" priority="4806">
      <formula>$C3="Advance"</formula>
    </cfRule>
  </conditionalFormatting>
  <conditionalFormatting sqref="B14 B4 B6 B8 B10 B12 B17 B20 B23 B26">
    <cfRule type="expression" dxfId="23715" priority="4787">
      <formula>$C4="Delivery charge"</formula>
    </cfRule>
    <cfRule type="expression" dxfId="23714" priority="4788">
      <formula>$C4="Staff Salary"</formula>
    </cfRule>
    <cfRule type="expression" dxfId="23713" priority="4789">
      <formula>$C4="Rent"</formula>
    </cfRule>
    <cfRule type="expression" dxfId="23712" priority="4790">
      <formula>$C4="Petrol"</formula>
    </cfRule>
    <cfRule type="expression" dxfId="23711" priority="4791">
      <formula>$C4="Bills"</formula>
    </cfRule>
    <cfRule type="expression" dxfId="23710" priority="4792">
      <formula>$C4="Sales"</formula>
    </cfRule>
    <cfRule type="expression" dxfId="23709" priority="4793">
      <formula>$C4="Expences"</formula>
    </cfRule>
    <cfRule type="expression" dxfId="23708" priority="4794">
      <formula>$C4="Garlic Purchase"</formula>
    </cfRule>
    <cfRule type="expression" dxfId="23707" priority="4795">
      <formula>$C4="Ginger Purchase"</formula>
    </cfRule>
  </conditionalFormatting>
  <conditionalFormatting sqref="B14 B4 B6 B8 B10 B12 B17 B20 B23 B26">
    <cfRule type="expression" dxfId="23706" priority="4796">
      <formula>$C4="Advance"</formula>
    </cfRule>
  </conditionalFormatting>
  <conditionalFormatting sqref="B14 B4 B6 B8 B10 B12 B17 B20 B23 B26">
    <cfRule type="expression" dxfId="23705" priority="4777">
      <formula>$C4="Delivery charge"</formula>
    </cfRule>
    <cfRule type="expression" dxfId="23704" priority="4778">
      <formula>$C4="Staff Salary"</formula>
    </cfRule>
    <cfRule type="expression" dxfId="23703" priority="4779">
      <formula>$C4="Rent"</formula>
    </cfRule>
    <cfRule type="expression" dxfId="23702" priority="4780">
      <formula>$C4="Petrol"</formula>
    </cfRule>
    <cfRule type="expression" dxfId="23701" priority="4781">
      <formula>$C4="Bills"</formula>
    </cfRule>
    <cfRule type="expression" dxfId="23700" priority="4782">
      <formula>$C4="Sales"</formula>
    </cfRule>
    <cfRule type="expression" dxfId="23699" priority="4783">
      <formula>$C4="Expences"</formula>
    </cfRule>
    <cfRule type="expression" dxfId="23698" priority="4784">
      <formula>$C4="Garlic Purchase"</formula>
    </cfRule>
    <cfRule type="expression" dxfId="23697" priority="4785">
      <formula>$C4="Ginger Purchase"</formula>
    </cfRule>
  </conditionalFormatting>
  <conditionalFormatting sqref="B14 B4 B6 B8 B10 B12 B17 B20 B23 B26">
    <cfRule type="expression" dxfId="23696" priority="4786">
      <formula>$C4="Advance"</formula>
    </cfRule>
  </conditionalFormatting>
  <conditionalFormatting sqref="B14 B4 B6 B8 B10 B12 B17 B20 B23 B26">
    <cfRule type="expression" dxfId="23695" priority="4767">
      <formula>$C4="Delivery charge"</formula>
    </cfRule>
    <cfRule type="expression" dxfId="23694" priority="4768">
      <formula>$C4="Staff Salary"</formula>
    </cfRule>
    <cfRule type="expression" dxfId="23693" priority="4769">
      <formula>$C4="Rent"</formula>
    </cfRule>
    <cfRule type="expression" dxfId="23692" priority="4770">
      <formula>$C4="Petrol"</formula>
    </cfRule>
    <cfRule type="expression" dxfId="23691" priority="4771">
      <formula>$C4="Bills"</formula>
    </cfRule>
    <cfRule type="expression" dxfId="23690" priority="4772">
      <formula>$C4="Sales"</formula>
    </cfRule>
    <cfRule type="expression" dxfId="23689" priority="4773">
      <formula>$C4="Expences"</formula>
    </cfRule>
    <cfRule type="expression" dxfId="23688" priority="4774">
      <formula>$C4="Garlic Purchase"</formula>
    </cfRule>
    <cfRule type="expression" dxfId="23687" priority="4775">
      <formula>$C4="Ginger Purchase"</formula>
    </cfRule>
  </conditionalFormatting>
  <conditionalFormatting sqref="B14 B4 B6 B8 B10 B12 B17 B20 B23 B26">
    <cfRule type="expression" dxfId="23686" priority="4776">
      <formula>$C4="Advance"</formula>
    </cfRule>
  </conditionalFormatting>
  <conditionalFormatting sqref="B14 B4 B6 B8 B10 B12 B17 B20 B23 B26">
    <cfRule type="expression" dxfId="23685" priority="4757">
      <formula>$C4="Delivery charge"</formula>
    </cfRule>
    <cfRule type="expression" dxfId="23684" priority="4758">
      <formula>$C4="Staff Salary"</formula>
    </cfRule>
    <cfRule type="expression" dxfId="23683" priority="4759">
      <formula>$C4="Rent"</formula>
    </cfRule>
    <cfRule type="expression" dxfId="23682" priority="4760">
      <formula>$C4="Petrol"</formula>
    </cfRule>
    <cfRule type="expression" dxfId="23681" priority="4761">
      <formula>$C4="Bills"</formula>
    </cfRule>
    <cfRule type="expression" dxfId="23680" priority="4762">
      <formula>$C4="Sales"</formula>
    </cfRule>
    <cfRule type="expression" dxfId="23679" priority="4763">
      <formula>$C4="Expences"</formula>
    </cfRule>
    <cfRule type="expression" dxfId="23678" priority="4764">
      <formula>$C4="Garlic Purchase"</formula>
    </cfRule>
    <cfRule type="expression" dxfId="23677" priority="4765">
      <formula>$C4="Ginger Purchase"</formula>
    </cfRule>
  </conditionalFormatting>
  <conditionalFormatting sqref="B14 B4 B6 B8 B10 B12 B17 B20 B23 B26">
    <cfRule type="expression" dxfId="23676" priority="4766">
      <formula>$C4="Advance"</formula>
    </cfRule>
  </conditionalFormatting>
  <conditionalFormatting sqref="B57">
    <cfRule type="expression" dxfId="23675" priority="29">
      <formula>$C57="Delivery charge"</formula>
    </cfRule>
    <cfRule type="expression" dxfId="23674" priority="30">
      <formula>$C57="Staff Salary"</formula>
    </cfRule>
    <cfRule type="expression" dxfId="23673" priority="31">
      <formula>$C57="Rent"</formula>
    </cfRule>
    <cfRule type="expression" dxfId="23672" priority="32">
      <formula>$C57="Petrol"</formula>
    </cfRule>
    <cfRule type="expression" dxfId="23671" priority="33">
      <formula>$C57="Bills"</formula>
    </cfRule>
    <cfRule type="expression" dxfId="23670" priority="34">
      <formula>$C57="Sales"</formula>
    </cfRule>
    <cfRule type="expression" dxfId="23669" priority="35">
      <formula>$C57="Expences"</formula>
    </cfRule>
    <cfRule type="expression" dxfId="23668" priority="36">
      <formula>$C57="Garlic Purchase"</formula>
    </cfRule>
    <cfRule type="expression" dxfId="23667" priority="37">
      <formula>$C57="Ginger Purchase"</formula>
    </cfRule>
  </conditionalFormatting>
  <conditionalFormatting sqref="B12">
    <cfRule type="expression" dxfId="23666" priority="4747">
      <formula>$C12="Delivery charge"</formula>
    </cfRule>
    <cfRule type="expression" dxfId="23665" priority="4748">
      <formula>$C12="Staff Salary"</formula>
    </cfRule>
    <cfRule type="expression" dxfId="23664" priority="4749">
      <formula>$C12="Rent"</formula>
    </cfRule>
    <cfRule type="expression" dxfId="23663" priority="4750">
      <formula>$C12="Petrol"</formula>
    </cfRule>
    <cfRule type="expression" dxfId="23662" priority="4751">
      <formula>$C12="Bills"</formula>
    </cfRule>
    <cfRule type="expression" dxfId="23661" priority="4752">
      <formula>$C12="Sales"</formula>
    </cfRule>
    <cfRule type="expression" dxfId="23660" priority="4753">
      <formula>$C12="Expences"</formula>
    </cfRule>
    <cfRule type="expression" dxfId="23659" priority="4754">
      <formula>$C12="Garlic Purchase"</formula>
    </cfRule>
    <cfRule type="expression" dxfId="23658" priority="4755">
      <formula>$C12="Ginger Purchase"</formula>
    </cfRule>
  </conditionalFormatting>
  <conditionalFormatting sqref="B12">
    <cfRule type="expression" dxfId="23657" priority="4756">
      <formula>$C12="Advance"</formula>
    </cfRule>
  </conditionalFormatting>
  <conditionalFormatting sqref="B11 B13 B16 B19">
    <cfRule type="expression" dxfId="23656" priority="4737">
      <formula>$C11="Delivery charge"</formula>
    </cfRule>
    <cfRule type="expression" dxfId="23655" priority="4738">
      <formula>$C11="Staff Salary"</formula>
    </cfRule>
    <cfRule type="expression" dxfId="23654" priority="4739">
      <formula>$C11="Rent"</formula>
    </cfRule>
    <cfRule type="expression" dxfId="23653" priority="4740">
      <formula>$C11="Petrol"</formula>
    </cfRule>
    <cfRule type="expression" dxfId="23652" priority="4741">
      <formula>$C11="Bills"</formula>
    </cfRule>
    <cfRule type="expression" dxfId="23651" priority="4742">
      <formula>$C11="Sales"</formula>
    </cfRule>
    <cfRule type="expression" dxfId="23650" priority="4743">
      <formula>$C11="Expences"</formula>
    </cfRule>
    <cfRule type="expression" dxfId="23649" priority="4744">
      <formula>$C11="Garlic Purchase"</formula>
    </cfRule>
    <cfRule type="expression" dxfId="23648" priority="4745">
      <formula>$C11="Ginger Purchase"</formula>
    </cfRule>
  </conditionalFormatting>
  <conditionalFormatting sqref="B11 B13 B16 B19">
    <cfRule type="expression" dxfId="23647" priority="4746">
      <formula>$C11="Advance"</formula>
    </cfRule>
  </conditionalFormatting>
  <conditionalFormatting sqref="B11 B13 B16 B19">
    <cfRule type="expression" dxfId="23646" priority="4727">
      <formula>$C11="Delivery charge"</formula>
    </cfRule>
    <cfRule type="expression" dxfId="23645" priority="4728">
      <formula>$C11="Staff Salary"</formula>
    </cfRule>
    <cfRule type="expression" dxfId="23644" priority="4729">
      <formula>$C11="Rent"</formula>
    </cfRule>
    <cfRule type="expression" dxfId="23643" priority="4730">
      <formula>$C11="Petrol"</formula>
    </cfRule>
    <cfRule type="expression" dxfId="23642" priority="4731">
      <formula>$C11="Bills"</formula>
    </cfRule>
    <cfRule type="expression" dxfId="23641" priority="4732">
      <formula>$C11="Sales"</formula>
    </cfRule>
    <cfRule type="expression" dxfId="23640" priority="4733">
      <formula>$C11="Expences"</formula>
    </cfRule>
    <cfRule type="expression" dxfId="23639" priority="4734">
      <formula>$C11="Garlic Purchase"</formula>
    </cfRule>
    <cfRule type="expression" dxfId="23638" priority="4735">
      <formula>$C11="Ginger Purchase"</formula>
    </cfRule>
  </conditionalFormatting>
  <conditionalFormatting sqref="B11 B13 B16 B19">
    <cfRule type="expression" dxfId="23637" priority="4736">
      <formula>$C11="Advance"</formula>
    </cfRule>
  </conditionalFormatting>
  <conditionalFormatting sqref="B11 B13 B16 B19">
    <cfRule type="expression" dxfId="23636" priority="4717">
      <formula>$C11="Delivery charge"</formula>
    </cfRule>
    <cfRule type="expression" dxfId="23635" priority="4718">
      <formula>$C11="Staff Salary"</formula>
    </cfRule>
    <cfRule type="expression" dxfId="23634" priority="4719">
      <formula>$C11="Rent"</formula>
    </cfRule>
    <cfRule type="expression" dxfId="23633" priority="4720">
      <formula>$C11="Petrol"</formula>
    </cfRule>
    <cfRule type="expression" dxfId="23632" priority="4721">
      <formula>$C11="Bills"</formula>
    </cfRule>
    <cfRule type="expression" dxfId="23631" priority="4722">
      <formula>$C11="Sales"</formula>
    </cfRule>
    <cfRule type="expression" dxfId="23630" priority="4723">
      <formula>$C11="Expences"</formula>
    </cfRule>
    <cfRule type="expression" dxfId="23629" priority="4724">
      <formula>$C11="Garlic Purchase"</formula>
    </cfRule>
    <cfRule type="expression" dxfId="23628" priority="4725">
      <formula>$C11="Ginger Purchase"</formula>
    </cfRule>
  </conditionalFormatting>
  <conditionalFormatting sqref="B11 B13 B16 B19">
    <cfRule type="expression" dxfId="23627" priority="4726">
      <formula>$C11="Advance"</formula>
    </cfRule>
  </conditionalFormatting>
  <conditionalFormatting sqref="B11 B13 B16 B19">
    <cfRule type="expression" dxfId="23626" priority="4707">
      <formula>$C11="Delivery charge"</formula>
    </cfRule>
    <cfRule type="expression" dxfId="23625" priority="4708">
      <formula>$C11="Staff Salary"</formula>
    </cfRule>
    <cfRule type="expression" dxfId="23624" priority="4709">
      <formula>$C11="Rent"</formula>
    </cfRule>
    <cfRule type="expression" dxfId="23623" priority="4710">
      <formula>$C11="Petrol"</formula>
    </cfRule>
    <cfRule type="expression" dxfId="23622" priority="4711">
      <formula>$C11="Bills"</formula>
    </cfRule>
    <cfRule type="expression" dxfId="23621" priority="4712">
      <formula>$C11="Sales"</formula>
    </cfRule>
    <cfRule type="expression" dxfId="23620" priority="4713">
      <formula>$C11="Expences"</formula>
    </cfRule>
    <cfRule type="expression" dxfId="23619" priority="4714">
      <formula>$C11="Garlic Purchase"</formula>
    </cfRule>
    <cfRule type="expression" dxfId="23618" priority="4715">
      <formula>$C11="Ginger Purchase"</formula>
    </cfRule>
  </conditionalFormatting>
  <conditionalFormatting sqref="B11 B13 B16 B19">
    <cfRule type="expression" dxfId="23617" priority="4716">
      <formula>$C11="Advance"</formula>
    </cfRule>
  </conditionalFormatting>
  <conditionalFormatting sqref="A10:A12">
    <cfRule type="expression" dxfId="23616" priority="4706">
      <formula>$C10="Advance"</formula>
    </cfRule>
  </conditionalFormatting>
  <conditionalFormatting sqref="B14 B12 B17 B20 B23 B26">
    <cfRule type="expression" dxfId="23615" priority="4696">
      <formula>$C12="Delivery charge"</formula>
    </cfRule>
    <cfRule type="expression" dxfId="23614" priority="4697">
      <formula>$C12="Staff Salary"</formula>
    </cfRule>
    <cfRule type="expression" dxfId="23613" priority="4698">
      <formula>$C12="Rent"</formula>
    </cfRule>
    <cfRule type="expression" dxfId="23612" priority="4699">
      <formula>$C12="Petrol"</formula>
    </cfRule>
    <cfRule type="expression" dxfId="23611" priority="4700">
      <formula>$C12="Bills"</formula>
    </cfRule>
    <cfRule type="expression" dxfId="23610" priority="4701">
      <formula>$C12="Sales"</formula>
    </cfRule>
    <cfRule type="expression" dxfId="23609" priority="4702">
      <formula>$C12="Expences"</formula>
    </cfRule>
    <cfRule type="expression" dxfId="23608" priority="4703">
      <formula>$C12="Garlic Purchase"</formula>
    </cfRule>
    <cfRule type="expression" dxfId="23607" priority="4704">
      <formula>$C12="Ginger Purchase"</formula>
    </cfRule>
  </conditionalFormatting>
  <conditionalFormatting sqref="B14 B12 B17 B20 B23 B26">
    <cfRule type="expression" dxfId="23606" priority="4705">
      <formula>$C12="Advance"</formula>
    </cfRule>
  </conditionalFormatting>
  <conditionalFormatting sqref="B13 B16 B19">
    <cfRule type="expression" dxfId="23605" priority="4686">
      <formula>$C13="Delivery charge"</formula>
    </cfRule>
    <cfRule type="expression" dxfId="23604" priority="4687">
      <formula>$C13="Staff Salary"</formula>
    </cfRule>
    <cfRule type="expression" dxfId="23603" priority="4688">
      <formula>$C13="Rent"</formula>
    </cfRule>
    <cfRule type="expression" dxfId="23602" priority="4689">
      <formula>$C13="Petrol"</formula>
    </cfRule>
    <cfRule type="expression" dxfId="23601" priority="4690">
      <formula>$C13="Bills"</formula>
    </cfRule>
    <cfRule type="expression" dxfId="23600" priority="4691">
      <formula>$C13="Sales"</formula>
    </cfRule>
    <cfRule type="expression" dxfId="23599" priority="4692">
      <formula>$C13="Expences"</formula>
    </cfRule>
    <cfRule type="expression" dxfId="23598" priority="4693">
      <formula>$C13="Garlic Purchase"</formula>
    </cfRule>
    <cfRule type="expression" dxfId="23597" priority="4694">
      <formula>$C13="Ginger Purchase"</formula>
    </cfRule>
  </conditionalFormatting>
  <conditionalFormatting sqref="B13 B16 B19">
    <cfRule type="expression" dxfId="23596" priority="4695">
      <formula>$C13="Advance"</formula>
    </cfRule>
  </conditionalFormatting>
  <conditionalFormatting sqref="B13 B16 B19">
    <cfRule type="expression" dxfId="23595" priority="4676">
      <formula>$C13="Delivery charge"</formula>
    </cfRule>
    <cfRule type="expression" dxfId="23594" priority="4677">
      <formula>$C13="Staff Salary"</formula>
    </cfRule>
    <cfRule type="expression" dxfId="23593" priority="4678">
      <formula>$C13="Rent"</formula>
    </cfRule>
    <cfRule type="expression" dxfId="23592" priority="4679">
      <formula>$C13="Petrol"</formula>
    </cfRule>
    <cfRule type="expression" dxfId="23591" priority="4680">
      <formula>$C13="Bills"</formula>
    </cfRule>
    <cfRule type="expression" dxfId="23590" priority="4681">
      <formula>$C13="Sales"</formula>
    </cfRule>
    <cfRule type="expression" dxfId="23589" priority="4682">
      <formula>$C13="Expences"</formula>
    </cfRule>
    <cfRule type="expression" dxfId="23588" priority="4683">
      <formula>$C13="Garlic Purchase"</formula>
    </cfRule>
    <cfRule type="expression" dxfId="23587" priority="4684">
      <formula>$C13="Ginger Purchase"</formula>
    </cfRule>
  </conditionalFormatting>
  <conditionalFormatting sqref="B13 B16 B19">
    <cfRule type="expression" dxfId="23586" priority="4685">
      <formula>$C13="Advance"</formula>
    </cfRule>
  </conditionalFormatting>
  <conditionalFormatting sqref="B13 B16 B19">
    <cfRule type="expression" dxfId="23585" priority="4666">
      <formula>$C13="Delivery charge"</formula>
    </cfRule>
    <cfRule type="expression" dxfId="23584" priority="4667">
      <formula>$C13="Staff Salary"</formula>
    </cfRule>
    <cfRule type="expression" dxfId="23583" priority="4668">
      <formula>$C13="Rent"</formula>
    </cfRule>
    <cfRule type="expression" dxfId="23582" priority="4669">
      <formula>$C13="Petrol"</formula>
    </cfRule>
    <cfRule type="expression" dxfId="23581" priority="4670">
      <formula>$C13="Bills"</formula>
    </cfRule>
    <cfRule type="expression" dxfId="23580" priority="4671">
      <formula>$C13="Sales"</formula>
    </cfRule>
    <cfRule type="expression" dxfId="23579" priority="4672">
      <formula>$C13="Expences"</formula>
    </cfRule>
    <cfRule type="expression" dxfId="23578" priority="4673">
      <formula>$C13="Garlic Purchase"</formula>
    </cfRule>
    <cfRule type="expression" dxfId="23577" priority="4674">
      <formula>$C13="Ginger Purchase"</formula>
    </cfRule>
  </conditionalFormatting>
  <conditionalFormatting sqref="B13 B16 B19">
    <cfRule type="expression" dxfId="23576" priority="4675">
      <formula>$C13="Advance"</formula>
    </cfRule>
  </conditionalFormatting>
  <conditionalFormatting sqref="B13 B16 B19">
    <cfRule type="expression" dxfId="23575" priority="4656">
      <formula>$C13="Delivery charge"</formula>
    </cfRule>
    <cfRule type="expression" dxfId="23574" priority="4657">
      <formula>$C13="Staff Salary"</formula>
    </cfRule>
    <cfRule type="expression" dxfId="23573" priority="4658">
      <formula>$C13="Rent"</formula>
    </cfRule>
    <cfRule type="expression" dxfId="23572" priority="4659">
      <formula>$C13="Petrol"</formula>
    </cfRule>
    <cfRule type="expression" dxfId="23571" priority="4660">
      <formula>$C13="Bills"</formula>
    </cfRule>
    <cfRule type="expression" dxfId="23570" priority="4661">
      <formula>$C13="Sales"</formula>
    </cfRule>
    <cfRule type="expression" dxfId="23569" priority="4662">
      <formula>$C13="Expences"</formula>
    </cfRule>
    <cfRule type="expression" dxfId="23568" priority="4663">
      <formula>$C13="Garlic Purchase"</formula>
    </cfRule>
    <cfRule type="expression" dxfId="23567" priority="4664">
      <formula>$C13="Ginger Purchase"</formula>
    </cfRule>
  </conditionalFormatting>
  <conditionalFormatting sqref="B13 B16 B19">
    <cfRule type="expression" dxfId="23566" priority="4665">
      <formula>$C13="Advance"</formula>
    </cfRule>
  </conditionalFormatting>
  <conditionalFormatting sqref="B13 B16 B19">
    <cfRule type="expression" dxfId="23565" priority="4646">
      <formula>$C13="Delivery charge"</formula>
    </cfRule>
    <cfRule type="expression" dxfId="23564" priority="4647">
      <formula>$C13="Staff Salary"</formula>
    </cfRule>
    <cfRule type="expression" dxfId="23563" priority="4648">
      <formula>$C13="Rent"</formula>
    </cfRule>
    <cfRule type="expression" dxfId="23562" priority="4649">
      <formula>$C13="Petrol"</formula>
    </cfRule>
    <cfRule type="expression" dxfId="23561" priority="4650">
      <formula>$C13="Bills"</formula>
    </cfRule>
    <cfRule type="expression" dxfId="23560" priority="4651">
      <formula>$C13="Sales"</formula>
    </cfRule>
    <cfRule type="expression" dxfId="23559" priority="4652">
      <formula>$C13="Expences"</formula>
    </cfRule>
    <cfRule type="expression" dxfId="23558" priority="4653">
      <formula>$C13="Garlic Purchase"</formula>
    </cfRule>
    <cfRule type="expression" dxfId="23557" priority="4654">
      <formula>$C13="Ginger Purchase"</formula>
    </cfRule>
  </conditionalFormatting>
  <conditionalFormatting sqref="B13 B16 B19">
    <cfRule type="expression" dxfId="23556" priority="4655">
      <formula>$C13="Advance"</formula>
    </cfRule>
  </conditionalFormatting>
  <conditionalFormatting sqref="B12 B14 B17 B20 B23 B26">
    <cfRule type="expression" dxfId="23555" priority="4636">
      <formula>$C12="Delivery charge"</formula>
    </cfRule>
    <cfRule type="expression" dxfId="23554" priority="4637">
      <formula>$C12="Staff Salary"</formula>
    </cfRule>
    <cfRule type="expression" dxfId="23553" priority="4638">
      <formula>$C12="Rent"</formula>
    </cfRule>
    <cfRule type="expression" dxfId="23552" priority="4639">
      <formula>$C12="Petrol"</formula>
    </cfRule>
    <cfRule type="expression" dxfId="23551" priority="4640">
      <formula>$C12="Bills"</formula>
    </cfRule>
    <cfRule type="expression" dxfId="23550" priority="4641">
      <formula>$C12="Sales"</formula>
    </cfRule>
    <cfRule type="expression" dxfId="23549" priority="4642">
      <formula>$C12="Expences"</formula>
    </cfRule>
    <cfRule type="expression" dxfId="23548" priority="4643">
      <formula>$C12="Garlic Purchase"</formula>
    </cfRule>
    <cfRule type="expression" dxfId="23547" priority="4644">
      <formula>$C12="Ginger Purchase"</formula>
    </cfRule>
  </conditionalFormatting>
  <conditionalFormatting sqref="B12 B14 B17 B20 B23 B26">
    <cfRule type="expression" dxfId="23546" priority="4645">
      <formula>$C12="Advance"</formula>
    </cfRule>
  </conditionalFormatting>
  <conditionalFormatting sqref="B12 B14 B17 B20 B23 B26">
    <cfRule type="expression" dxfId="23545" priority="4626">
      <formula>$C12="Delivery charge"</formula>
    </cfRule>
    <cfRule type="expression" dxfId="23544" priority="4627">
      <formula>$C12="Staff Salary"</formula>
    </cfRule>
    <cfRule type="expression" dxfId="23543" priority="4628">
      <formula>$C12="Rent"</formula>
    </cfRule>
    <cfRule type="expression" dxfId="23542" priority="4629">
      <formula>$C12="Petrol"</formula>
    </cfRule>
    <cfRule type="expression" dxfId="23541" priority="4630">
      <formula>$C12="Bills"</formula>
    </cfRule>
    <cfRule type="expression" dxfId="23540" priority="4631">
      <formula>$C12="Sales"</formula>
    </cfRule>
    <cfRule type="expression" dxfId="23539" priority="4632">
      <formula>$C12="Expences"</formula>
    </cfRule>
    <cfRule type="expression" dxfId="23538" priority="4633">
      <formula>$C12="Garlic Purchase"</formula>
    </cfRule>
    <cfRule type="expression" dxfId="23537" priority="4634">
      <formula>$C12="Ginger Purchase"</formula>
    </cfRule>
  </conditionalFormatting>
  <conditionalFormatting sqref="B12 B14 B17 B20 B23 B26">
    <cfRule type="expression" dxfId="23536" priority="4635">
      <formula>$C12="Advance"</formula>
    </cfRule>
  </conditionalFormatting>
  <conditionalFormatting sqref="B12 B14 B17 B20 B23 B26">
    <cfRule type="expression" dxfId="23535" priority="4616">
      <formula>$C12="Delivery charge"</formula>
    </cfRule>
    <cfRule type="expression" dxfId="23534" priority="4617">
      <formula>$C12="Staff Salary"</formula>
    </cfRule>
    <cfRule type="expression" dxfId="23533" priority="4618">
      <formula>$C12="Rent"</formula>
    </cfRule>
    <cfRule type="expression" dxfId="23532" priority="4619">
      <formula>$C12="Petrol"</formula>
    </cfRule>
    <cfRule type="expression" dxfId="23531" priority="4620">
      <formula>$C12="Bills"</formula>
    </cfRule>
    <cfRule type="expression" dxfId="23530" priority="4621">
      <formula>$C12="Sales"</formula>
    </cfRule>
    <cfRule type="expression" dxfId="23529" priority="4622">
      <formula>$C12="Expences"</formula>
    </cfRule>
    <cfRule type="expression" dxfId="23528" priority="4623">
      <formula>$C12="Garlic Purchase"</formula>
    </cfRule>
    <cfRule type="expression" dxfId="23527" priority="4624">
      <formula>$C12="Ginger Purchase"</formula>
    </cfRule>
  </conditionalFormatting>
  <conditionalFormatting sqref="B12 B14 B17 B20 B23 B26">
    <cfRule type="expression" dxfId="23526" priority="4625">
      <formula>$C12="Advance"</formula>
    </cfRule>
  </conditionalFormatting>
  <conditionalFormatting sqref="B12 B14 B17 B20 B23 B26">
    <cfRule type="expression" dxfId="23525" priority="4606">
      <formula>$C12="Delivery charge"</formula>
    </cfRule>
    <cfRule type="expression" dxfId="23524" priority="4607">
      <formula>$C12="Staff Salary"</formula>
    </cfRule>
    <cfRule type="expression" dxfId="23523" priority="4608">
      <formula>$C12="Rent"</formula>
    </cfRule>
    <cfRule type="expression" dxfId="23522" priority="4609">
      <formula>$C12="Petrol"</formula>
    </cfRule>
    <cfRule type="expression" dxfId="23521" priority="4610">
      <formula>$C12="Bills"</formula>
    </cfRule>
    <cfRule type="expression" dxfId="23520" priority="4611">
      <formula>$C12="Sales"</formula>
    </cfRule>
    <cfRule type="expression" dxfId="23519" priority="4612">
      <formula>$C12="Expences"</formula>
    </cfRule>
    <cfRule type="expression" dxfId="23518" priority="4613">
      <formula>$C12="Garlic Purchase"</formula>
    </cfRule>
    <cfRule type="expression" dxfId="23517" priority="4614">
      <formula>$C12="Ginger Purchase"</formula>
    </cfRule>
  </conditionalFormatting>
  <conditionalFormatting sqref="B12 B14 B17 B20 B23 B26">
    <cfRule type="expression" dxfId="23516" priority="4615">
      <formula>$C12="Advance"</formula>
    </cfRule>
  </conditionalFormatting>
  <conditionalFormatting sqref="A13:A20">
    <cfRule type="expression" dxfId="23515" priority="4605">
      <formula>$C13="Advance"</formula>
    </cfRule>
  </conditionalFormatting>
  <conditionalFormatting sqref="B14 B17 B20 B23 B26">
    <cfRule type="expression" dxfId="23514" priority="4595">
      <formula>$C14="Delivery charge"</formula>
    </cfRule>
    <cfRule type="expression" dxfId="23513" priority="4596">
      <formula>$C14="Staff Salary"</formula>
    </cfRule>
    <cfRule type="expression" dxfId="23512" priority="4597">
      <formula>$C14="Rent"</formula>
    </cfRule>
    <cfRule type="expression" dxfId="23511" priority="4598">
      <formula>$C14="Petrol"</formula>
    </cfRule>
    <cfRule type="expression" dxfId="23510" priority="4599">
      <formula>$C14="Bills"</formula>
    </cfRule>
    <cfRule type="expression" dxfId="23509" priority="4600">
      <formula>$C14="Sales"</formula>
    </cfRule>
    <cfRule type="expression" dxfId="23508" priority="4601">
      <formula>$C14="Expences"</formula>
    </cfRule>
    <cfRule type="expression" dxfId="23507" priority="4602">
      <formula>$C14="Garlic Purchase"</formula>
    </cfRule>
    <cfRule type="expression" dxfId="23506" priority="4603">
      <formula>$C14="Ginger Purchase"</formula>
    </cfRule>
  </conditionalFormatting>
  <conditionalFormatting sqref="B14 B17 B20 B23 B26">
    <cfRule type="expression" dxfId="23505" priority="4604">
      <formula>$C14="Advance"</formula>
    </cfRule>
  </conditionalFormatting>
  <conditionalFormatting sqref="B13 B15:B16 B18:B19">
    <cfRule type="expression" dxfId="23504" priority="4585">
      <formula>$C13="Delivery charge"</formula>
    </cfRule>
    <cfRule type="expression" dxfId="23503" priority="4586">
      <formula>$C13="Staff Salary"</formula>
    </cfRule>
    <cfRule type="expression" dxfId="23502" priority="4587">
      <formula>$C13="Rent"</formula>
    </cfRule>
    <cfRule type="expression" dxfId="23501" priority="4588">
      <formula>$C13="Petrol"</formula>
    </cfRule>
    <cfRule type="expression" dxfId="23500" priority="4589">
      <formula>$C13="Bills"</formula>
    </cfRule>
    <cfRule type="expression" dxfId="23499" priority="4590">
      <formula>$C13="Sales"</formula>
    </cfRule>
    <cfRule type="expression" dxfId="23498" priority="4591">
      <formula>$C13="Expences"</formula>
    </cfRule>
    <cfRule type="expression" dxfId="23497" priority="4592">
      <formula>$C13="Garlic Purchase"</formula>
    </cfRule>
    <cfRule type="expression" dxfId="23496" priority="4593">
      <formula>$C13="Ginger Purchase"</formula>
    </cfRule>
  </conditionalFormatting>
  <conditionalFormatting sqref="B13 B15:B16 B18:B19">
    <cfRule type="expression" dxfId="23495" priority="4575">
      <formula>$C13="Delivery charge"</formula>
    </cfRule>
    <cfRule type="expression" dxfId="23494" priority="4576">
      <formula>$C13="Staff Salary"</formula>
    </cfRule>
    <cfRule type="expression" dxfId="23493" priority="4577">
      <formula>$C13="Rent"</formula>
    </cfRule>
    <cfRule type="expression" dxfId="23492" priority="4578">
      <formula>$C13="Petrol"</formula>
    </cfRule>
    <cfRule type="expression" dxfId="23491" priority="4579">
      <formula>$C13="Bills"</formula>
    </cfRule>
    <cfRule type="expression" dxfId="23490" priority="4580">
      <formula>$C13="Sales"</formula>
    </cfRule>
    <cfRule type="expression" dxfId="23489" priority="4581">
      <formula>$C13="Expences"</formula>
    </cfRule>
    <cfRule type="expression" dxfId="23488" priority="4582">
      <formula>$C13="Garlic Purchase"</formula>
    </cfRule>
    <cfRule type="expression" dxfId="23487" priority="4583">
      <formula>$C13="Ginger Purchase"</formula>
    </cfRule>
  </conditionalFormatting>
  <conditionalFormatting sqref="B13 B15:B16 B18:B19">
    <cfRule type="expression" dxfId="23486" priority="4584">
      <formula>$C13="Advance"</formula>
    </cfRule>
  </conditionalFormatting>
  <conditionalFormatting sqref="B13 B15:B16 B18:B19">
    <cfRule type="expression" dxfId="23485" priority="4565">
      <formula>$C13="Delivery charge"</formula>
    </cfRule>
    <cfRule type="expression" dxfId="23484" priority="4566">
      <formula>$C13="Staff Salary"</formula>
    </cfRule>
    <cfRule type="expression" dxfId="23483" priority="4567">
      <formula>$C13="Rent"</formula>
    </cfRule>
    <cfRule type="expression" dxfId="23482" priority="4568">
      <formula>$C13="Petrol"</formula>
    </cfRule>
    <cfRule type="expression" dxfId="23481" priority="4569">
      <formula>$C13="Bills"</formula>
    </cfRule>
    <cfRule type="expression" dxfId="23480" priority="4570">
      <formula>$C13="Sales"</formula>
    </cfRule>
    <cfRule type="expression" dxfId="23479" priority="4571">
      <formula>$C13="Expences"</formula>
    </cfRule>
    <cfRule type="expression" dxfId="23478" priority="4572">
      <formula>$C13="Garlic Purchase"</formula>
    </cfRule>
    <cfRule type="expression" dxfId="23477" priority="4573">
      <formula>$C13="Ginger Purchase"</formula>
    </cfRule>
  </conditionalFormatting>
  <conditionalFormatting sqref="B13 B15:B16 B18:B19">
    <cfRule type="expression" dxfId="23476" priority="4574">
      <formula>$C13="Advance"</formula>
    </cfRule>
  </conditionalFormatting>
  <conditionalFormatting sqref="B13 B15:B16 B18:B19">
    <cfRule type="expression" dxfId="23475" priority="4555">
      <formula>$C13="Delivery charge"</formula>
    </cfRule>
    <cfRule type="expression" dxfId="23474" priority="4556">
      <formula>$C13="Staff Salary"</formula>
    </cfRule>
    <cfRule type="expression" dxfId="23473" priority="4557">
      <formula>$C13="Rent"</formula>
    </cfRule>
    <cfRule type="expression" dxfId="23472" priority="4558">
      <formula>$C13="Petrol"</formula>
    </cfRule>
    <cfRule type="expression" dxfId="23471" priority="4559">
      <formula>$C13="Bills"</formula>
    </cfRule>
    <cfRule type="expression" dxfId="23470" priority="4560">
      <formula>$C13="Sales"</formula>
    </cfRule>
    <cfRule type="expression" dxfId="23469" priority="4561">
      <formula>$C13="Expences"</formula>
    </cfRule>
    <cfRule type="expression" dxfId="23468" priority="4562">
      <formula>$C13="Garlic Purchase"</formula>
    </cfRule>
    <cfRule type="expression" dxfId="23467" priority="4563">
      <formula>$C13="Ginger Purchase"</formula>
    </cfRule>
  </conditionalFormatting>
  <conditionalFormatting sqref="B13 B15:B16 B18:B19">
    <cfRule type="expression" dxfId="23466" priority="4564">
      <formula>$C13="Advance"</formula>
    </cfRule>
  </conditionalFormatting>
  <conditionalFormatting sqref="B13 B16 B19">
    <cfRule type="expression" dxfId="23465" priority="4545">
      <formula>$C13="Delivery charge"</formula>
    </cfRule>
    <cfRule type="expression" dxfId="23464" priority="4546">
      <formula>$C13="Staff Salary"</formula>
    </cfRule>
    <cfRule type="expression" dxfId="23463" priority="4547">
      <formula>$C13="Rent"</formula>
    </cfRule>
    <cfRule type="expression" dxfId="23462" priority="4548">
      <formula>$C13="Petrol"</formula>
    </cfRule>
    <cfRule type="expression" dxfId="23461" priority="4549">
      <formula>$C13="Bills"</formula>
    </cfRule>
    <cfRule type="expression" dxfId="23460" priority="4550">
      <formula>$C13="Sales"</formula>
    </cfRule>
    <cfRule type="expression" dxfId="23459" priority="4551">
      <formula>$C13="Expences"</formula>
    </cfRule>
    <cfRule type="expression" dxfId="23458" priority="4552">
      <formula>$C13="Garlic Purchase"</formula>
    </cfRule>
    <cfRule type="expression" dxfId="23457" priority="4553">
      <formula>$C13="Ginger Purchase"</formula>
    </cfRule>
  </conditionalFormatting>
  <conditionalFormatting sqref="B13 B16 B19">
    <cfRule type="expression" dxfId="23456" priority="4554">
      <formula>$C13="Advance"</formula>
    </cfRule>
  </conditionalFormatting>
  <conditionalFormatting sqref="B14 B17 B20 B23 B26">
    <cfRule type="expression" dxfId="23455" priority="4535">
      <formula>$C14="Delivery charge"</formula>
    </cfRule>
    <cfRule type="expression" dxfId="23454" priority="4536">
      <formula>$C14="Staff Salary"</formula>
    </cfRule>
    <cfRule type="expression" dxfId="23453" priority="4537">
      <formula>$C14="Rent"</formula>
    </cfRule>
    <cfRule type="expression" dxfId="23452" priority="4538">
      <formula>$C14="Petrol"</formula>
    </cfRule>
    <cfRule type="expression" dxfId="23451" priority="4539">
      <formula>$C14="Bills"</formula>
    </cfRule>
    <cfRule type="expression" dxfId="23450" priority="4540">
      <formula>$C14="Sales"</formula>
    </cfRule>
    <cfRule type="expression" dxfId="23449" priority="4541">
      <formula>$C14="Expences"</formula>
    </cfRule>
    <cfRule type="expression" dxfId="23448" priority="4542">
      <formula>$C14="Garlic Purchase"</formula>
    </cfRule>
    <cfRule type="expression" dxfId="23447" priority="4543">
      <formula>$C14="Ginger Purchase"</formula>
    </cfRule>
  </conditionalFormatting>
  <conditionalFormatting sqref="B14 B17 B20 B23 B26">
    <cfRule type="expression" dxfId="23446" priority="4544">
      <formula>$C14="Advance"</formula>
    </cfRule>
  </conditionalFormatting>
  <conditionalFormatting sqref="B14 B17 B20 B23 B26">
    <cfRule type="expression" dxfId="23445" priority="4525">
      <formula>$C14="Delivery charge"</formula>
    </cfRule>
    <cfRule type="expression" dxfId="23444" priority="4526">
      <formula>$C14="Staff Salary"</formula>
    </cfRule>
    <cfRule type="expression" dxfId="23443" priority="4527">
      <formula>$C14="Rent"</formula>
    </cfRule>
    <cfRule type="expression" dxfId="23442" priority="4528">
      <formula>$C14="Petrol"</formula>
    </cfRule>
    <cfRule type="expression" dxfId="23441" priority="4529">
      <formula>$C14="Bills"</formula>
    </cfRule>
    <cfRule type="expression" dxfId="23440" priority="4530">
      <formula>$C14="Sales"</formula>
    </cfRule>
    <cfRule type="expression" dxfId="23439" priority="4531">
      <formula>$C14="Expences"</formula>
    </cfRule>
    <cfRule type="expression" dxfId="23438" priority="4532">
      <formula>$C14="Garlic Purchase"</formula>
    </cfRule>
    <cfRule type="expression" dxfId="23437" priority="4533">
      <formula>$C14="Ginger Purchase"</formula>
    </cfRule>
  </conditionalFormatting>
  <conditionalFormatting sqref="B14 B17 B20 B23 B26">
    <cfRule type="expression" dxfId="23436" priority="4534">
      <formula>$C14="Advance"</formula>
    </cfRule>
  </conditionalFormatting>
  <conditionalFormatting sqref="B14 B17 B20 B23 B26">
    <cfRule type="expression" dxfId="23435" priority="4515">
      <formula>$C14="Delivery charge"</formula>
    </cfRule>
    <cfRule type="expression" dxfId="23434" priority="4516">
      <formula>$C14="Staff Salary"</formula>
    </cfRule>
    <cfRule type="expression" dxfId="23433" priority="4517">
      <formula>$C14="Rent"</formula>
    </cfRule>
    <cfRule type="expression" dxfId="23432" priority="4518">
      <formula>$C14="Petrol"</formula>
    </cfRule>
    <cfRule type="expression" dxfId="23431" priority="4519">
      <formula>$C14="Bills"</formula>
    </cfRule>
    <cfRule type="expression" dxfId="23430" priority="4520">
      <formula>$C14="Sales"</formula>
    </cfRule>
    <cfRule type="expression" dxfId="23429" priority="4521">
      <formula>$C14="Expences"</formula>
    </cfRule>
    <cfRule type="expression" dxfId="23428" priority="4522">
      <formula>$C14="Garlic Purchase"</formula>
    </cfRule>
    <cfRule type="expression" dxfId="23427" priority="4523">
      <formula>$C14="Ginger Purchase"</formula>
    </cfRule>
  </conditionalFormatting>
  <conditionalFormatting sqref="B14 B17 B20 B23 B26">
    <cfRule type="expression" dxfId="23426" priority="4524">
      <formula>$C14="Advance"</formula>
    </cfRule>
  </conditionalFormatting>
  <conditionalFormatting sqref="B14 B17 B20 B23 B26">
    <cfRule type="expression" dxfId="23425" priority="4505">
      <formula>$C14="Delivery charge"</formula>
    </cfRule>
    <cfRule type="expression" dxfId="23424" priority="4506">
      <formula>$C14="Staff Salary"</formula>
    </cfRule>
    <cfRule type="expression" dxfId="23423" priority="4507">
      <formula>$C14="Rent"</formula>
    </cfRule>
    <cfRule type="expression" dxfId="23422" priority="4508">
      <formula>$C14="Petrol"</formula>
    </cfRule>
    <cfRule type="expression" dxfId="23421" priority="4509">
      <formula>$C14="Bills"</formula>
    </cfRule>
    <cfRule type="expression" dxfId="23420" priority="4510">
      <formula>$C14="Sales"</formula>
    </cfRule>
    <cfRule type="expression" dxfId="23419" priority="4511">
      <formula>$C14="Expences"</formula>
    </cfRule>
    <cfRule type="expression" dxfId="23418" priority="4512">
      <formula>$C14="Garlic Purchase"</formula>
    </cfRule>
    <cfRule type="expression" dxfId="23417" priority="4513">
      <formula>$C14="Ginger Purchase"</formula>
    </cfRule>
  </conditionalFormatting>
  <conditionalFormatting sqref="B14 B17 B20 B23 B26">
    <cfRule type="expression" dxfId="23416" priority="4514">
      <formula>$C14="Advance"</formula>
    </cfRule>
  </conditionalFormatting>
  <conditionalFormatting sqref="B13 B15:B16 B18:B19">
    <cfRule type="expression" dxfId="23415" priority="4495">
      <formula>$C13="Delivery charge"</formula>
    </cfRule>
    <cfRule type="expression" dxfId="23414" priority="4496">
      <formula>$C13="Staff Salary"</formula>
    </cfRule>
    <cfRule type="expression" dxfId="23413" priority="4497">
      <formula>$C13="Rent"</formula>
    </cfRule>
    <cfRule type="expression" dxfId="23412" priority="4498">
      <formula>$C13="Petrol"</formula>
    </cfRule>
    <cfRule type="expression" dxfId="23411" priority="4499">
      <formula>$C13="Bills"</formula>
    </cfRule>
    <cfRule type="expression" dxfId="23410" priority="4500">
      <formula>$C13="Sales"</formula>
    </cfRule>
    <cfRule type="expression" dxfId="23409" priority="4501">
      <formula>$C13="Expences"</formula>
    </cfRule>
    <cfRule type="expression" dxfId="23408" priority="4502">
      <formula>$C13="Garlic Purchase"</formula>
    </cfRule>
    <cfRule type="expression" dxfId="23407" priority="4503">
      <formula>$C13="Ginger Purchase"</formula>
    </cfRule>
  </conditionalFormatting>
  <conditionalFormatting sqref="B13 B15:B16 B18:B19">
    <cfRule type="expression" dxfId="23406" priority="4504">
      <formula>$C13="Advance"</formula>
    </cfRule>
  </conditionalFormatting>
  <conditionalFormatting sqref="B14 B17 B20 B23 B26">
    <cfRule type="expression" dxfId="23405" priority="4485">
      <formula>$C14="Delivery charge"</formula>
    </cfRule>
    <cfRule type="expression" dxfId="23404" priority="4486">
      <formula>$C14="Staff Salary"</formula>
    </cfRule>
    <cfRule type="expression" dxfId="23403" priority="4487">
      <formula>$C14="Rent"</formula>
    </cfRule>
    <cfRule type="expression" dxfId="23402" priority="4488">
      <formula>$C14="Petrol"</formula>
    </cfRule>
    <cfRule type="expression" dxfId="23401" priority="4489">
      <formula>$C14="Bills"</formula>
    </cfRule>
    <cfRule type="expression" dxfId="23400" priority="4490">
      <formula>$C14="Sales"</formula>
    </cfRule>
    <cfRule type="expression" dxfId="23399" priority="4491">
      <formula>$C14="Expences"</formula>
    </cfRule>
    <cfRule type="expression" dxfId="23398" priority="4492">
      <formula>$C14="Garlic Purchase"</formula>
    </cfRule>
    <cfRule type="expression" dxfId="23397" priority="4493">
      <formula>$C14="Ginger Purchase"</formula>
    </cfRule>
  </conditionalFormatting>
  <conditionalFormatting sqref="B14 B17 B20 B23 B26">
    <cfRule type="expression" dxfId="23396" priority="4494">
      <formula>$C14="Advance"</formula>
    </cfRule>
  </conditionalFormatting>
  <conditionalFormatting sqref="B14 B17 B20 B23 B26">
    <cfRule type="expression" dxfId="23395" priority="4475">
      <formula>$C14="Delivery charge"</formula>
    </cfRule>
    <cfRule type="expression" dxfId="23394" priority="4476">
      <formula>$C14="Staff Salary"</formula>
    </cfRule>
    <cfRule type="expression" dxfId="23393" priority="4477">
      <formula>$C14="Rent"</formula>
    </cfRule>
    <cfRule type="expression" dxfId="23392" priority="4478">
      <formula>$C14="Petrol"</formula>
    </cfRule>
    <cfRule type="expression" dxfId="23391" priority="4479">
      <formula>$C14="Bills"</formula>
    </cfRule>
    <cfRule type="expression" dxfId="23390" priority="4480">
      <formula>$C14="Sales"</formula>
    </cfRule>
    <cfRule type="expression" dxfId="23389" priority="4481">
      <formula>$C14="Expences"</formula>
    </cfRule>
    <cfRule type="expression" dxfId="23388" priority="4482">
      <formula>$C14="Garlic Purchase"</formula>
    </cfRule>
    <cfRule type="expression" dxfId="23387" priority="4483">
      <formula>$C14="Ginger Purchase"</formula>
    </cfRule>
  </conditionalFormatting>
  <conditionalFormatting sqref="B14 B17 B20 B23 B26">
    <cfRule type="expression" dxfId="23386" priority="4484">
      <formula>$C14="Advance"</formula>
    </cfRule>
  </conditionalFormatting>
  <conditionalFormatting sqref="B14 B17 B20 B23 B26">
    <cfRule type="expression" dxfId="23385" priority="4465">
      <formula>$C14="Delivery charge"</formula>
    </cfRule>
    <cfRule type="expression" dxfId="23384" priority="4466">
      <formula>$C14="Staff Salary"</formula>
    </cfRule>
    <cfRule type="expression" dxfId="23383" priority="4467">
      <formula>$C14="Rent"</formula>
    </cfRule>
    <cfRule type="expression" dxfId="23382" priority="4468">
      <formula>$C14="Petrol"</formula>
    </cfRule>
    <cfRule type="expression" dxfId="23381" priority="4469">
      <formula>$C14="Bills"</formula>
    </cfRule>
    <cfRule type="expression" dxfId="23380" priority="4470">
      <formula>$C14="Sales"</formula>
    </cfRule>
    <cfRule type="expression" dxfId="23379" priority="4471">
      <formula>$C14="Expences"</formula>
    </cfRule>
    <cfRule type="expression" dxfId="23378" priority="4472">
      <formula>$C14="Garlic Purchase"</formula>
    </cfRule>
    <cfRule type="expression" dxfId="23377" priority="4473">
      <formula>$C14="Ginger Purchase"</formula>
    </cfRule>
  </conditionalFormatting>
  <conditionalFormatting sqref="B14 B17 B20 B23 B26">
    <cfRule type="expression" dxfId="23376" priority="4474">
      <formula>$C14="Advance"</formula>
    </cfRule>
  </conditionalFormatting>
  <conditionalFormatting sqref="B14 B17 B20 B23 B26">
    <cfRule type="expression" dxfId="23375" priority="4455">
      <formula>$C14="Delivery charge"</formula>
    </cfRule>
    <cfRule type="expression" dxfId="23374" priority="4456">
      <formula>$C14="Staff Salary"</formula>
    </cfRule>
    <cfRule type="expression" dxfId="23373" priority="4457">
      <formula>$C14="Rent"</formula>
    </cfRule>
    <cfRule type="expression" dxfId="23372" priority="4458">
      <formula>$C14="Petrol"</formula>
    </cfRule>
    <cfRule type="expression" dxfId="23371" priority="4459">
      <formula>$C14="Bills"</formula>
    </cfRule>
    <cfRule type="expression" dxfId="23370" priority="4460">
      <formula>$C14="Sales"</formula>
    </cfRule>
    <cfRule type="expression" dxfId="23369" priority="4461">
      <formula>$C14="Expences"</formula>
    </cfRule>
    <cfRule type="expression" dxfId="23368" priority="4462">
      <formula>$C14="Garlic Purchase"</formula>
    </cfRule>
    <cfRule type="expression" dxfId="23367" priority="4463">
      <formula>$C14="Ginger Purchase"</formula>
    </cfRule>
  </conditionalFormatting>
  <conditionalFormatting sqref="B14 B17 B20 B23 B26">
    <cfRule type="expression" dxfId="23366" priority="4464">
      <formula>$C14="Advance"</formula>
    </cfRule>
  </conditionalFormatting>
  <conditionalFormatting sqref="B14 B17 B20 B23 B26">
    <cfRule type="expression" dxfId="23365" priority="4445">
      <formula>$C14="Delivery charge"</formula>
    </cfRule>
    <cfRule type="expression" dxfId="23364" priority="4446">
      <formula>$C14="Staff Salary"</formula>
    </cfRule>
    <cfRule type="expression" dxfId="23363" priority="4447">
      <formula>$C14="Rent"</formula>
    </cfRule>
    <cfRule type="expression" dxfId="23362" priority="4448">
      <formula>$C14="Petrol"</formula>
    </cfRule>
    <cfRule type="expression" dxfId="23361" priority="4449">
      <formula>$C14="Bills"</formula>
    </cfRule>
    <cfRule type="expression" dxfId="23360" priority="4450">
      <formula>$C14="Sales"</formula>
    </cfRule>
    <cfRule type="expression" dxfId="23359" priority="4451">
      <formula>$C14="Expences"</formula>
    </cfRule>
    <cfRule type="expression" dxfId="23358" priority="4452">
      <formula>$C14="Garlic Purchase"</formula>
    </cfRule>
    <cfRule type="expression" dxfId="23357" priority="4453">
      <formula>$C14="Ginger Purchase"</formula>
    </cfRule>
  </conditionalFormatting>
  <conditionalFormatting sqref="B14 B17 B20 B23 B26">
    <cfRule type="expression" dxfId="23356" priority="4454">
      <formula>$C14="Advance"</formula>
    </cfRule>
  </conditionalFormatting>
  <conditionalFormatting sqref="B13 B15:B16 B18:B19">
    <cfRule type="expression" dxfId="23355" priority="4435">
      <formula>$C13="Delivery charge"</formula>
    </cfRule>
    <cfRule type="expression" dxfId="23354" priority="4436">
      <formula>$C13="Staff Salary"</formula>
    </cfRule>
    <cfRule type="expression" dxfId="23353" priority="4437">
      <formula>$C13="Rent"</formula>
    </cfRule>
    <cfRule type="expression" dxfId="23352" priority="4438">
      <formula>$C13="Petrol"</formula>
    </cfRule>
    <cfRule type="expression" dxfId="23351" priority="4439">
      <formula>$C13="Bills"</formula>
    </cfRule>
    <cfRule type="expression" dxfId="23350" priority="4440">
      <formula>$C13="Sales"</formula>
    </cfRule>
    <cfRule type="expression" dxfId="23349" priority="4441">
      <formula>$C13="Expences"</formula>
    </cfRule>
    <cfRule type="expression" dxfId="23348" priority="4442">
      <formula>$C13="Garlic Purchase"</formula>
    </cfRule>
    <cfRule type="expression" dxfId="23347" priority="4443">
      <formula>$C13="Ginger Purchase"</formula>
    </cfRule>
  </conditionalFormatting>
  <conditionalFormatting sqref="B13 B15:B16 B18:B19">
    <cfRule type="expression" dxfId="23346" priority="4444">
      <formula>$C13="Advance"</formula>
    </cfRule>
  </conditionalFormatting>
  <conditionalFormatting sqref="B13 B15:B16 B18:B19">
    <cfRule type="expression" dxfId="23345" priority="4425">
      <formula>$C13="Delivery charge"</formula>
    </cfRule>
    <cfRule type="expression" dxfId="23344" priority="4426">
      <formula>$C13="Staff Salary"</formula>
    </cfRule>
    <cfRule type="expression" dxfId="23343" priority="4427">
      <formula>$C13="Rent"</formula>
    </cfRule>
    <cfRule type="expression" dxfId="23342" priority="4428">
      <formula>$C13="Petrol"</formula>
    </cfRule>
    <cfRule type="expression" dxfId="23341" priority="4429">
      <formula>$C13="Bills"</formula>
    </cfRule>
    <cfRule type="expression" dxfId="23340" priority="4430">
      <formula>$C13="Sales"</formula>
    </cfRule>
    <cfRule type="expression" dxfId="23339" priority="4431">
      <formula>$C13="Expences"</formula>
    </cfRule>
    <cfRule type="expression" dxfId="23338" priority="4432">
      <formula>$C13="Garlic Purchase"</formula>
    </cfRule>
    <cfRule type="expression" dxfId="23337" priority="4433">
      <formula>$C13="Ginger Purchase"</formula>
    </cfRule>
  </conditionalFormatting>
  <conditionalFormatting sqref="B13 B15:B16 B18:B19">
    <cfRule type="expression" dxfId="23336" priority="4434">
      <formula>$C13="Advance"</formula>
    </cfRule>
  </conditionalFormatting>
  <conditionalFormatting sqref="B13 B15:B16 B18:B19">
    <cfRule type="expression" dxfId="23335" priority="4415">
      <formula>$C13="Delivery charge"</formula>
    </cfRule>
    <cfRule type="expression" dxfId="23334" priority="4416">
      <formula>$C13="Staff Salary"</formula>
    </cfRule>
    <cfRule type="expression" dxfId="23333" priority="4417">
      <formula>$C13="Rent"</formula>
    </cfRule>
    <cfRule type="expression" dxfId="23332" priority="4418">
      <formula>$C13="Petrol"</formula>
    </cfRule>
    <cfRule type="expression" dxfId="23331" priority="4419">
      <formula>$C13="Bills"</formula>
    </cfRule>
    <cfRule type="expression" dxfId="23330" priority="4420">
      <formula>$C13="Sales"</formula>
    </cfRule>
    <cfRule type="expression" dxfId="23329" priority="4421">
      <formula>$C13="Expences"</formula>
    </cfRule>
    <cfRule type="expression" dxfId="23328" priority="4422">
      <formula>$C13="Garlic Purchase"</formula>
    </cfRule>
    <cfRule type="expression" dxfId="23327" priority="4423">
      <formula>$C13="Ginger Purchase"</formula>
    </cfRule>
  </conditionalFormatting>
  <conditionalFormatting sqref="B13 B15:B16 B18:B19">
    <cfRule type="expression" dxfId="23326" priority="4424">
      <formula>$C13="Advance"</formula>
    </cfRule>
  </conditionalFormatting>
  <conditionalFormatting sqref="B13 B15:B16 B18:B19">
    <cfRule type="expression" dxfId="23325" priority="4405">
      <formula>$C13="Delivery charge"</formula>
    </cfRule>
    <cfRule type="expression" dxfId="23324" priority="4406">
      <formula>$C13="Staff Salary"</formula>
    </cfRule>
    <cfRule type="expression" dxfId="23323" priority="4407">
      <formula>$C13="Rent"</formula>
    </cfRule>
    <cfRule type="expression" dxfId="23322" priority="4408">
      <formula>$C13="Petrol"</formula>
    </cfRule>
    <cfRule type="expression" dxfId="23321" priority="4409">
      <formula>$C13="Bills"</formula>
    </cfRule>
    <cfRule type="expression" dxfId="23320" priority="4410">
      <formula>$C13="Sales"</formula>
    </cfRule>
    <cfRule type="expression" dxfId="23319" priority="4411">
      <formula>$C13="Expences"</formula>
    </cfRule>
    <cfRule type="expression" dxfId="23318" priority="4412">
      <formula>$C13="Garlic Purchase"</formula>
    </cfRule>
    <cfRule type="expression" dxfId="23317" priority="4413">
      <formula>$C13="Ginger Purchase"</formula>
    </cfRule>
  </conditionalFormatting>
  <conditionalFormatting sqref="B13 B15:B16 B18:B19">
    <cfRule type="expression" dxfId="23316" priority="4414">
      <formula>$C13="Advance"</formula>
    </cfRule>
  </conditionalFormatting>
  <conditionalFormatting sqref="B56">
    <cfRule type="expression" dxfId="23315" priority="248">
      <formula>$C56="Advance"</formula>
    </cfRule>
  </conditionalFormatting>
  <conditionalFormatting sqref="B56">
    <cfRule type="expression" dxfId="23314" priority="239">
      <formula>$C56="Delivery charge"</formula>
    </cfRule>
    <cfRule type="expression" dxfId="23313" priority="240">
      <formula>$C56="Staff Salary"</formula>
    </cfRule>
    <cfRule type="expression" dxfId="23312" priority="241">
      <formula>$C56="Rent"</formula>
    </cfRule>
    <cfRule type="expression" dxfId="23311" priority="242">
      <formula>$C56="Petrol"</formula>
    </cfRule>
    <cfRule type="expression" dxfId="23310" priority="243">
      <formula>$C56="Bills"</formula>
    </cfRule>
    <cfRule type="expression" dxfId="23309" priority="244">
      <formula>$C56="Sales"</formula>
    </cfRule>
    <cfRule type="expression" dxfId="23308" priority="245">
      <formula>$C56="Expences"</formula>
    </cfRule>
    <cfRule type="expression" dxfId="23307" priority="246">
      <formula>$C56="Garlic Purchase"</formula>
    </cfRule>
    <cfRule type="expression" dxfId="23306" priority="247">
      <formula>$C56="Ginger Purchase"</formula>
    </cfRule>
  </conditionalFormatting>
  <conditionalFormatting sqref="B57">
    <cfRule type="expression" dxfId="23305" priority="238">
      <formula>$C57="Advance"</formula>
    </cfRule>
  </conditionalFormatting>
  <conditionalFormatting sqref="B57">
    <cfRule type="expression" dxfId="23304" priority="229">
      <formula>$C57="Delivery charge"</formula>
    </cfRule>
    <cfRule type="expression" dxfId="23303" priority="230">
      <formula>$C57="Staff Salary"</formula>
    </cfRule>
    <cfRule type="expression" dxfId="23302" priority="231">
      <formula>$C57="Rent"</formula>
    </cfRule>
    <cfRule type="expression" dxfId="23301" priority="232">
      <formula>$C57="Petrol"</formula>
    </cfRule>
    <cfRule type="expression" dxfId="23300" priority="233">
      <formula>$C57="Bills"</formula>
    </cfRule>
    <cfRule type="expression" dxfId="23299" priority="234">
      <formula>$C57="Sales"</formula>
    </cfRule>
    <cfRule type="expression" dxfId="23298" priority="235">
      <formula>$C57="Expences"</formula>
    </cfRule>
    <cfRule type="expression" dxfId="23297" priority="236">
      <formula>$C57="Garlic Purchase"</formula>
    </cfRule>
    <cfRule type="expression" dxfId="23296" priority="237">
      <formula>$C57="Ginger Purchase"</formula>
    </cfRule>
  </conditionalFormatting>
  <conditionalFormatting sqref="B56">
    <cfRule type="expression" dxfId="23295" priority="219">
      <formula>$C56="Delivery charge"</formula>
    </cfRule>
    <cfRule type="expression" dxfId="23294" priority="220">
      <formula>$C56="Staff Salary"</formula>
    </cfRule>
    <cfRule type="expression" dxfId="23293" priority="221">
      <formula>$C56="Rent"</formula>
    </cfRule>
    <cfRule type="expression" dxfId="23292" priority="222">
      <formula>$C56="Petrol"</formula>
    </cfRule>
    <cfRule type="expression" dxfId="23291" priority="223">
      <formula>$C56="Bills"</formula>
    </cfRule>
    <cfRule type="expression" dxfId="23290" priority="224">
      <formula>$C56="Sales"</formula>
    </cfRule>
    <cfRule type="expression" dxfId="23289" priority="225">
      <formula>$C56="Expences"</formula>
    </cfRule>
    <cfRule type="expression" dxfId="23288" priority="226">
      <formula>$C56="Garlic Purchase"</formula>
    </cfRule>
    <cfRule type="expression" dxfId="23287" priority="227">
      <formula>$C56="Ginger Purchase"</formula>
    </cfRule>
  </conditionalFormatting>
  <conditionalFormatting sqref="B56">
    <cfRule type="expression" dxfId="23286" priority="228">
      <formula>$C56="Advance"</formula>
    </cfRule>
  </conditionalFormatting>
  <conditionalFormatting sqref="B56">
    <cfRule type="expression" dxfId="23285" priority="209">
      <formula>$C56="Delivery charge"</formula>
    </cfRule>
    <cfRule type="expression" dxfId="23284" priority="210">
      <formula>$C56="Staff Salary"</formula>
    </cfRule>
    <cfRule type="expression" dxfId="23283" priority="211">
      <formula>$C56="Rent"</formula>
    </cfRule>
    <cfRule type="expression" dxfId="23282" priority="212">
      <formula>$C56="Petrol"</formula>
    </cfRule>
    <cfRule type="expression" dxfId="23281" priority="213">
      <formula>$C56="Bills"</formula>
    </cfRule>
    <cfRule type="expression" dxfId="23280" priority="214">
      <formula>$C56="Sales"</formula>
    </cfRule>
    <cfRule type="expression" dxfId="23279" priority="215">
      <formula>$C56="Expences"</formula>
    </cfRule>
    <cfRule type="expression" dxfId="23278" priority="216">
      <formula>$C56="Garlic Purchase"</formula>
    </cfRule>
    <cfRule type="expression" dxfId="23277" priority="217">
      <formula>$C56="Ginger Purchase"</formula>
    </cfRule>
  </conditionalFormatting>
  <conditionalFormatting sqref="B56">
    <cfRule type="expression" dxfId="23276" priority="218">
      <formula>$C56="Advance"</formula>
    </cfRule>
  </conditionalFormatting>
  <conditionalFormatting sqref="B56">
    <cfRule type="expression" dxfId="23275" priority="199">
      <formula>$C56="Delivery charge"</formula>
    </cfRule>
    <cfRule type="expression" dxfId="23274" priority="200">
      <formula>$C56="Staff Salary"</formula>
    </cfRule>
    <cfRule type="expression" dxfId="23273" priority="201">
      <formula>$C56="Rent"</formula>
    </cfRule>
    <cfRule type="expression" dxfId="23272" priority="202">
      <formula>$C56="Petrol"</formula>
    </cfRule>
    <cfRule type="expression" dxfId="23271" priority="203">
      <formula>$C56="Bills"</formula>
    </cfRule>
    <cfRule type="expression" dxfId="23270" priority="204">
      <formula>$C56="Sales"</formula>
    </cfRule>
    <cfRule type="expression" dxfId="23269" priority="205">
      <formula>$C56="Expences"</formula>
    </cfRule>
    <cfRule type="expression" dxfId="23268" priority="206">
      <formula>$C56="Garlic Purchase"</formula>
    </cfRule>
    <cfRule type="expression" dxfId="23267" priority="207">
      <formula>$C56="Ginger Purchase"</formula>
    </cfRule>
  </conditionalFormatting>
  <conditionalFormatting sqref="B56">
    <cfRule type="expression" dxfId="23266" priority="208">
      <formula>$C56="Advance"</formula>
    </cfRule>
  </conditionalFormatting>
  <conditionalFormatting sqref="B56">
    <cfRule type="expression" dxfId="23265" priority="189">
      <formula>$C56="Delivery charge"</formula>
    </cfRule>
    <cfRule type="expression" dxfId="23264" priority="190">
      <formula>$C56="Staff Salary"</formula>
    </cfRule>
    <cfRule type="expression" dxfId="23263" priority="191">
      <formula>$C56="Rent"</formula>
    </cfRule>
    <cfRule type="expression" dxfId="23262" priority="192">
      <formula>$C56="Petrol"</formula>
    </cfRule>
    <cfRule type="expression" dxfId="23261" priority="193">
      <formula>$C56="Bills"</formula>
    </cfRule>
    <cfRule type="expression" dxfId="23260" priority="194">
      <formula>$C56="Sales"</formula>
    </cfRule>
    <cfRule type="expression" dxfId="23259" priority="195">
      <formula>$C56="Expences"</formula>
    </cfRule>
    <cfRule type="expression" dxfId="23258" priority="196">
      <formula>$C56="Garlic Purchase"</formula>
    </cfRule>
    <cfRule type="expression" dxfId="23257" priority="197">
      <formula>$C56="Ginger Purchase"</formula>
    </cfRule>
  </conditionalFormatting>
  <conditionalFormatting sqref="B56">
    <cfRule type="expression" dxfId="23256" priority="198">
      <formula>$C56="Advance"</formula>
    </cfRule>
  </conditionalFormatting>
  <conditionalFormatting sqref="B56">
    <cfRule type="expression" dxfId="23255" priority="179">
      <formula>$C56="Delivery charge"</formula>
    </cfRule>
    <cfRule type="expression" dxfId="23254" priority="180">
      <formula>$C56="Staff Salary"</formula>
    </cfRule>
    <cfRule type="expression" dxfId="23253" priority="181">
      <formula>$C56="Rent"</formula>
    </cfRule>
    <cfRule type="expression" dxfId="23252" priority="182">
      <formula>$C56="Petrol"</formula>
    </cfRule>
    <cfRule type="expression" dxfId="23251" priority="183">
      <formula>$C56="Bills"</formula>
    </cfRule>
    <cfRule type="expression" dxfId="23250" priority="184">
      <formula>$C56="Sales"</formula>
    </cfRule>
    <cfRule type="expression" dxfId="23249" priority="185">
      <formula>$C56="Expences"</formula>
    </cfRule>
    <cfRule type="expression" dxfId="23248" priority="186">
      <formula>$C56="Garlic Purchase"</formula>
    </cfRule>
    <cfRule type="expression" dxfId="23247" priority="187">
      <formula>$C56="Ginger Purchase"</formula>
    </cfRule>
  </conditionalFormatting>
  <conditionalFormatting sqref="B56">
    <cfRule type="expression" dxfId="23246" priority="188">
      <formula>$C56="Advance"</formula>
    </cfRule>
  </conditionalFormatting>
  <conditionalFormatting sqref="B57">
    <cfRule type="expression" dxfId="23245" priority="169">
      <formula>$C57="Delivery charge"</formula>
    </cfRule>
    <cfRule type="expression" dxfId="23244" priority="170">
      <formula>$C57="Staff Salary"</formula>
    </cfRule>
    <cfRule type="expression" dxfId="23243" priority="171">
      <formula>$C57="Rent"</formula>
    </cfRule>
    <cfRule type="expression" dxfId="23242" priority="172">
      <formula>$C57="Petrol"</formula>
    </cfRule>
    <cfRule type="expression" dxfId="23241" priority="173">
      <formula>$C57="Bills"</formula>
    </cfRule>
    <cfRule type="expression" dxfId="23240" priority="174">
      <formula>$C57="Sales"</formula>
    </cfRule>
    <cfRule type="expression" dxfId="23239" priority="175">
      <formula>$C57="Expences"</formula>
    </cfRule>
    <cfRule type="expression" dxfId="23238" priority="176">
      <formula>$C57="Garlic Purchase"</formula>
    </cfRule>
    <cfRule type="expression" dxfId="23237" priority="177">
      <formula>$C57="Ginger Purchase"</formula>
    </cfRule>
  </conditionalFormatting>
  <conditionalFormatting sqref="B57">
    <cfRule type="expression" dxfId="23236" priority="178">
      <formula>$C57="Advance"</formula>
    </cfRule>
  </conditionalFormatting>
  <conditionalFormatting sqref="B57">
    <cfRule type="expression" dxfId="23235" priority="159">
      <formula>$C57="Delivery charge"</formula>
    </cfRule>
    <cfRule type="expression" dxfId="23234" priority="160">
      <formula>$C57="Staff Salary"</formula>
    </cfRule>
    <cfRule type="expression" dxfId="23233" priority="161">
      <formula>$C57="Rent"</formula>
    </cfRule>
    <cfRule type="expression" dxfId="23232" priority="162">
      <formula>$C57="Petrol"</formula>
    </cfRule>
    <cfRule type="expression" dxfId="23231" priority="163">
      <formula>$C57="Bills"</formula>
    </cfRule>
    <cfRule type="expression" dxfId="23230" priority="164">
      <formula>$C57="Sales"</formula>
    </cfRule>
    <cfRule type="expression" dxfId="23229" priority="165">
      <formula>$C57="Expences"</formula>
    </cfRule>
    <cfRule type="expression" dxfId="23228" priority="166">
      <formula>$C57="Garlic Purchase"</formula>
    </cfRule>
    <cfRule type="expression" dxfId="23227" priority="167">
      <formula>$C57="Ginger Purchase"</formula>
    </cfRule>
  </conditionalFormatting>
  <conditionalFormatting sqref="B57">
    <cfRule type="expression" dxfId="23226" priority="168">
      <formula>$C57="Advance"</formula>
    </cfRule>
  </conditionalFormatting>
  <conditionalFormatting sqref="B57">
    <cfRule type="expression" dxfId="23225" priority="149">
      <formula>$C57="Delivery charge"</formula>
    </cfRule>
    <cfRule type="expression" dxfId="23224" priority="150">
      <formula>$C57="Staff Salary"</formula>
    </cfRule>
    <cfRule type="expression" dxfId="23223" priority="151">
      <formula>$C57="Rent"</formula>
    </cfRule>
    <cfRule type="expression" dxfId="23222" priority="152">
      <formula>$C57="Petrol"</formula>
    </cfRule>
    <cfRule type="expression" dxfId="23221" priority="153">
      <formula>$C57="Bills"</formula>
    </cfRule>
    <cfRule type="expression" dxfId="23220" priority="154">
      <formula>$C57="Sales"</formula>
    </cfRule>
    <cfRule type="expression" dxfId="23219" priority="155">
      <formula>$C57="Expences"</formula>
    </cfRule>
    <cfRule type="expression" dxfId="23218" priority="156">
      <formula>$C57="Garlic Purchase"</formula>
    </cfRule>
    <cfRule type="expression" dxfId="23217" priority="157">
      <formula>$C57="Ginger Purchase"</formula>
    </cfRule>
  </conditionalFormatting>
  <conditionalFormatting sqref="B57">
    <cfRule type="expression" dxfId="23216" priority="158">
      <formula>$C57="Advance"</formula>
    </cfRule>
  </conditionalFormatting>
  <conditionalFormatting sqref="B57">
    <cfRule type="expression" dxfId="23215" priority="139">
      <formula>$C57="Delivery charge"</formula>
    </cfRule>
    <cfRule type="expression" dxfId="23214" priority="140">
      <formula>$C57="Staff Salary"</formula>
    </cfRule>
    <cfRule type="expression" dxfId="23213" priority="141">
      <formula>$C57="Rent"</formula>
    </cfRule>
    <cfRule type="expression" dxfId="23212" priority="142">
      <formula>$C57="Petrol"</formula>
    </cfRule>
    <cfRule type="expression" dxfId="23211" priority="143">
      <formula>$C57="Bills"</formula>
    </cfRule>
    <cfRule type="expression" dxfId="23210" priority="144">
      <formula>$C57="Sales"</formula>
    </cfRule>
    <cfRule type="expression" dxfId="23209" priority="145">
      <formula>$C57="Expences"</formula>
    </cfRule>
    <cfRule type="expression" dxfId="23208" priority="146">
      <formula>$C57="Garlic Purchase"</formula>
    </cfRule>
    <cfRule type="expression" dxfId="23207" priority="147">
      <formula>$C57="Ginger Purchase"</formula>
    </cfRule>
  </conditionalFormatting>
  <conditionalFormatting sqref="B57">
    <cfRule type="expression" dxfId="23206" priority="148">
      <formula>$C57="Advance"</formula>
    </cfRule>
  </conditionalFormatting>
  <conditionalFormatting sqref="B57">
    <cfRule type="expression" dxfId="23205" priority="129">
      <formula>$C57="Delivery charge"</formula>
    </cfRule>
    <cfRule type="expression" dxfId="23204" priority="130">
      <formula>$C57="Staff Salary"</formula>
    </cfRule>
    <cfRule type="expression" dxfId="23203" priority="131">
      <formula>$C57="Rent"</formula>
    </cfRule>
    <cfRule type="expression" dxfId="23202" priority="132">
      <formula>$C57="Petrol"</formula>
    </cfRule>
    <cfRule type="expression" dxfId="23201" priority="133">
      <formula>$C57="Bills"</formula>
    </cfRule>
    <cfRule type="expression" dxfId="23200" priority="134">
      <formula>$C57="Sales"</formula>
    </cfRule>
    <cfRule type="expression" dxfId="23199" priority="135">
      <formula>$C57="Expences"</formula>
    </cfRule>
    <cfRule type="expression" dxfId="23198" priority="136">
      <formula>$C57="Garlic Purchase"</formula>
    </cfRule>
    <cfRule type="expression" dxfId="23197" priority="137">
      <formula>$C57="Ginger Purchase"</formula>
    </cfRule>
  </conditionalFormatting>
  <conditionalFormatting sqref="B57">
    <cfRule type="expression" dxfId="23196" priority="138">
      <formula>$C57="Advance"</formula>
    </cfRule>
  </conditionalFormatting>
  <conditionalFormatting sqref="B56">
    <cfRule type="expression" dxfId="23195" priority="119">
      <formula>$C56="Delivery charge"</formula>
    </cfRule>
    <cfRule type="expression" dxfId="23194" priority="120">
      <formula>$C56="Staff Salary"</formula>
    </cfRule>
    <cfRule type="expression" dxfId="23193" priority="121">
      <formula>$C56="Rent"</formula>
    </cfRule>
    <cfRule type="expression" dxfId="23192" priority="122">
      <formula>$C56="Petrol"</formula>
    </cfRule>
    <cfRule type="expression" dxfId="23191" priority="123">
      <formula>$C56="Bills"</formula>
    </cfRule>
    <cfRule type="expression" dxfId="23190" priority="124">
      <formula>$C56="Sales"</formula>
    </cfRule>
    <cfRule type="expression" dxfId="23189" priority="125">
      <formula>$C56="Expences"</formula>
    </cfRule>
    <cfRule type="expression" dxfId="23188" priority="126">
      <formula>$C56="Garlic Purchase"</formula>
    </cfRule>
    <cfRule type="expression" dxfId="23187" priority="127">
      <formula>$C56="Ginger Purchase"</formula>
    </cfRule>
  </conditionalFormatting>
  <conditionalFormatting sqref="B56">
    <cfRule type="expression" dxfId="23186" priority="128">
      <formula>$C56="Advance"</formula>
    </cfRule>
  </conditionalFormatting>
  <conditionalFormatting sqref="B57">
    <cfRule type="expression" dxfId="23185" priority="109">
      <formula>$C57="Delivery charge"</formula>
    </cfRule>
    <cfRule type="expression" dxfId="23184" priority="110">
      <formula>$C57="Staff Salary"</formula>
    </cfRule>
    <cfRule type="expression" dxfId="23183" priority="111">
      <formula>$C57="Rent"</formula>
    </cfRule>
    <cfRule type="expression" dxfId="23182" priority="112">
      <formula>$C57="Petrol"</formula>
    </cfRule>
    <cfRule type="expression" dxfId="23181" priority="113">
      <formula>$C57="Bills"</formula>
    </cfRule>
    <cfRule type="expression" dxfId="23180" priority="114">
      <formula>$C57="Sales"</formula>
    </cfRule>
    <cfRule type="expression" dxfId="23179" priority="115">
      <formula>$C57="Expences"</formula>
    </cfRule>
    <cfRule type="expression" dxfId="23178" priority="116">
      <formula>$C57="Garlic Purchase"</formula>
    </cfRule>
    <cfRule type="expression" dxfId="23177" priority="117">
      <formula>$C57="Ginger Purchase"</formula>
    </cfRule>
  </conditionalFormatting>
  <conditionalFormatting sqref="B57">
    <cfRule type="expression" dxfId="23176" priority="118">
      <formula>$C57="Advance"</formula>
    </cfRule>
  </conditionalFormatting>
  <conditionalFormatting sqref="B57">
    <cfRule type="expression" dxfId="23175" priority="99">
      <formula>$C57="Delivery charge"</formula>
    </cfRule>
    <cfRule type="expression" dxfId="23174" priority="100">
      <formula>$C57="Staff Salary"</formula>
    </cfRule>
    <cfRule type="expression" dxfId="23173" priority="101">
      <formula>$C57="Rent"</formula>
    </cfRule>
    <cfRule type="expression" dxfId="23172" priority="102">
      <formula>$C57="Petrol"</formula>
    </cfRule>
    <cfRule type="expression" dxfId="23171" priority="103">
      <formula>$C57="Bills"</formula>
    </cfRule>
    <cfRule type="expression" dxfId="23170" priority="104">
      <formula>$C57="Sales"</formula>
    </cfRule>
    <cfRule type="expression" dxfId="23169" priority="105">
      <formula>$C57="Expences"</formula>
    </cfRule>
    <cfRule type="expression" dxfId="23168" priority="106">
      <formula>$C57="Garlic Purchase"</formula>
    </cfRule>
    <cfRule type="expression" dxfId="23167" priority="107">
      <formula>$C57="Ginger Purchase"</formula>
    </cfRule>
  </conditionalFormatting>
  <conditionalFormatting sqref="B57">
    <cfRule type="expression" dxfId="23166" priority="108">
      <formula>$C57="Advance"</formula>
    </cfRule>
  </conditionalFormatting>
  <conditionalFormatting sqref="B57">
    <cfRule type="expression" dxfId="23165" priority="89">
      <formula>$C57="Delivery charge"</formula>
    </cfRule>
    <cfRule type="expression" dxfId="23164" priority="90">
      <formula>$C57="Staff Salary"</formula>
    </cfRule>
    <cfRule type="expression" dxfId="23163" priority="91">
      <formula>$C57="Rent"</formula>
    </cfRule>
    <cfRule type="expression" dxfId="23162" priority="92">
      <formula>$C57="Petrol"</formula>
    </cfRule>
    <cfRule type="expression" dxfId="23161" priority="93">
      <formula>$C57="Bills"</formula>
    </cfRule>
    <cfRule type="expression" dxfId="23160" priority="94">
      <formula>$C57="Sales"</formula>
    </cfRule>
    <cfRule type="expression" dxfId="23159" priority="95">
      <formula>$C57="Expences"</formula>
    </cfRule>
    <cfRule type="expression" dxfId="23158" priority="96">
      <formula>$C57="Garlic Purchase"</formula>
    </cfRule>
    <cfRule type="expression" dxfId="23157" priority="97">
      <formula>$C57="Ginger Purchase"</formula>
    </cfRule>
  </conditionalFormatting>
  <conditionalFormatting sqref="B57">
    <cfRule type="expression" dxfId="23156" priority="98">
      <formula>$C57="Advance"</formula>
    </cfRule>
  </conditionalFormatting>
  <conditionalFormatting sqref="B57">
    <cfRule type="expression" dxfId="23155" priority="79">
      <formula>$C57="Delivery charge"</formula>
    </cfRule>
    <cfRule type="expression" dxfId="23154" priority="80">
      <formula>$C57="Staff Salary"</formula>
    </cfRule>
    <cfRule type="expression" dxfId="23153" priority="81">
      <formula>$C57="Rent"</formula>
    </cfRule>
    <cfRule type="expression" dxfId="23152" priority="82">
      <formula>$C57="Petrol"</formula>
    </cfRule>
    <cfRule type="expression" dxfId="23151" priority="83">
      <formula>$C57="Bills"</formula>
    </cfRule>
    <cfRule type="expression" dxfId="23150" priority="84">
      <formula>$C57="Sales"</formula>
    </cfRule>
    <cfRule type="expression" dxfId="23149" priority="85">
      <formula>$C57="Expences"</formula>
    </cfRule>
    <cfRule type="expression" dxfId="23148" priority="86">
      <formula>$C57="Garlic Purchase"</formula>
    </cfRule>
    <cfRule type="expression" dxfId="23147" priority="87">
      <formula>$C57="Ginger Purchase"</formula>
    </cfRule>
  </conditionalFormatting>
  <conditionalFormatting sqref="B57">
    <cfRule type="expression" dxfId="23146" priority="88">
      <formula>$C57="Advance"</formula>
    </cfRule>
  </conditionalFormatting>
  <conditionalFormatting sqref="B57">
    <cfRule type="expression" dxfId="23145" priority="69">
      <formula>$C57="Delivery charge"</formula>
    </cfRule>
    <cfRule type="expression" dxfId="23144" priority="70">
      <formula>$C57="Staff Salary"</formula>
    </cfRule>
    <cfRule type="expression" dxfId="23143" priority="71">
      <formula>$C57="Rent"</formula>
    </cfRule>
    <cfRule type="expression" dxfId="23142" priority="72">
      <formula>$C57="Petrol"</formula>
    </cfRule>
    <cfRule type="expression" dxfId="23141" priority="73">
      <formula>$C57="Bills"</formula>
    </cfRule>
    <cfRule type="expression" dxfId="23140" priority="74">
      <formula>$C57="Sales"</formula>
    </cfRule>
    <cfRule type="expression" dxfId="23139" priority="75">
      <formula>$C57="Expences"</formula>
    </cfRule>
    <cfRule type="expression" dxfId="23138" priority="76">
      <formula>$C57="Garlic Purchase"</formula>
    </cfRule>
    <cfRule type="expression" dxfId="23137" priority="77">
      <formula>$C57="Ginger Purchase"</formula>
    </cfRule>
  </conditionalFormatting>
  <conditionalFormatting sqref="B57">
    <cfRule type="expression" dxfId="23136" priority="78">
      <formula>$C57="Advance"</formula>
    </cfRule>
  </conditionalFormatting>
  <conditionalFormatting sqref="B57">
    <cfRule type="expression" dxfId="23135" priority="59">
      <formula>$C57="Delivery charge"</formula>
    </cfRule>
    <cfRule type="expression" dxfId="23134" priority="60">
      <formula>$C57="Staff Salary"</formula>
    </cfRule>
    <cfRule type="expression" dxfId="23133" priority="61">
      <formula>$C57="Rent"</formula>
    </cfRule>
    <cfRule type="expression" dxfId="23132" priority="62">
      <formula>$C57="Petrol"</formula>
    </cfRule>
    <cfRule type="expression" dxfId="23131" priority="63">
      <formula>$C57="Bills"</formula>
    </cfRule>
    <cfRule type="expression" dxfId="23130" priority="64">
      <formula>$C57="Sales"</formula>
    </cfRule>
    <cfRule type="expression" dxfId="23129" priority="65">
      <formula>$C57="Expences"</formula>
    </cfRule>
    <cfRule type="expression" dxfId="23128" priority="66">
      <formula>$C57="Garlic Purchase"</formula>
    </cfRule>
    <cfRule type="expression" dxfId="23127" priority="67">
      <formula>$C57="Ginger Purchase"</formula>
    </cfRule>
  </conditionalFormatting>
  <conditionalFormatting sqref="B57">
    <cfRule type="expression" dxfId="23126" priority="68">
      <formula>$C57="Advance"</formula>
    </cfRule>
  </conditionalFormatting>
  <conditionalFormatting sqref="B57">
    <cfRule type="expression" dxfId="23125" priority="49">
      <formula>$C57="Delivery charge"</formula>
    </cfRule>
    <cfRule type="expression" dxfId="23124" priority="50">
      <formula>$C57="Staff Salary"</formula>
    </cfRule>
    <cfRule type="expression" dxfId="23123" priority="51">
      <formula>$C57="Rent"</formula>
    </cfRule>
    <cfRule type="expression" dxfId="23122" priority="52">
      <formula>$C57="Petrol"</formula>
    </cfRule>
    <cfRule type="expression" dxfId="23121" priority="53">
      <formula>$C57="Bills"</formula>
    </cfRule>
    <cfRule type="expression" dxfId="23120" priority="54">
      <formula>$C57="Sales"</formula>
    </cfRule>
    <cfRule type="expression" dxfId="23119" priority="55">
      <formula>$C57="Expences"</formula>
    </cfRule>
    <cfRule type="expression" dxfId="23118" priority="56">
      <formula>$C57="Garlic Purchase"</formula>
    </cfRule>
    <cfRule type="expression" dxfId="23117" priority="57">
      <formula>$C57="Ginger Purchase"</formula>
    </cfRule>
  </conditionalFormatting>
  <conditionalFormatting sqref="B57">
    <cfRule type="expression" dxfId="23116" priority="58">
      <formula>$C57="Advance"</formula>
    </cfRule>
  </conditionalFormatting>
  <conditionalFormatting sqref="B57">
    <cfRule type="expression" dxfId="23115" priority="39">
      <formula>$C57="Delivery charge"</formula>
    </cfRule>
    <cfRule type="expression" dxfId="23114" priority="40">
      <formula>$C57="Staff Salary"</formula>
    </cfRule>
    <cfRule type="expression" dxfId="23113" priority="41">
      <formula>$C57="Rent"</formula>
    </cfRule>
    <cfRule type="expression" dxfId="23112" priority="42">
      <formula>$C57="Petrol"</formula>
    </cfRule>
    <cfRule type="expression" dxfId="23111" priority="43">
      <formula>$C57="Bills"</formula>
    </cfRule>
    <cfRule type="expression" dxfId="23110" priority="44">
      <formula>$C57="Sales"</formula>
    </cfRule>
    <cfRule type="expression" dxfId="23109" priority="45">
      <formula>$C57="Expences"</formula>
    </cfRule>
    <cfRule type="expression" dxfId="23108" priority="46">
      <formula>$C57="Garlic Purchase"</formula>
    </cfRule>
    <cfRule type="expression" dxfId="23107" priority="47">
      <formula>$C57="Ginger Purchase"</formula>
    </cfRule>
  </conditionalFormatting>
  <conditionalFormatting sqref="B57">
    <cfRule type="expression" dxfId="23106" priority="48">
      <formula>$C57="Advance"</formula>
    </cfRule>
  </conditionalFormatting>
  <conditionalFormatting sqref="B57">
    <cfRule type="expression" dxfId="23105" priority="38">
      <formula>$C57="Advance"</formula>
    </cfRule>
  </conditionalFormatting>
  <conditionalFormatting sqref="B21 B24 B27">
    <cfRule type="expression" dxfId="23104" priority="4184">
      <formula>$C21="Advance"</formula>
    </cfRule>
  </conditionalFormatting>
  <conditionalFormatting sqref="B21 B24 B27">
    <cfRule type="expression" dxfId="23103" priority="4175">
      <formula>$C21="Delivery charge"</formula>
    </cfRule>
    <cfRule type="expression" dxfId="23102" priority="4176">
      <formula>$C21="Staff Salary"</formula>
    </cfRule>
    <cfRule type="expression" dxfId="23101" priority="4177">
      <formula>$C21="Rent"</formula>
    </cfRule>
    <cfRule type="expression" dxfId="23100" priority="4178">
      <formula>$C21="Petrol"</formula>
    </cfRule>
    <cfRule type="expression" dxfId="23099" priority="4179">
      <formula>$C21="Bills"</formula>
    </cfRule>
    <cfRule type="expression" dxfId="23098" priority="4180">
      <formula>$C21="Sales"</formula>
    </cfRule>
    <cfRule type="expression" dxfId="23097" priority="4181">
      <formula>$C21="Expences"</formula>
    </cfRule>
    <cfRule type="expression" dxfId="23096" priority="4182">
      <formula>$C21="Garlic Purchase"</formula>
    </cfRule>
    <cfRule type="expression" dxfId="23095" priority="4183">
      <formula>$C21="Ginger Purchase"</formula>
    </cfRule>
  </conditionalFormatting>
  <conditionalFormatting sqref="B20:B54">
    <cfRule type="expression" dxfId="23094" priority="4174">
      <formula>$C20="Advance"</formula>
    </cfRule>
  </conditionalFormatting>
  <conditionalFormatting sqref="B20:B54">
    <cfRule type="expression" dxfId="23093" priority="4165">
      <formula>$C20="Delivery charge"</formula>
    </cfRule>
    <cfRule type="expression" dxfId="23092" priority="4166">
      <formula>$C20="Staff Salary"</formula>
    </cfRule>
    <cfRule type="expression" dxfId="23091" priority="4167">
      <formula>$C20="Rent"</formula>
    </cfRule>
    <cfRule type="expression" dxfId="23090" priority="4168">
      <formula>$C20="Petrol"</formula>
    </cfRule>
    <cfRule type="expression" dxfId="23089" priority="4169">
      <formula>$C20="Bills"</formula>
    </cfRule>
    <cfRule type="expression" dxfId="23088" priority="4170">
      <formula>$C20="Sales"</formula>
    </cfRule>
    <cfRule type="expression" dxfId="23087" priority="4171">
      <formula>$C20="Expences"</formula>
    </cfRule>
    <cfRule type="expression" dxfId="23086" priority="4172">
      <formula>$C20="Garlic Purchase"</formula>
    </cfRule>
    <cfRule type="expression" dxfId="23085" priority="4173">
      <formula>$C20="Ginger Purchase"</formula>
    </cfRule>
  </conditionalFormatting>
  <conditionalFormatting sqref="B22 B25 B28">
    <cfRule type="expression" dxfId="23084" priority="4155">
      <formula>$C22="Delivery charge"</formula>
    </cfRule>
    <cfRule type="expression" dxfId="23083" priority="4156">
      <formula>$C22="Staff Salary"</formula>
    </cfRule>
    <cfRule type="expression" dxfId="23082" priority="4157">
      <formula>$C22="Rent"</formula>
    </cfRule>
    <cfRule type="expression" dxfId="23081" priority="4158">
      <formula>$C22="Petrol"</formula>
    </cfRule>
    <cfRule type="expression" dxfId="23080" priority="4159">
      <formula>$C22="Bills"</formula>
    </cfRule>
    <cfRule type="expression" dxfId="23079" priority="4160">
      <formula>$C22="Sales"</formula>
    </cfRule>
    <cfRule type="expression" dxfId="23078" priority="4161">
      <formula>$C22="Expences"</formula>
    </cfRule>
    <cfRule type="expression" dxfId="23077" priority="4162">
      <formula>$C22="Garlic Purchase"</formula>
    </cfRule>
    <cfRule type="expression" dxfId="23076" priority="4163">
      <formula>$C22="Ginger Purchase"</formula>
    </cfRule>
  </conditionalFormatting>
  <conditionalFormatting sqref="B22 B25 B28">
    <cfRule type="expression" dxfId="23075" priority="4164">
      <formula>$C22="Advance"</formula>
    </cfRule>
  </conditionalFormatting>
  <conditionalFormatting sqref="B22 B25 B28">
    <cfRule type="expression" dxfId="23074" priority="4105">
      <formula>$C22="Delivery charge"</formula>
    </cfRule>
    <cfRule type="expression" dxfId="23073" priority="4106">
      <formula>$C22="Staff Salary"</formula>
    </cfRule>
    <cfRule type="expression" dxfId="23072" priority="4107">
      <formula>$C22="Rent"</formula>
    </cfRule>
    <cfRule type="expression" dxfId="23071" priority="4108">
      <formula>$C22="Petrol"</formula>
    </cfRule>
    <cfRule type="expression" dxfId="23070" priority="4109">
      <formula>$C22="Bills"</formula>
    </cfRule>
    <cfRule type="expression" dxfId="23069" priority="4110">
      <formula>$C22="Sales"</formula>
    </cfRule>
    <cfRule type="expression" dxfId="23068" priority="4111">
      <formula>$C22="Expences"</formula>
    </cfRule>
    <cfRule type="expression" dxfId="23067" priority="4112">
      <formula>$C22="Garlic Purchase"</formula>
    </cfRule>
    <cfRule type="expression" dxfId="23066" priority="4113">
      <formula>$C22="Ginger Purchase"</formula>
    </cfRule>
  </conditionalFormatting>
  <conditionalFormatting sqref="B22 B25 B28">
    <cfRule type="expression" dxfId="23065" priority="4114">
      <formula>$C22="Advance"</formula>
    </cfRule>
  </conditionalFormatting>
  <conditionalFormatting sqref="B22 B25 B28">
    <cfRule type="expression" dxfId="23064" priority="4095">
      <formula>$C22="Delivery charge"</formula>
    </cfRule>
    <cfRule type="expression" dxfId="23063" priority="4096">
      <formula>$C22="Staff Salary"</formula>
    </cfRule>
    <cfRule type="expression" dxfId="23062" priority="4097">
      <formula>$C22="Rent"</formula>
    </cfRule>
    <cfRule type="expression" dxfId="23061" priority="4098">
      <formula>$C22="Petrol"</formula>
    </cfRule>
    <cfRule type="expression" dxfId="23060" priority="4099">
      <formula>$C22="Bills"</formula>
    </cfRule>
    <cfRule type="expression" dxfId="23059" priority="4100">
      <formula>$C22="Sales"</formula>
    </cfRule>
    <cfRule type="expression" dxfId="23058" priority="4101">
      <formula>$C22="Expences"</formula>
    </cfRule>
    <cfRule type="expression" dxfId="23057" priority="4102">
      <formula>$C22="Garlic Purchase"</formula>
    </cfRule>
    <cfRule type="expression" dxfId="23056" priority="4103">
      <formula>$C22="Ginger Purchase"</formula>
    </cfRule>
  </conditionalFormatting>
  <conditionalFormatting sqref="B22 B25 B28">
    <cfRule type="expression" dxfId="23055" priority="4104">
      <formula>$C22="Advance"</formula>
    </cfRule>
  </conditionalFormatting>
  <conditionalFormatting sqref="B22 B25 B28">
    <cfRule type="expression" dxfId="23054" priority="4085">
      <formula>$C22="Delivery charge"</formula>
    </cfRule>
    <cfRule type="expression" dxfId="23053" priority="4086">
      <formula>$C22="Staff Salary"</formula>
    </cfRule>
    <cfRule type="expression" dxfId="23052" priority="4087">
      <formula>$C22="Rent"</formula>
    </cfRule>
    <cfRule type="expression" dxfId="23051" priority="4088">
      <formula>$C22="Petrol"</formula>
    </cfRule>
    <cfRule type="expression" dxfId="23050" priority="4089">
      <formula>$C22="Bills"</formula>
    </cfRule>
    <cfRule type="expression" dxfId="23049" priority="4090">
      <formula>$C22="Sales"</formula>
    </cfRule>
    <cfRule type="expression" dxfId="23048" priority="4091">
      <formula>$C22="Expences"</formula>
    </cfRule>
    <cfRule type="expression" dxfId="23047" priority="4092">
      <formula>$C22="Garlic Purchase"</formula>
    </cfRule>
    <cfRule type="expression" dxfId="23046" priority="4093">
      <formula>$C22="Ginger Purchase"</formula>
    </cfRule>
  </conditionalFormatting>
  <conditionalFormatting sqref="B22 B25 B28">
    <cfRule type="expression" dxfId="23045" priority="4094">
      <formula>$C22="Advance"</formula>
    </cfRule>
  </conditionalFormatting>
  <conditionalFormatting sqref="B22 B25 B28">
    <cfRule type="expression" dxfId="23044" priority="4075">
      <formula>$C22="Delivery charge"</formula>
    </cfRule>
    <cfRule type="expression" dxfId="23043" priority="4076">
      <formula>$C22="Staff Salary"</formula>
    </cfRule>
    <cfRule type="expression" dxfId="23042" priority="4077">
      <formula>$C22="Rent"</formula>
    </cfRule>
    <cfRule type="expression" dxfId="23041" priority="4078">
      <formula>$C22="Petrol"</formula>
    </cfRule>
    <cfRule type="expression" dxfId="23040" priority="4079">
      <formula>$C22="Bills"</formula>
    </cfRule>
    <cfRule type="expression" dxfId="23039" priority="4080">
      <formula>$C22="Sales"</formula>
    </cfRule>
    <cfRule type="expression" dxfId="23038" priority="4081">
      <formula>$C22="Expences"</formula>
    </cfRule>
    <cfRule type="expression" dxfId="23037" priority="4082">
      <formula>$C22="Garlic Purchase"</formula>
    </cfRule>
    <cfRule type="expression" dxfId="23036" priority="4083">
      <formula>$C22="Ginger Purchase"</formula>
    </cfRule>
  </conditionalFormatting>
  <conditionalFormatting sqref="B22 B25 B28">
    <cfRule type="expression" dxfId="23035" priority="4084">
      <formula>$C22="Advance"</formula>
    </cfRule>
  </conditionalFormatting>
  <conditionalFormatting sqref="B22 B25 B28">
    <cfRule type="expression" dxfId="23034" priority="4055">
      <formula>$C22="Delivery charge"</formula>
    </cfRule>
    <cfRule type="expression" dxfId="23033" priority="4056">
      <formula>$C22="Staff Salary"</formula>
    </cfRule>
    <cfRule type="expression" dxfId="23032" priority="4057">
      <formula>$C22="Rent"</formula>
    </cfRule>
    <cfRule type="expression" dxfId="23031" priority="4058">
      <formula>$C22="Petrol"</formula>
    </cfRule>
    <cfRule type="expression" dxfId="23030" priority="4059">
      <formula>$C22="Bills"</formula>
    </cfRule>
    <cfRule type="expression" dxfId="23029" priority="4060">
      <formula>$C22="Sales"</formula>
    </cfRule>
    <cfRule type="expression" dxfId="23028" priority="4061">
      <formula>$C22="Expences"</formula>
    </cfRule>
    <cfRule type="expression" dxfId="23027" priority="4062">
      <formula>$C22="Garlic Purchase"</formula>
    </cfRule>
    <cfRule type="expression" dxfId="23026" priority="4063">
      <formula>$C22="Ginger Purchase"</formula>
    </cfRule>
  </conditionalFormatting>
  <conditionalFormatting sqref="B22 B25 B28">
    <cfRule type="expression" dxfId="23025" priority="4064">
      <formula>$C22="Advance"</formula>
    </cfRule>
  </conditionalFormatting>
  <conditionalFormatting sqref="B22 B25 B28">
    <cfRule type="expression" dxfId="23024" priority="4045">
      <formula>$C22="Delivery charge"</formula>
    </cfRule>
    <cfRule type="expression" dxfId="23023" priority="4046">
      <formula>$C22="Staff Salary"</formula>
    </cfRule>
    <cfRule type="expression" dxfId="23022" priority="4047">
      <formula>$C22="Rent"</formula>
    </cfRule>
    <cfRule type="expression" dxfId="23021" priority="4048">
      <formula>$C22="Petrol"</formula>
    </cfRule>
    <cfRule type="expression" dxfId="23020" priority="4049">
      <formula>$C22="Bills"</formula>
    </cfRule>
    <cfRule type="expression" dxfId="23019" priority="4050">
      <formula>$C22="Sales"</formula>
    </cfRule>
    <cfRule type="expression" dxfId="23018" priority="4051">
      <formula>$C22="Expences"</formula>
    </cfRule>
    <cfRule type="expression" dxfId="23017" priority="4052">
      <formula>$C22="Garlic Purchase"</formula>
    </cfRule>
    <cfRule type="expression" dxfId="23016" priority="4053">
      <formula>$C22="Ginger Purchase"</formula>
    </cfRule>
  </conditionalFormatting>
  <conditionalFormatting sqref="B22 B25 B28">
    <cfRule type="expression" dxfId="23015" priority="4054">
      <formula>$C22="Advance"</formula>
    </cfRule>
  </conditionalFormatting>
  <conditionalFormatting sqref="B22 B25 B28">
    <cfRule type="expression" dxfId="23014" priority="4035">
      <formula>$C22="Delivery charge"</formula>
    </cfRule>
    <cfRule type="expression" dxfId="23013" priority="4036">
      <formula>$C22="Staff Salary"</formula>
    </cfRule>
    <cfRule type="expression" dxfId="23012" priority="4037">
      <formula>$C22="Rent"</formula>
    </cfRule>
    <cfRule type="expression" dxfId="23011" priority="4038">
      <formula>$C22="Petrol"</formula>
    </cfRule>
    <cfRule type="expression" dxfId="23010" priority="4039">
      <formula>$C22="Bills"</formula>
    </cfRule>
    <cfRule type="expression" dxfId="23009" priority="4040">
      <formula>$C22="Sales"</formula>
    </cfRule>
    <cfRule type="expression" dxfId="23008" priority="4041">
      <formula>$C22="Expences"</formula>
    </cfRule>
    <cfRule type="expression" dxfId="23007" priority="4042">
      <formula>$C22="Garlic Purchase"</formula>
    </cfRule>
    <cfRule type="expression" dxfId="23006" priority="4043">
      <formula>$C22="Ginger Purchase"</formula>
    </cfRule>
  </conditionalFormatting>
  <conditionalFormatting sqref="B22 B25 B28">
    <cfRule type="expression" dxfId="23005" priority="4044">
      <formula>$C22="Advance"</formula>
    </cfRule>
  </conditionalFormatting>
  <conditionalFormatting sqref="B22 B25 B28">
    <cfRule type="expression" dxfId="23004" priority="4025">
      <formula>$C22="Delivery charge"</formula>
    </cfRule>
    <cfRule type="expression" dxfId="23003" priority="4026">
      <formula>$C22="Staff Salary"</formula>
    </cfRule>
    <cfRule type="expression" dxfId="23002" priority="4027">
      <formula>$C22="Rent"</formula>
    </cfRule>
    <cfRule type="expression" dxfId="23001" priority="4028">
      <formula>$C22="Petrol"</formula>
    </cfRule>
    <cfRule type="expression" dxfId="23000" priority="4029">
      <formula>$C22="Bills"</formula>
    </cfRule>
    <cfRule type="expression" dxfId="22999" priority="4030">
      <formula>$C22="Sales"</formula>
    </cfRule>
    <cfRule type="expression" dxfId="22998" priority="4031">
      <formula>$C22="Expences"</formula>
    </cfRule>
    <cfRule type="expression" dxfId="22997" priority="4032">
      <formula>$C22="Garlic Purchase"</formula>
    </cfRule>
    <cfRule type="expression" dxfId="22996" priority="4033">
      <formula>$C22="Ginger Purchase"</formula>
    </cfRule>
  </conditionalFormatting>
  <conditionalFormatting sqref="B22 B25 B28">
    <cfRule type="expression" dxfId="22995" priority="4034">
      <formula>$C22="Advance"</formula>
    </cfRule>
  </conditionalFormatting>
  <conditionalFormatting sqref="B22 B25 B28">
    <cfRule type="expression" dxfId="22994" priority="4015">
      <formula>$C22="Delivery charge"</formula>
    </cfRule>
    <cfRule type="expression" dxfId="22993" priority="4016">
      <formula>$C22="Staff Salary"</formula>
    </cfRule>
    <cfRule type="expression" dxfId="22992" priority="4017">
      <formula>$C22="Rent"</formula>
    </cfRule>
    <cfRule type="expression" dxfId="22991" priority="4018">
      <formula>$C22="Petrol"</formula>
    </cfRule>
    <cfRule type="expression" dxfId="22990" priority="4019">
      <formula>$C22="Bills"</formula>
    </cfRule>
    <cfRule type="expression" dxfId="22989" priority="4020">
      <formula>$C22="Sales"</formula>
    </cfRule>
    <cfRule type="expression" dxfId="22988" priority="4021">
      <formula>$C22="Expences"</formula>
    </cfRule>
    <cfRule type="expression" dxfId="22987" priority="4022">
      <formula>$C22="Garlic Purchase"</formula>
    </cfRule>
    <cfRule type="expression" dxfId="22986" priority="4023">
      <formula>$C22="Ginger Purchase"</formula>
    </cfRule>
  </conditionalFormatting>
  <conditionalFormatting sqref="B22 B25 B28">
    <cfRule type="expression" dxfId="22985" priority="4024">
      <formula>$C22="Advance"</formula>
    </cfRule>
  </conditionalFormatting>
  <conditionalFormatting sqref="B20:B54">
    <cfRule type="expression" dxfId="22984" priority="3955">
      <formula>$C20="Delivery charge"</formula>
    </cfRule>
    <cfRule type="expression" dxfId="22983" priority="3956">
      <formula>$C20="Staff Salary"</formula>
    </cfRule>
    <cfRule type="expression" dxfId="22982" priority="3957">
      <formula>$C20="Rent"</formula>
    </cfRule>
    <cfRule type="expression" dxfId="22981" priority="3958">
      <formula>$C20="Petrol"</formula>
    </cfRule>
    <cfRule type="expression" dxfId="22980" priority="3959">
      <formula>$C20="Bills"</formula>
    </cfRule>
    <cfRule type="expression" dxfId="22979" priority="3960">
      <formula>$C20="Sales"</formula>
    </cfRule>
    <cfRule type="expression" dxfId="22978" priority="3961">
      <formula>$C20="Expences"</formula>
    </cfRule>
    <cfRule type="expression" dxfId="22977" priority="3962">
      <formula>$C20="Garlic Purchase"</formula>
    </cfRule>
    <cfRule type="expression" dxfId="22976" priority="3963">
      <formula>$C20="Ginger Purchase"</formula>
    </cfRule>
  </conditionalFormatting>
  <conditionalFormatting sqref="B20:B54">
    <cfRule type="expression" dxfId="22975" priority="3964">
      <formula>$C20="Advance"</formula>
    </cfRule>
  </conditionalFormatting>
  <conditionalFormatting sqref="B20:B54">
    <cfRule type="expression" dxfId="22974" priority="3945">
      <formula>$C20="Delivery charge"</formula>
    </cfRule>
    <cfRule type="expression" dxfId="22973" priority="3946">
      <formula>$C20="Staff Salary"</formula>
    </cfRule>
    <cfRule type="expression" dxfId="22972" priority="3947">
      <formula>$C20="Rent"</formula>
    </cfRule>
    <cfRule type="expression" dxfId="22971" priority="3948">
      <formula>$C20="Petrol"</formula>
    </cfRule>
    <cfRule type="expression" dxfId="22970" priority="3949">
      <formula>$C20="Bills"</formula>
    </cfRule>
    <cfRule type="expression" dxfId="22969" priority="3950">
      <formula>$C20="Sales"</formula>
    </cfRule>
    <cfRule type="expression" dxfId="22968" priority="3951">
      <formula>$C20="Expences"</formula>
    </cfRule>
    <cfRule type="expression" dxfId="22967" priority="3952">
      <formula>$C20="Garlic Purchase"</formula>
    </cfRule>
    <cfRule type="expression" dxfId="22966" priority="3953">
      <formula>$C20="Ginger Purchase"</formula>
    </cfRule>
  </conditionalFormatting>
  <conditionalFormatting sqref="B20:B54">
    <cfRule type="expression" dxfId="22965" priority="3954">
      <formula>$C20="Advance"</formula>
    </cfRule>
  </conditionalFormatting>
  <conditionalFormatting sqref="B20:B54">
    <cfRule type="expression" dxfId="22964" priority="3935">
      <formula>$C20="Delivery charge"</formula>
    </cfRule>
    <cfRule type="expression" dxfId="22963" priority="3936">
      <formula>$C20="Staff Salary"</formula>
    </cfRule>
    <cfRule type="expression" dxfId="22962" priority="3937">
      <formula>$C20="Rent"</formula>
    </cfRule>
    <cfRule type="expression" dxfId="22961" priority="3938">
      <formula>$C20="Petrol"</formula>
    </cfRule>
    <cfRule type="expression" dxfId="22960" priority="3939">
      <formula>$C20="Bills"</formula>
    </cfRule>
    <cfRule type="expression" dxfId="22959" priority="3940">
      <formula>$C20="Sales"</formula>
    </cfRule>
    <cfRule type="expression" dxfId="22958" priority="3941">
      <formula>$C20="Expences"</formula>
    </cfRule>
    <cfRule type="expression" dxfId="22957" priority="3942">
      <formula>$C20="Garlic Purchase"</formula>
    </cfRule>
    <cfRule type="expression" dxfId="22956" priority="3943">
      <formula>$C20="Ginger Purchase"</formula>
    </cfRule>
  </conditionalFormatting>
  <conditionalFormatting sqref="B20:B54">
    <cfRule type="expression" dxfId="22955" priority="3944">
      <formula>$C20="Advance"</formula>
    </cfRule>
  </conditionalFormatting>
  <conditionalFormatting sqref="B20:B54">
    <cfRule type="expression" dxfId="22954" priority="3925">
      <formula>$C20="Delivery charge"</formula>
    </cfRule>
    <cfRule type="expression" dxfId="22953" priority="3926">
      <formula>$C20="Staff Salary"</formula>
    </cfRule>
    <cfRule type="expression" dxfId="22952" priority="3927">
      <formula>$C20="Rent"</formula>
    </cfRule>
    <cfRule type="expression" dxfId="22951" priority="3928">
      <formula>$C20="Petrol"</formula>
    </cfRule>
    <cfRule type="expression" dxfId="22950" priority="3929">
      <formula>$C20="Bills"</formula>
    </cfRule>
    <cfRule type="expression" dxfId="22949" priority="3930">
      <formula>$C20="Sales"</formula>
    </cfRule>
    <cfRule type="expression" dxfId="22948" priority="3931">
      <formula>$C20="Expences"</formula>
    </cfRule>
    <cfRule type="expression" dxfId="22947" priority="3932">
      <formula>$C20="Garlic Purchase"</formula>
    </cfRule>
    <cfRule type="expression" dxfId="22946" priority="3933">
      <formula>$C20="Ginger Purchase"</formula>
    </cfRule>
  </conditionalFormatting>
  <conditionalFormatting sqref="B20:B54">
    <cfRule type="expression" dxfId="22945" priority="3934">
      <formula>$C20="Advance"</formula>
    </cfRule>
  </conditionalFormatting>
  <conditionalFormatting sqref="B22 B25 B28">
    <cfRule type="expression" dxfId="22944" priority="3915">
      <formula>$C22="Delivery charge"</formula>
    </cfRule>
    <cfRule type="expression" dxfId="22943" priority="3916">
      <formula>$C22="Staff Salary"</formula>
    </cfRule>
    <cfRule type="expression" dxfId="22942" priority="3917">
      <formula>$C22="Rent"</formula>
    </cfRule>
    <cfRule type="expression" dxfId="22941" priority="3918">
      <formula>$C22="Petrol"</formula>
    </cfRule>
    <cfRule type="expression" dxfId="22940" priority="3919">
      <formula>$C22="Bills"</formula>
    </cfRule>
    <cfRule type="expression" dxfId="22939" priority="3920">
      <formula>$C22="Sales"</formula>
    </cfRule>
    <cfRule type="expression" dxfId="22938" priority="3921">
      <formula>$C22="Expences"</formula>
    </cfRule>
    <cfRule type="expression" dxfId="22937" priority="3922">
      <formula>$C22="Garlic Purchase"</formula>
    </cfRule>
    <cfRule type="expression" dxfId="22936" priority="3923">
      <formula>$C22="Ginger Purchase"</formula>
    </cfRule>
  </conditionalFormatting>
  <conditionalFormatting sqref="B22 B25 B28">
    <cfRule type="expression" dxfId="22935" priority="3924">
      <formula>$C22="Advance"</formula>
    </cfRule>
  </conditionalFormatting>
  <conditionalFormatting sqref="B20:B54">
    <cfRule type="expression" dxfId="22934" priority="3865">
      <formula>$C20="Delivery charge"</formula>
    </cfRule>
    <cfRule type="expression" dxfId="22933" priority="3866">
      <formula>$C20="Staff Salary"</formula>
    </cfRule>
    <cfRule type="expression" dxfId="22932" priority="3867">
      <formula>$C20="Rent"</formula>
    </cfRule>
    <cfRule type="expression" dxfId="22931" priority="3868">
      <formula>$C20="Petrol"</formula>
    </cfRule>
    <cfRule type="expression" dxfId="22930" priority="3869">
      <formula>$C20="Bills"</formula>
    </cfRule>
    <cfRule type="expression" dxfId="22929" priority="3870">
      <formula>$C20="Sales"</formula>
    </cfRule>
    <cfRule type="expression" dxfId="22928" priority="3871">
      <formula>$C20="Expences"</formula>
    </cfRule>
    <cfRule type="expression" dxfId="22927" priority="3872">
      <formula>$C20="Garlic Purchase"</formula>
    </cfRule>
    <cfRule type="expression" dxfId="22926" priority="3873">
      <formula>$C20="Ginger Purchase"</formula>
    </cfRule>
  </conditionalFormatting>
  <conditionalFormatting sqref="B20:B54">
    <cfRule type="expression" dxfId="22925" priority="3874">
      <formula>$C20="Advance"</formula>
    </cfRule>
  </conditionalFormatting>
  <conditionalFormatting sqref="B20:B54">
    <cfRule type="expression" dxfId="22924" priority="3805">
      <formula>$C20="Delivery charge"</formula>
    </cfRule>
    <cfRule type="expression" dxfId="22923" priority="3806">
      <formula>$C20="Staff Salary"</formula>
    </cfRule>
    <cfRule type="expression" dxfId="22922" priority="3807">
      <formula>$C20="Rent"</formula>
    </cfRule>
    <cfRule type="expression" dxfId="22921" priority="3808">
      <formula>$C20="Petrol"</formula>
    </cfRule>
    <cfRule type="expression" dxfId="22920" priority="3809">
      <formula>$C20="Bills"</formula>
    </cfRule>
    <cfRule type="expression" dxfId="22919" priority="3810">
      <formula>$C20="Sales"</formula>
    </cfRule>
    <cfRule type="expression" dxfId="22918" priority="3811">
      <formula>$C20="Expences"</formula>
    </cfRule>
    <cfRule type="expression" dxfId="22917" priority="3812">
      <formula>$C20="Garlic Purchase"</formula>
    </cfRule>
    <cfRule type="expression" dxfId="22916" priority="3813">
      <formula>$C20="Ginger Purchase"</formula>
    </cfRule>
  </conditionalFormatting>
  <conditionalFormatting sqref="B20:B54">
    <cfRule type="expression" dxfId="22915" priority="3814">
      <formula>$C20="Advance"</formula>
    </cfRule>
  </conditionalFormatting>
  <conditionalFormatting sqref="B20:B54">
    <cfRule type="expression" dxfId="22914" priority="3795">
      <formula>$C20="Delivery charge"</formula>
    </cfRule>
    <cfRule type="expression" dxfId="22913" priority="3796">
      <formula>$C20="Staff Salary"</formula>
    </cfRule>
    <cfRule type="expression" dxfId="22912" priority="3797">
      <formula>$C20="Rent"</formula>
    </cfRule>
    <cfRule type="expression" dxfId="22911" priority="3798">
      <formula>$C20="Petrol"</formula>
    </cfRule>
    <cfRule type="expression" dxfId="22910" priority="3799">
      <formula>$C20="Bills"</formula>
    </cfRule>
    <cfRule type="expression" dxfId="22909" priority="3800">
      <formula>$C20="Sales"</formula>
    </cfRule>
    <cfRule type="expression" dxfId="22908" priority="3801">
      <formula>$C20="Expences"</formula>
    </cfRule>
    <cfRule type="expression" dxfId="22907" priority="3802">
      <formula>$C20="Garlic Purchase"</formula>
    </cfRule>
    <cfRule type="expression" dxfId="22906" priority="3803">
      <formula>$C20="Ginger Purchase"</formula>
    </cfRule>
  </conditionalFormatting>
  <conditionalFormatting sqref="B20:B54">
    <cfRule type="expression" dxfId="22905" priority="3804">
      <formula>$C20="Advance"</formula>
    </cfRule>
  </conditionalFormatting>
  <conditionalFormatting sqref="B20:B54">
    <cfRule type="expression" dxfId="22904" priority="3785">
      <formula>$C20="Delivery charge"</formula>
    </cfRule>
    <cfRule type="expression" dxfId="22903" priority="3786">
      <formula>$C20="Staff Salary"</formula>
    </cfRule>
    <cfRule type="expression" dxfId="22902" priority="3787">
      <formula>$C20="Rent"</formula>
    </cfRule>
    <cfRule type="expression" dxfId="22901" priority="3788">
      <formula>$C20="Petrol"</formula>
    </cfRule>
    <cfRule type="expression" dxfId="22900" priority="3789">
      <formula>$C20="Bills"</formula>
    </cfRule>
    <cfRule type="expression" dxfId="22899" priority="3790">
      <formula>$C20="Sales"</formula>
    </cfRule>
    <cfRule type="expression" dxfId="22898" priority="3791">
      <formula>$C20="Expences"</formula>
    </cfRule>
    <cfRule type="expression" dxfId="22897" priority="3792">
      <formula>$C20="Garlic Purchase"</formula>
    </cfRule>
    <cfRule type="expression" dxfId="22896" priority="3793">
      <formula>$C20="Ginger Purchase"</formula>
    </cfRule>
  </conditionalFormatting>
  <conditionalFormatting sqref="B20:B54">
    <cfRule type="expression" dxfId="22895" priority="3794">
      <formula>$C20="Advance"</formula>
    </cfRule>
  </conditionalFormatting>
  <conditionalFormatting sqref="B20:B54">
    <cfRule type="expression" dxfId="22894" priority="3775">
      <formula>$C20="Delivery charge"</formula>
    </cfRule>
    <cfRule type="expression" dxfId="22893" priority="3776">
      <formula>$C20="Staff Salary"</formula>
    </cfRule>
    <cfRule type="expression" dxfId="22892" priority="3777">
      <formula>$C20="Rent"</formula>
    </cfRule>
    <cfRule type="expression" dxfId="22891" priority="3778">
      <formula>$C20="Petrol"</formula>
    </cfRule>
    <cfRule type="expression" dxfId="22890" priority="3779">
      <formula>$C20="Bills"</formula>
    </cfRule>
    <cfRule type="expression" dxfId="22889" priority="3780">
      <formula>$C20="Sales"</formula>
    </cfRule>
    <cfRule type="expression" dxfId="22888" priority="3781">
      <formula>$C20="Expences"</formula>
    </cfRule>
    <cfRule type="expression" dxfId="22887" priority="3782">
      <formula>$C20="Garlic Purchase"</formula>
    </cfRule>
    <cfRule type="expression" dxfId="22886" priority="3783">
      <formula>$C20="Ginger Purchase"</formula>
    </cfRule>
  </conditionalFormatting>
  <conditionalFormatting sqref="B20:B54">
    <cfRule type="expression" dxfId="22885" priority="3784">
      <formula>$C20="Advance"</formula>
    </cfRule>
  </conditionalFormatting>
  <conditionalFormatting sqref="B20 B23 B26">
    <cfRule type="expression" dxfId="22884" priority="3774">
      <formula>$C20="Advance"</formula>
    </cfRule>
  </conditionalFormatting>
  <conditionalFormatting sqref="B20 B23 B26">
    <cfRule type="expression" dxfId="22883" priority="3765">
      <formula>$C20="Delivery charge"</formula>
    </cfRule>
    <cfRule type="expression" dxfId="22882" priority="3766">
      <formula>$C20="Staff Salary"</formula>
    </cfRule>
    <cfRule type="expression" dxfId="22881" priority="3767">
      <formula>$C20="Rent"</formula>
    </cfRule>
    <cfRule type="expression" dxfId="22880" priority="3768">
      <formula>$C20="Petrol"</formula>
    </cfRule>
    <cfRule type="expression" dxfId="22879" priority="3769">
      <formula>$C20="Bills"</formula>
    </cfRule>
    <cfRule type="expression" dxfId="22878" priority="3770">
      <formula>$C20="Sales"</formula>
    </cfRule>
    <cfRule type="expression" dxfId="22877" priority="3771">
      <formula>$C20="Expences"</formula>
    </cfRule>
    <cfRule type="expression" dxfId="22876" priority="3772">
      <formula>$C20="Garlic Purchase"</formula>
    </cfRule>
    <cfRule type="expression" dxfId="22875" priority="3773">
      <formula>$C20="Ginger Purchase"</formula>
    </cfRule>
  </conditionalFormatting>
  <conditionalFormatting sqref="B21 B24 B27">
    <cfRule type="expression" dxfId="22874" priority="3755">
      <formula>$C21="Delivery charge"</formula>
    </cfRule>
    <cfRule type="expression" dxfId="22873" priority="3756">
      <formula>$C21="Staff Salary"</formula>
    </cfRule>
    <cfRule type="expression" dxfId="22872" priority="3757">
      <formula>$C21="Rent"</formula>
    </cfRule>
    <cfRule type="expression" dxfId="22871" priority="3758">
      <formula>$C21="Petrol"</formula>
    </cfRule>
    <cfRule type="expression" dxfId="22870" priority="3759">
      <formula>$C21="Bills"</formula>
    </cfRule>
    <cfRule type="expression" dxfId="22869" priority="3760">
      <formula>$C21="Sales"</formula>
    </cfRule>
    <cfRule type="expression" dxfId="22868" priority="3761">
      <formula>$C21="Expences"</formula>
    </cfRule>
    <cfRule type="expression" dxfId="22867" priority="3762">
      <formula>$C21="Garlic Purchase"</formula>
    </cfRule>
    <cfRule type="expression" dxfId="22866" priority="3763">
      <formula>$C21="Ginger Purchase"</formula>
    </cfRule>
  </conditionalFormatting>
  <conditionalFormatting sqref="B21 B24 B27">
    <cfRule type="expression" dxfId="22865" priority="3764">
      <formula>$C21="Advance"</formula>
    </cfRule>
  </conditionalFormatting>
  <conditionalFormatting sqref="B22 B25 B28">
    <cfRule type="expression" dxfId="22864" priority="3745">
      <formula>$C22="Delivery charge"</formula>
    </cfRule>
    <cfRule type="expression" dxfId="22863" priority="3746">
      <formula>$C22="Staff Salary"</formula>
    </cfRule>
    <cfRule type="expression" dxfId="22862" priority="3747">
      <formula>$C22="Rent"</formula>
    </cfRule>
    <cfRule type="expression" dxfId="22861" priority="3748">
      <formula>$C22="Petrol"</formula>
    </cfRule>
    <cfRule type="expression" dxfId="22860" priority="3749">
      <formula>$C22="Bills"</formula>
    </cfRule>
    <cfRule type="expression" dxfId="22859" priority="3750">
      <formula>$C22="Sales"</formula>
    </cfRule>
    <cfRule type="expression" dxfId="22858" priority="3751">
      <formula>$C22="Expences"</formula>
    </cfRule>
    <cfRule type="expression" dxfId="22857" priority="3752">
      <formula>$C22="Garlic Purchase"</formula>
    </cfRule>
    <cfRule type="expression" dxfId="22856" priority="3753">
      <formula>$C22="Ginger Purchase"</formula>
    </cfRule>
  </conditionalFormatting>
  <conditionalFormatting sqref="B22 B25 B28">
    <cfRule type="expression" dxfId="22855" priority="3754">
      <formula>$C22="Advance"</formula>
    </cfRule>
  </conditionalFormatting>
  <conditionalFormatting sqref="B22 B25 B28">
    <cfRule type="expression" dxfId="22854" priority="3735">
      <formula>$C22="Delivery charge"</formula>
    </cfRule>
    <cfRule type="expression" dxfId="22853" priority="3736">
      <formula>$C22="Staff Salary"</formula>
    </cfRule>
    <cfRule type="expression" dxfId="22852" priority="3737">
      <formula>$C22="Rent"</formula>
    </cfRule>
    <cfRule type="expression" dxfId="22851" priority="3738">
      <formula>$C22="Petrol"</formula>
    </cfRule>
    <cfRule type="expression" dxfId="22850" priority="3739">
      <formula>$C22="Bills"</formula>
    </cfRule>
    <cfRule type="expression" dxfId="22849" priority="3740">
      <formula>$C22="Sales"</formula>
    </cfRule>
    <cfRule type="expression" dxfId="22848" priority="3741">
      <formula>$C22="Expences"</formula>
    </cfRule>
    <cfRule type="expression" dxfId="22847" priority="3742">
      <formula>$C22="Garlic Purchase"</formula>
    </cfRule>
    <cfRule type="expression" dxfId="22846" priority="3743">
      <formula>$C22="Ginger Purchase"</formula>
    </cfRule>
  </conditionalFormatting>
  <conditionalFormatting sqref="B22 B25 B28">
    <cfRule type="expression" dxfId="22845" priority="3744">
      <formula>$C22="Advance"</formula>
    </cfRule>
  </conditionalFormatting>
  <conditionalFormatting sqref="B22 B25 B28">
    <cfRule type="expression" dxfId="22844" priority="3725">
      <formula>$C22="Delivery charge"</formula>
    </cfRule>
    <cfRule type="expression" dxfId="22843" priority="3726">
      <formula>$C22="Staff Salary"</formula>
    </cfRule>
    <cfRule type="expression" dxfId="22842" priority="3727">
      <formula>$C22="Rent"</formula>
    </cfRule>
    <cfRule type="expression" dxfId="22841" priority="3728">
      <formula>$C22="Petrol"</formula>
    </cfRule>
    <cfRule type="expression" dxfId="22840" priority="3729">
      <formula>$C22="Bills"</formula>
    </cfRule>
    <cfRule type="expression" dxfId="22839" priority="3730">
      <formula>$C22="Sales"</formula>
    </cfRule>
    <cfRule type="expression" dxfId="22838" priority="3731">
      <formula>$C22="Expences"</formula>
    </cfRule>
    <cfRule type="expression" dxfId="22837" priority="3732">
      <formula>$C22="Garlic Purchase"</formula>
    </cfRule>
    <cfRule type="expression" dxfId="22836" priority="3733">
      <formula>$C22="Ginger Purchase"</formula>
    </cfRule>
  </conditionalFormatting>
  <conditionalFormatting sqref="B22 B25 B28">
    <cfRule type="expression" dxfId="22835" priority="3734">
      <formula>$C22="Advance"</formula>
    </cfRule>
  </conditionalFormatting>
  <conditionalFormatting sqref="B22 B25 B28">
    <cfRule type="expression" dxfId="22834" priority="3715">
      <formula>$C22="Delivery charge"</formula>
    </cfRule>
    <cfRule type="expression" dxfId="22833" priority="3716">
      <formula>$C22="Staff Salary"</formula>
    </cfRule>
    <cfRule type="expression" dxfId="22832" priority="3717">
      <formula>$C22="Rent"</formula>
    </cfRule>
    <cfRule type="expression" dxfId="22831" priority="3718">
      <formula>$C22="Petrol"</formula>
    </cfRule>
    <cfRule type="expression" dxfId="22830" priority="3719">
      <formula>$C22="Bills"</formula>
    </cfRule>
    <cfRule type="expression" dxfId="22829" priority="3720">
      <formula>$C22="Sales"</formula>
    </cfRule>
    <cfRule type="expression" dxfId="22828" priority="3721">
      <formula>$C22="Expences"</formula>
    </cfRule>
    <cfRule type="expression" dxfId="22827" priority="3722">
      <formula>$C22="Garlic Purchase"</formula>
    </cfRule>
    <cfRule type="expression" dxfId="22826" priority="3723">
      <formula>$C22="Ginger Purchase"</formula>
    </cfRule>
  </conditionalFormatting>
  <conditionalFormatting sqref="B22 B25 B28">
    <cfRule type="expression" dxfId="22825" priority="3724">
      <formula>$C22="Advance"</formula>
    </cfRule>
  </conditionalFormatting>
  <conditionalFormatting sqref="B21 B24 B27">
    <cfRule type="expression" dxfId="22824" priority="3705">
      <formula>$C21="Delivery charge"</formula>
    </cfRule>
    <cfRule type="expression" dxfId="22823" priority="3706">
      <formula>$C21="Staff Salary"</formula>
    </cfRule>
    <cfRule type="expression" dxfId="22822" priority="3707">
      <formula>$C21="Rent"</formula>
    </cfRule>
    <cfRule type="expression" dxfId="22821" priority="3708">
      <formula>$C21="Petrol"</formula>
    </cfRule>
    <cfRule type="expression" dxfId="22820" priority="3709">
      <formula>$C21="Bills"</formula>
    </cfRule>
    <cfRule type="expression" dxfId="22819" priority="3710">
      <formula>$C21="Sales"</formula>
    </cfRule>
    <cfRule type="expression" dxfId="22818" priority="3711">
      <formula>$C21="Expences"</formula>
    </cfRule>
    <cfRule type="expression" dxfId="22817" priority="3712">
      <formula>$C21="Garlic Purchase"</formula>
    </cfRule>
    <cfRule type="expression" dxfId="22816" priority="3713">
      <formula>$C21="Ginger Purchase"</formula>
    </cfRule>
  </conditionalFormatting>
  <conditionalFormatting sqref="B21 B24 B27">
    <cfRule type="expression" dxfId="22815" priority="3714">
      <formula>$C21="Advance"</formula>
    </cfRule>
  </conditionalFormatting>
  <conditionalFormatting sqref="B21 B24 B27">
    <cfRule type="expression" dxfId="22814" priority="3695">
      <formula>$C21="Delivery charge"</formula>
    </cfRule>
    <cfRule type="expression" dxfId="22813" priority="3696">
      <formula>$C21="Staff Salary"</formula>
    </cfRule>
    <cfRule type="expression" dxfId="22812" priority="3697">
      <formula>$C21="Rent"</formula>
    </cfRule>
    <cfRule type="expression" dxfId="22811" priority="3698">
      <formula>$C21="Petrol"</formula>
    </cfRule>
    <cfRule type="expression" dxfId="22810" priority="3699">
      <formula>$C21="Bills"</formula>
    </cfRule>
    <cfRule type="expression" dxfId="22809" priority="3700">
      <formula>$C21="Sales"</formula>
    </cfRule>
    <cfRule type="expression" dxfId="22808" priority="3701">
      <formula>$C21="Expences"</formula>
    </cfRule>
    <cfRule type="expression" dxfId="22807" priority="3702">
      <formula>$C21="Garlic Purchase"</formula>
    </cfRule>
    <cfRule type="expression" dxfId="22806" priority="3703">
      <formula>$C21="Ginger Purchase"</formula>
    </cfRule>
  </conditionalFormatting>
  <conditionalFormatting sqref="B21 B24 B27">
    <cfRule type="expression" dxfId="22805" priority="3704">
      <formula>$C21="Advance"</formula>
    </cfRule>
  </conditionalFormatting>
  <conditionalFormatting sqref="B21 B24 B27">
    <cfRule type="expression" dxfId="22804" priority="3685">
      <formula>$C21="Delivery charge"</formula>
    </cfRule>
    <cfRule type="expression" dxfId="22803" priority="3686">
      <formula>$C21="Staff Salary"</formula>
    </cfRule>
    <cfRule type="expression" dxfId="22802" priority="3687">
      <formula>$C21="Rent"</formula>
    </cfRule>
    <cfRule type="expression" dxfId="22801" priority="3688">
      <formula>$C21="Petrol"</formula>
    </cfRule>
    <cfRule type="expression" dxfId="22800" priority="3689">
      <formula>$C21="Bills"</formula>
    </cfRule>
    <cfRule type="expression" dxfId="22799" priority="3690">
      <formula>$C21="Sales"</formula>
    </cfRule>
    <cfRule type="expression" dxfId="22798" priority="3691">
      <formula>$C21="Expences"</formula>
    </cfRule>
    <cfRule type="expression" dxfId="22797" priority="3692">
      <formula>$C21="Garlic Purchase"</formula>
    </cfRule>
    <cfRule type="expression" dxfId="22796" priority="3693">
      <formula>$C21="Ginger Purchase"</formula>
    </cfRule>
  </conditionalFormatting>
  <conditionalFormatting sqref="B21 B24 B27">
    <cfRule type="expression" dxfId="22795" priority="3694">
      <formula>$C21="Advance"</formula>
    </cfRule>
  </conditionalFormatting>
  <conditionalFormatting sqref="B21 B24 B27">
    <cfRule type="expression" dxfId="22794" priority="3675">
      <formula>$C21="Delivery charge"</formula>
    </cfRule>
    <cfRule type="expression" dxfId="22793" priority="3676">
      <formula>$C21="Staff Salary"</formula>
    </cfRule>
    <cfRule type="expression" dxfId="22792" priority="3677">
      <formula>$C21="Rent"</formula>
    </cfRule>
    <cfRule type="expression" dxfId="22791" priority="3678">
      <formula>$C21="Petrol"</formula>
    </cfRule>
    <cfRule type="expression" dxfId="22790" priority="3679">
      <formula>$C21="Bills"</formula>
    </cfRule>
    <cfRule type="expression" dxfId="22789" priority="3680">
      <formula>$C21="Sales"</formula>
    </cfRule>
    <cfRule type="expression" dxfId="22788" priority="3681">
      <formula>$C21="Expences"</formula>
    </cfRule>
    <cfRule type="expression" dxfId="22787" priority="3682">
      <formula>$C21="Garlic Purchase"</formula>
    </cfRule>
    <cfRule type="expression" dxfId="22786" priority="3683">
      <formula>$C21="Ginger Purchase"</formula>
    </cfRule>
  </conditionalFormatting>
  <conditionalFormatting sqref="B21 B24 B27">
    <cfRule type="expression" dxfId="22785" priority="3684">
      <formula>$C21="Advance"</formula>
    </cfRule>
  </conditionalFormatting>
  <conditionalFormatting sqref="B22 B25 B28">
    <cfRule type="expression" dxfId="22784" priority="3665">
      <formula>$C22="Delivery charge"</formula>
    </cfRule>
    <cfRule type="expression" dxfId="22783" priority="3666">
      <formula>$C22="Staff Salary"</formula>
    </cfRule>
    <cfRule type="expression" dxfId="22782" priority="3667">
      <formula>$C22="Rent"</formula>
    </cfRule>
    <cfRule type="expression" dxfId="22781" priority="3668">
      <formula>$C22="Petrol"</formula>
    </cfRule>
    <cfRule type="expression" dxfId="22780" priority="3669">
      <formula>$C22="Bills"</formula>
    </cfRule>
    <cfRule type="expression" dxfId="22779" priority="3670">
      <formula>$C22="Sales"</formula>
    </cfRule>
    <cfRule type="expression" dxfId="22778" priority="3671">
      <formula>$C22="Expences"</formula>
    </cfRule>
    <cfRule type="expression" dxfId="22777" priority="3672">
      <formula>$C22="Garlic Purchase"</formula>
    </cfRule>
    <cfRule type="expression" dxfId="22776" priority="3673">
      <formula>$C22="Ginger Purchase"</formula>
    </cfRule>
  </conditionalFormatting>
  <conditionalFormatting sqref="B22 B25 B28">
    <cfRule type="expression" dxfId="22775" priority="3674">
      <formula>$C22="Advance"</formula>
    </cfRule>
  </conditionalFormatting>
  <conditionalFormatting sqref="B21 B24 B27">
    <cfRule type="expression" dxfId="22774" priority="3655">
      <formula>$C21="Delivery charge"</formula>
    </cfRule>
    <cfRule type="expression" dxfId="22773" priority="3656">
      <formula>$C21="Staff Salary"</formula>
    </cfRule>
    <cfRule type="expression" dxfId="22772" priority="3657">
      <formula>$C21="Rent"</formula>
    </cfRule>
    <cfRule type="expression" dxfId="22771" priority="3658">
      <formula>$C21="Petrol"</formula>
    </cfRule>
    <cfRule type="expression" dxfId="22770" priority="3659">
      <formula>$C21="Bills"</formula>
    </cfRule>
    <cfRule type="expression" dxfId="22769" priority="3660">
      <formula>$C21="Sales"</formula>
    </cfRule>
    <cfRule type="expression" dxfId="22768" priority="3661">
      <formula>$C21="Expences"</formula>
    </cfRule>
    <cfRule type="expression" dxfId="22767" priority="3662">
      <formula>$C21="Garlic Purchase"</formula>
    </cfRule>
    <cfRule type="expression" dxfId="22766" priority="3663">
      <formula>$C21="Ginger Purchase"</formula>
    </cfRule>
  </conditionalFormatting>
  <conditionalFormatting sqref="B21 B24 B27">
    <cfRule type="expression" dxfId="22765" priority="3664">
      <formula>$C21="Advance"</formula>
    </cfRule>
  </conditionalFormatting>
  <conditionalFormatting sqref="B21 B24 B27">
    <cfRule type="expression" dxfId="22764" priority="3645">
      <formula>$C21="Delivery charge"</formula>
    </cfRule>
    <cfRule type="expression" dxfId="22763" priority="3646">
      <formula>$C21="Staff Salary"</formula>
    </cfRule>
    <cfRule type="expression" dxfId="22762" priority="3647">
      <formula>$C21="Rent"</formula>
    </cfRule>
    <cfRule type="expression" dxfId="22761" priority="3648">
      <formula>$C21="Petrol"</formula>
    </cfRule>
    <cfRule type="expression" dxfId="22760" priority="3649">
      <formula>$C21="Bills"</formula>
    </cfRule>
    <cfRule type="expression" dxfId="22759" priority="3650">
      <formula>$C21="Sales"</formula>
    </cfRule>
    <cfRule type="expression" dxfId="22758" priority="3651">
      <formula>$C21="Expences"</formula>
    </cfRule>
    <cfRule type="expression" dxfId="22757" priority="3652">
      <formula>$C21="Garlic Purchase"</formula>
    </cfRule>
    <cfRule type="expression" dxfId="22756" priority="3653">
      <formula>$C21="Ginger Purchase"</formula>
    </cfRule>
  </conditionalFormatting>
  <conditionalFormatting sqref="B21 B24 B27">
    <cfRule type="expression" dxfId="22755" priority="3654">
      <formula>$C21="Advance"</formula>
    </cfRule>
  </conditionalFormatting>
  <conditionalFormatting sqref="B21 B24 B27">
    <cfRule type="expression" dxfId="22754" priority="3635">
      <formula>$C21="Delivery charge"</formula>
    </cfRule>
    <cfRule type="expression" dxfId="22753" priority="3636">
      <formula>$C21="Staff Salary"</formula>
    </cfRule>
    <cfRule type="expression" dxfId="22752" priority="3637">
      <formula>$C21="Rent"</formula>
    </cfRule>
    <cfRule type="expression" dxfId="22751" priority="3638">
      <formula>$C21="Petrol"</formula>
    </cfRule>
    <cfRule type="expression" dxfId="22750" priority="3639">
      <formula>$C21="Bills"</formula>
    </cfRule>
    <cfRule type="expression" dxfId="22749" priority="3640">
      <formula>$C21="Sales"</formula>
    </cfRule>
    <cfRule type="expression" dxfId="22748" priority="3641">
      <formula>$C21="Expences"</formula>
    </cfRule>
    <cfRule type="expression" dxfId="22747" priority="3642">
      <formula>$C21="Garlic Purchase"</formula>
    </cfRule>
    <cfRule type="expression" dxfId="22746" priority="3643">
      <formula>$C21="Ginger Purchase"</formula>
    </cfRule>
  </conditionalFormatting>
  <conditionalFormatting sqref="B21 B24 B27">
    <cfRule type="expression" dxfId="22745" priority="3644">
      <formula>$C21="Advance"</formula>
    </cfRule>
  </conditionalFormatting>
  <conditionalFormatting sqref="B21 B24 B27">
    <cfRule type="expression" dxfId="22744" priority="3625">
      <formula>$C21="Delivery charge"</formula>
    </cfRule>
    <cfRule type="expression" dxfId="22743" priority="3626">
      <formula>$C21="Staff Salary"</formula>
    </cfRule>
    <cfRule type="expression" dxfId="22742" priority="3627">
      <formula>$C21="Rent"</formula>
    </cfRule>
    <cfRule type="expression" dxfId="22741" priority="3628">
      <formula>$C21="Petrol"</formula>
    </cfRule>
    <cfRule type="expression" dxfId="22740" priority="3629">
      <formula>$C21="Bills"</formula>
    </cfRule>
    <cfRule type="expression" dxfId="22739" priority="3630">
      <formula>$C21="Sales"</formula>
    </cfRule>
    <cfRule type="expression" dxfId="22738" priority="3631">
      <formula>$C21="Expences"</formula>
    </cfRule>
    <cfRule type="expression" dxfId="22737" priority="3632">
      <formula>$C21="Garlic Purchase"</formula>
    </cfRule>
    <cfRule type="expression" dxfId="22736" priority="3633">
      <formula>$C21="Ginger Purchase"</formula>
    </cfRule>
  </conditionalFormatting>
  <conditionalFormatting sqref="B21 B24 B27">
    <cfRule type="expression" dxfId="22735" priority="3634">
      <formula>$C21="Advance"</formula>
    </cfRule>
  </conditionalFormatting>
  <conditionalFormatting sqref="B21 B24 B27">
    <cfRule type="expression" dxfId="22734" priority="3615">
      <formula>$C21="Delivery charge"</formula>
    </cfRule>
    <cfRule type="expression" dxfId="22733" priority="3616">
      <formula>$C21="Staff Salary"</formula>
    </cfRule>
    <cfRule type="expression" dxfId="22732" priority="3617">
      <formula>$C21="Rent"</formula>
    </cfRule>
    <cfRule type="expression" dxfId="22731" priority="3618">
      <formula>$C21="Petrol"</formula>
    </cfRule>
    <cfRule type="expression" dxfId="22730" priority="3619">
      <formula>$C21="Bills"</formula>
    </cfRule>
    <cfRule type="expression" dxfId="22729" priority="3620">
      <formula>$C21="Sales"</formula>
    </cfRule>
    <cfRule type="expression" dxfId="22728" priority="3621">
      <formula>$C21="Expences"</formula>
    </cfRule>
    <cfRule type="expression" dxfId="22727" priority="3622">
      <formula>$C21="Garlic Purchase"</formula>
    </cfRule>
    <cfRule type="expression" dxfId="22726" priority="3623">
      <formula>$C21="Ginger Purchase"</formula>
    </cfRule>
  </conditionalFormatting>
  <conditionalFormatting sqref="B21 B24 B27">
    <cfRule type="expression" dxfId="22725" priority="3624">
      <formula>$C21="Advance"</formula>
    </cfRule>
  </conditionalFormatting>
  <conditionalFormatting sqref="B22 B25 B28">
    <cfRule type="expression" dxfId="22724" priority="3605">
      <formula>$C22="Delivery charge"</formula>
    </cfRule>
    <cfRule type="expression" dxfId="22723" priority="3606">
      <formula>$C22="Staff Salary"</formula>
    </cfRule>
    <cfRule type="expression" dxfId="22722" priority="3607">
      <formula>$C22="Rent"</formula>
    </cfRule>
    <cfRule type="expression" dxfId="22721" priority="3608">
      <formula>$C22="Petrol"</formula>
    </cfRule>
    <cfRule type="expression" dxfId="22720" priority="3609">
      <formula>$C22="Bills"</formula>
    </cfRule>
    <cfRule type="expression" dxfId="22719" priority="3610">
      <formula>$C22="Sales"</formula>
    </cfRule>
    <cfRule type="expression" dxfId="22718" priority="3611">
      <formula>$C22="Expences"</formula>
    </cfRule>
    <cfRule type="expression" dxfId="22717" priority="3612">
      <formula>$C22="Garlic Purchase"</formula>
    </cfRule>
    <cfRule type="expression" dxfId="22716" priority="3613">
      <formula>$C22="Ginger Purchase"</formula>
    </cfRule>
  </conditionalFormatting>
  <conditionalFormatting sqref="B22 B25 B28">
    <cfRule type="expression" dxfId="22715" priority="3614">
      <formula>$C22="Advance"</formula>
    </cfRule>
  </conditionalFormatting>
  <conditionalFormatting sqref="B22 B25 B28">
    <cfRule type="expression" dxfId="22714" priority="3595">
      <formula>$C22="Delivery charge"</formula>
    </cfRule>
    <cfRule type="expression" dxfId="22713" priority="3596">
      <formula>$C22="Staff Salary"</formula>
    </cfRule>
    <cfRule type="expression" dxfId="22712" priority="3597">
      <formula>$C22="Rent"</formula>
    </cfRule>
    <cfRule type="expression" dxfId="22711" priority="3598">
      <formula>$C22="Petrol"</formula>
    </cfRule>
    <cfRule type="expression" dxfId="22710" priority="3599">
      <formula>$C22="Bills"</formula>
    </cfRule>
    <cfRule type="expression" dxfId="22709" priority="3600">
      <formula>$C22="Sales"</formula>
    </cfRule>
    <cfRule type="expression" dxfId="22708" priority="3601">
      <formula>$C22="Expences"</formula>
    </cfRule>
    <cfRule type="expression" dxfId="22707" priority="3602">
      <formula>$C22="Garlic Purchase"</formula>
    </cfRule>
    <cfRule type="expression" dxfId="22706" priority="3603">
      <formula>$C22="Ginger Purchase"</formula>
    </cfRule>
  </conditionalFormatting>
  <conditionalFormatting sqref="B22 B25 B28">
    <cfRule type="expression" dxfId="22705" priority="3604">
      <formula>$C22="Advance"</formula>
    </cfRule>
  </conditionalFormatting>
  <conditionalFormatting sqref="B22 B25 B28">
    <cfRule type="expression" dxfId="22704" priority="3585">
      <formula>$C22="Delivery charge"</formula>
    </cfRule>
    <cfRule type="expression" dxfId="22703" priority="3586">
      <formula>$C22="Staff Salary"</formula>
    </cfRule>
    <cfRule type="expression" dxfId="22702" priority="3587">
      <formula>$C22="Rent"</formula>
    </cfRule>
    <cfRule type="expression" dxfId="22701" priority="3588">
      <formula>$C22="Petrol"</formula>
    </cfRule>
    <cfRule type="expression" dxfId="22700" priority="3589">
      <formula>$C22="Bills"</formula>
    </cfRule>
    <cfRule type="expression" dxfId="22699" priority="3590">
      <formula>$C22="Sales"</formula>
    </cfRule>
    <cfRule type="expression" dxfId="22698" priority="3591">
      <formula>$C22="Expences"</formula>
    </cfRule>
    <cfRule type="expression" dxfId="22697" priority="3592">
      <formula>$C22="Garlic Purchase"</formula>
    </cfRule>
    <cfRule type="expression" dxfId="22696" priority="3593">
      <formula>$C22="Ginger Purchase"</formula>
    </cfRule>
  </conditionalFormatting>
  <conditionalFormatting sqref="B22 B25 B28">
    <cfRule type="expression" dxfId="22695" priority="3594">
      <formula>$C22="Advance"</formula>
    </cfRule>
  </conditionalFormatting>
  <conditionalFormatting sqref="B22 B25 B28">
    <cfRule type="expression" dxfId="22694" priority="3575">
      <formula>$C22="Delivery charge"</formula>
    </cfRule>
    <cfRule type="expression" dxfId="22693" priority="3576">
      <formula>$C22="Staff Salary"</formula>
    </cfRule>
    <cfRule type="expression" dxfId="22692" priority="3577">
      <formula>$C22="Rent"</formula>
    </cfRule>
    <cfRule type="expression" dxfId="22691" priority="3578">
      <formula>$C22="Petrol"</formula>
    </cfRule>
    <cfRule type="expression" dxfId="22690" priority="3579">
      <formula>$C22="Bills"</formula>
    </cfRule>
    <cfRule type="expression" dxfId="22689" priority="3580">
      <formula>$C22="Sales"</formula>
    </cfRule>
    <cfRule type="expression" dxfId="22688" priority="3581">
      <formula>$C22="Expences"</formula>
    </cfRule>
    <cfRule type="expression" dxfId="22687" priority="3582">
      <formula>$C22="Garlic Purchase"</formula>
    </cfRule>
    <cfRule type="expression" dxfId="22686" priority="3583">
      <formula>$C22="Ginger Purchase"</formula>
    </cfRule>
  </conditionalFormatting>
  <conditionalFormatting sqref="B22 B25 B28">
    <cfRule type="expression" dxfId="22685" priority="3584">
      <formula>$C22="Advance"</formula>
    </cfRule>
  </conditionalFormatting>
  <conditionalFormatting sqref="B22 B25 B28">
    <cfRule type="expression" dxfId="22684" priority="3565">
      <formula>$C22="Delivery charge"</formula>
    </cfRule>
    <cfRule type="expression" dxfId="22683" priority="3566">
      <formula>$C22="Staff Salary"</formula>
    </cfRule>
    <cfRule type="expression" dxfId="22682" priority="3567">
      <formula>$C22="Rent"</formula>
    </cfRule>
    <cfRule type="expression" dxfId="22681" priority="3568">
      <formula>$C22="Petrol"</formula>
    </cfRule>
    <cfRule type="expression" dxfId="22680" priority="3569">
      <formula>$C22="Bills"</formula>
    </cfRule>
    <cfRule type="expression" dxfId="22679" priority="3570">
      <formula>$C22="Sales"</formula>
    </cfRule>
    <cfRule type="expression" dxfId="22678" priority="3571">
      <formula>$C22="Expences"</formula>
    </cfRule>
    <cfRule type="expression" dxfId="22677" priority="3572">
      <formula>$C22="Garlic Purchase"</formula>
    </cfRule>
    <cfRule type="expression" dxfId="22676" priority="3573">
      <formula>$C22="Ginger Purchase"</formula>
    </cfRule>
  </conditionalFormatting>
  <conditionalFormatting sqref="B22 B25 B28">
    <cfRule type="expression" dxfId="22675" priority="3574">
      <formula>$C22="Advance"</formula>
    </cfRule>
  </conditionalFormatting>
  <conditionalFormatting sqref="B21 B24 B27">
    <cfRule type="expression" dxfId="22674" priority="3555">
      <formula>$C21="Delivery charge"</formula>
    </cfRule>
    <cfRule type="expression" dxfId="22673" priority="3556">
      <formula>$C21="Staff Salary"</formula>
    </cfRule>
    <cfRule type="expression" dxfId="22672" priority="3557">
      <formula>$C21="Rent"</formula>
    </cfRule>
    <cfRule type="expression" dxfId="22671" priority="3558">
      <formula>$C21="Petrol"</formula>
    </cfRule>
    <cfRule type="expression" dxfId="22670" priority="3559">
      <formula>$C21="Bills"</formula>
    </cfRule>
    <cfRule type="expression" dxfId="22669" priority="3560">
      <formula>$C21="Sales"</formula>
    </cfRule>
    <cfRule type="expression" dxfId="22668" priority="3561">
      <formula>$C21="Expences"</formula>
    </cfRule>
    <cfRule type="expression" dxfId="22667" priority="3562">
      <formula>$C21="Garlic Purchase"</formula>
    </cfRule>
    <cfRule type="expression" dxfId="22666" priority="3563">
      <formula>$C21="Ginger Purchase"</formula>
    </cfRule>
  </conditionalFormatting>
  <conditionalFormatting sqref="B21 B24 B27">
    <cfRule type="expression" dxfId="22665" priority="3564">
      <formula>$C21="Advance"</formula>
    </cfRule>
  </conditionalFormatting>
  <conditionalFormatting sqref="B22 B25 B28">
    <cfRule type="expression" dxfId="22664" priority="3545">
      <formula>$C22="Delivery charge"</formula>
    </cfRule>
    <cfRule type="expression" dxfId="22663" priority="3546">
      <formula>$C22="Staff Salary"</formula>
    </cfRule>
    <cfRule type="expression" dxfId="22662" priority="3547">
      <formula>$C22="Rent"</formula>
    </cfRule>
    <cfRule type="expression" dxfId="22661" priority="3548">
      <formula>$C22="Petrol"</formula>
    </cfRule>
    <cfRule type="expression" dxfId="22660" priority="3549">
      <formula>$C22="Bills"</formula>
    </cfRule>
    <cfRule type="expression" dxfId="22659" priority="3550">
      <formula>$C22="Sales"</formula>
    </cfRule>
    <cfRule type="expression" dxfId="22658" priority="3551">
      <formula>$C22="Expences"</formula>
    </cfRule>
    <cfRule type="expression" dxfId="22657" priority="3552">
      <formula>$C22="Garlic Purchase"</formula>
    </cfRule>
    <cfRule type="expression" dxfId="22656" priority="3553">
      <formula>$C22="Ginger Purchase"</formula>
    </cfRule>
  </conditionalFormatting>
  <conditionalFormatting sqref="B22 B25 B28">
    <cfRule type="expression" dxfId="22655" priority="3554">
      <formula>$C22="Advance"</formula>
    </cfRule>
  </conditionalFormatting>
  <conditionalFormatting sqref="B22 B25 B28">
    <cfRule type="expression" dxfId="22654" priority="3535">
      <formula>$C22="Delivery charge"</formula>
    </cfRule>
    <cfRule type="expression" dxfId="22653" priority="3536">
      <formula>$C22="Staff Salary"</formula>
    </cfRule>
    <cfRule type="expression" dxfId="22652" priority="3537">
      <formula>$C22="Rent"</formula>
    </cfRule>
    <cfRule type="expression" dxfId="22651" priority="3538">
      <formula>$C22="Petrol"</formula>
    </cfRule>
    <cfRule type="expression" dxfId="22650" priority="3539">
      <formula>$C22="Bills"</formula>
    </cfRule>
    <cfRule type="expression" dxfId="22649" priority="3540">
      <formula>$C22="Sales"</formula>
    </cfRule>
    <cfRule type="expression" dxfId="22648" priority="3541">
      <formula>$C22="Expences"</formula>
    </cfRule>
    <cfRule type="expression" dxfId="22647" priority="3542">
      <formula>$C22="Garlic Purchase"</formula>
    </cfRule>
    <cfRule type="expression" dxfId="22646" priority="3543">
      <formula>$C22="Ginger Purchase"</formula>
    </cfRule>
  </conditionalFormatting>
  <conditionalFormatting sqref="B22 B25 B28">
    <cfRule type="expression" dxfId="22645" priority="3544">
      <formula>$C22="Advance"</formula>
    </cfRule>
  </conditionalFormatting>
  <conditionalFormatting sqref="B22 B25 B28">
    <cfRule type="expression" dxfId="22644" priority="3525">
      <formula>$C22="Delivery charge"</formula>
    </cfRule>
    <cfRule type="expression" dxfId="22643" priority="3526">
      <formula>$C22="Staff Salary"</formula>
    </cfRule>
    <cfRule type="expression" dxfId="22642" priority="3527">
      <formula>$C22="Rent"</formula>
    </cfRule>
    <cfRule type="expression" dxfId="22641" priority="3528">
      <formula>$C22="Petrol"</formula>
    </cfRule>
    <cfRule type="expression" dxfId="22640" priority="3529">
      <formula>$C22="Bills"</formula>
    </cfRule>
    <cfRule type="expression" dxfId="22639" priority="3530">
      <formula>$C22="Sales"</formula>
    </cfRule>
    <cfRule type="expression" dxfId="22638" priority="3531">
      <formula>$C22="Expences"</formula>
    </cfRule>
    <cfRule type="expression" dxfId="22637" priority="3532">
      <formula>$C22="Garlic Purchase"</formula>
    </cfRule>
    <cfRule type="expression" dxfId="22636" priority="3533">
      <formula>$C22="Ginger Purchase"</formula>
    </cfRule>
  </conditionalFormatting>
  <conditionalFormatting sqref="B22 B25 B28">
    <cfRule type="expression" dxfId="22635" priority="3534">
      <formula>$C22="Advance"</formula>
    </cfRule>
  </conditionalFormatting>
  <conditionalFormatting sqref="B22 B25 B28">
    <cfRule type="expression" dxfId="22634" priority="3515">
      <formula>$C22="Delivery charge"</formula>
    </cfRule>
    <cfRule type="expression" dxfId="22633" priority="3516">
      <formula>$C22="Staff Salary"</formula>
    </cfRule>
    <cfRule type="expression" dxfId="22632" priority="3517">
      <formula>$C22="Rent"</formula>
    </cfRule>
    <cfRule type="expression" dxfId="22631" priority="3518">
      <formula>$C22="Petrol"</formula>
    </cfRule>
    <cfRule type="expression" dxfId="22630" priority="3519">
      <formula>$C22="Bills"</formula>
    </cfRule>
    <cfRule type="expression" dxfId="22629" priority="3520">
      <formula>$C22="Sales"</formula>
    </cfRule>
    <cfRule type="expression" dxfId="22628" priority="3521">
      <formula>$C22="Expences"</formula>
    </cfRule>
    <cfRule type="expression" dxfId="22627" priority="3522">
      <formula>$C22="Garlic Purchase"</formula>
    </cfRule>
    <cfRule type="expression" dxfId="22626" priority="3523">
      <formula>$C22="Ginger Purchase"</formula>
    </cfRule>
  </conditionalFormatting>
  <conditionalFormatting sqref="B22 B25 B28">
    <cfRule type="expression" dxfId="22625" priority="3524">
      <formula>$C22="Advance"</formula>
    </cfRule>
  </conditionalFormatting>
  <conditionalFormatting sqref="B22 B25 B28">
    <cfRule type="expression" dxfId="22624" priority="3505">
      <formula>$C22="Delivery charge"</formula>
    </cfRule>
    <cfRule type="expression" dxfId="22623" priority="3506">
      <formula>$C22="Staff Salary"</formula>
    </cfRule>
    <cfRule type="expression" dxfId="22622" priority="3507">
      <formula>$C22="Rent"</formula>
    </cfRule>
    <cfRule type="expression" dxfId="22621" priority="3508">
      <formula>$C22="Petrol"</formula>
    </cfRule>
    <cfRule type="expression" dxfId="22620" priority="3509">
      <formula>$C22="Bills"</formula>
    </cfRule>
    <cfRule type="expression" dxfId="22619" priority="3510">
      <formula>$C22="Sales"</formula>
    </cfRule>
    <cfRule type="expression" dxfId="22618" priority="3511">
      <formula>$C22="Expences"</formula>
    </cfRule>
    <cfRule type="expression" dxfId="22617" priority="3512">
      <formula>$C22="Garlic Purchase"</formula>
    </cfRule>
    <cfRule type="expression" dxfId="22616" priority="3513">
      <formula>$C22="Ginger Purchase"</formula>
    </cfRule>
  </conditionalFormatting>
  <conditionalFormatting sqref="B22 B25 B28">
    <cfRule type="expression" dxfId="22615" priority="3514">
      <formula>$C22="Advance"</formula>
    </cfRule>
  </conditionalFormatting>
  <conditionalFormatting sqref="B22 B25 B28">
    <cfRule type="expression" dxfId="22614" priority="3495">
      <formula>$C22="Delivery charge"</formula>
    </cfRule>
    <cfRule type="expression" dxfId="22613" priority="3496">
      <formula>$C22="Staff Salary"</formula>
    </cfRule>
    <cfRule type="expression" dxfId="22612" priority="3497">
      <formula>$C22="Rent"</formula>
    </cfRule>
    <cfRule type="expression" dxfId="22611" priority="3498">
      <formula>$C22="Petrol"</formula>
    </cfRule>
    <cfRule type="expression" dxfId="22610" priority="3499">
      <formula>$C22="Bills"</formula>
    </cfRule>
    <cfRule type="expression" dxfId="22609" priority="3500">
      <formula>$C22="Sales"</formula>
    </cfRule>
    <cfRule type="expression" dxfId="22608" priority="3501">
      <formula>$C22="Expences"</formula>
    </cfRule>
    <cfRule type="expression" dxfId="22607" priority="3502">
      <formula>$C22="Garlic Purchase"</formula>
    </cfRule>
    <cfRule type="expression" dxfId="22606" priority="3503">
      <formula>$C22="Ginger Purchase"</formula>
    </cfRule>
  </conditionalFormatting>
  <conditionalFormatting sqref="B22 B25 B28">
    <cfRule type="expression" dxfId="22605" priority="3504">
      <formula>$C22="Advance"</formula>
    </cfRule>
  </conditionalFormatting>
  <conditionalFormatting sqref="B22 B25 B28">
    <cfRule type="expression" dxfId="22604" priority="3485">
      <formula>$C22="Delivery charge"</formula>
    </cfRule>
    <cfRule type="expression" dxfId="22603" priority="3486">
      <formula>$C22="Staff Salary"</formula>
    </cfRule>
    <cfRule type="expression" dxfId="22602" priority="3487">
      <formula>$C22="Rent"</formula>
    </cfRule>
    <cfRule type="expression" dxfId="22601" priority="3488">
      <formula>$C22="Petrol"</formula>
    </cfRule>
    <cfRule type="expression" dxfId="22600" priority="3489">
      <formula>$C22="Bills"</formula>
    </cfRule>
    <cfRule type="expression" dxfId="22599" priority="3490">
      <formula>$C22="Sales"</formula>
    </cfRule>
    <cfRule type="expression" dxfId="22598" priority="3491">
      <formula>$C22="Expences"</formula>
    </cfRule>
    <cfRule type="expression" dxfId="22597" priority="3492">
      <formula>$C22="Garlic Purchase"</formula>
    </cfRule>
    <cfRule type="expression" dxfId="22596" priority="3493">
      <formula>$C22="Ginger Purchase"</formula>
    </cfRule>
  </conditionalFormatting>
  <conditionalFormatting sqref="B22 B25 B28">
    <cfRule type="expression" dxfId="22595" priority="3494">
      <formula>$C22="Advance"</formula>
    </cfRule>
  </conditionalFormatting>
  <conditionalFormatting sqref="B22 B25 B28">
    <cfRule type="expression" dxfId="22594" priority="3475">
      <formula>$C22="Delivery charge"</formula>
    </cfRule>
    <cfRule type="expression" dxfId="22593" priority="3476">
      <formula>$C22="Staff Salary"</formula>
    </cfRule>
    <cfRule type="expression" dxfId="22592" priority="3477">
      <formula>$C22="Rent"</formula>
    </cfRule>
    <cfRule type="expression" dxfId="22591" priority="3478">
      <formula>$C22="Petrol"</formula>
    </cfRule>
    <cfRule type="expression" dxfId="22590" priority="3479">
      <formula>$C22="Bills"</formula>
    </cfRule>
    <cfRule type="expression" dxfId="22589" priority="3480">
      <formula>$C22="Sales"</formula>
    </cfRule>
    <cfRule type="expression" dxfId="22588" priority="3481">
      <formula>$C22="Expences"</formula>
    </cfRule>
    <cfRule type="expression" dxfId="22587" priority="3482">
      <formula>$C22="Garlic Purchase"</formula>
    </cfRule>
    <cfRule type="expression" dxfId="22586" priority="3483">
      <formula>$C22="Ginger Purchase"</formula>
    </cfRule>
  </conditionalFormatting>
  <conditionalFormatting sqref="B22 B25 B28">
    <cfRule type="expression" dxfId="22585" priority="3484">
      <formula>$C22="Advance"</formula>
    </cfRule>
  </conditionalFormatting>
  <conditionalFormatting sqref="B22 B25 B28">
    <cfRule type="expression" dxfId="22584" priority="3465">
      <formula>$C22="Delivery charge"</formula>
    </cfRule>
    <cfRule type="expression" dxfId="22583" priority="3466">
      <formula>$C22="Staff Salary"</formula>
    </cfRule>
    <cfRule type="expression" dxfId="22582" priority="3467">
      <formula>$C22="Rent"</formula>
    </cfRule>
    <cfRule type="expression" dxfId="22581" priority="3468">
      <formula>$C22="Petrol"</formula>
    </cfRule>
    <cfRule type="expression" dxfId="22580" priority="3469">
      <formula>$C22="Bills"</formula>
    </cfRule>
    <cfRule type="expression" dxfId="22579" priority="3470">
      <formula>$C22="Sales"</formula>
    </cfRule>
    <cfRule type="expression" dxfId="22578" priority="3471">
      <formula>$C22="Expences"</formula>
    </cfRule>
    <cfRule type="expression" dxfId="22577" priority="3472">
      <formula>$C22="Garlic Purchase"</formula>
    </cfRule>
    <cfRule type="expression" dxfId="22576" priority="3473">
      <formula>$C22="Ginger Purchase"</formula>
    </cfRule>
  </conditionalFormatting>
  <conditionalFormatting sqref="B22 B25 B28">
    <cfRule type="expression" dxfId="22575" priority="3474">
      <formula>$C22="Advance"</formula>
    </cfRule>
  </conditionalFormatting>
  <conditionalFormatting sqref="A21:A28">
    <cfRule type="expression" dxfId="22574" priority="3464">
      <formula>$C21="Advance"</formula>
    </cfRule>
  </conditionalFormatting>
  <conditionalFormatting sqref="B25 B28">
    <cfRule type="expression" dxfId="22573" priority="3463">
      <formula>$C25="Advance"</formula>
    </cfRule>
  </conditionalFormatting>
  <conditionalFormatting sqref="B25 B28">
    <cfRule type="expression" dxfId="22572" priority="3454">
      <formula>$C25="Delivery charge"</formula>
    </cfRule>
    <cfRule type="expression" dxfId="22571" priority="3455">
      <formula>$C25="Staff Salary"</formula>
    </cfRule>
    <cfRule type="expression" dxfId="22570" priority="3456">
      <formula>$C25="Rent"</formula>
    </cfRule>
    <cfRule type="expression" dxfId="22569" priority="3457">
      <formula>$C25="Petrol"</formula>
    </cfRule>
    <cfRule type="expression" dxfId="22568" priority="3458">
      <formula>$C25="Bills"</formula>
    </cfRule>
    <cfRule type="expression" dxfId="22567" priority="3459">
      <formula>$C25="Sales"</formula>
    </cfRule>
    <cfRule type="expression" dxfId="22566" priority="3460">
      <formula>$C25="Expences"</formula>
    </cfRule>
    <cfRule type="expression" dxfId="22565" priority="3461">
      <formula>$C25="Garlic Purchase"</formula>
    </cfRule>
    <cfRule type="expression" dxfId="22564" priority="3462">
      <formula>$C25="Ginger Purchase"</formula>
    </cfRule>
  </conditionalFormatting>
  <conditionalFormatting sqref="B25 B28">
    <cfRule type="expression" dxfId="22563" priority="3444">
      <formula>$C25="Delivery charge"</formula>
    </cfRule>
    <cfRule type="expression" dxfId="22562" priority="3445">
      <formula>$C25="Staff Salary"</formula>
    </cfRule>
    <cfRule type="expression" dxfId="22561" priority="3446">
      <formula>$C25="Rent"</formula>
    </cfRule>
    <cfRule type="expression" dxfId="22560" priority="3447">
      <formula>$C25="Petrol"</formula>
    </cfRule>
    <cfRule type="expression" dxfId="22559" priority="3448">
      <formula>$C25="Bills"</formula>
    </cfRule>
    <cfRule type="expression" dxfId="22558" priority="3449">
      <formula>$C25="Sales"</formula>
    </cfRule>
    <cfRule type="expression" dxfId="22557" priority="3450">
      <formula>$C25="Expences"</formula>
    </cfRule>
    <cfRule type="expression" dxfId="22556" priority="3451">
      <formula>$C25="Garlic Purchase"</formula>
    </cfRule>
    <cfRule type="expression" dxfId="22555" priority="3452">
      <formula>$C25="Ginger Purchase"</formula>
    </cfRule>
  </conditionalFormatting>
  <conditionalFormatting sqref="B25 B28">
    <cfRule type="expression" dxfId="22554" priority="3453">
      <formula>$C25="Advance"</formula>
    </cfRule>
  </conditionalFormatting>
  <conditionalFormatting sqref="B25 B28">
    <cfRule type="expression" dxfId="22553" priority="3434">
      <formula>$C25="Delivery charge"</formula>
    </cfRule>
    <cfRule type="expression" dxfId="22552" priority="3435">
      <formula>$C25="Staff Salary"</formula>
    </cfRule>
    <cfRule type="expression" dxfId="22551" priority="3436">
      <formula>$C25="Rent"</formula>
    </cfRule>
    <cfRule type="expression" dxfId="22550" priority="3437">
      <formula>$C25="Petrol"</formula>
    </cfRule>
    <cfRule type="expression" dxfId="22549" priority="3438">
      <formula>$C25="Bills"</formula>
    </cfRule>
    <cfRule type="expression" dxfId="22548" priority="3439">
      <formula>$C25="Sales"</formula>
    </cfRule>
    <cfRule type="expression" dxfId="22547" priority="3440">
      <formula>$C25="Expences"</formula>
    </cfRule>
    <cfRule type="expression" dxfId="22546" priority="3441">
      <formula>$C25="Garlic Purchase"</formula>
    </cfRule>
    <cfRule type="expression" dxfId="22545" priority="3442">
      <formula>$C25="Ginger Purchase"</formula>
    </cfRule>
  </conditionalFormatting>
  <conditionalFormatting sqref="B25 B28">
    <cfRule type="expression" dxfId="22544" priority="3443">
      <formula>$C25="Advance"</formula>
    </cfRule>
  </conditionalFormatting>
  <conditionalFormatting sqref="B25 B28">
    <cfRule type="expression" dxfId="22543" priority="3424">
      <formula>$C25="Delivery charge"</formula>
    </cfRule>
    <cfRule type="expression" dxfId="22542" priority="3425">
      <formula>$C25="Staff Salary"</formula>
    </cfRule>
    <cfRule type="expression" dxfId="22541" priority="3426">
      <formula>$C25="Rent"</formula>
    </cfRule>
    <cfRule type="expression" dxfId="22540" priority="3427">
      <formula>$C25="Petrol"</formula>
    </cfRule>
    <cfRule type="expression" dxfId="22539" priority="3428">
      <formula>$C25="Bills"</formula>
    </cfRule>
    <cfRule type="expression" dxfId="22538" priority="3429">
      <formula>$C25="Sales"</formula>
    </cfRule>
    <cfRule type="expression" dxfId="22537" priority="3430">
      <formula>$C25="Expences"</formula>
    </cfRule>
    <cfRule type="expression" dxfId="22536" priority="3431">
      <formula>$C25="Garlic Purchase"</formula>
    </cfRule>
    <cfRule type="expression" dxfId="22535" priority="3432">
      <formula>$C25="Ginger Purchase"</formula>
    </cfRule>
  </conditionalFormatting>
  <conditionalFormatting sqref="B25 B28">
    <cfRule type="expression" dxfId="22534" priority="3433">
      <formula>$C25="Advance"</formula>
    </cfRule>
  </conditionalFormatting>
  <conditionalFormatting sqref="B25 B28">
    <cfRule type="expression" dxfId="22533" priority="3414">
      <formula>$C25="Delivery charge"</formula>
    </cfRule>
    <cfRule type="expression" dxfId="22532" priority="3415">
      <formula>$C25="Staff Salary"</formula>
    </cfRule>
    <cfRule type="expression" dxfId="22531" priority="3416">
      <formula>$C25="Rent"</formula>
    </cfRule>
    <cfRule type="expression" dxfId="22530" priority="3417">
      <formula>$C25="Petrol"</formula>
    </cfRule>
    <cfRule type="expression" dxfId="22529" priority="3418">
      <formula>$C25="Bills"</formula>
    </cfRule>
    <cfRule type="expression" dxfId="22528" priority="3419">
      <formula>$C25="Sales"</formula>
    </cfRule>
    <cfRule type="expression" dxfId="22527" priority="3420">
      <formula>$C25="Expences"</formula>
    </cfRule>
    <cfRule type="expression" dxfId="22526" priority="3421">
      <formula>$C25="Garlic Purchase"</formula>
    </cfRule>
    <cfRule type="expression" dxfId="22525" priority="3422">
      <formula>$C25="Ginger Purchase"</formula>
    </cfRule>
  </conditionalFormatting>
  <conditionalFormatting sqref="B25 B28">
    <cfRule type="expression" dxfId="22524" priority="3423">
      <formula>$C25="Advance"</formula>
    </cfRule>
  </conditionalFormatting>
  <conditionalFormatting sqref="B25 B28">
    <cfRule type="expression" dxfId="22523" priority="3404">
      <formula>$C25="Delivery charge"</formula>
    </cfRule>
    <cfRule type="expression" dxfId="22522" priority="3405">
      <formula>$C25="Staff Salary"</formula>
    </cfRule>
    <cfRule type="expression" dxfId="22521" priority="3406">
      <formula>$C25="Rent"</formula>
    </cfRule>
    <cfRule type="expression" dxfId="22520" priority="3407">
      <formula>$C25="Petrol"</formula>
    </cfRule>
    <cfRule type="expression" dxfId="22519" priority="3408">
      <formula>$C25="Bills"</formula>
    </cfRule>
    <cfRule type="expression" dxfId="22518" priority="3409">
      <formula>$C25="Sales"</formula>
    </cfRule>
    <cfRule type="expression" dxfId="22517" priority="3410">
      <formula>$C25="Expences"</formula>
    </cfRule>
    <cfRule type="expression" dxfId="22516" priority="3411">
      <formula>$C25="Garlic Purchase"</formula>
    </cfRule>
    <cfRule type="expression" dxfId="22515" priority="3412">
      <formula>$C25="Ginger Purchase"</formula>
    </cfRule>
  </conditionalFormatting>
  <conditionalFormatting sqref="B25 B28">
    <cfRule type="expression" dxfId="22514" priority="3413">
      <formula>$C25="Advance"</formula>
    </cfRule>
  </conditionalFormatting>
  <conditionalFormatting sqref="B25 B28">
    <cfRule type="expression" dxfId="22513" priority="3394">
      <formula>$C25="Delivery charge"</formula>
    </cfRule>
    <cfRule type="expression" dxfId="22512" priority="3395">
      <formula>$C25="Staff Salary"</formula>
    </cfRule>
    <cfRule type="expression" dxfId="22511" priority="3396">
      <formula>$C25="Rent"</formula>
    </cfRule>
    <cfRule type="expression" dxfId="22510" priority="3397">
      <formula>$C25="Petrol"</formula>
    </cfRule>
    <cfRule type="expression" dxfId="22509" priority="3398">
      <formula>$C25="Bills"</formula>
    </cfRule>
    <cfRule type="expression" dxfId="22508" priority="3399">
      <formula>$C25="Sales"</formula>
    </cfRule>
    <cfRule type="expression" dxfId="22507" priority="3400">
      <formula>$C25="Expences"</formula>
    </cfRule>
    <cfRule type="expression" dxfId="22506" priority="3401">
      <formula>$C25="Garlic Purchase"</formula>
    </cfRule>
    <cfRule type="expression" dxfId="22505" priority="3402">
      <formula>$C25="Ginger Purchase"</formula>
    </cfRule>
  </conditionalFormatting>
  <conditionalFormatting sqref="B25 B28">
    <cfRule type="expression" dxfId="22504" priority="3403">
      <formula>$C25="Advance"</formula>
    </cfRule>
  </conditionalFormatting>
  <conditionalFormatting sqref="B25 B28">
    <cfRule type="expression" dxfId="22503" priority="3384">
      <formula>$C25="Delivery charge"</formula>
    </cfRule>
    <cfRule type="expression" dxfId="22502" priority="3385">
      <formula>$C25="Staff Salary"</formula>
    </cfRule>
    <cfRule type="expression" dxfId="22501" priority="3386">
      <formula>$C25="Rent"</formula>
    </cfRule>
    <cfRule type="expression" dxfId="22500" priority="3387">
      <formula>$C25="Petrol"</formula>
    </cfRule>
    <cfRule type="expression" dxfId="22499" priority="3388">
      <formula>$C25="Bills"</formula>
    </cfRule>
    <cfRule type="expression" dxfId="22498" priority="3389">
      <formula>$C25="Sales"</formula>
    </cfRule>
    <cfRule type="expression" dxfId="22497" priority="3390">
      <formula>$C25="Expences"</formula>
    </cfRule>
    <cfRule type="expression" dxfId="22496" priority="3391">
      <formula>$C25="Garlic Purchase"</formula>
    </cfRule>
    <cfRule type="expression" dxfId="22495" priority="3392">
      <formula>$C25="Ginger Purchase"</formula>
    </cfRule>
  </conditionalFormatting>
  <conditionalFormatting sqref="B25 B28">
    <cfRule type="expression" dxfId="22494" priority="3393">
      <formula>$C25="Advance"</formula>
    </cfRule>
  </conditionalFormatting>
  <conditionalFormatting sqref="B25 B28">
    <cfRule type="expression" dxfId="22493" priority="3374">
      <formula>$C25="Delivery charge"</formula>
    </cfRule>
    <cfRule type="expression" dxfId="22492" priority="3375">
      <formula>$C25="Staff Salary"</formula>
    </cfRule>
    <cfRule type="expression" dxfId="22491" priority="3376">
      <formula>$C25="Rent"</formula>
    </cfRule>
    <cfRule type="expression" dxfId="22490" priority="3377">
      <formula>$C25="Petrol"</formula>
    </cfRule>
    <cfRule type="expression" dxfId="22489" priority="3378">
      <formula>$C25="Bills"</formula>
    </cfRule>
    <cfRule type="expression" dxfId="22488" priority="3379">
      <formula>$C25="Sales"</formula>
    </cfRule>
    <cfRule type="expression" dxfId="22487" priority="3380">
      <formula>$C25="Expences"</formula>
    </cfRule>
    <cfRule type="expression" dxfId="22486" priority="3381">
      <formula>$C25="Garlic Purchase"</formula>
    </cfRule>
    <cfRule type="expression" dxfId="22485" priority="3382">
      <formula>$C25="Ginger Purchase"</formula>
    </cfRule>
  </conditionalFormatting>
  <conditionalFormatting sqref="B25 B28">
    <cfRule type="expression" dxfId="22484" priority="3383">
      <formula>$C25="Advance"</formula>
    </cfRule>
  </conditionalFormatting>
  <conditionalFormatting sqref="B25 B28">
    <cfRule type="expression" dxfId="22483" priority="3364">
      <formula>$C25="Delivery charge"</formula>
    </cfRule>
    <cfRule type="expression" dxfId="22482" priority="3365">
      <formula>$C25="Staff Salary"</formula>
    </cfRule>
    <cfRule type="expression" dxfId="22481" priority="3366">
      <formula>$C25="Rent"</formula>
    </cfRule>
    <cfRule type="expression" dxfId="22480" priority="3367">
      <formula>$C25="Petrol"</formula>
    </cfRule>
    <cfRule type="expression" dxfId="22479" priority="3368">
      <formula>$C25="Bills"</formula>
    </cfRule>
    <cfRule type="expression" dxfId="22478" priority="3369">
      <formula>$C25="Sales"</formula>
    </cfRule>
    <cfRule type="expression" dxfId="22477" priority="3370">
      <formula>$C25="Expences"</formula>
    </cfRule>
    <cfRule type="expression" dxfId="22476" priority="3371">
      <formula>$C25="Garlic Purchase"</formula>
    </cfRule>
    <cfRule type="expression" dxfId="22475" priority="3372">
      <formula>$C25="Ginger Purchase"</formula>
    </cfRule>
  </conditionalFormatting>
  <conditionalFormatting sqref="B25 B28">
    <cfRule type="expression" dxfId="22474" priority="3373">
      <formula>$C25="Advance"</formula>
    </cfRule>
  </conditionalFormatting>
  <conditionalFormatting sqref="B25 B28">
    <cfRule type="expression" dxfId="22473" priority="3354">
      <formula>$C25="Delivery charge"</formula>
    </cfRule>
    <cfRule type="expression" dxfId="22472" priority="3355">
      <formula>$C25="Staff Salary"</formula>
    </cfRule>
    <cfRule type="expression" dxfId="22471" priority="3356">
      <formula>$C25="Rent"</formula>
    </cfRule>
    <cfRule type="expression" dxfId="22470" priority="3357">
      <formula>$C25="Petrol"</formula>
    </cfRule>
    <cfRule type="expression" dxfId="22469" priority="3358">
      <formula>$C25="Bills"</formula>
    </cfRule>
    <cfRule type="expression" dxfId="22468" priority="3359">
      <formula>$C25="Sales"</formula>
    </cfRule>
    <cfRule type="expression" dxfId="22467" priority="3360">
      <formula>$C25="Expences"</formula>
    </cfRule>
    <cfRule type="expression" dxfId="22466" priority="3361">
      <formula>$C25="Garlic Purchase"</formula>
    </cfRule>
    <cfRule type="expression" dxfId="22465" priority="3362">
      <formula>$C25="Ginger Purchase"</formula>
    </cfRule>
  </conditionalFormatting>
  <conditionalFormatting sqref="B25 B28">
    <cfRule type="expression" dxfId="22464" priority="3363">
      <formula>$C25="Advance"</formula>
    </cfRule>
  </conditionalFormatting>
  <conditionalFormatting sqref="B25 B28">
    <cfRule type="expression" dxfId="22463" priority="3344">
      <formula>$C25="Delivery charge"</formula>
    </cfRule>
    <cfRule type="expression" dxfId="22462" priority="3345">
      <formula>$C25="Staff Salary"</formula>
    </cfRule>
    <cfRule type="expression" dxfId="22461" priority="3346">
      <formula>$C25="Rent"</formula>
    </cfRule>
    <cfRule type="expression" dxfId="22460" priority="3347">
      <formula>$C25="Petrol"</formula>
    </cfRule>
    <cfRule type="expression" dxfId="22459" priority="3348">
      <formula>$C25="Bills"</formula>
    </cfRule>
    <cfRule type="expression" dxfId="22458" priority="3349">
      <formula>$C25="Sales"</formula>
    </cfRule>
    <cfRule type="expression" dxfId="22457" priority="3350">
      <formula>$C25="Expences"</formula>
    </cfRule>
    <cfRule type="expression" dxfId="22456" priority="3351">
      <formula>$C25="Garlic Purchase"</formula>
    </cfRule>
    <cfRule type="expression" dxfId="22455" priority="3352">
      <formula>$C25="Ginger Purchase"</formula>
    </cfRule>
  </conditionalFormatting>
  <conditionalFormatting sqref="B25 B28">
    <cfRule type="expression" dxfId="22454" priority="3353">
      <formula>$C25="Advance"</formula>
    </cfRule>
  </conditionalFormatting>
  <conditionalFormatting sqref="B25 B28">
    <cfRule type="expression" dxfId="22453" priority="3334">
      <formula>$C25="Delivery charge"</formula>
    </cfRule>
    <cfRule type="expression" dxfId="22452" priority="3335">
      <formula>$C25="Staff Salary"</formula>
    </cfRule>
    <cfRule type="expression" dxfId="22451" priority="3336">
      <formula>$C25="Rent"</formula>
    </cfRule>
    <cfRule type="expression" dxfId="22450" priority="3337">
      <formula>$C25="Petrol"</formula>
    </cfRule>
    <cfRule type="expression" dxfId="22449" priority="3338">
      <formula>$C25="Bills"</formula>
    </cfRule>
    <cfRule type="expression" dxfId="22448" priority="3339">
      <formula>$C25="Sales"</formula>
    </cfRule>
    <cfRule type="expression" dxfId="22447" priority="3340">
      <formula>$C25="Expences"</formula>
    </cfRule>
    <cfRule type="expression" dxfId="22446" priority="3341">
      <formula>$C25="Garlic Purchase"</formula>
    </cfRule>
    <cfRule type="expression" dxfId="22445" priority="3342">
      <formula>$C25="Ginger Purchase"</formula>
    </cfRule>
  </conditionalFormatting>
  <conditionalFormatting sqref="B25 B28">
    <cfRule type="expression" dxfId="22444" priority="3343">
      <formula>$C25="Advance"</formula>
    </cfRule>
  </conditionalFormatting>
  <conditionalFormatting sqref="B25 B28">
    <cfRule type="expression" dxfId="22443" priority="3324">
      <formula>$C25="Delivery charge"</formula>
    </cfRule>
    <cfRule type="expression" dxfId="22442" priority="3325">
      <formula>$C25="Staff Salary"</formula>
    </cfRule>
    <cfRule type="expression" dxfId="22441" priority="3326">
      <formula>$C25="Rent"</formula>
    </cfRule>
    <cfRule type="expression" dxfId="22440" priority="3327">
      <formula>$C25="Petrol"</formula>
    </cfRule>
    <cfRule type="expression" dxfId="22439" priority="3328">
      <formula>$C25="Bills"</formula>
    </cfRule>
    <cfRule type="expression" dxfId="22438" priority="3329">
      <formula>$C25="Sales"</formula>
    </cfRule>
    <cfRule type="expression" dxfId="22437" priority="3330">
      <formula>$C25="Expences"</formula>
    </cfRule>
    <cfRule type="expression" dxfId="22436" priority="3331">
      <formula>$C25="Garlic Purchase"</formula>
    </cfRule>
    <cfRule type="expression" dxfId="22435" priority="3332">
      <formula>$C25="Ginger Purchase"</formula>
    </cfRule>
  </conditionalFormatting>
  <conditionalFormatting sqref="B25 B28">
    <cfRule type="expression" dxfId="22434" priority="3333">
      <formula>$C25="Advance"</formula>
    </cfRule>
  </conditionalFormatting>
  <conditionalFormatting sqref="B25 B28">
    <cfRule type="expression" dxfId="22433" priority="3314">
      <formula>$C25="Delivery charge"</formula>
    </cfRule>
    <cfRule type="expression" dxfId="22432" priority="3315">
      <formula>$C25="Staff Salary"</formula>
    </cfRule>
    <cfRule type="expression" dxfId="22431" priority="3316">
      <formula>$C25="Rent"</formula>
    </cfRule>
    <cfRule type="expression" dxfId="22430" priority="3317">
      <formula>$C25="Petrol"</formula>
    </cfRule>
    <cfRule type="expression" dxfId="22429" priority="3318">
      <formula>$C25="Bills"</formula>
    </cfRule>
    <cfRule type="expression" dxfId="22428" priority="3319">
      <formula>$C25="Sales"</formula>
    </cfRule>
    <cfRule type="expression" dxfId="22427" priority="3320">
      <formula>$C25="Expences"</formula>
    </cfRule>
    <cfRule type="expression" dxfId="22426" priority="3321">
      <formula>$C25="Garlic Purchase"</formula>
    </cfRule>
    <cfRule type="expression" dxfId="22425" priority="3322">
      <formula>$C25="Ginger Purchase"</formula>
    </cfRule>
  </conditionalFormatting>
  <conditionalFormatting sqref="B25 B28">
    <cfRule type="expression" dxfId="22424" priority="3323">
      <formula>$C25="Advance"</formula>
    </cfRule>
  </conditionalFormatting>
  <conditionalFormatting sqref="B25 B28">
    <cfRule type="expression" dxfId="22423" priority="3304">
      <formula>$C25="Delivery charge"</formula>
    </cfRule>
    <cfRule type="expression" dxfId="22422" priority="3305">
      <formula>$C25="Staff Salary"</formula>
    </cfRule>
    <cfRule type="expression" dxfId="22421" priority="3306">
      <formula>$C25="Rent"</formula>
    </cfRule>
    <cfRule type="expression" dxfId="22420" priority="3307">
      <formula>$C25="Petrol"</formula>
    </cfRule>
    <cfRule type="expression" dxfId="22419" priority="3308">
      <formula>$C25="Bills"</formula>
    </cfRule>
    <cfRule type="expression" dxfId="22418" priority="3309">
      <formula>$C25="Sales"</formula>
    </cfRule>
    <cfRule type="expression" dxfId="22417" priority="3310">
      <formula>$C25="Expences"</formula>
    </cfRule>
    <cfRule type="expression" dxfId="22416" priority="3311">
      <formula>$C25="Garlic Purchase"</formula>
    </cfRule>
    <cfRule type="expression" dxfId="22415" priority="3312">
      <formula>$C25="Ginger Purchase"</formula>
    </cfRule>
  </conditionalFormatting>
  <conditionalFormatting sqref="B25 B28">
    <cfRule type="expression" dxfId="22414" priority="3313">
      <formula>$C25="Advance"</formula>
    </cfRule>
  </conditionalFormatting>
  <conditionalFormatting sqref="B25 B28">
    <cfRule type="expression" dxfId="22413" priority="3294">
      <formula>$C25="Delivery charge"</formula>
    </cfRule>
    <cfRule type="expression" dxfId="22412" priority="3295">
      <formula>$C25="Staff Salary"</formula>
    </cfRule>
    <cfRule type="expression" dxfId="22411" priority="3296">
      <formula>$C25="Rent"</formula>
    </cfRule>
    <cfRule type="expression" dxfId="22410" priority="3297">
      <formula>$C25="Petrol"</formula>
    </cfRule>
    <cfRule type="expression" dxfId="22409" priority="3298">
      <formula>$C25="Bills"</formula>
    </cfRule>
    <cfRule type="expression" dxfId="22408" priority="3299">
      <formula>$C25="Sales"</formula>
    </cfRule>
    <cfRule type="expression" dxfId="22407" priority="3300">
      <formula>$C25="Expences"</formula>
    </cfRule>
    <cfRule type="expression" dxfId="22406" priority="3301">
      <formula>$C25="Garlic Purchase"</formula>
    </cfRule>
    <cfRule type="expression" dxfId="22405" priority="3302">
      <formula>$C25="Ginger Purchase"</formula>
    </cfRule>
  </conditionalFormatting>
  <conditionalFormatting sqref="B25 B28">
    <cfRule type="expression" dxfId="22404" priority="3303">
      <formula>$C25="Advance"</formula>
    </cfRule>
  </conditionalFormatting>
  <conditionalFormatting sqref="B25 B28">
    <cfRule type="expression" dxfId="22403" priority="3284">
      <formula>$C25="Delivery charge"</formula>
    </cfRule>
    <cfRule type="expression" dxfId="22402" priority="3285">
      <formula>$C25="Staff Salary"</formula>
    </cfRule>
    <cfRule type="expression" dxfId="22401" priority="3286">
      <formula>$C25="Rent"</formula>
    </cfRule>
    <cfRule type="expression" dxfId="22400" priority="3287">
      <formula>$C25="Petrol"</formula>
    </cfRule>
    <cfRule type="expression" dxfId="22399" priority="3288">
      <formula>$C25="Bills"</formula>
    </cfRule>
    <cfRule type="expression" dxfId="22398" priority="3289">
      <formula>$C25="Sales"</formula>
    </cfRule>
    <cfRule type="expression" dxfId="22397" priority="3290">
      <formula>$C25="Expences"</formula>
    </cfRule>
    <cfRule type="expression" dxfId="22396" priority="3291">
      <formula>$C25="Garlic Purchase"</formula>
    </cfRule>
    <cfRule type="expression" dxfId="22395" priority="3292">
      <formula>$C25="Ginger Purchase"</formula>
    </cfRule>
  </conditionalFormatting>
  <conditionalFormatting sqref="B25 B28">
    <cfRule type="expression" dxfId="22394" priority="3293">
      <formula>$C25="Advance"</formula>
    </cfRule>
  </conditionalFormatting>
  <conditionalFormatting sqref="B25 B28">
    <cfRule type="expression" dxfId="22393" priority="3274">
      <formula>$C25="Delivery charge"</formula>
    </cfRule>
    <cfRule type="expression" dxfId="22392" priority="3275">
      <formula>$C25="Staff Salary"</formula>
    </cfRule>
    <cfRule type="expression" dxfId="22391" priority="3276">
      <formula>$C25="Rent"</formula>
    </cfRule>
    <cfRule type="expression" dxfId="22390" priority="3277">
      <formula>$C25="Petrol"</formula>
    </cfRule>
    <cfRule type="expression" dxfId="22389" priority="3278">
      <formula>$C25="Bills"</formula>
    </cfRule>
    <cfRule type="expression" dxfId="22388" priority="3279">
      <formula>$C25="Sales"</formula>
    </cfRule>
    <cfRule type="expression" dxfId="22387" priority="3280">
      <formula>$C25="Expences"</formula>
    </cfRule>
    <cfRule type="expression" dxfId="22386" priority="3281">
      <formula>$C25="Garlic Purchase"</formula>
    </cfRule>
    <cfRule type="expression" dxfId="22385" priority="3282">
      <formula>$C25="Ginger Purchase"</formula>
    </cfRule>
  </conditionalFormatting>
  <conditionalFormatting sqref="B25 B28">
    <cfRule type="expression" dxfId="22384" priority="3283">
      <formula>$C25="Advance"</formula>
    </cfRule>
  </conditionalFormatting>
  <conditionalFormatting sqref="B25 B28">
    <cfRule type="expression" dxfId="22383" priority="3264">
      <formula>$C25="Delivery charge"</formula>
    </cfRule>
    <cfRule type="expression" dxfId="22382" priority="3265">
      <formula>$C25="Staff Salary"</formula>
    </cfRule>
    <cfRule type="expression" dxfId="22381" priority="3266">
      <formula>$C25="Rent"</formula>
    </cfRule>
    <cfRule type="expression" dxfId="22380" priority="3267">
      <formula>$C25="Petrol"</formula>
    </cfRule>
    <cfRule type="expression" dxfId="22379" priority="3268">
      <formula>$C25="Bills"</formula>
    </cfRule>
    <cfRule type="expression" dxfId="22378" priority="3269">
      <formula>$C25="Sales"</formula>
    </cfRule>
    <cfRule type="expression" dxfId="22377" priority="3270">
      <formula>$C25="Expences"</formula>
    </cfRule>
    <cfRule type="expression" dxfId="22376" priority="3271">
      <formula>$C25="Garlic Purchase"</formula>
    </cfRule>
    <cfRule type="expression" dxfId="22375" priority="3272">
      <formula>$C25="Ginger Purchase"</formula>
    </cfRule>
  </conditionalFormatting>
  <conditionalFormatting sqref="B25 B28">
    <cfRule type="expression" dxfId="22374" priority="3273">
      <formula>$C25="Advance"</formula>
    </cfRule>
  </conditionalFormatting>
  <conditionalFormatting sqref="B23 B26 B29 B31 B33 B35 B37">
    <cfRule type="expression" dxfId="22373" priority="3263">
      <formula>$C23="Advance"</formula>
    </cfRule>
  </conditionalFormatting>
  <conditionalFormatting sqref="B23 B26 B29 B31 B33 B35 B37">
    <cfRule type="expression" dxfId="22372" priority="3254">
      <formula>$C23="Delivery charge"</formula>
    </cfRule>
    <cfRule type="expression" dxfId="22371" priority="3255">
      <formula>$C23="Staff Salary"</formula>
    </cfRule>
    <cfRule type="expression" dxfId="22370" priority="3256">
      <formula>$C23="Rent"</formula>
    </cfRule>
    <cfRule type="expression" dxfId="22369" priority="3257">
      <formula>$C23="Petrol"</formula>
    </cfRule>
    <cfRule type="expression" dxfId="22368" priority="3258">
      <formula>$C23="Bills"</formula>
    </cfRule>
    <cfRule type="expression" dxfId="22367" priority="3259">
      <formula>$C23="Sales"</formula>
    </cfRule>
    <cfRule type="expression" dxfId="22366" priority="3260">
      <formula>$C23="Expences"</formula>
    </cfRule>
    <cfRule type="expression" dxfId="22365" priority="3261">
      <formula>$C23="Garlic Purchase"</formula>
    </cfRule>
    <cfRule type="expression" dxfId="22364" priority="3262">
      <formula>$C23="Ginger Purchase"</formula>
    </cfRule>
  </conditionalFormatting>
  <conditionalFormatting sqref="B24 B27 B30 B32 B34 B36 B38">
    <cfRule type="expression" dxfId="22363" priority="3244">
      <formula>$C24="Delivery charge"</formula>
    </cfRule>
    <cfRule type="expression" dxfId="22362" priority="3245">
      <formula>$C24="Staff Salary"</formula>
    </cfRule>
    <cfRule type="expression" dxfId="22361" priority="3246">
      <formula>$C24="Rent"</formula>
    </cfRule>
    <cfRule type="expression" dxfId="22360" priority="3247">
      <formula>$C24="Petrol"</formula>
    </cfRule>
    <cfRule type="expression" dxfId="22359" priority="3248">
      <formula>$C24="Bills"</formula>
    </cfRule>
    <cfRule type="expression" dxfId="22358" priority="3249">
      <formula>$C24="Sales"</formula>
    </cfRule>
    <cfRule type="expression" dxfId="22357" priority="3250">
      <formula>$C24="Expences"</formula>
    </cfRule>
    <cfRule type="expression" dxfId="22356" priority="3251">
      <formula>$C24="Garlic Purchase"</formula>
    </cfRule>
    <cfRule type="expression" dxfId="22355" priority="3252">
      <formula>$C24="Ginger Purchase"</formula>
    </cfRule>
  </conditionalFormatting>
  <conditionalFormatting sqref="B24 B27 B30 B32 B34 B36 B38">
    <cfRule type="expression" dxfId="22354" priority="3253">
      <formula>$C24="Advance"</formula>
    </cfRule>
  </conditionalFormatting>
  <conditionalFormatting sqref="B24 B27 B30 B32 B34 B36 B38">
    <cfRule type="expression" dxfId="22353" priority="3234">
      <formula>$C24="Delivery charge"</formula>
    </cfRule>
    <cfRule type="expression" dxfId="22352" priority="3235">
      <formula>$C24="Staff Salary"</formula>
    </cfRule>
    <cfRule type="expression" dxfId="22351" priority="3236">
      <formula>$C24="Rent"</formula>
    </cfRule>
    <cfRule type="expression" dxfId="22350" priority="3237">
      <formula>$C24="Petrol"</formula>
    </cfRule>
    <cfRule type="expression" dxfId="22349" priority="3238">
      <formula>$C24="Bills"</formula>
    </cfRule>
    <cfRule type="expression" dxfId="22348" priority="3239">
      <formula>$C24="Sales"</formula>
    </cfRule>
    <cfRule type="expression" dxfId="22347" priority="3240">
      <formula>$C24="Expences"</formula>
    </cfRule>
    <cfRule type="expression" dxfId="22346" priority="3241">
      <formula>$C24="Garlic Purchase"</formula>
    </cfRule>
    <cfRule type="expression" dxfId="22345" priority="3242">
      <formula>$C24="Ginger Purchase"</formula>
    </cfRule>
  </conditionalFormatting>
  <conditionalFormatting sqref="B24 B27 B30 B32 B34 B36 B38">
    <cfRule type="expression" dxfId="22344" priority="3243">
      <formula>$C24="Advance"</formula>
    </cfRule>
  </conditionalFormatting>
  <conditionalFormatting sqref="B24 B27 B30 B32 B34 B36 B38">
    <cfRule type="expression" dxfId="22343" priority="3224">
      <formula>$C24="Delivery charge"</formula>
    </cfRule>
    <cfRule type="expression" dxfId="22342" priority="3225">
      <formula>$C24="Staff Salary"</formula>
    </cfRule>
    <cfRule type="expression" dxfId="22341" priority="3226">
      <formula>$C24="Rent"</formula>
    </cfRule>
    <cfRule type="expression" dxfId="22340" priority="3227">
      <formula>$C24="Petrol"</formula>
    </cfRule>
    <cfRule type="expression" dxfId="22339" priority="3228">
      <formula>$C24="Bills"</formula>
    </cfRule>
    <cfRule type="expression" dxfId="22338" priority="3229">
      <formula>$C24="Sales"</formula>
    </cfRule>
    <cfRule type="expression" dxfId="22337" priority="3230">
      <formula>$C24="Expences"</formula>
    </cfRule>
    <cfRule type="expression" dxfId="22336" priority="3231">
      <formula>$C24="Garlic Purchase"</formula>
    </cfRule>
    <cfRule type="expression" dxfId="22335" priority="3232">
      <formula>$C24="Ginger Purchase"</formula>
    </cfRule>
  </conditionalFormatting>
  <conditionalFormatting sqref="B24 B27 B30 B32 B34 B36 B38">
    <cfRule type="expression" dxfId="22334" priority="3233">
      <formula>$C24="Advance"</formula>
    </cfRule>
  </conditionalFormatting>
  <conditionalFormatting sqref="B24 B27 B30 B32 B34 B36 B38">
    <cfRule type="expression" dxfId="22333" priority="3214">
      <formula>$C24="Delivery charge"</formula>
    </cfRule>
    <cfRule type="expression" dxfId="22332" priority="3215">
      <formula>$C24="Staff Salary"</formula>
    </cfRule>
    <cfRule type="expression" dxfId="22331" priority="3216">
      <formula>$C24="Rent"</formula>
    </cfRule>
    <cfRule type="expression" dxfId="22330" priority="3217">
      <formula>$C24="Petrol"</formula>
    </cfRule>
    <cfRule type="expression" dxfId="22329" priority="3218">
      <formula>$C24="Bills"</formula>
    </cfRule>
    <cfRule type="expression" dxfId="22328" priority="3219">
      <formula>$C24="Sales"</formula>
    </cfRule>
    <cfRule type="expression" dxfId="22327" priority="3220">
      <formula>$C24="Expences"</formula>
    </cfRule>
    <cfRule type="expression" dxfId="22326" priority="3221">
      <formula>$C24="Garlic Purchase"</formula>
    </cfRule>
    <cfRule type="expression" dxfId="22325" priority="3222">
      <formula>$C24="Ginger Purchase"</formula>
    </cfRule>
  </conditionalFormatting>
  <conditionalFormatting sqref="B24 B27 B30 B32 B34 B36 B38">
    <cfRule type="expression" dxfId="22324" priority="3223">
      <formula>$C24="Advance"</formula>
    </cfRule>
  </conditionalFormatting>
  <conditionalFormatting sqref="B24 B27 B30 B32 B34 B36 B38">
    <cfRule type="expression" dxfId="22323" priority="3204">
      <formula>$C24="Delivery charge"</formula>
    </cfRule>
    <cfRule type="expression" dxfId="22322" priority="3205">
      <formula>$C24="Staff Salary"</formula>
    </cfRule>
    <cfRule type="expression" dxfId="22321" priority="3206">
      <formula>$C24="Rent"</formula>
    </cfRule>
    <cfRule type="expression" dxfId="22320" priority="3207">
      <formula>$C24="Petrol"</formula>
    </cfRule>
    <cfRule type="expression" dxfId="22319" priority="3208">
      <formula>$C24="Bills"</formula>
    </cfRule>
    <cfRule type="expression" dxfId="22318" priority="3209">
      <formula>$C24="Sales"</formula>
    </cfRule>
    <cfRule type="expression" dxfId="22317" priority="3210">
      <formula>$C24="Expences"</formula>
    </cfRule>
    <cfRule type="expression" dxfId="22316" priority="3211">
      <formula>$C24="Garlic Purchase"</formula>
    </cfRule>
    <cfRule type="expression" dxfId="22315" priority="3212">
      <formula>$C24="Ginger Purchase"</formula>
    </cfRule>
  </conditionalFormatting>
  <conditionalFormatting sqref="B24 B27 B30 B32 B34 B36 B38">
    <cfRule type="expression" dxfId="22314" priority="3213">
      <formula>$C24="Advance"</formula>
    </cfRule>
  </conditionalFormatting>
  <conditionalFormatting sqref="B24 B27 B30 B32 B34 B36 B38">
    <cfRule type="expression" dxfId="22313" priority="3194">
      <formula>$C24="Delivery charge"</formula>
    </cfRule>
    <cfRule type="expression" dxfId="22312" priority="3195">
      <formula>$C24="Staff Salary"</formula>
    </cfRule>
    <cfRule type="expression" dxfId="22311" priority="3196">
      <formula>$C24="Rent"</formula>
    </cfRule>
    <cfRule type="expression" dxfId="22310" priority="3197">
      <formula>$C24="Petrol"</formula>
    </cfRule>
    <cfRule type="expression" dxfId="22309" priority="3198">
      <formula>$C24="Bills"</formula>
    </cfRule>
    <cfRule type="expression" dxfId="22308" priority="3199">
      <formula>$C24="Sales"</formula>
    </cfRule>
    <cfRule type="expression" dxfId="22307" priority="3200">
      <formula>$C24="Expences"</formula>
    </cfRule>
    <cfRule type="expression" dxfId="22306" priority="3201">
      <formula>$C24="Garlic Purchase"</formula>
    </cfRule>
    <cfRule type="expression" dxfId="22305" priority="3202">
      <formula>$C24="Ginger Purchase"</formula>
    </cfRule>
  </conditionalFormatting>
  <conditionalFormatting sqref="B24 B27 B30 B32 B34 B36 B38">
    <cfRule type="expression" dxfId="22304" priority="3203">
      <formula>$C24="Advance"</formula>
    </cfRule>
  </conditionalFormatting>
  <conditionalFormatting sqref="B24 B27 B30 B32 B34 B36 B38">
    <cfRule type="expression" dxfId="22303" priority="3184">
      <formula>$C24="Delivery charge"</formula>
    </cfRule>
    <cfRule type="expression" dxfId="22302" priority="3185">
      <formula>$C24="Staff Salary"</formula>
    </cfRule>
    <cfRule type="expression" dxfId="22301" priority="3186">
      <formula>$C24="Rent"</formula>
    </cfRule>
    <cfRule type="expression" dxfId="22300" priority="3187">
      <formula>$C24="Petrol"</formula>
    </cfRule>
    <cfRule type="expression" dxfId="22299" priority="3188">
      <formula>$C24="Bills"</formula>
    </cfRule>
    <cfRule type="expression" dxfId="22298" priority="3189">
      <formula>$C24="Sales"</formula>
    </cfRule>
    <cfRule type="expression" dxfId="22297" priority="3190">
      <formula>$C24="Expences"</formula>
    </cfRule>
    <cfRule type="expression" dxfId="22296" priority="3191">
      <formula>$C24="Garlic Purchase"</formula>
    </cfRule>
    <cfRule type="expression" dxfId="22295" priority="3192">
      <formula>$C24="Ginger Purchase"</formula>
    </cfRule>
  </conditionalFormatting>
  <conditionalFormatting sqref="B24 B27 B30 B32 B34 B36 B38">
    <cfRule type="expression" dxfId="22294" priority="3193">
      <formula>$C24="Advance"</formula>
    </cfRule>
  </conditionalFormatting>
  <conditionalFormatting sqref="B24 B27 B30 B32 B34 B36 B38">
    <cfRule type="expression" dxfId="22293" priority="3174">
      <formula>$C24="Delivery charge"</formula>
    </cfRule>
    <cfRule type="expression" dxfId="22292" priority="3175">
      <formula>$C24="Staff Salary"</formula>
    </cfRule>
    <cfRule type="expression" dxfId="22291" priority="3176">
      <formula>$C24="Rent"</formula>
    </cfRule>
    <cfRule type="expression" dxfId="22290" priority="3177">
      <formula>$C24="Petrol"</formula>
    </cfRule>
    <cfRule type="expression" dxfId="22289" priority="3178">
      <formula>$C24="Bills"</formula>
    </cfRule>
    <cfRule type="expression" dxfId="22288" priority="3179">
      <formula>$C24="Sales"</formula>
    </cfRule>
    <cfRule type="expression" dxfId="22287" priority="3180">
      <formula>$C24="Expences"</formula>
    </cfRule>
    <cfRule type="expression" dxfId="22286" priority="3181">
      <formula>$C24="Garlic Purchase"</formula>
    </cfRule>
    <cfRule type="expression" dxfId="22285" priority="3182">
      <formula>$C24="Ginger Purchase"</formula>
    </cfRule>
  </conditionalFormatting>
  <conditionalFormatting sqref="B24 B27 B30 B32 B34 B36 B38">
    <cfRule type="expression" dxfId="22284" priority="3183">
      <formula>$C24="Advance"</formula>
    </cfRule>
  </conditionalFormatting>
  <conditionalFormatting sqref="B24 B27 B30 B32 B34 B36 B38">
    <cfRule type="expression" dxfId="22283" priority="3164">
      <formula>$C24="Delivery charge"</formula>
    </cfRule>
    <cfRule type="expression" dxfId="22282" priority="3165">
      <formula>$C24="Staff Salary"</formula>
    </cfRule>
    <cfRule type="expression" dxfId="22281" priority="3166">
      <formula>$C24="Rent"</formula>
    </cfRule>
    <cfRule type="expression" dxfId="22280" priority="3167">
      <formula>$C24="Petrol"</formula>
    </cfRule>
    <cfRule type="expression" dxfId="22279" priority="3168">
      <formula>$C24="Bills"</formula>
    </cfRule>
    <cfRule type="expression" dxfId="22278" priority="3169">
      <formula>$C24="Sales"</formula>
    </cfRule>
    <cfRule type="expression" dxfId="22277" priority="3170">
      <formula>$C24="Expences"</formula>
    </cfRule>
    <cfRule type="expression" dxfId="22276" priority="3171">
      <formula>$C24="Garlic Purchase"</formula>
    </cfRule>
    <cfRule type="expression" dxfId="22275" priority="3172">
      <formula>$C24="Ginger Purchase"</formula>
    </cfRule>
  </conditionalFormatting>
  <conditionalFormatting sqref="B24 B27 B30 B32 B34 B36 B38">
    <cfRule type="expression" dxfId="22274" priority="3173">
      <formula>$C24="Advance"</formula>
    </cfRule>
  </conditionalFormatting>
  <conditionalFormatting sqref="B24 B27 B30 B32 B34 B36 B38">
    <cfRule type="expression" dxfId="22273" priority="3154">
      <formula>$C24="Delivery charge"</formula>
    </cfRule>
    <cfRule type="expression" dxfId="22272" priority="3155">
      <formula>$C24="Staff Salary"</formula>
    </cfRule>
    <cfRule type="expression" dxfId="22271" priority="3156">
      <formula>$C24="Rent"</formula>
    </cfRule>
    <cfRule type="expression" dxfId="22270" priority="3157">
      <formula>$C24="Petrol"</formula>
    </cfRule>
    <cfRule type="expression" dxfId="22269" priority="3158">
      <formula>$C24="Bills"</formula>
    </cfRule>
    <cfRule type="expression" dxfId="22268" priority="3159">
      <formula>$C24="Sales"</formula>
    </cfRule>
    <cfRule type="expression" dxfId="22267" priority="3160">
      <formula>$C24="Expences"</formula>
    </cfRule>
    <cfRule type="expression" dxfId="22266" priority="3161">
      <formula>$C24="Garlic Purchase"</formula>
    </cfRule>
    <cfRule type="expression" dxfId="22265" priority="3162">
      <formula>$C24="Ginger Purchase"</formula>
    </cfRule>
  </conditionalFormatting>
  <conditionalFormatting sqref="B24 B27 B30 B32 B34 B36 B38">
    <cfRule type="expression" dxfId="22264" priority="3163">
      <formula>$C24="Advance"</formula>
    </cfRule>
  </conditionalFormatting>
  <conditionalFormatting sqref="B24 B27 B30 B32 B34 B36 B38">
    <cfRule type="expression" dxfId="22263" priority="3144">
      <formula>$C24="Delivery charge"</formula>
    </cfRule>
    <cfRule type="expression" dxfId="22262" priority="3145">
      <formula>$C24="Staff Salary"</formula>
    </cfRule>
    <cfRule type="expression" dxfId="22261" priority="3146">
      <formula>$C24="Rent"</formula>
    </cfRule>
    <cfRule type="expression" dxfId="22260" priority="3147">
      <formula>$C24="Petrol"</formula>
    </cfRule>
    <cfRule type="expression" dxfId="22259" priority="3148">
      <formula>$C24="Bills"</formula>
    </cfRule>
    <cfRule type="expression" dxfId="22258" priority="3149">
      <formula>$C24="Sales"</formula>
    </cfRule>
    <cfRule type="expression" dxfId="22257" priority="3150">
      <formula>$C24="Expences"</formula>
    </cfRule>
    <cfRule type="expression" dxfId="22256" priority="3151">
      <formula>$C24="Garlic Purchase"</formula>
    </cfRule>
    <cfRule type="expression" dxfId="22255" priority="3152">
      <formula>$C24="Ginger Purchase"</formula>
    </cfRule>
  </conditionalFormatting>
  <conditionalFormatting sqref="B24 B27 B30 B32 B34 B36 B38">
    <cfRule type="expression" dxfId="22254" priority="3153">
      <formula>$C24="Advance"</formula>
    </cfRule>
  </conditionalFormatting>
  <conditionalFormatting sqref="B25 B28">
    <cfRule type="expression" dxfId="22253" priority="3143">
      <formula>$C25="Advance"</formula>
    </cfRule>
  </conditionalFormatting>
  <conditionalFormatting sqref="B25 B28">
    <cfRule type="expression" dxfId="22252" priority="3134">
      <formula>$C25="Delivery charge"</formula>
    </cfRule>
    <cfRule type="expression" dxfId="22251" priority="3135">
      <formula>$C25="Staff Salary"</formula>
    </cfRule>
    <cfRule type="expression" dxfId="22250" priority="3136">
      <formula>$C25="Rent"</formula>
    </cfRule>
    <cfRule type="expression" dxfId="22249" priority="3137">
      <formula>$C25="Petrol"</formula>
    </cfRule>
    <cfRule type="expression" dxfId="22248" priority="3138">
      <formula>$C25="Bills"</formula>
    </cfRule>
    <cfRule type="expression" dxfId="22247" priority="3139">
      <formula>$C25="Sales"</formula>
    </cfRule>
    <cfRule type="expression" dxfId="22246" priority="3140">
      <formula>$C25="Expences"</formula>
    </cfRule>
    <cfRule type="expression" dxfId="22245" priority="3141">
      <formula>$C25="Garlic Purchase"</formula>
    </cfRule>
    <cfRule type="expression" dxfId="22244" priority="3142">
      <formula>$C25="Ginger Purchase"</formula>
    </cfRule>
  </conditionalFormatting>
  <conditionalFormatting sqref="B23 B26 B29 B31 B33 B35 B37">
    <cfRule type="expression" dxfId="22243" priority="3124">
      <formula>$C23="Delivery charge"</formula>
    </cfRule>
    <cfRule type="expression" dxfId="22242" priority="3125">
      <formula>$C23="Staff Salary"</formula>
    </cfRule>
    <cfRule type="expression" dxfId="22241" priority="3126">
      <formula>$C23="Rent"</formula>
    </cfRule>
    <cfRule type="expression" dxfId="22240" priority="3127">
      <formula>$C23="Petrol"</formula>
    </cfRule>
    <cfRule type="expression" dxfId="22239" priority="3128">
      <formula>$C23="Bills"</formula>
    </cfRule>
    <cfRule type="expression" dxfId="22238" priority="3129">
      <formula>$C23="Sales"</formula>
    </cfRule>
    <cfRule type="expression" dxfId="22237" priority="3130">
      <formula>$C23="Expences"</formula>
    </cfRule>
    <cfRule type="expression" dxfId="22236" priority="3131">
      <formula>$C23="Garlic Purchase"</formula>
    </cfRule>
    <cfRule type="expression" dxfId="22235" priority="3132">
      <formula>$C23="Ginger Purchase"</formula>
    </cfRule>
  </conditionalFormatting>
  <conditionalFormatting sqref="B23 B26 B29 B31 B33 B35 B37">
    <cfRule type="expression" dxfId="22234" priority="3133">
      <formula>$C23="Advance"</formula>
    </cfRule>
  </conditionalFormatting>
  <conditionalFormatting sqref="B24 B27 B30 B32 B34 B36 B38">
    <cfRule type="expression" dxfId="22233" priority="3114">
      <formula>$C24="Delivery charge"</formula>
    </cfRule>
    <cfRule type="expression" dxfId="22232" priority="3115">
      <formula>$C24="Staff Salary"</formula>
    </cfRule>
    <cfRule type="expression" dxfId="22231" priority="3116">
      <formula>$C24="Rent"</formula>
    </cfRule>
    <cfRule type="expression" dxfId="22230" priority="3117">
      <formula>$C24="Petrol"</formula>
    </cfRule>
    <cfRule type="expression" dxfId="22229" priority="3118">
      <formula>$C24="Bills"</formula>
    </cfRule>
    <cfRule type="expression" dxfId="22228" priority="3119">
      <formula>$C24="Sales"</formula>
    </cfRule>
    <cfRule type="expression" dxfId="22227" priority="3120">
      <formula>$C24="Expences"</formula>
    </cfRule>
    <cfRule type="expression" dxfId="22226" priority="3121">
      <formula>$C24="Garlic Purchase"</formula>
    </cfRule>
    <cfRule type="expression" dxfId="22225" priority="3122">
      <formula>$C24="Ginger Purchase"</formula>
    </cfRule>
  </conditionalFormatting>
  <conditionalFormatting sqref="B24 B27 B30 B32 B34 B36 B38">
    <cfRule type="expression" dxfId="22224" priority="3123">
      <formula>$C24="Advance"</formula>
    </cfRule>
  </conditionalFormatting>
  <conditionalFormatting sqref="B24 B27 B30 B32 B34 B36 B38">
    <cfRule type="expression" dxfId="22223" priority="3104">
      <formula>$C24="Delivery charge"</formula>
    </cfRule>
    <cfRule type="expression" dxfId="22222" priority="3105">
      <formula>$C24="Staff Salary"</formula>
    </cfRule>
    <cfRule type="expression" dxfId="22221" priority="3106">
      <formula>$C24="Rent"</formula>
    </cfRule>
    <cfRule type="expression" dxfId="22220" priority="3107">
      <formula>$C24="Petrol"</formula>
    </cfRule>
    <cfRule type="expression" dxfId="22219" priority="3108">
      <formula>$C24="Bills"</formula>
    </cfRule>
    <cfRule type="expression" dxfId="22218" priority="3109">
      <formula>$C24="Sales"</formula>
    </cfRule>
    <cfRule type="expression" dxfId="22217" priority="3110">
      <formula>$C24="Expences"</formula>
    </cfRule>
    <cfRule type="expression" dxfId="22216" priority="3111">
      <formula>$C24="Garlic Purchase"</formula>
    </cfRule>
    <cfRule type="expression" dxfId="22215" priority="3112">
      <formula>$C24="Ginger Purchase"</formula>
    </cfRule>
  </conditionalFormatting>
  <conditionalFormatting sqref="B24 B27 B30 B32 B34 B36 B38">
    <cfRule type="expression" dxfId="22214" priority="3113">
      <formula>$C24="Advance"</formula>
    </cfRule>
  </conditionalFormatting>
  <conditionalFormatting sqref="B24 B27 B30 B32 B34 B36 B38">
    <cfRule type="expression" dxfId="22213" priority="3094">
      <formula>$C24="Delivery charge"</formula>
    </cfRule>
    <cfRule type="expression" dxfId="22212" priority="3095">
      <formula>$C24="Staff Salary"</formula>
    </cfRule>
    <cfRule type="expression" dxfId="22211" priority="3096">
      <formula>$C24="Rent"</formula>
    </cfRule>
    <cfRule type="expression" dxfId="22210" priority="3097">
      <formula>$C24="Petrol"</formula>
    </cfRule>
    <cfRule type="expression" dxfId="22209" priority="3098">
      <formula>$C24="Bills"</formula>
    </cfRule>
    <cfRule type="expression" dxfId="22208" priority="3099">
      <formula>$C24="Sales"</formula>
    </cfRule>
    <cfRule type="expression" dxfId="22207" priority="3100">
      <formula>$C24="Expences"</formula>
    </cfRule>
    <cfRule type="expression" dxfId="22206" priority="3101">
      <formula>$C24="Garlic Purchase"</formula>
    </cfRule>
    <cfRule type="expression" dxfId="22205" priority="3102">
      <formula>$C24="Ginger Purchase"</formula>
    </cfRule>
  </conditionalFormatting>
  <conditionalFormatting sqref="B24 B27 B30 B32 B34 B36 B38">
    <cfRule type="expression" dxfId="22204" priority="3103">
      <formula>$C24="Advance"</formula>
    </cfRule>
  </conditionalFormatting>
  <conditionalFormatting sqref="B24 B27 B30 B32 B34 B36 B38">
    <cfRule type="expression" dxfId="22203" priority="3084">
      <formula>$C24="Delivery charge"</formula>
    </cfRule>
    <cfRule type="expression" dxfId="22202" priority="3085">
      <formula>$C24="Staff Salary"</formula>
    </cfRule>
    <cfRule type="expression" dxfId="22201" priority="3086">
      <formula>$C24="Rent"</formula>
    </cfRule>
    <cfRule type="expression" dxfId="22200" priority="3087">
      <formula>$C24="Petrol"</formula>
    </cfRule>
    <cfRule type="expression" dxfId="22199" priority="3088">
      <formula>$C24="Bills"</formula>
    </cfRule>
    <cfRule type="expression" dxfId="22198" priority="3089">
      <formula>$C24="Sales"</formula>
    </cfRule>
    <cfRule type="expression" dxfId="22197" priority="3090">
      <formula>$C24="Expences"</formula>
    </cfRule>
    <cfRule type="expression" dxfId="22196" priority="3091">
      <formula>$C24="Garlic Purchase"</formula>
    </cfRule>
    <cfRule type="expression" dxfId="22195" priority="3092">
      <formula>$C24="Ginger Purchase"</formula>
    </cfRule>
  </conditionalFormatting>
  <conditionalFormatting sqref="B24 B27 B30 B32 B34 B36 B38">
    <cfRule type="expression" dxfId="22194" priority="3093">
      <formula>$C24="Advance"</formula>
    </cfRule>
  </conditionalFormatting>
  <conditionalFormatting sqref="B23 B26 B29 B31 B33 B35 B37">
    <cfRule type="expression" dxfId="22193" priority="3074">
      <formula>$C23="Delivery charge"</formula>
    </cfRule>
    <cfRule type="expression" dxfId="22192" priority="3075">
      <formula>$C23="Staff Salary"</formula>
    </cfRule>
    <cfRule type="expression" dxfId="22191" priority="3076">
      <formula>$C23="Rent"</formula>
    </cfRule>
    <cfRule type="expression" dxfId="22190" priority="3077">
      <formula>$C23="Petrol"</formula>
    </cfRule>
    <cfRule type="expression" dxfId="22189" priority="3078">
      <formula>$C23="Bills"</formula>
    </cfRule>
    <cfRule type="expression" dxfId="22188" priority="3079">
      <formula>$C23="Sales"</formula>
    </cfRule>
    <cfRule type="expression" dxfId="22187" priority="3080">
      <formula>$C23="Expences"</formula>
    </cfRule>
    <cfRule type="expression" dxfId="22186" priority="3081">
      <formula>$C23="Garlic Purchase"</formula>
    </cfRule>
    <cfRule type="expression" dxfId="22185" priority="3082">
      <formula>$C23="Ginger Purchase"</formula>
    </cfRule>
  </conditionalFormatting>
  <conditionalFormatting sqref="B23 B26 B29 B31 B33 B35 B37">
    <cfRule type="expression" dxfId="22184" priority="3083">
      <formula>$C23="Advance"</formula>
    </cfRule>
  </conditionalFormatting>
  <conditionalFormatting sqref="B23 B26 B29 B31 B33 B35 B37">
    <cfRule type="expression" dxfId="22183" priority="3064">
      <formula>$C23="Delivery charge"</formula>
    </cfRule>
    <cfRule type="expression" dxfId="22182" priority="3065">
      <formula>$C23="Staff Salary"</formula>
    </cfRule>
    <cfRule type="expression" dxfId="22181" priority="3066">
      <formula>$C23="Rent"</formula>
    </cfRule>
    <cfRule type="expression" dxfId="22180" priority="3067">
      <formula>$C23="Petrol"</formula>
    </cfRule>
    <cfRule type="expression" dxfId="22179" priority="3068">
      <formula>$C23="Bills"</formula>
    </cfRule>
    <cfRule type="expression" dxfId="22178" priority="3069">
      <formula>$C23="Sales"</formula>
    </cfRule>
    <cfRule type="expression" dxfId="22177" priority="3070">
      <formula>$C23="Expences"</formula>
    </cfRule>
    <cfRule type="expression" dxfId="22176" priority="3071">
      <formula>$C23="Garlic Purchase"</formula>
    </cfRule>
    <cfRule type="expression" dxfId="22175" priority="3072">
      <formula>$C23="Ginger Purchase"</formula>
    </cfRule>
  </conditionalFormatting>
  <conditionalFormatting sqref="B23 B26 B29 B31 B33 B35 B37">
    <cfRule type="expression" dxfId="22174" priority="3073">
      <formula>$C23="Advance"</formula>
    </cfRule>
  </conditionalFormatting>
  <conditionalFormatting sqref="B23 B26 B29 B31 B33 B35 B37">
    <cfRule type="expression" dxfId="22173" priority="3054">
      <formula>$C23="Delivery charge"</formula>
    </cfRule>
    <cfRule type="expression" dxfId="22172" priority="3055">
      <formula>$C23="Staff Salary"</formula>
    </cfRule>
    <cfRule type="expression" dxfId="22171" priority="3056">
      <formula>$C23="Rent"</formula>
    </cfRule>
    <cfRule type="expression" dxfId="22170" priority="3057">
      <formula>$C23="Petrol"</formula>
    </cfRule>
    <cfRule type="expression" dxfId="22169" priority="3058">
      <formula>$C23="Bills"</formula>
    </cfRule>
    <cfRule type="expression" dxfId="22168" priority="3059">
      <formula>$C23="Sales"</formula>
    </cfRule>
    <cfRule type="expression" dxfId="22167" priority="3060">
      <formula>$C23="Expences"</formula>
    </cfRule>
    <cfRule type="expression" dxfId="22166" priority="3061">
      <formula>$C23="Garlic Purchase"</formula>
    </cfRule>
    <cfRule type="expression" dxfId="22165" priority="3062">
      <formula>$C23="Ginger Purchase"</formula>
    </cfRule>
  </conditionalFormatting>
  <conditionalFormatting sqref="B23 B26 B29 B31 B33 B35 B37">
    <cfRule type="expression" dxfId="22164" priority="3063">
      <formula>$C23="Advance"</formula>
    </cfRule>
  </conditionalFormatting>
  <conditionalFormatting sqref="B23 B26 B29 B31 B33 B35 B37">
    <cfRule type="expression" dxfId="22163" priority="3044">
      <formula>$C23="Delivery charge"</formula>
    </cfRule>
    <cfRule type="expression" dxfId="22162" priority="3045">
      <formula>$C23="Staff Salary"</formula>
    </cfRule>
    <cfRule type="expression" dxfId="22161" priority="3046">
      <formula>$C23="Rent"</formula>
    </cfRule>
    <cfRule type="expression" dxfId="22160" priority="3047">
      <formula>$C23="Petrol"</formula>
    </cfRule>
    <cfRule type="expression" dxfId="22159" priority="3048">
      <formula>$C23="Bills"</formula>
    </cfRule>
    <cfRule type="expression" dxfId="22158" priority="3049">
      <formula>$C23="Sales"</formula>
    </cfRule>
    <cfRule type="expression" dxfId="22157" priority="3050">
      <formula>$C23="Expences"</formula>
    </cfRule>
    <cfRule type="expression" dxfId="22156" priority="3051">
      <formula>$C23="Garlic Purchase"</formula>
    </cfRule>
    <cfRule type="expression" dxfId="22155" priority="3052">
      <formula>$C23="Ginger Purchase"</formula>
    </cfRule>
  </conditionalFormatting>
  <conditionalFormatting sqref="B23 B26 B29 B31 B33 B35 B37">
    <cfRule type="expression" dxfId="22154" priority="3053">
      <formula>$C23="Advance"</formula>
    </cfRule>
  </conditionalFormatting>
  <conditionalFormatting sqref="B24 B27 B30 B32 B34 B36 B38">
    <cfRule type="expression" dxfId="22153" priority="3034">
      <formula>$C24="Delivery charge"</formula>
    </cfRule>
    <cfRule type="expression" dxfId="22152" priority="3035">
      <formula>$C24="Staff Salary"</formula>
    </cfRule>
    <cfRule type="expression" dxfId="22151" priority="3036">
      <formula>$C24="Rent"</formula>
    </cfRule>
    <cfRule type="expression" dxfId="22150" priority="3037">
      <formula>$C24="Petrol"</formula>
    </cfRule>
    <cfRule type="expression" dxfId="22149" priority="3038">
      <formula>$C24="Bills"</formula>
    </cfRule>
    <cfRule type="expression" dxfId="22148" priority="3039">
      <formula>$C24="Sales"</formula>
    </cfRule>
    <cfRule type="expression" dxfId="22147" priority="3040">
      <formula>$C24="Expences"</formula>
    </cfRule>
    <cfRule type="expression" dxfId="22146" priority="3041">
      <formula>$C24="Garlic Purchase"</formula>
    </cfRule>
    <cfRule type="expression" dxfId="22145" priority="3042">
      <formula>$C24="Ginger Purchase"</formula>
    </cfRule>
  </conditionalFormatting>
  <conditionalFormatting sqref="B24 B27 B30 B32 B34 B36 B38">
    <cfRule type="expression" dxfId="22144" priority="3043">
      <formula>$C24="Advance"</formula>
    </cfRule>
  </conditionalFormatting>
  <conditionalFormatting sqref="B23 B26 B29 B31 B33 B35 B37">
    <cfRule type="expression" dxfId="22143" priority="3024">
      <formula>$C23="Delivery charge"</formula>
    </cfRule>
    <cfRule type="expression" dxfId="22142" priority="3025">
      <formula>$C23="Staff Salary"</formula>
    </cfRule>
    <cfRule type="expression" dxfId="22141" priority="3026">
      <formula>$C23="Rent"</formula>
    </cfRule>
    <cfRule type="expression" dxfId="22140" priority="3027">
      <formula>$C23="Petrol"</formula>
    </cfRule>
    <cfRule type="expression" dxfId="22139" priority="3028">
      <formula>$C23="Bills"</formula>
    </cfRule>
    <cfRule type="expression" dxfId="22138" priority="3029">
      <formula>$C23="Sales"</formula>
    </cfRule>
    <cfRule type="expression" dxfId="22137" priority="3030">
      <formula>$C23="Expences"</formula>
    </cfRule>
    <cfRule type="expression" dxfId="22136" priority="3031">
      <formula>$C23="Garlic Purchase"</formula>
    </cfRule>
    <cfRule type="expression" dxfId="22135" priority="3032">
      <formula>$C23="Ginger Purchase"</formula>
    </cfRule>
  </conditionalFormatting>
  <conditionalFormatting sqref="B23 B26 B29 B31 B33 B35 B37">
    <cfRule type="expression" dxfId="22134" priority="3033">
      <formula>$C23="Advance"</formula>
    </cfRule>
  </conditionalFormatting>
  <conditionalFormatting sqref="B23 B26 B29 B31 B33 B35 B37">
    <cfRule type="expression" dxfId="22133" priority="3014">
      <formula>$C23="Delivery charge"</formula>
    </cfRule>
    <cfRule type="expression" dxfId="22132" priority="3015">
      <formula>$C23="Staff Salary"</formula>
    </cfRule>
    <cfRule type="expression" dxfId="22131" priority="3016">
      <formula>$C23="Rent"</formula>
    </cfRule>
    <cfRule type="expression" dxfId="22130" priority="3017">
      <formula>$C23="Petrol"</formula>
    </cfRule>
    <cfRule type="expression" dxfId="22129" priority="3018">
      <formula>$C23="Bills"</formula>
    </cfRule>
    <cfRule type="expression" dxfId="22128" priority="3019">
      <formula>$C23="Sales"</formula>
    </cfRule>
    <cfRule type="expression" dxfId="22127" priority="3020">
      <formula>$C23="Expences"</formula>
    </cfRule>
    <cfRule type="expression" dxfId="22126" priority="3021">
      <formula>$C23="Garlic Purchase"</formula>
    </cfRule>
    <cfRule type="expression" dxfId="22125" priority="3022">
      <formula>$C23="Ginger Purchase"</formula>
    </cfRule>
  </conditionalFormatting>
  <conditionalFormatting sqref="B23 B26 B29 B31 B33 B35 B37">
    <cfRule type="expression" dxfId="22124" priority="3023">
      <formula>$C23="Advance"</formula>
    </cfRule>
  </conditionalFormatting>
  <conditionalFormatting sqref="B23 B26 B29 B31 B33 B35 B37">
    <cfRule type="expression" dxfId="22123" priority="3004">
      <formula>$C23="Delivery charge"</formula>
    </cfRule>
    <cfRule type="expression" dxfId="22122" priority="3005">
      <formula>$C23="Staff Salary"</formula>
    </cfRule>
    <cfRule type="expression" dxfId="22121" priority="3006">
      <formula>$C23="Rent"</formula>
    </cfRule>
    <cfRule type="expression" dxfId="22120" priority="3007">
      <formula>$C23="Petrol"</formula>
    </cfRule>
    <cfRule type="expression" dxfId="22119" priority="3008">
      <formula>$C23="Bills"</formula>
    </cfRule>
    <cfRule type="expression" dxfId="22118" priority="3009">
      <formula>$C23="Sales"</formula>
    </cfRule>
    <cfRule type="expression" dxfId="22117" priority="3010">
      <formula>$C23="Expences"</formula>
    </cfRule>
    <cfRule type="expression" dxfId="22116" priority="3011">
      <formula>$C23="Garlic Purchase"</formula>
    </cfRule>
    <cfRule type="expression" dxfId="22115" priority="3012">
      <formula>$C23="Ginger Purchase"</formula>
    </cfRule>
  </conditionalFormatting>
  <conditionalFormatting sqref="B23 B26 B29 B31 B33 B35 B37">
    <cfRule type="expression" dxfId="22114" priority="3013">
      <formula>$C23="Advance"</formula>
    </cfRule>
  </conditionalFormatting>
  <conditionalFormatting sqref="B23 B26 B29 B31 B33 B35 B37">
    <cfRule type="expression" dxfId="22113" priority="2994">
      <formula>$C23="Delivery charge"</formula>
    </cfRule>
    <cfRule type="expression" dxfId="22112" priority="2995">
      <formula>$C23="Staff Salary"</formula>
    </cfRule>
    <cfRule type="expression" dxfId="22111" priority="2996">
      <formula>$C23="Rent"</formula>
    </cfRule>
    <cfRule type="expression" dxfId="22110" priority="2997">
      <formula>$C23="Petrol"</formula>
    </cfRule>
    <cfRule type="expression" dxfId="22109" priority="2998">
      <formula>$C23="Bills"</formula>
    </cfRule>
    <cfRule type="expression" dxfId="22108" priority="2999">
      <formula>$C23="Sales"</formula>
    </cfRule>
    <cfRule type="expression" dxfId="22107" priority="3000">
      <formula>$C23="Expences"</formula>
    </cfRule>
    <cfRule type="expression" dxfId="22106" priority="3001">
      <formula>$C23="Garlic Purchase"</formula>
    </cfRule>
    <cfRule type="expression" dxfId="22105" priority="3002">
      <formula>$C23="Ginger Purchase"</formula>
    </cfRule>
  </conditionalFormatting>
  <conditionalFormatting sqref="B23 B26 B29 B31 B33 B35 B37">
    <cfRule type="expression" dxfId="22104" priority="3003">
      <formula>$C23="Advance"</formula>
    </cfRule>
  </conditionalFormatting>
  <conditionalFormatting sqref="B23 B26 B29 B31 B33 B35 B37">
    <cfRule type="expression" dxfId="22103" priority="2984">
      <formula>$C23="Delivery charge"</formula>
    </cfRule>
    <cfRule type="expression" dxfId="22102" priority="2985">
      <formula>$C23="Staff Salary"</formula>
    </cfRule>
    <cfRule type="expression" dxfId="22101" priority="2986">
      <formula>$C23="Rent"</formula>
    </cfRule>
    <cfRule type="expression" dxfId="22100" priority="2987">
      <formula>$C23="Petrol"</formula>
    </cfRule>
    <cfRule type="expression" dxfId="22099" priority="2988">
      <formula>$C23="Bills"</formula>
    </cfRule>
    <cfRule type="expression" dxfId="22098" priority="2989">
      <formula>$C23="Sales"</formula>
    </cfRule>
    <cfRule type="expression" dxfId="22097" priority="2990">
      <formula>$C23="Expences"</formula>
    </cfRule>
    <cfRule type="expression" dxfId="22096" priority="2991">
      <formula>$C23="Garlic Purchase"</formula>
    </cfRule>
    <cfRule type="expression" dxfId="22095" priority="2992">
      <formula>$C23="Ginger Purchase"</formula>
    </cfRule>
  </conditionalFormatting>
  <conditionalFormatting sqref="B23 B26 B29 B31 B33 B35 B37">
    <cfRule type="expression" dxfId="22094" priority="2993">
      <formula>$C23="Advance"</formula>
    </cfRule>
  </conditionalFormatting>
  <conditionalFormatting sqref="B24 B27 B30 B32 B34 B36 B38">
    <cfRule type="expression" dxfId="22093" priority="2974">
      <formula>$C24="Delivery charge"</formula>
    </cfRule>
    <cfRule type="expression" dxfId="22092" priority="2975">
      <formula>$C24="Staff Salary"</formula>
    </cfRule>
    <cfRule type="expression" dxfId="22091" priority="2976">
      <formula>$C24="Rent"</formula>
    </cfRule>
    <cfRule type="expression" dxfId="22090" priority="2977">
      <formula>$C24="Petrol"</formula>
    </cfRule>
    <cfRule type="expression" dxfId="22089" priority="2978">
      <formula>$C24="Bills"</formula>
    </cfRule>
    <cfRule type="expression" dxfId="22088" priority="2979">
      <formula>$C24="Sales"</formula>
    </cfRule>
    <cfRule type="expression" dxfId="22087" priority="2980">
      <formula>$C24="Expences"</formula>
    </cfRule>
    <cfRule type="expression" dxfId="22086" priority="2981">
      <formula>$C24="Garlic Purchase"</formula>
    </cfRule>
    <cfRule type="expression" dxfId="22085" priority="2982">
      <formula>$C24="Ginger Purchase"</formula>
    </cfRule>
  </conditionalFormatting>
  <conditionalFormatting sqref="B24 B27 B30 B32 B34 B36 B38">
    <cfRule type="expression" dxfId="22084" priority="2983">
      <formula>$C24="Advance"</formula>
    </cfRule>
  </conditionalFormatting>
  <conditionalFormatting sqref="B24 B27 B30 B32 B34 B36 B38">
    <cfRule type="expression" dxfId="22083" priority="2964">
      <formula>$C24="Delivery charge"</formula>
    </cfRule>
    <cfRule type="expression" dxfId="22082" priority="2965">
      <formula>$C24="Staff Salary"</formula>
    </cfRule>
    <cfRule type="expression" dxfId="22081" priority="2966">
      <formula>$C24="Rent"</formula>
    </cfRule>
    <cfRule type="expression" dxfId="22080" priority="2967">
      <formula>$C24="Petrol"</formula>
    </cfRule>
    <cfRule type="expression" dxfId="22079" priority="2968">
      <formula>$C24="Bills"</formula>
    </cfRule>
    <cfRule type="expression" dxfId="22078" priority="2969">
      <formula>$C24="Sales"</formula>
    </cfRule>
    <cfRule type="expression" dxfId="22077" priority="2970">
      <formula>$C24="Expences"</formula>
    </cfRule>
    <cfRule type="expression" dxfId="22076" priority="2971">
      <formula>$C24="Garlic Purchase"</formula>
    </cfRule>
    <cfRule type="expression" dxfId="22075" priority="2972">
      <formula>$C24="Ginger Purchase"</formula>
    </cfRule>
  </conditionalFormatting>
  <conditionalFormatting sqref="B24 B27 B30 B32 B34 B36 B38">
    <cfRule type="expression" dxfId="22074" priority="2973">
      <formula>$C24="Advance"</formula>
    </cfRule>
  </conditionalFormatting>
  <conditionalFormatting sqref="B24 B27 B30 B32 B34 B36 B38">
    <cfRule type="expression" dxfId="22073" priority="2954">
      <formula>$C24="Delivery charge"</formula>
    </cfRule>
    <cfRule type="expression" dxfId="22072" priority="2955">
      <formula>$C24="Staff Salary"</formula>
    </cfRule>
    <cfRule type="expression" dxfId="22071" priority="2956">
      <formula>$C24="Rent"</formula>
    </cfRule>
    <cfRule type="expression" dxfId="22070" priority="2957">
      <formula>$C24="Petrol"</formula>
    </cfRule>
    <cfRule type="expression" dxfId="22069" priority="2958">
      <formula>$C24="Bills"</formula>
    </cfRule>
    <cfRule type="expression" dxfId="22068" priority="2959">
      <formula>$C24="Sales"</formula>
    </cfRule>
    <cfRule type="expression" dxfId="22067" priority="2960">
      <formula>$C24="Expences"</formula>
    </cfRule>
    <cfRule type="expression" dxfId="22066" priority="2961">
      <formula>$C24="Garlic Purchase"</formula>
    </cfRule>
    <cfRule type="expression" dxfId="22065" priority="2962">
      <formula>$C24="Ginger Purchase"</formula>
    </cfRule>
  </conditionalFormatting>
  <conditionalFormatting sqref="B24 B27 B30 B32 B34 B36 B38">
    <cfRule type="expression" dxfId="22064" priority="2963">
      <formula>$C24="Advance"</formula>
    </cfRule>
  </conditionalFormatting>
  <conditionalFormatting sqref="B24 B27 B30 B32 B34 B36 B38">
    <cfRule type="expression" dxfId="22063" priority="2944">
      <formula>$C24="Delivery charge"</formula>
    </cfRule>
    <cfRule type="expression" dxfId="22062" priority="2945">
      <formula>$C24="Staff Salary"</formula>
    </cfRule>
    <cfRule type="expression" dxfId="22061" priority="2946">
      <formula>$C24="Rent"</formula>
    </cfRule>
    <cfRule type="expression" dxfId="22060" priority="2947">
      <formula>$C24="Petrol"</formula>
    </cfRule>
    <cfRule type="expression" dxfId="22059" priority="2948">
      <formula>$C24="Bills"</formula>
    </cfRule>
    <cfRule type="expression" dxfId="22058" priority="2949">
      <formula>$C24="Sales"</formula>
    </cfRule>
    <cfRule type="expression" dxfId="22057" priority="2950">
      <formula>$C24="Expences"</formula>
    </cfRule>
    <cfRule type="expression" dxfId="22056" priority="2951">
      <formula>$C24="Garlic Purchase"</formula>
    </cfRule>
    <cfRule type="expression" dxfId="22055" priority="2952">
      <formula>$C24="Ginger Purchase"</formula>
    </cfRule>
  </conditionalFormatting>
  <conditionalFormatting sqref="B24 B27 B30 B32 B34 B36 B38">
    <cfRule type="expression" dxfId="22054" priority="2953">
      <formula>$C24="Advance"</formula>
    </cfRule>
  </conditionalFormatting>
  <conditionalFormatting sqref="B24 B27 B30 B32 B34 B36 B38">
    <cfRule type="expression" dxfId="22053" priority="2934">
      <formula>$C24="Delivery charge"</formula>
    </cfRule>
    <cfRule type="expression" dxfId="22052" priority="2935">
      <formula>$C24="Staff Salary"</formula>
    </cfRule>
    <cfRule type="expression" dxfId="22051" priority="2936">
      <formula>$C24="Rent"</formula>
    </cfRule>
    <cfRule type="expression" dxfId="22050" priority="2937">
      <formula>$C24="Petrol"</formula>
    </cfRule>
    <cfRule type="expression" dxfId="22049" priority="2938">
      <formula>$C24="Bills"</formula>
    </cfRule>
    <cfRule type="expression" dxfId="22048" priority="2939">
      <formula>$C24="Sales"</formula>
    </cfRule>
    <cfRule type="expression" dxfId="22047" priority="2940">
      <formula>$C24="Expences"</formula>
    </cfRule>
    <cfRule type="expression" dxfId="22046" priority="2941">
      <formula>$C24="Garlic Purchase"</formula>
    </cfRule>
    <cfRule type="expression" dxfId="22045" priority="2942">
      <formula>$C24="Ginger Purchase"</formula>
    </cfRule>
  </conditionalFormatting>
  <conditionalFormatting sqref="B24 B27 B30 B32 B34 B36 B38">
    <cfRule type="expression" dxfId="22044" priority="2943">
      <formula>$C24="Advance"</formula>
    </cfRule>
  </conditionalFormatting>
  <conditionalFormatting sqref="B23 B26 B29 B31 B33 B35 B37">
    <cfRule type="expression" dxfId="22043" priority="2924">
      <formula>$C23="Delivery charge"</formula>
    </cfRule>
    <cfRule type="expression" dxfId="22042" priority="2925">
      <formula>$C23="Staff Salary"</formula>
    </cfRule>
    <cfRule type="expression" dxfId="22041" priority="2926">
      <formula>$C23="Rent"</formula>
    </cfRule>
    <cfRule type="expression" dxfId="22040" priority="2927">
      <formula>$C23="Petrol"</formula>
    </cfRule>
    <cfRule type="expression" dxfId="22039" priority="2928">
      <formula>$C23="Bills"</formula>
    </cfRule>
    <cfRule type="expression" dxfId="22038" priority="2929">
      <formula>$C23="Sales"</formula>
    </cfRule>
    <cfRule type="expression" dxfId="22037" priority="2930">
      <formula>$C23="Expences"</formula>
    </cfRule>
    <cfRule type="expression" dxfId="22036" priority="2931">
      <formula>$C23="Garlic Purchase"</formula>
    </cfRule>
    <cfRule type="expression" dxfId="22035" priority="2932">
      <formula>$C23="Ginger Purchase"</formula>
    </cfRule>
  </conditionalFormatting>
  <conditionalFormatting sqref="B23 B26 B29 B31 B33 B35 B37">
    <cfRule type="expression" dxfId="22034" priority="2933">
      <formula>$C23="Advance"</formula>
    </cfRule>
  </conditionalFormatting>
  <conditionalFormatting sqref="B24 B27 B30 B32 B34 B36 B38">
    <cfRule type="expression" dxfId="22033" priority="2914">
      <formula>$C24="Delivery charge"</formula>
    </cfRule>
    <cfRule type="expression" dxfId="22032" priority="2915">
      <formula>$C24="Staff Salary"</formula>
    </cfRule>
    <cfRule type="expression" dxfId="22031" priority="2916">
      <formula>$C24="Rent"</formula>
    </cfRule>
    <cfRule type="expression" dxfId="22030" priority="2917">
      <formula>$C24="Petrol"</formula>
    </cfRule>
    <cfRule type="expression" dxfId="22029" priority="2918">
      <formula>$C24="Bills"</formula>
    </cfRule>
    <cfRule type="expression" dxfId="22028" priority="2919">
      <formula>$C24="Sales"</formula>
    </cfRule>
    <cfRule type="expression" dxfId="22027" priority="2920">
      <formula>$C24="Expences"</formula>
    </cfRule>
    <cfRule type="expression" dxfId="22026" priority="2921">
      <formula>$C24="Garlic Purchase"</formula>
    </cfRule>
    <cfRule type="expression" dxfId="22025" priority="2922">
      <formula>$C24="Ginger Purchase"</formula>
    </cfRule>
  </conditionalFormatting>
  <conditionalFormatting sqref="B24 B27 B30 B32 B34 B36 B38">
    <cfRule type="expression" dxfId="22024" priority="2923">
      <formula>$C24="Advance"</formula>
    </cfRule>
  </conditionalFormatting>
  <conditionalFormatting sqref="B24 B27 B30 B32 B34 B36 B38">
    <cfRule type="expression" dxfId="22023" priority="2904">
      <formula>$C24="Delivery charge"</formula>
    </cfRule>
    <cfRule type="expression" dxfId="22022" priority="2905">
      <formula>$C24="Staff Salary"</formula>
    </cfRule>
    <cfRule type="expression" dxfId="22021" priority="2906">
      <formula>$C24="Rent"</formula>
    </cfRule>
    <cfRule type="expression" dxfId="22020" priority="2907">
      <formula>$C24="Petrol"</formula>
    </cfRule>
    <cfRule type="expression" dxfId="22019" priority="2908">
      <formula>$C24="Bills"</formula>
    </cfRule>
    <cfRule type="expression" dxfId="22018" priority="2909">
      <formula>$C24="Sales"</formula>
    </cfRule>
    <cfRule type="expression" dxfId="22017" priority="2910">
      <formula>$C24="Expences"</formula>
    </cfRule>
    <cfRule type="expression" dxfId="22016" priority="2911">
      <formula>$C24="Garlic Purchase"</formula>
    </cfRule>
    <cfRule type="expression" dxfId="22015" priority="2912">
      <formula>$C24="Ginger Purchase"</formula>
    </cfRule>
  </conditionalFormatting>
  <conditionalFormatting sqref="B24 B27 B30 B32 B34 B36 B38">
    <cfRule type="expression" dxfId="22014" priority="2913">
      <formula>$C24="Advance"</formula>
    </cfRule>
  </conditionalFormatting>
  <conditionalFormatting sqref="B24 B27 B30 B32 B34 B36 B38">
    <cfRule type="expression" dxfId="22013" priority="2894">
      <formula>$C24="Delivery charge"</formula>
    </cfRule>
    <cfRule type="expression" dxfId="22012" priority="2895">
      <formula>$C24="Staff Salary"</formula>
    </cfRule>
    <cfRule type="expression" dxfId="22011" priority="2896">
      <formula>$C24="Rent"</formula>
    </cfRule>
    <cfRule type="expression" dxfId="22010" priority="2897">
      <formula>$C24="Petrol"</formula>
    </cfRule>
    <cfRule type="expression" dxfId="22009" priority="2898">
      <formula>$C24="Bills"</formula>
    </cfRule>
    <cfRule type="expression" dxfId="22008" priority="2899">
      <formula>$C24="Sales"</formula>
    </cfRule>
    <cfRule type="expression" dxfId="22007" priority="2900">
      <formula>$C24="Expences"</formula>
    </cfRule>
    <cfRule type="expression" dxfId="22006" priority="2901">
      <formula>$C24="Garlic Purchase"</formula>
    </cfRule>
    <cfRule type="expression" dxfId="22005" priority="2902">
      <formula>$C24="Ginger Purchase"</formula>
    </cfRule>
  </conditionalFormatting>
  <conditionalFormatting sqref="B24 B27 B30 B32 B34 B36 B38">
    <cfRule type="expression" dxfId="22004" priority="2903">
      <formula>$C24="Advance"</formula>
    </cfRule>
  </conditionalFormatting>
  <conditionalFormatting sqref="B24 B27 B30 B32 B34 B36 B38">
    <cfRule type="expression" dxfId="22003" priority="2884">
      <formula>$C24="Delivery charge"</formula>
    </cfRule>
    <cfRule type="expression" dxfId="22002" priority="2885">
      <formula>$C24="Staff Salary"</formula>
    </cfRule>
    <cfRule type="expression" dxfId="22001" priority="2886">
      <formula>$C24="Rent"</formula>
    </cfRule>
    <cfRule type="expression" dxfId="22000" priority="2887">
      <formula>$C24="Petrol"</formula>
    </cfRule>
    <cfRule type="expression" dxfId="21999" priority="2888">
      <formula>$C24="Bills"</formula>
    </cfRule>
    <cfRule type="expression" dxfId="21998" priority="2889">
      <formula>$C24="Sales"</formula>
    </cfRule>
    <cfRule type="expression" dxfId="21997" priority="2890">
      <formula>$C24="Expences"</formula>
    </cfRule>
    <cfRule type="expression" dxfId="21996" priority="2891">
      <formula>$C24="Garlic Purchase"</formula>
    </cfRule>
    <cfRule type="expression" dxfId="21995" priority="2892">
      <formula>$C24="Ginger Purchase"</formula>
    </cfRule>
  </conditionalFormatting>
  <conditionalFormatting sqref="B24 B27 B30 B32 B34 B36 B38">
    <cfRule type="expression" dxfId="21994" priority="2893">
      <formula>$C24="Advance"</formula>
    </cfRule>
  </conditionalFormatting>
  <conditionalFormatting sqref="B24 B27 B30 B32 B34 B36 B38">
    <cfRule type="expression" dxfId="21993" priority="2874">
      <formula>$C24="Delivery charge"</formula>
    </cfRule>
    <cfRule type="expression" dxfId="21992" priority="2875">
      <formula>$C24="Staff Salary"</formula>
    </cfRule>
    <cfRule type="expression" dxfId="21991" priority="2876">
      <formula>$C24="Rent"</formula>
    </cfRule>
    <cfRule type="expression" dxfId="21990" priority="2877">
      <formula>$C24="Petrol"</formula>
    </cfRule>
    <cfRule type="expression" dxfId="21989" priority="2878">
      <formula>$C24="Bills"</formula>
    </cfRule>
    <cfRule type="expression" dxfId="21988" priority="2879">
      <formula>$C24="Sales"</formula>
    </cfRule>
    <cfRule type="expression" dxfId="21987" priority="2880">
      <formula>$C24="Expences"</formula>
    </cfRule>
    <cfRule type="expression" dxfId="21986" priority="2881">
      <formula>$C24="Garlic Purchase"</formula>
    </cfRule>
    <cfRule type="expression" dxfId="21985" priority="2882">
      <formula>$C24="Ginger Purchase"</formula>
    </cfRule>
  </conditionalFormatting>
  <conditionalFormatting sqref="B24 B27 B30 B32 B34 B36 B38">
    <cfRule type="expression" dxfId="21984" priority="2883">
      <formula>$C24="Advance"</formula>
    </cfRule>
  </conditionalFormatting>
  <conditionalFormatting sqref="B24 B27 B30 B32 B34 B36 B38">
    <cfRule type="expression" dxfId="21983" priority="2864">
      <formula>$C24="Delivery charge"</formula>
    </cfRule>
    <cfRule type="expression" dxfId="21982" priority="2865">
      <formula>$C24="Staff Salary"</formula>
    </cfRule>
    <cfRule type="expression" dxfId="21981" priority="2866">
      <formula>$C24="Rent"</formula>
    </cfRule>
    <cfRule type="expression" dxfId="21980" priority="2867">
      <formula>$C24="Petrol"</formula>
    </cfRule>
    <cfRule type="expression" dxfId="21979" priority="2868">
      <formula>$C24="Bills"</formula>
    </cfRule>
    <cfRule type="expression" dxfId="21978" priority="2869">
      <formula>$C24="Sales"</formula>
    </cfRule>
    <cfRule type="expression" dxfId="21977" priority="2870">
      <formula>$C24="Expences"</formula>
    </cfRule>
    <cfRule type="expression" dxfId="21976" priority="2871">
      <formula>$C24="Garlic Purchase"</formula>
    </cfRule>
    <cfRule type="expression" dxfId="21975" priority="2872">
      <formula>$C24="Ginger Purchase"</formula>
    </cfRule>
  </conditionalFormatting>
  <conditionalFormatting sqref="B24 B27 B30 B32 B34 B36 B38">
    <cfRule type="expression" dxfId="21974" priority="2873">
      <formula>$C24="Advance"</formula>
    </cfRule>
  </conditionalFormatting>
  <conditionalFormatting sqref="B24 B27 B30 B32 B34 B36 B38">
    <cfRule type="expression" dxfId="21973" priority="2854">
      <formula>$C24="Delivery charge"</formula>
    </cfRule>
    <cfRule type="expression" dxfId="21972" priority="2855">
      <formula>$C24="Staff Salary"</formula>
    </cfRule>
    <cfRule type="expression" dxfId="21971" priority="2856">
      <formula>$C24="Rent"</formula>
    </cfRule>
    <cfRule type="expression" dxfId="21970" priority="2857">
      <formula>$C24="Petrol"</formula>
    </cfRule>
    <cfRule type="expression" dxfId="21969" priority="2858">
      <formula>$C24="Bills"</formula>
    </cfRule>
    <cfRule type="expression" dxfId="21968" priority="2859">
      <formula>$C24="Sales"</formula>
    </cfRule>
    <cfRule type="expression" dxfId="21967" priority="2860">
      <formula>$C24="Expences"</formula>
    </cfRule>
    <cfRule type="expression" dxfId="21966" priority="2861">
      <formula>$C24="Garlic Purchase"</formula>
    </cfRule>
    <cfRule type="expression" dxfId="21965" priority="2862">
      <formula>$C24="Ginger Purchase"</formula>
    </cfRule>
  </conditionalFormatting>
  <conditionalFormatting sqref="B24 B27 B30 B32 B34 B36 B38">
    <cfRule type="expression" dxfId="21964" priority="2863">
      <formula>$C24="Advance"</formula>
    </cfRule>
  </conditionalFormatting>
  <conditionalFormatting sqref="B24 B27 B30 B32 B34 B36 B38">
    <cfRule type="expression" dxfId="21963" priority="2844">
      <formula>$C24="Delivery charge"</formula>
    </cfRule>
    <cfRule type="expression" dxfId="21962" priority="2845">
      <formula>$C24="Staff Salary"</formula>
    </cfRule>
    <cfRule type="expression" dxfId="21961" priority="2846">
      <formula>$C24="Rent"</formula>
    </cfRule>
    <cfRule type="expression" dxfId="21960" priority="2847">
      <formula>$C24="Petrol"</formula>
    </cfRule>
    <cfRule type="expression" dxfId="21959" priority="2848">
      <formula>$C24="Bills"</formula>
    </cfRule>
    <cfRule type="expression" dxfId="21958" priority="2849">
      <formula>$C24="Sales"</formula>
    </cfRule>
    <cfRule type="expression" dxfId="21957" priority="2850">
      <formula>$C24="Expences"</formula>
    </cfRule>
    <cfRule type="expression" dxfId="21956" priority="2851">
      <formula>$C24="Garlic Purchase"</formula>
    </cfRule>
    <cfRule type="expression" dxfId="21955" priority="2852">
      <formula>$C24="Ginger Purchase"</formula>
    </cfRule>
  </conditionalFormatting>
  <conditionalFormatting sqref="B24 B27 B30 B32 B34 B36 B38">
    <cfRule type="expression" dxfId="21954" priority="2853">
      <formula>$C24="Advance"</formula>
    </cfRule>
  </conditionalFormatting>
  <conditionalFormatting sqref="B24 B27 B30 B32 B34 B36 B38">
    <cfRule type="expression" dxfId="21953" priority="2834">
      <formula>$C24="Delivery charge"</formula>
    </cfRule>
    <cfRule type="expression" dxfId="21952" priority="2835">
      <formula>$C24="Staff Salary"</formula>
    </cfRule>
    <cfRule type="expression" dxfId="21951" priority="2836">
      <formula>$C24="Rent"</formula>
    </cfRule>
    <cfRule type="expression" dxfId="21950" priority="2837">
      <formula>$C24="Petrol"</formula>
    </cfRule>
    <cfRule type="expression" dxfId="21949" priority="2838">
      <formula>$C24="Bills"</formula>
    </cfRule>
    <cfRule type="expression" dxfId="21948" priority="2839">
      <formula>$C24="Sales"</formula>
    </cfRule>
    <cfRule type="expression" dxfId="21947" priority="2840">
      <formula>$C24="Expences"</formula>
    </cfRule>
    <cfRule type="expression" dxfId="21946" priority="2841">
      <formula>$C24="Garlic Purchase"</formula>
    </cfRule>
    <cfRule type="expression" dxfId="21945" priority="2842">
      <formula>$C24="Ginger Purchase"</formula>
    </cfRule>
  </conditionalFormatting>
  <conditionalFormatting sqref="B24 B27 B30 B32 B34 B36 B38">
    <cfRule type="expression" dxfId="21944" priority="2843">
      <formula>$C24="Advance"</formula>
    </cfRule>
  </conditionalFormatting>
  <conditionalFormatting sqref="A29:A37">
    <cfRule type="expression" dxfId="21943" priority="2833">
      <formula>$C29="Advance"</formula>
    </cfRule>
  </conditionalFormatting>
  <conditionalFormatting sqref="B38 B40 B42">
    <cfRule type="expression" dxfId="21942" priority="2832">
      <formula>$C38="Advance"</formula>
    </cfRule>
  </conditionalFormatting>
  <conditionalFormatting sqref="B38 B40 B42">
    <cfRule type="expression" dxfId="21941" priority="2823">
      <formula>$C38="Delivery charge"</formula>
    </cfRule>
    <cfRule type="expression" dxfId="21940" priority="2824">
      <formula>$C38="Staff Salary"</formula>
    </cfRule>
    <cfRule type="expression" dxfId="21939" priority="2825">
      <formula>$C38="Rent"</formula>
    </cfRule>
    <cfRule type="expression" dxfId="21938" priority="2826">
      <formula>$C38="Petrol"</formula>
    </cfRule>
    <cfRule type="expression" dxfId="21937" priority="2827">
      <formula>$C38="Bills"</formula>
    </cfRule>
    <cfRule type="expression" dxfId="21936" priority="2828">
      <formula>$C38="Sales"</formula>
    </cfRule>
    <cfRule type="expression" dxfId="21935" priority="2829">
      <formula>$C38="Expences"</formula>
    </cfRule>
    <cfRule type="expression" dxfId="21934" priority="2830">
      <formula>$C38="Garlic Purchase"</formula>
    </cfRule>
    <cfRule type="expression" dxfId="21933" priority="2831">
      <formula>$C38="Ginger Purchase"</formula>
    </cfRule>
  </conditionalFormatting>
  <conditionalFormatting sqref="B37 B39 B41 B43 B45 B47 B49 B51 B53">
    <cfRule type="expression" dxfId="21932" priority="2813">
      <formula>$C37="Delivery charge"</formula>
    </cfRule>
    <cfRule type="expression" dxfId="21931" priority="2814">
      <formula>$C37="Staff Salary"</formula>
    </cfRule>
    <cfRule type="expression" dxfId="21930" priority="2815">
      <formula>$C37="Rent"</formula>
    </cfRule>
    <cfRule type="expression" dxfId="21929" priority="2816">
      <formula>$C37="Petrol"</formula>
    </cfRule>
    <cfRule type="expression" dxfId="21928" priority="2817">
      <formula>$C37="Bills"</formula>
    </cfRule>
    <cfRule type="expression" dxfId="21927" priority="2818">
      <formula>$C37="Sales"</formula>
    </cfRule>
    <cfRule type="expression" dxfId="21926" priority="2819">
      <formula>$C37="Expences"</formula>
    </cfRule>
    <cfRule type="expression" dxfId="21925" priority="2820">
      <formula>$C37="Garlic Purchase"</formula>
    </cfRule>
    <cfRule type="expression" dxfId="21924" priority="2821">
      <formula>$C37="Ginger Purchase"</formula>
    </cfRule>
  </conditionalFormatting>
  <conditionalFormatting sqref="B37 B39 B41 B43 B45 B47 B49 B51 B53">
    <cfRule type="expression" dxfId="21923" priority="2822">
      <formula>$C37="Advance"</formula>
    </cfRule>
  </conditionalFormatting>
  <conditionalFormatting sqref="B37 B39 B41 B43 B45 B47 B49 B51 B53">
    <cfRule type="expression" dxfId="21922" priority="2803">
      <formula>$C37="Delivery charge"</formula>
    </cfRule>
    <cfRule type="expression" dxfId="21921" priority="2804">
      <formula>$C37="Staff Salary"</formula>
    </cfRule>
    <cfRule type="expression" dxfId="21920" priority="2805">
      <formula>$C37="Rent"</formula>
    </cfRule>
    <cfRule type="expression" dxfId="21919" priority="2806">
      <formula>$C37="Petrol"</formula>
    </cfRule>
    <cfRule type="expression" dxfId="21918" priority="2807">
      <formula>$C37="Bills"</formula>
    </cfRule>
    <cfRule type="expression" dxfId="21917" priority="2808">
      <formula>$C37="Sales"</formula>
    </cfRule>
    <cfRule type="expression" dxfId="21916" priority="2809">
      <formula>$C37="Expences"</formula>
    </cfRule>
    <cfRule type="expression" dxfId="21915" priority="2810">
      <formula>$C37="Garlic Purchase"</formula>
    </cfRule>
    <cfRule type="expression" dxfId="21914" priority="2811">
      <formula>$C37="Ginger Purchase"</formula>
    </cfRule>
  </conditionalFormatting>
  <conditionalFormatting sqref="B37 B39 B41 B43 B45 B47 B49 B51 B53">
    <cfRule type="expression" dxfId="21913" priority="2812">
      <formula>$C37="Advance"</formula>
    </cfRule>
  </conditionalFormatting>
  <conditionalFormatting sqref="B37 B39 B41 B43 B45 B47 B49 B51 B53">
    <cfRule type="expression" dxfId="21912" priority="2793">
      <formula>$C37="Delivery charge"</formula>
    </cfRule>
    <cfRule type="expression" dxfId="21911" priority="2794">
      <formula>$C37="Staff Salary"</formula>
    </cfRule>
    <cfRule type="expression" dxfId="21910" priority="2795">
      <formula>$C37="Rent"</formula>
    </cfRule>
    <cfRule type="expression" dxfId="21909" priority="2796">
      <formula>$C37="Petrol"</formula>
    </cfRule>
    <cfRule type="expression" dxfId="21908" priority="2797">
      <formula>$C37="Bills"</formula>
    </cfRule>
    <cfRule type="expression" dxfId="21907" priority="2798">
      <formula>$C37="Sales"</formula>
    </cfRule>
    <cfRule type="expression" dxfId="21906" priority="2799">
      <formula>$C37="Expences"</formula>
    </cfRule>
    <cfRule type="expression" dxfId="21905" priority="2800">
      <formula>$C37="Garlic Purchase"</formula>
    </cfRule>
    <cfRule type="expression" dxfId="21904" priority="2801">
      <formula>$C37="Ginger Purchase"</formula>
    </cfRule>
  </conditionalFormatting>
  <conditionalFormatting sqref="B37 B39 B41 B43 B45 B47 B49 B51 B53">
    <cfRule type="expression" dxfId="21903" priority="2802">
      <formula>$C37="Advance"</formula>
    </cfRule>
  </conditionalFormatting>
  <conditionalFormatting sqref="B37 B39 B41 B43 B45 B47 B49 B51 B53">
    <cfRule type="expression" dxfId="21902" priority="2783">
      <formula>$C37="Delivery charge"</formula>
    </cfRule>
    <cfRule type="expression" dxfId="21901" priority="2784">
      <formula>$C37="Staff Salary"</formula>
    </cfRule>
    <cfRule type="expression" dxfId="21900" priority="2785">
      <formula>$C37="Rent"</formula>
    </cfRule>
    <cfRule type="expression" dxfId="21899" priority="2786">
      <formula>$C37="Petrol"</formula>
    </cfRule>
    <cfRule type="expression" dxfId="21898" priority="2787">
      <formula>$C37="Bills"</formula>
    </cfRule>
    <cfRule type="expression" dxfId="21897" priority="2788">
      <formula>$C37="Sales"</formula>
    </cfRule>
    <cfRule type="expression" dxfId="21896" priority="2789">
      <formula>$C37="Expences"</formula>
    </cfRule>
    <cfRule type="expression" dxfId="21895" priority="2790">
      <formula>$C37="Garlic Purchase"</formula>
    </cfRule>
    <cfRule type="expression" dxfId="21894" priority="2791">
      <formula>$C37="Ginger Purchase"</formula>
    </cfRule>
  </conditionalFormatting>
  <conditionalFormatting sqref="B37 B39 B41 B43 B45 B47 B49 B51 B53">
    <cfRule type="expression" dxfId="21893" priority="2792">
      <formula>$C37="Advance"</formula>
    </cfRule>
  </conditionalFormatting>
  <conditionalFormatting sqref="B37 B39 B41 B43 B45 B47 B49 B51 B53">
    <cfRule type="expression" dxfId="21892" priority="2773">
      <formula>$C37="Delivery charge"</formula>
    </cfRule>
    <cfRule type="expression" dxfId="21891" priority="2774">
      <formula>$C37="Staff Salary"</formula>
    </cfRule>
    <cfRule type="expression" dxfId="21890" priority="2775">
      <formula>$C37="Rent"</formula>
    </cfRule>
    <cfRule type="expression" dxfId="21889" priority="2776">
      <formula>$C37="Petrol"</formula>
    </cfRule>
    <cfRule type="expression" dxfId="21888" priority="2777">
      <formula>$C37="Bills"</formula>
    </cfRule>
    <cfRule type="expression" dxfId="21887" priority="2778">
      <formula>$C37="Sales"</formula>
    </cfRule>
    <cfRule type="expression" dxfId="21886" priority="2779">
      <formula>$C37="Expences"</formula>
    </cfRule>
    <cfRule type="expression" dxfId="21885" priority="2780">
      <formula>$C37="Garlic Purchase"</formula>
    </cfRule>
    <cfRule type="expression" dxfId="21884" priority="2781">
      <formula>$C37="Ginger Purchase"</formula>
    </cfRule>
  </conditionalFormatting>
  <conditionalFormatting sqref="B37 B39 B41 B43 B45 B47 B49 B51 B53">
    <cfRule type="expression" dxfId="21883" priority="2782">
      <formula>$C37="Advance"</formula>
    </cfRule>
  </conditionalFormatting>
  <conditionalFormatting sqref="B37 B39 B41 B43 B45 B47 B49 B51 B53">
    <cfRule type="expression" dxfId="21882" priority="2763">
      <formula>$C37="Delivery charge"</formula>
    </cfRule>
    <cfRule type="expression" dxfId="21881" priority="2764">
      <formula>$C37="Staff Salary"</formula>
    </cfRule>
    <cfRule type="expression" dxfId="21880" priority="2765">
      <formula>$C37="Rent"</formula>
    </cfRule>
    <cfRule type="expression" dxfId="21879" priority="2766">
      <formula>$C37="Petrol"</formula>
    </cfRule>
    <cfRule type="expression" dxfId="21878" priority="2767">
      <formula>$C37="Bills"</formula>
    </cfRule>
    <cfRule type="expression" dxfId="21877" priority="2768">
      <formula>$C37="Sales"</formula>
    </cfRule>
    <cfRule type="expression" dxfId="21876" priority="2769">
      <formula>$C37="Expences"</formula>
    </cfRule>
    <cfRule type="expression" dxfId="21875" priority="2770">
      <formula>$C37="Garlic Purchase"</formula>
    </cfRule>
    <cfRule type="expression" dxfId="21874" priority="2771">
      <formula>$C37="Ginger Purchase"</formula>
    </cfRule>
  </conditionalFormatting>
  <conditionalFormatting sqref="B37 B39 B41 B43 B45 B47 B49 B51 B53">
    <cfRule type="expression" dxfId="21873" priority="2772">
      <formula>$C37="Advance"</formula>
    </cfRule>
  </conditionalFormatting>
  <conditionalFormatting sqref="B37 B39 B41 B43 B45 B47 B49 B51 B53">
    <cfRule type="expression" dxfId="21872" priority="2753">
      <formula>$C37="Delivery charge"</formula>
    </cfRule>
    <cfRule type="expression" dxfId="21871" priority="2754">
      <formula>$C37="Staff Salary"</formula>
    </cfRule>
    <cfRule type="expression" dxfId="21870" priority="2755">
      <formula>$C37="Rent"</formula>
    </cfRule>
    <cfRule type="expression" dxfId="21869" priority="2756">
      <formula>$C37="Petrol"</formula>
    </cfRule>
    <cfRule type="expression" dxfId="21868" priority="2757">
      <formula>$C37="Bills"</formula>
    </cfRule>
    <cfRule type="expression" dxfId="21867" priority="2758">
      <formula>$C37="Sales"</formula>
    </cfRule>
    <cfRule type="expression" dxfId="21866" priority="2759">
      <formula>$C37="Expences"</formula>
    </cfRule>
    <cfRule type="expression" dxfId="21865" priority="2760">
      <formula>$C37="Garlic Purchase"</formula>
    </cfRule>
    <cfRule type="expression" dxfId="21864" priority="2761">
      <formula>$C37="Ginger Purchase"</formula>
    </cfRule>
  </conditionalFormatting>
  <conditionalFormatting sqref="B37 B39 B41 B43 B45 B47 B49 B51 B53">
    <cfRule type="expression" dxfId="21863" priority="2762">
      <formula>$C37="Advance"</formula>
    </cfRule>
  </conditionalFormatting>
  <conditionalFormatting sqref="B37 B39 B41 B43 B45 B47 B49 B51 B53">
    <cfRule type="expression" dxfId="21862" priority="2743">
      <formula>$C37="Delivery charge"</formula>
    </cfRule>
    <cfRule type="expression" dxfId="21861" priority="2744">
      <formula>$C37="Staff Salary"</formula>
    </cfRule>
    <cfRule type="expression" dxfId="21860" priority="2745">
      <formula>$C37="Rent"</formula>
    </cfRule>
    <cfRule type="expression" dxfId="21859" priority="2746">
      <formula>$C37="Petrol"</formula>
    </cfRule>
    <cfRule type="expression" dxfId="21858" priority="2747">
      <formula>$C37="Bills"</formula>
    </cfRule>
    <cfRule type="expression" dxfId="21857" priority="2748">
      <formula>$C37="Sales"</formula>
    </cfRule>
    <cfRule type="expression" dxfId="21856" priority="2749">
      <formula>$C37="Expences"</formula>
    </cfRule>
    <cfRule type="expression" dxfId="21855" priority="2750">
      <formula>$C37="Garlic Purchase"</formula>
    </cfRule>
    <cfRule type="expression" dxfId="21854" priority="2751">
      <formula>$C37="Ginger Purchase"</formula>
    </cfRule>
  </conditionalFormatting>
  <conditionalFormatting sqref="B37 B39 B41 B43 B45 B47 B49 B51 B53">
    <cfRule type="expression" dxfId="21853" priority="2752">
      <formula>$C37="Advance"</formula>
    </cfRule>
  </conditionalFormatting>
  <conditionalFormatting sqref="B37 B39 B41 B43 B45 B47 B49 B51 B53">
    <cfRule type="expression" dxfId="21852" priority="2733">
      <formula>$C37="Delivery charge"</formula>
    </cfRule>
    <cfRule type="expression" dxfId="21851" priority="2734">
      <formula>$C37="Staff Salary"</formula>
    </cfRule>
    <cfRule type="expression" dxfId="21850" priority="2735">
      <formula>$C37="Rent"</formula>
    </cfRule>
    <cfRule type="expression" dxfId="21849" priority="2736">
      <formula>$C37="Petrol"</formula>
    </cfRule>
    <cfRule type="expression" dxfId="21848" priority="2737">
      <formula>$C37="Bills"</formula>
    </cfRule>
    <cfRule type="expression" dxfId="21847" priority="2738">
      <formula>$C37="Sales"</formula>
    </cfRule>
    <cfRule type="expression" dxfId="21846" priority="2739">
      <formula>$C37="Expences"</formula>
    </cfRule>
    <cfRule type="expression" dxfId="21845" priority="2740">
      <formula>$C37="Garlic Purchase"</formula>
    </cfRule>
    <cfRule type="expression" dxfId="21844" priority="2741">
      <formula>$C37="Ginger Purchase"</formula>
    </cfRule>
  </conditionalFormatting>
  <conditionalFormatting sqref="B37 B39 B41 B43 B45 B47 B49 B51 B53">
    <cfRule type="expression" dxfId="21843" priority="2742">
      <formula>$C37="Advance"</formula>
    </cfRule>
  </conditionalFormatting>
  <conditionalFormatting sqref="B37 B39 B41 B43 B45 B47 B49 B51 B53">
    <cfRule type="expression" dxfId="21842" priority="2723">
      <formula>$C37="Delivery charge"</formula>
    </cfRule>
    <cfRule type="expression" dxfId="21841" priority="2724">
      <formula>$C37="Staff Salary"</formula>
    </cfRule>
    <cfRule type="expression" dxfId="21840" priority="2725">
      <formula>$C37="Rent"</formula>
    </cfRule>
    <cfRule type="expression" dxfId="21839" priority="2726">
      <formula>$C37="Petrol"</formula>
    </cfRule>
    <cfRule type="expression" dxfId="21838" priority="2727">
      <formula>$C37="Bills"</formula>
    </cfRule>
    <cfRule type="expression" dxfId="21837" priority="2728">
      <formula>$C37="Sales"</formula>
    </cfRule>
    <cfRule type="expression" dxfId="21836" priority="2729">
      <formula>$C37="Expences"</formula>
    </cfRule>
    <cfRule type="expression" dxfId="21835" priority="2730">
      <formula>$C37="Garlic Purchase"</formula>
    </cfRule>
    <cfRule type="expression" dxfId="21834" priority="2731">
      <formula>$C37="Ginger Purchase"</formula>
    </cfRule>
  </conditionalFormatting>
  <conditionalFormatting sqref="B37 B39 B41 B43 B45 B47 B49 B51 B53">
    <cfRule type="expression" dxfId="21833" priority="2732">
      <formula>$C37="Advance"</formula>
    </cfRule>
  </conditionalFormatting>
  <conditionalFormatting sqref="B37 B39 B41 B43 B45 B47 B49 B51 B53">
    <cfRule type="expression" dxfId="21832" priority="2713">
      <formula>$C37="Delivery charge"</formula>
    </cfRule>
    <cfRule type="expression" dxfId="21831" priority="2714">
      <formula>$C37="Staff Salary"</formula>
    </cfRule>
    <cfRule type="expression" dxfId="21830" priority="2715">
      <formula>$C37="Rent"</formula>
    </cfRule>
    <cfRule type="expression" dxfId="21829" priority="2716">
      <formula>$C37="Petrol"</formula>
    </cfRule>
    <cfRule type="expression" dxfId="21828" priority="2717">
      <formula>$C37="Bills"</formula>
    </cfRule>
    <cfRule type="expression" dxfId="21827" priority="2718">
      <formula>$C37="Sales"</formula>
    </cfRule>
    <cfRule type="expression" dxfId="21826" priority="2719">
      <formula>$C37="Expences"</formula>
    </cfRule>
    <cfRule type="expression" dxfId="21825" priority="2720">
      <formula>$C37="Garlic Purchase"</formula>
    </cfRule>
    <cfRule type="expression" dxfId="21824" priority="2721">
      <formula>$C37="Ginger Purchase"</formula>
    </cfRule>
  </conditionalFormatting>
  <conditionalFormatting sqref="B37 B39 B41 B43 B45 B47 B49 B51 B53">
    <cfRule type="expression" dxfId="21823" priority="2722">
      <formula>$C37="Advance"</formula>
    </cfRule>
  </conditionalFormatting>
  <conditionalFormatting sqref="B38 B40 B42">
    <cfRule type="expression" dxfId="21822" priority="2703">
      <formula>$C38="Delivery charge"</formula>
    </cfRule>
    <cfRule type="expression" dxfId="21821" priority="2704">
      <formula>$C38="Staff Salary"</formula>
    </cfRule>
    <cfRule type="expression" dxfId="21820" priority="2705">
      <formula>$C38="Rent"</formula>
    </cfRule>
    <cfRule type="expression" dxfId="21819" priority="2706">
      <formula>$C38="Petrol"</formula>
    </cfRule>
    <cfRule type="expression" dxfId="21818" priority="2707">
      <formula>$C38="Bills"</formula>
    </cfRule>
    <cfRule type="expression" dxfId="21817" priority="2708">
      <formula>$C38="Sales"</formula>
    </cfRule>
    <cfRule type="expression" dxfId="21816" priority="2709">
      <formula>$C38="Expences"</formula>
    </cfRule>
    <cfRule type="expression" dxfId="21815" priority="2710">
      <formula>$C38="Garlic Purchase"</formula>
    </cfRule>
    <cfRule type="expression" dxfId="21814" priority="2711">
      <formula>$C38="Ginger Purchase"</formula>
    </cfRule>
  </conditionalFormatting>
  <conditionalFormatting sqref="B38 B40 B42">
    <cfRule type="expression" dxfId="21813" priority="2712">
      <formula>$C38="Advance"</formula>
    </cfRule>
  </conditionalFormatting>
  <conditionalFormatting sqref="B37 B39 B41 B43 B45 B47 B49 B51 B53">
    <cfRule type="expression" dxfId="21812" priority="2693">
      <formula>$C37="Delivery charge"</formula>
    </cfRule>
    <cfRule type="expression" dxfId="21811" priority="2694">
      <formula>$C37="Staff Salary"</formula>
    </cfRule>
    <cfRule type="expression" dxfId="21810" priority="2695">
      <formula>$C37="Rent"</formula>
    </cfRule>
    <cfRule type="expression" dxfId="21809" priority="2696">
      <formula>$C37="Petrol"</formula>
    </cfRule>
    <cfRule type="expression" dxfId="21808" priority="2697">
      <formula>$C37="Bills"</formula>
    </cfRule>
    <cfRule type="expression" dxfId="21807" priority="2698">
      <formula>$C37="Sales"</formula>
    </cfRule>
    <cfRule type="expression" dxfId="21806" priority="2699">
      <formula>$C37="Expences"</formula>
    </cfRule>
    <cfRule type="expression" dxfId="21805" priority="2700">
      <formula>$C37="Garlic Purchase"</formula>
    </cfRule>
    <cfRule type="expression" dxfId="21804" priority="2701">
      <formula>$C37="Ginger Purchase"</formula>
    </cfRule>
  </conditionalFormatting>
  <conditionalFormatting sqref="B37 B39 B41 B43 B45 B47 B49 B51 B53">
    <cfRule type="expression" dxfId="21803" priority="2702">
      <formula>$C37="Advance"</formula>
    </cfRule>
  </conditionalFormatting>
  <conditionalFormatting sqref="B37 B39 B41 B43 B45 B47 B49 B51 B53">
    <cfRule type="expression" dxfId="21802" priority="2683">
      <formula>$C37="Delivery charge"</formula>
    </cfRule>
    <cfRule type="expression" dxfId="21801" priority="2684">
      <formula>$C37="Staff Salary"</formula>
    </cfRule>
    <cfRule type="expression" dxfId="21800" priority="2685">
      <formula>$C37="Rent"</formula>
    </cfRule>
    <cfRule type="expression" dxfId="21799" priority="2686">
      <formula>$C37="Petrol"</formula>
    </cfRule>
    <cfRule type="expression" dxfId="21798" priority="2687">
      <formula>$C37="Bills"</formula>
    </cfRule>
    <cfRule type="expression" dxfId="21797" priority="2688">
      <formula>$C37="Sales"</formula>
    </cfRule>
    <cfRule type="expression" dxfId="21796" priority="2689">
      <formula>$C37="Expences"</formula>
    </cfRule>
    <cfRule type="expression" dxfId="21795" priority="2690">
      <formula>$C37="Garlic Purchase"</formula>
    </cfRule>
    <cfRule type="expression" dxfId="21794" priority="2691">
      <formula>$C37="Ginger Purchase"</formula>
    </cfRule>
  </conditionalFormatting>
  <conditionalFormatting sqref="B37 B39 B41 B43 B45 B47 B49 B51 B53">
    <cfRule type="expression" dxfId="21793" priority="2692">
      <formula>$C37="Advance"</formula>
    </cfRule>
  </conditionalFormatting>
  <conditionalFormatting sqref="B37 B39 B41 B43 B45 B47 B49 B51 B53">
    <cfRule type="expression" dxfId="21792" priority="2673">
      <formula>$C37="Delivery charge"</formula>
    </cfRule>
    <cfRule type="expression" dxfId="21791" priority="2674">
      <formula>$C37="Staff Salary"</formula>
    </cfRule>
    <cfRule type="expression" dxfId="21790" priority="2675">
      <formula>$C37="Rent"</formula>
    </cfRule>
    <cfRule type="expression" dxfId="21789" priority="2676">
      <formula>$C37="Petrol"</formula>
    </cfRule>
    <cfRule type="expression" dxfId="21788" priority="2677">
      <formula>$C37="Bills"</formula>
    </cfRule>
    <cfRule type="expression" dxfId="21787" priority="2678">
      <formula>$C37="Sales"</formula>
    </cfRule>
    <cfRule type="expression" dxfId="21786" priority="2679">
      <formula>$C37="Expences"</formula>
    </cfRule>
    <cfRule type="expression" dxfId="21785" priority="2680">
      <formula>$C37="Garlic Purchase"</formula>
    </cfRule>
    <cfRule type="expression" dxfId="21784" priority="2681">
      <formula>$C37="Ginger Purchase"</formula>
    </cfRule>
  </conditionalFormatting>
  <conditionalFormatting sqref="B37 B39 B41 B43 B45 B47 B49 B51 B53">
    <cfRule type="expression" dxfId="21783" priority="2682">
      <formula>$C37="Advance"</formula>
    </cfRule>
  </conditionalFormatting>
  <conditionalFormatting sqref="B37 B39 B41 B43 B45 B47 B49 B51 B53">
    <cfRule type="expression" dxfId="21782" priority="2663">
      <formula>$C37="Delivery charge"</formula>
    </cfRule>
    <cfRule type="expression" dxfId="21781" priority="2664">
      <formula>$C37="Staff Salary"</formula>
    </cfRule>
    <cfRule type="expression" dxfId="21780" priority="2665">
      <formula>$C37="Rent"</formula>
    </cfRule>
    <cfRule type="expression" dxfId="21779" priority="2666">
      <formula>$C37="Petrol"</formula>
    </cfRule>
    <cfRule type="expression" dxfId="21778" priority="2667">
      <formula>$C37="Bills"</formula>
    </cfRule>
    <cfRule type="expression" dxfId="21777" priority="2668">
      <formula>$C37="Sales"</formula>
    </cfRule>
    <cfRule type="expression" dxfId="21776" priority="2669">
      <formula>$C37="Expences"</formula>
    </cfRule>
    <cfRule type="expression" dxfId="21775" priority="2670">
      <formula>$C37="Garlic Purchase"</formula>
    </cfRule>
    <cfRule type="expression" dxfId="21774" priority="2671">
      <formula>$C37="Ginger Purchase"</formula>
    </cfRule>
  </conditionalFormatting>
  <conditionalFormatting sqref="B37 B39 B41 B43 B45 B47 B49 B51 B53">
    <cfRule type="expression" dxfId="21773" priority="2672">
      <formula>$C37="Advance"</formula>
    </cfRule>
  </conditionalFormatting>
  <conditionalFormatting sqref="B38 B40 B42">
    <cfRule type="expression" dxfId="21772" priority="2653">
      <formula>$C38="Delivery charge"</formula>
    </cfRule>
    <cfRule type="expression" dxfId="21771" priority="2654">
      <formula>$C38="Staff Salary"</formula>
    </cfRule>
    <cfRule type="expression" dxfId="21770" priority="2655">
      <formula>$C38="Rent"</formula>
    </cfRule>
    <cfRule type="expression" dxfId="21769" priority="2656">
      <formula>$C38="Petrol"</formula>
    </cfRule>
    <cfRule type="expression" dxfId="21768" priority="2657">
      <formula>$C38="Bills"</formula>
    </cfRule>
    <cfRule type="expression" dxfId="21767" priority="2658">
      <formula>$C38="Sales"</formula>
    </cfRule>
    <cfRule type="expression" dxfId="21766" priority="2659">
      <formula>$C38="Expences"</formula>
    </cfRule>
    <cfRule type="expression" dxfId="21765" priority="2660">
      <formula>$C38="Garlic Purchase"</formula>
    </cfRule>
    <cfRule type="expression" dxfId="21764" priority="2661">
      <formula>$C38="Ginger Purchase"</formula>
    </cfRule>
  </conditionalFormatting>
  <conditionalFormatting sqref="B38 B40 B42">
    <cfRule type="expression" dxfId="21763" priority="2662">
      <formula>$C38="Advance"</formula>
    </cfRule>
  </conditionalFormatting>
  <conditionalFormatting sqref="B38 B40 B42">
    <cfRule type="expression" dxfId="21762" priority="2643">
      <formula>$C38="Delivery charge"</formula>
    </cfRule>
    <cfRule type="expression" dxfId="21761" priority="2644">
      <formula>$C38="Staff Salary"</formula>
    </cfRule>
    <cfRule type="expression" dxfId="21760" priority="2645">
      <formula>$C38="Rent"</formula>
    </cfRule>
    <cfRule type="expression" dxfId="21759" priority="2646">
      <formula>$C38="Petrol"</formula>
    </cfRule>
    <cfRule type="expression" dxfId="21758" priority="2647">
      <formula>$C38="Bills"</formula>
    </cfRule>
    <cfRule type="expression" dxfId="21757" priority="2648">
      <formula>$C38="Sales"</formula>
    </cfRule>
    <cfRule type="expression" dxfId="21756" priority="2649">
      <formula>$C38="Expences"</formula>
    </cfRule>
    <cfRule type="expression" dxfId="21755" priority="2650">
      <formula>$C38="Garlic Purchase"</formula>
    </cfRule>
    <cfRule type="expression" dxfId="21754" priority="2651">
      <formula>$C38="Ginger Purchase"</formula>
    </cfRule>
  </conditionalFormatting>
  <conditionalFormatting sqref="B38 B40 B42">
    <cfRule type="expression" dxfId="21753" priority="2652">
      <formula>$C38="Advance"</formula>
    </cfRule>
  </conditionalFormatting>
  <conditionalFormatting sqref="B38 B40 B42">
    <cfRule type="expression" dxfId="21752" priority="2633">
      <formula>$C38="Delivery charge"</formula>
    </cfRule>
    <cfRule type="expression" dxfId="21751" priority="2634">
      <formula>$C38="Staff Salary"</formula>
    </cfRule>
    <cfRule type="expression" dxfId="21750" priority="2635">
      <formula>$C38="Rent"</formula>
    </cfRule>
    <cfRule type="expression" dxfId="21749" priority="2636">
      <formula>$C38="Petrol"</formula>
    </cfRule>
    <cfRule type="expression" dxfId="21748" priority="2637">
      <formula>$C38="Bills"</formula>
    </cfRule>
    <cfRule type="expression" dxfId="21747" priority="2638">
      <formula>$C38="Sales"</formula>
    </cfRule>
    <cfRule type="expression" dxfId="21746" priority="2639">
      <formula>$C38="Expences"</formula>
    </cfRule>
    <cfRule type="expression" dxfId="21745" priority="2640">
      <formula>$C38="Garlic Purchase"</formula>
    </cfRule>
    <cfRule type="expression" dxfId="21744" priority="2641">
      <formula>$C38="Ginger Purchase"</formula>
    </cfRule>
  </conditionalFormatting>
  <conditionalFormatting sqref="B38 B40 B42">
    <cfRule type="expression" dxfId="21743" priority="2642">
      <formula>$C38="Advance"</formula>
    </cfRule>
  </conditionalFormatting>
  <conditionalFormatting sqref="B38 B40 B42">
    <cfRule type="expression" dxfId="21742" priority="2623">
      <formula>$C38="Delivery charge"</formula>
    </cfRule>
    <cfRule type="expression" dxfId="21741" priority="2624">
      <formula>$C38="Staff Salary"</formula>
    </cfRule>
    <cfRule type="expression" dxfId="21740" priority="2625">
      <formula>$C38="Rent"</formula>
    </cfRule>
    <cfRule type="expression" dxfId="21739" priority="2626">
      <formula>$C38="Petrol"</formula>
    </cfRule>
    <cfRule type="expression" dxfId="21738" priority="2627">
      <formula>$C38="Bills"</formula>
    </cfRule>
    <cfRule type="expression" dxfId="21737" priority="2628">
      <formula>$C38="Sales"</formula>
    </cfRule>
    <cfRule type="expression" dxfId="21736" priority="2629">
      <formula>$C38="Expences"</formula>
    </cfRule>
    <cfRule type="expression" dxfId="21735" priority="2630">
      <formula>$C38="Garlic Purchase"</formula>
    </cfRule>
    <cfRule type="expression" dxfId="21734" priority="2631">
      <formula>$C38="Ginger Purchase"</formula>
    </cfRule>
  </conditionalFormatting>
  <conditionalFormatting sqref="B38 B40 B42">
    <cfRule type="expression" dxfId="21733" priority="2632">
      <formula>$C38="Advance"</formula>
    </cfRule>
  </conditionalFormatting>
  <conditionalFormatting sqref="B37 B39 B41 B43 B45 B47 B49 B51 B53">
    <cfRule type="expression" dxfId="21732" priority="2613">
      <formula>$C37="Delivery charge"</formula>
    </cfRule>
    <cfRule type="expression" dxfId="21731" priority="2614">
      <formula>$C37="Staff Salary"</formula>
    </cfRule>
    <cfRule type="expression" dxfId="21730" priority="2615">
      <formula>$C37="Rent"</formula>
    </cfRule>
    <cfRule type="expression" dxfId="21729" priority="2616">
      <formula>$C37="Petrol"</formula>
    </cfRule>
    <cfRule type="expression" dxfId="21728" priority="2617">
      <formula>$C37="Bills"</formula>
    </cfRule>
    <cfRule type="expression" dxfId="21727" priority="2618">
      <formula>$C37="Sales"</formula>
    </cfRule>
    <cfRule type="expression" dxfId="21726" priority="2619">
      <formula>$C37="Expences"</formula>
    </cfRule>
    <cfRule type="expression" dxfId="21725" priority="2620">
      <formula>$C37="Garlic Purchase"</formula>
    </cfRule>
    <cfRule type="expression" dxfId="21724" priority="2621">
      <formula>$C37="Ginger Purchase"</formula>
    </cfRule>
  </conditionalFormatting>
  <conditionalFormatting sqref="B37 B39 B41 B43 B45 B47 B49 B51 B53">
    <cfRule type="expression" dxfId="21723" priority="2622">
      <formula>$C37="Advance"</formula>
    </cfRule>
  </conditionalFormatting>
  <conditionalFormatting sqref="B38 B40 B42">
    <cfRule type="expression" dxfId="21722" priority="2603">
      <formula>$C38="Delivery charge"</formula>
    </cfRule>
    <cfRule type="expression" dxfId="21721" priority="2604">
      <formula>$C38="Staff Salary"</formula>
    </cfRule>
    <cfRule type="expression" dxfId="21720" priority="2605">
      <formula>$C38="Rent"</formula>
    </cfRule>
    <cfRule type="expression" dxfId="21719" priority="2606">
      <formula>$C38="Petrol"</formula>
    </cfRule>
    <cfRule type="expression" dxfId="21718" priority="2607">
      <formula>$C38="Bills"</formula>
    </cfRule>
    <cfRule type="expression" dxfId="21717" priority="2608">
      <formula>$C38="Sales"</formula>
    </cfRule>
    <cfRule type="expression" dxfId="21716" priority="2609">
      <formula>$C38="Expences"</formula>
    </cfRule>
    <cfRule type="expression" dxfId="21715" priority="2610">
      <formula>$C38="Garlic Purchase"</formula>
    </cfRule>
    <cfRule type="expression" dxfId="21714" priority="2611">
      <formula>$C38="Ginger Purchase"</formula>
    </cfRule>
  </conditionalFormatting>
  <conditionalFormatting sqref="B38 B40 B42">
    <cfRule type="expression" dxfId="21713" priority="2612">
      <formula>$C38="Advance"</formula>
    </cfRule>
  </conditionalFormatting>
  <conditionalFormatting sqref="B38 B40 B42">
    <cfRule type="expression" dxfId="21712" priority="2593">
      <formula>$C38="Delivery charge"</formula>
    </cfRule>
    <cfRule type="expression" dxfId="21711" priority="2594">
      <formula>$C38="Staff Salary"</formula>
    </cfRule>
    <cfRule type="expression" dxfId="21710" priority="2595">
      <formula>$C38="Rent"</formula>
    </cfRule>
    <cfRule type="expression" dxfId="21709" priority="2596">
      <formula>$C38="Petrol"</formula>
    </cfRule>
    <cfRule type="expression" dxfId="21708" priority="2597">
      <formula>$C38="Bills"</formula>
    </cfRule>
    <cfRule type="expression" dxfId="21707" priority="2598">
      <formula>$C38="Sales"</formula>
    </cfRule>
    <cfRule type="expression" dxfId="21706" priority="2599">
      <formula>$C38="Expences"</formula>
    </cfRule>
    <cfRule type="expression" dxfId="21705" priority="2600">
      <formula>$C38="Garlic Purchase"</formula>
    </cfRule>
    <cfRule type="expression" dxfId="21704" priority="2601">
      <formula>$C38="Ginger Purchase"</formula>
    </cfRule>
  </conditionalFormatting>
  <conditionalFormatting sqref="B38 B40 B42">
    <cfRule type="expression" dxfId="21703" priority="2602">
      <formula>$C38="Advance"</formula>
    </cfRule>
  </conditionalFormatting>
  <conditionalFormatting sqref="B38 B40 B42">
    <cfRule type="expression" dxfId="21702" priority="2583">
      <formula>$C38="Delivery charge"</formula>
    </cfRule>
    <cfRule type="expression" dxfId="21701" priority="2584">
      <formula>$C38="Staff Salary"</formula>
    </cfRule>
    <cfRule type="expression" dxfId="21700" priority="2585">
      <formula>$C38="Rent"</formula>
    </cfRule>
    <cfRule type="expression" dxfId="21699" priority="2586">
      <formula>$C38="Petrol"</formula>
    </cfRule>
    <cfRule type="expression" dxfId="21698" priority="2587">
      <formula>$C38="Bills"</formula>
    </cfRule>
    <cfRule type="expression" dxfId="21697" priority="2588">
      <formula>$C38="Sales"</formula>
    </cfRule>
    <cfRule type="expression" dxfId="21696" priority="2589">
      <formula>$C38="Expences"</formula>
    </cfRule>
    <cfRule type="expression" dxfId="21695" priority="2590">
      <formula>$C38="Garlic Purchase"</formula>
    </cfRule>
    <cfRule type="expression" dxfId="21694" priority="2591">
      <formula>$C38="Ginger Purchase"</formula>
    </cfRule>
  </conditionalFormatting>
  <conditionalFormatting sqref="B38 B40 B42">
    <cfRule type="expression" dxfId="21693" priority="2592">
      <formula>$C38="Advance"</formula>
    </cfRule>
  </conditionalFormatting>
  <conditionalFormatting sqref="B38 B40 B42">
    <cfRule type="expression" dxfId="21692" priority="2573">
      <formula>$C38="Delivery charge"</formula>
    </cfRule>
    <cfRule type="expression" dxfId="21691" priority="2574">
      <formula>$C38="Staff Salary"</formula>
    </cfRule>
    <cfRule type="expression" dxfId="21690" priority="2575">
      <formula>$C38="Rent"</formula>
    </cfRule>
    <cfRule type="expression" dxfId="21689" priority="2576">
      <formula>$C38="Petrol"</formula>
    </cfRule>
    <cfRule type="expression" dxfId="21688" priority="2577">
      <formula>$C38="Bills"</formula>
    </cfRule>
    <cfRule type="expression" dxfId="21687" priority="2578">
      <formula>$C38="Sales"</formula>
    </cfRule>
    <cfRule type="expression" dxfId="21686" priority="2579">
      <formula>$C38="Expences"</formula>
    </cfRule>
    <cfRule type="expression" dxfId="21685" priority="2580">
      <formula>$C38="Garlic Purchase"</formula>
    </cfRule>
    <cfRule type="expression" dxfId="21684" priority="2581">
      <formula>$C38="Ginger Purchase"</formula>
    </cfRule>
  </conditionalFormatting>
  <conditionalFormatting sqref="B38 B40 B42">
    <cfRule type="expression" dxfId="21683" priority="2582">
      <formula>$C38="Advance"</formula>
    </cfRule>
  </conditionalFormatting>
  <conditionalFormatting sqref="B38 B40 B42">
    <cfRule type="expression" dxfId="21682" priority="2563">
      <formula>$C38="Delivery charge"</formula>
    </cfRule>
    <cfRule type="expression" dxfId="21681" priority="2564">
      <formula>$C38="Staff Salary"</formula>
    </cfRule>
    <cfRule type="expression" dxfId="21680" priority="2565">
      <formula>$C38="Rent"</formula>
    </cfRule>
    <cfRule type="expression" dxfId="21679" priority="2566">
      <formula>$C38="Petrol"</formula>
    </cfRule>
    <cfRule type="expression" dxfId="21678" priority="2567">
      <formula>$C38="Bills"</formula>
    </cfRule>
    <cfRule type="expression" dxfId="21677" priority="2568">
      <formula>$C38="Sales"</formula>
    </cfRule>
    <cfRule type="expression" dxfId="21676" priority="2569">
      <formula>$C38="Expences"</formula>
    </cfRule>
    <cfRule type="expression" dxfId="21675" priority="2570">
      <formula>$C38="Garlic Purchase"</formula>
    </cfRule>
    <cfRule type="expression" dxfId="21674" priority="2571">
      <formula>$C38="Ginger Purchase"</formula>
    </cfRule>
  </conditionalFormatting>
  <conditionalFormatting sqref="B38 B40 B42">
    <cfRule type="expression" dxfId="21673" priority="2572">
      <formula>$C38="Advance"</formula>
    </cfRule>
  </conditionalFormatting>
  <conditionalFormatting sqref="B37 B39 B41 B43 B45 B47 B49 B51 B53">
    <cfRule type="expression" dxfId="21672" priority="2553">
      <formula>$C37="Delivery charge"</formula>
    </cfRule>
    <cfRule type="expression" dxfId="21671" priority="2554">
      <formula>$C37="Staff Salary"</formula>
    </cfRule>
    <cfRule type="expression" dxfId="21670" priority="2555">
      <formula>$C37="Rent"</formula>
    </cfRule>
    <cfRule type="expression" dxfId="21669" priority="2556">
      <formula>$C37="Petrol"</formula>
    </cfRule>
    <cfRule type="expression" dxfId="21668" priority="2557">
      <formula>$C37="Bills"</formula>
    </cfRule>
    <cfRule type="expression" dxfId="21667" priority="2558">
      <formula>$C37="Sales"</formula>
    </cfRule>
    <cfRule type="expression" dxfId="21666" priority="2559">
      <formula>$C37="Expences"</formula>
    </cfRule>
    <cfRule type="expression" dxfId="21665" priority="2560">
      <formula>$C37="Garlic Purchase"</formula>
    </cfRule>
    <cfRule type="expression" dxfId="21664" priority="2561">
      <formula>$C37="Ginger Purchase"</formula>
    </cfRule>
  </conditionalFormatting>
  <conditionalFormatting sqref="B37 B39 B41 B43 B45 B47 B49 B51 B53">
    <cfRule type="expression" dxfId="21663" priority="2562">
      <formula>$C37="Advance"</formula>
    </cfRule>
  </conditionalFormatting>
  <conditionalFormatting sqref="B37 B39 B41 B43 B45 B47 B49 B51 B53">
    <cfRule type="expression" dxfId="21662" priority="2543">
      <formula>$C37="Delivery charge"</formula>
    </cfRule>
    <cfRule type="expression" dxfId="21661" priority="2544">
      <formula>$C37="Staff Salary"</formula>
    </cfRule>
    <cfRule type="expression" dxfId="21660" priority="2545">
      <formula>$C37="Rent"</formula>
    </cfRule>
    <cfRule type="expression" dxfId="21659" priority="2546">
      <formula>$C37="Petrol"</formula>
    </cfRule>
    <cfRule type="expression" dxfId="21658" priority="2547">
      <formula>$C37="Bills"</formula>
    </cfRule>
    <cfRule type="expression" dxfId="21657" priority="2548">
      <formula>$C37="Sales"</formula>
    </cfRule>
    <cfRule type="expression" dxfId="21656" priority="2549">
      <formula>$C37="Expences"</formula>
    </cfRule>
    <cfRule type="expression" dxfId="21655" priority="2550">
      <formula>$C37="Garlic Purchase"</formula>
    </cfRule>
    <cfRule type="expression" dxfId="21654" priority="2551">
      <formula>$C37="Ginger Purchase"</formula>
    </cfRule>
  </conditionalFormatting>
  <conditionalFormatting sqref="B37 B39 B41 B43 B45 B47 B49 B51 B53">
    <cfRule type="expression" dxfId="21653" priority="2552">
      <formula>$C37="Advance"</formula>
    </cfRule>
  </conditionalFormatting>
  <conditionalFormatting sqref="B37 B39 B41 B43 B45 B47 B49 B51 B53">
    <cfRule type="expression" dxfId="21652" priority="2533">
      <formula>$C37="Delivery charge"</formula>
    </cfRule>
    <cfRule type="expression" dxfId="21651" priority="2534">
      <formula>$C37="Staff Salary"</formula>
    </cfRule>
    <cfRule type="expression" dxfId="21650" priority="2535">
      <formula>$C37="Rent"</formula>
    </cfRule>
    <cfRule type="expression" dxfId="21649" priority="2536">
      <formula>$C37="Petrol"</formula>
    </cfRule>
    <cfRule type="expression" dxfId="21648" priority="2537">
      <formula>$C37="Bills"</formula>
    </cfRule>
    <cfRule type="expression" dxfId="21647" priority="2538">
      <formula>$C37="Sales"</formula>
    </cfRule>
    <cfRule type="expression" dxfId="21646" priority="2539">
      <formula>$C37="Expences"</formula>
    </cfRule>
    <cfRule type="expression" dxfId="21645" priority="2540">
      <formula>$C37="Garlic Purchase"</formula>
    </cfRule>
    <cfRule type="expression" dxfId="21644" priority="2541">
      <formula>$C37="Ginger Purchase"</formula>
    </cfRule>
  </conditionalFormatting>
  <conditionalFormatting sqref="B37 B39 B41 B43 B45 B47 B49 B51 B53">
    <cfRule type="expression" dxfId="21643" priority="2542">
      <formula>$C37="Advance"</formula>
    </cfRule>
  </conditionalFormatting>
  <conditionalFormatting sqref="B37 B39 B41 B43 B45 B47 B49 B51 B53">
    <cfRule type="expression" dxfId="21642" priority="2523">
      <formula>$C37="Delivery charge"</formula>
    </cfRule>
    <cfRule type="expression" dxfId="21641" priority="2524">
      <formula>$C37="Staff Salary"</formula>
    </cfRule>
    <cfRule type="expression" dxfId="21640" priority="2525">
      <formula>$C37="Rent"</formula>
    </cfRule>
    <cfRule type="expression" dxfId="21639" priority="2526">
      <formula>$C37="Petrol"</formula>
    </cfRule>
    <cfRule type="expression" dxfId="21638" priority="2527">
      <formula>$C37="Bills"</formula>
    </cfRule>
    <cfRule type="expression" dxfId="21637" priority="2528">
      <formula>$C37="Sales"</formula>
    </cfRule>
    <cfRule type="expression" dxfId="21636" priority="2529">
      <formula>$C37="Expences"</formula>
    </cfRule>
    <cfRule type="expression" dxfId="21635" priority="2530">
      <formula>$C37="Garlic Purchase"</formula>
    </cfRule>
    <cfRule type="expression" dxfId="21634" priority="2531">
      <formula>$C37="Ginger Purchase"</formula>
    </cfRule>
  </conditionalFormatting>
  <conditionalFormatting sqref="B37 B39 B41 B43 B45 B47 B49 B51 B53">
    <cfRule type="expression" dxfId="21633" priority="2532">
      <formula>$C37="Advance"</formula>
    </cfRule>
  </conditionalFormatting>
  <conditionalFormatting sqref="B37 B39 B41 B43 B45 B47 B49 B51 B53">
    <cfRule type="expression" dxfId="21632" priority="2513">
      <formula>$C37="Delivery charge"</formula>
    </cfRule>
    <cfRule type="expression" dxfId="21631" priority="2514">
      <formula>$C37="Staff Salary"</formula>
    </cfRule>
    <cfRule type="expression" dxfId="21630" priority="2515">
      <formula>$C37="Rent"</formula>
    </cfRule>
    <cfRule type="expression" dxfId="21629" priority="2516">
      <formula>$C37="Petrol"</formula>
    </cfRule>
    <cfRule type="expression" dxfId="21628" priority="2517">
      <formula>$C37="Bills"</formula>
    </cfRule>
    <cfRule type="expression" dxfId="21627" priority="2518">
      <formula>$C37="Sales"</formula>
    </cfRule>
    <cfRule type="expression" dxfId="21626" priority="2519">
      <formula>$C37="Expences"</formula>
    </cfRule>
    <cfRule type="expression" dxfId="21625" priority="2520">
      <formula>$C37="Garlic Purchase"</formula>
    </cfRule>
    <cfRule type="expression" dxfId="21624" priority="2521">
      <formula>$C37="Ginger Purchase"</formula>
    </cfRule>
  </conditionalFormatting>
  <conditionalFormatting sqref="B37 B39 B41 B43 B45 B47 B49 B51 B53">
    <cfRule type="expression" dxfId="21623" priority="2522">
      <formula>$C37="Advance"</formula>
    </cfRule>
  </conditionalFormatting>
  <conditionalFormatting sqref="B38 B40 B42">
    <cfRule type="expression" dxfId="21622" priority="2503">
      <formula>$C38="Delivery charge"</formula>
    </cfRule>
    <cfRule type="expression" dxfId="21621" priority="2504">
      <formula>$C38="Staff Salary"</formula>
    </cfRule>
    <cfRule type="expression" dxfId="21620" priority="2505">
      <formula>$C38="Rent"</formula>
    </cfRule>
    <cfRule type="expression" dxfId="21619" priority="2506">
      <formula>$C38="Petrol"</formula>
    </cfRule>
    <cfRule type="expression" dxfId="21618" priority="2507">
      <formula>$C38="Bills"</formula>
    </cfRule>
    <cfRule type="expression" dxfId="21617" priority="2508">
      <formula>$C38="Sales"</formula>
    </cfRule>
    <cfRule type="expression" dxfId="21616" priority="2509">
      <formula>$C38="Expences"</formula>
    </cfRule>
    <cfRule type="expression" dxfId="21615" priority="2510">
      <formula>$C38="Garlic Purchase"</formula>
    </cfRule>
    <cfRule type="expression" dxfId="21614" priority="2511">
      <formula>$C38="Ginger Purchase"</formula>
    </cfRule>
  </conditionalFormatting>
  <conditionalFormatting sqref="B37 B39 B41 B43 B45 B47 B49 B51 B53">
    <cfRule type="expression" dxfId="21613" priority="2493">
      <formula>$C37="Delivery charge"</formula>
    </cfRule>
    <cfRule type="expression" dxfId="21612" priority="2494">
      <formula>$C37="Staff Salary"</formula>
    </cfRule>
    <cfRule type="expression" dxfId="21611" priority="2495">
      <formula>$C37="Rent"</formula>
    </cfRule>
    <cfRule type="expression" dxfId="21610" priority="2496">
      <formula>$C37="Petrol"</formula>
    </cfRule>
    <cfRule type="expression" dxfId="21609" priority="2497">
      <formula>$C37="Bills"</formula>
    </cfRule>
    <cfRule type="expression" dxfId="21608" priority="2498">
      <formula>$C37="Sales"</formula>
    </cfRule>
    <cfRule type="expression" dxfId="21607" priority="2499">
      <formula>$C37="Expences"</formula>
    </cfRule>
    <cfRule type="expression" dxfId="21606" priority="2500">
      <formula>$C37="Garlic Purchase"</formula>
    </cfRule>
    <cfRule type="expression" dxfId="21605" priority="2501">
      <formula>$C37="Ginger Purchase"</formula>
    </cfRule>
  </conditionalFormatting>
  <conditionalFormatting sqref="B37 B39 B41 B43 B45 B47 B49 B51 B53">
    <cfRule type="expression" dxfId="21604" priority="2502">
      <formula>$C37="Advance"</formula>
    </cfRule>
  </conditionalFormatting>
  <conditionalFormatting sqref="B37 B39 B41 B43 B45 B47 B49 B51 B53">
    <cfRule type="expression" dxfId="21603" priority="2483">
      <formula>$C37="Delivery charge"</formula>
    </cfRule>
    <cfRule type="expression" dxfId="21602" priority="2484">
      <formula>$C37="Staff Salary"</formula>
    </cfRule>
    <cfRule type="expression" dxfId="21601" priority="2485">
      <formula>$C37="Rent"</formula>
    </cfRule>
    <cfRule type="expression" dxfId="21600" priority="2486">
      <formula>$C37="Petrol"</formula>
    </cfRule>
    <cfRule type="expression" dxfId="21599" priority="2487">
      <formula>$C37="Bills"</formula>
    </cfRule>
    <cfRule type="expression" dxfId="21598" priority="2488">
      <formula>$C37="Sales"</formula>
    </cfRule>
    <cfRule type="expression" dxfId="21597" priority="2489">
      <formula>$C37="Expences"</formula>
    </cfRule>
    <cfRule type="expression" dxfId="21596" priority="2490">
      <formula>$C37="Garlic Purchase"</formula>
    </cfRule>
    <cfRule type="expression" dxfId="21595" priority="2491">
      <formula>$C37="Ginger Purchase"</formula>
    </cfRule>
  </conditionalFormatting>
  <conditionalFormatting sqref="B37 B39 B41 B43 B45 B47 B49 B51 B53">
    <cfRule type="expression" dxfId="21594" priority="2492">
      <formula>$C37="Advance"</formula>
    </cfRule>
  </conditionalFormatting>
  <conditionalFormatting sqref="B37 B39 B41 B43 B45 B47 B49 B51 B53">
    <cfRule type="expression" dxfId="21593" priority="2473">
      <formula>$C37="Delivery charge"</formula>
    </cfRule>
    <cfRule type="expression" dxfId="21592" priority="2474">
      <formula>$C37="Staff Salary"</formula>
    </cfRule>
    <cfRule type="expression" dxfId="21591" priority="2475">
      <formula>$C37="Rent"</formula>
    </cfRule>
    <cfRule type="expression" dxfId="21590" priority="2476">
      <formula>$C37="Petrol"</formula>
    </cfRule>
    <cfRule type="expression" dxfId="21589" priority="2477">
      <formula>$C37="Bills"</formula>
    </cfRule>
    <cfRule type="expression" dxfId="21588" priority="2478">
      <formula>$C37="Sales"</formula>
    </cfRule>
    <cfRule type="expression" dxfId="21587" priority="2479">
      <formula>$C37="Expences"</formula>
    </cfRule>
    <cfRule type="expression" dxfId="21586" priority="2480">
      <formula>$C37="Garlic Purchase"</formula>
    </cfRule>
    <cfRule type="expression" dxfId="21585" priority="2481">
      <formula>$C37="Ginger Purchase"</formula>
    </cfRule>
  </conditionalFormatting>
  <conditionalFormatting sqref="B37 B39 B41 B43 B45 B47 B49 B51 B53">
    <cfRule type="expression" dxfId="21584" priority="2482">
      <formula>$C37="Advance"</formula>
    </cfRule>
  </conditionalFormatting>
  <conditionalFormatting sqref="B37 B39 B41 B43 B45 B47 B49 B51 B53">
    <cfRule type="expression" dxfId="21583" priority="2463">
      <formula>$C37="Delivery charge"</formula>
    </cfRule>
    <cfRule type="expression" dxfId="21582" priority="2464">
      <formula>$C37="Staff Salary"</formula>
    </cfRule>
    <cfRule type="expression" dxfId="21581" priority="2465">
      <formula>$C37="Rent"</formula>
    </cfRule>
    <cfRule type="expression" dxfId="21580" priority="2466">
      <formula>$C37="Petrol"</formula>
    </cfRule>
    <cfRule type="expression" dxfId="21579" priority="2467">
      <formula>$C37="Bills"</formula>
    </cfRule>
    <cfRule type="expression" dxfId="21578" priority="2468">
      <formula>$C37="Sales"</formula>
    </cfRule>
    <cfRule type="expression" dxfId="21577" priority="2469">
      <formula>$C37="Expences"</formula>
    </cfRule>
    <cfRule type="expression" dxfId="21576" priority="2470">
      <formula>$C37="Garlic Purchase"</formula>
    </cfRule>
    <cfRule type="expression" dxfId="21575" priority="2471">
      <formula>$C37="Ginger Purchase"</formula>
    </cfRule>
  </conditionalFormatting>
  <conditionalFormatting sqref="B37 B39 B41 B43 B45 B47 B49 B51 B53">
    <cfRule type="expression" dxfId="21574" priority="2472">
      <formula>$C37="Advance"</formula>
    </cfRule>
  </conditionalFormatting>
  <conditionalFormatting sqref="B37 B39 B41 B43 B45 B47 B49 B51 B53">
    <cfRule type="expression" dxfId="21573" priority="2453">
      <formula>$C37="Delivery charge"</formula>
    </cfRule>
    <cfRule type="expression" dxfId="21572" priority="2454">
      <formula>$C37="Staff Salary"</formula>
    </cfRule>
    <cfRule type="expression" dxfId="21571" priority="2455">
      <formula>$C37="Rent"</formula>
    </cfRule>
    <cfRule type="expression" dxfId="21570" priority="2456">
      <formula>$C37="Petrol"</formula>
    </cfRule>
    <cfRule type="expression" dxfId="21569" priority="2457">
      <formula>$C37="Bills"</formula>
    </cfRule>
    <cfRule type="expression" dxfId="21568" priority="2458">
      <formula>$C37="Sales"</formula>
    </cfRule>
    <cfRule type="expression" dxfId="21567" priority="2459">
      <formula>$C37="Expences"</formula>
    </cfRule>
    <cfRule type="expression" dxfId="21566" priority="2460">
      <formula>$C37="Garlic Purchase"</formula>
    </cfRule>
    <cfRule type="expression" dxfId="21565" priority="2461">
      <formula>$C37="Ginger Purchase"</formula>
    </cfRule>
  </conditionalFormatting>
  <conditionalFormatting sqref="B37 B39 B41 B43 B45 B47 B49 B51 B53">
    <cfRule type="expression" dxfId="21564" priority="2462">
      <formula>$C37="Advance"</formula>
    </cfRule>
  </conditionalFormatting>
  <conditionalFormatting sqref="B37 B39 B41 B43 B45 B47 B49 B51 B53">
    <cfRule type="expression" dxfId="21563" priority="2443">
      <formula>$C37="Delivery charge"</formula>
    </cfRule>
    <cfRule type="expression" dxfId="21562" priority="2444">
      <formula>$C37="Staff Salary"</formula>
    </cfRule>
    <cfRule type="expression" dxfId="21561" priority="2445">
      <formula>$C37="Rent"</formula>
    </cfRule>
    <cfRule type="expression" dxfId="21560" priority="2446">
      <formula>$C37="Petrol"</formula>
    </cfRule>
    <cfRule type="expression" dxfId="21559" priority="2447">
      <formula>$C37="Bills"</formula>
    </cfRule>
    <cfRule type="expression" dxfId="21558" priority="2448">
      <formula>$C37="Sales"</formula>
    </cfRule>
    <cfRule type="expression" dxfId="21557" priority="2449">
      <formula>$C37="Expences"</formula>
    </cfRule>
    <cfRule type="expression" dxfId="21556" priority="2450">
      <formula>$C37="Garlic Purchase"</formula>
    </cfRule>
    <cfRule type="expression" dxfId="21555" priority="2451">
      <formula>$C37="Ginger Purchase"</formula>
    </cfRule>
  </conditionalFormatting>
  <conditionalFormatting sqref="B37 B39 B41 B43 B45 B47 B49 B51 B53">
    <cfRule type="expression" dxfId="21554" priority="2452">
      <formula>$C37="Advance"</formula>
    </cfRule>
  </conditionalFormatting>
  <conditionalFormatting sqref="B37 B39 B41 B43 B45 B47 B49 B51 B53">
    <cfRule type="expression" dxfId="21553" priority="2433">
      <formula>$C37="Delivery charge"</formula>
    </cfRule>
    <cfRule type="expression" dxfId="21552" priority="2434">
      <formula>$C37="Staff Salary"</formula>
    </cfRule>
    <cfRule type="expression" dxfId="21551" priority="2435">
      <formula>$C37="Rent"</formula>
    </cfRule>
    <cfRule type="expression" dxfId="21550" priority="2436">
      <formula>$C37="Petrol"</formula>
    </cfRule>
    <cfRule type="expression" dxfId="21549" priority="2437">
      <formula>$C37="Bills"</formula>
    </cfRule>
    <cfRule type="expression" dxfId="21548" priority="2438">
      <formula>$C37="Sales"</formula>
    </cfRule>
    <cfRule type="expression" dxfId="21547" priority="2439">
      <formula>$C37="Expences"</formula>
    </cfRule>
    <cfRule type="expression" dxfId="21546" priority="2440">
      <formula>$C37="Garlic Purchase"</formula>
    </cfRule>
    <cfRule type="expression" dxfId="21545" priority="2441">
      <formula>$C37="Ginger Purchase"</formula>
    </cfRule>
  </conditionalFormatting>
  <conditionalFormatting sqref="B37 B39 B41 B43 B45 B47 B49 B51 B53">
    <cfRule type="expression" dxfId="21544" priority="2442">
      <formula>$C37="Advance"</formula>
    </cfRule>
  </conditionalFormatting>
  <conditionalFormatting sqref="B37 B39 B41 B43 B45 B47 B49 B51 B53">
    <cfRule type="expression" dxfId="21543" priority="2423">
      <formula>$C37="Delivery charge"</formula>
    </cfRule>
    <cfRule type="expression" dxfId="21542" priority="2424">
      <formula>$C37="Staff Salary"</formula>
    </cfRule>
    <cfRule type="expression" dxfId="21541" priority="2425">
      <formula>$C37="Rent"</formula>
    </cfRule>
    <cfRule type="expression" dxfId="21540" priority="2426">
      <formula>$C37="Petrol"</formula>
    </cfRule>
    <cfRule type="expression" dxfId="21539" priority="2427">
      <formula>$C37="Bills"</formula>
    </cfRule>
    <cfRule type="expression" dxfId="21538" priority="2428">
      <formula>$C37="Sales"</formula>
    </cfRule>
    <cfRule type="expression" dxfId="21537" priority="2429">
      <formula>$C37="Expences"</formula>
    </cfRule>
    <cfRule type="expression" dxfId="21536" priority="2430">
      <formula>$C37="Garlic Purchase"</formula>
    </cfRule>
    <cfRule type="expression" dxfId="21535" priority="2431">
      <formula>$C37="Ginger Purchase"</formula>
    </cfRule>
  </conditionalFormatting>
  <conditionalFormatting sqref="B37 B39 B41 B43 B45 B47 B49 B51 B53">
    <cfRule type="expression" dxfId="21534" priority="2432">
      <formula>$C37="Advance"</formula>
    </cfRule>
  </conditionalFormatting>
  <conditionalFormatting sqref="B37 B39 B41 B43 B45 B47 B49 B51 B53">
    <cfRule type="expression" dxfId="21533" priority="2413">
      <formula>$C37="Delivery charge"</formula>
    </cfRule>
    <cfRule type="expression" dxfId="21532" priority="2414">
      <formula>$C37="Staff Salary"</formula>
    </cfRule>
    <cfRule type="expression" dxfId="21531" priority="2415">
      <formula>$C37="Rent"</formula>
    </cfRule>
    <cfRule type="expression" dxfId="21530" priority="2416">
      <formula>$C37="Petrol"</formula>
    </cfRule>
    <cfRule type="expression" dxfId="21529" priority="2417">
      <formula>$C37="Bills"</formula>
    </cfRule>
    <cfRule type="expression" dxfId="21528" priority="2418">
      <formula>$C37="Sales"</formula>
    </cfRule>
    <cfRule type="expression" dxfId="21527" priority="2419">
      <formula>$C37="Expences"</formula>
    </cfRule>
    <cfRule type="expression" dxfId="21526" priority="2420">
      <formula>$C37="Garlic Purchase"</formula>
    </cfRule>
    <cfRule type="expression" dxfId="21525" priority="2421">
      <formula>$C37="Ginger Purchase"</formula>
    </cfRule>
  </conditionalFormatting>
  <conditionalFormatting sqref="B37 B39 B41 B43 B45 B47 B49 B51 B53">
    <cfRule type="expression" dxfId="21524" priority="2422">
      <formula>$C37="Advance"</formula>
    </cfRule>
  </conditionalFormatting>
  <conditionalFormatting sqref="B38">
    <cfRule type="expression" dxfId="21523" priority="2412">
      <formula>$C38="Advance"</formula>
    </cfRule>
  </conditionalFormatting>
  <conditionalFormatting sqref="B38">
    <cfRule type="expression" dxfId="21522" priority="2403">
      <formula>$C38="Delivery charge"</formula>
    </cfRule>
    <cfRule type="expression" dxfId="21521" priority="2404">
      <formula>$C38="Staff Salary"</formula>
    </cfRule>
    <cfRule type="expression" dxfId="21520" priority="2405">
      <formula>$C38="Rent"</formula>
    </cfRule>
    <cfRule type="expression" dxfId="21519" priority="2406">
      <formula>$C38="Petrol"</formula>
    </cfRule>
    <cfRule type="expression" dxfId="21518" priority="2407">
      <formula>$C38="Bills"</formula>
    </cfRule>
    <cfRule type="expression" dxfId="21517" priority="2408">
      <formula>$C38="Sales"</formula>
    </cfRule>
    <cfRule type="expression" dxfId="21516" priority="2409">
      <formula>$C38="Expences"</formula>
    </cfRule>
    <cfRule type="expression" dxfId="21515" priority="2410">
      <formula>$C38="Garlic Purchase"</formula>
    </cfRule>
    <cfRule type="expression" dxfId="21514" priority="2411">
      <formula>$C38="Ginger Purchase"</formula>
    </cfRule>
  </conditionalFormatting>
  <conditionalFormatting sqref="B39">
    <cfRule type="expression" dxfId="21513" priority="2393">
      <formula>$C39="Delivery charge"</formula>
    </cfRule>
    <cfRule type="expression" dxfId="21512" priority="2394">
      <formula>$C39="Staff Salary"</formula>
    </cfRule>
    <cfRule type="expression" dxfId="21511" priority="2395">
      <formula>$C39="Rent"</formula>
    </cfRule>
    <cfRule type="expression" dxfId="21510" priority="2396">
      <formula>$C39="Petrol"</formula>
    </cfRule>
    <cfRule type="expression" dxfId="21509" priority="2397">
      <formula>$C39="Bills"</formula>
    </cfRule>
    <cfRule type="expression" dxfId="21508" priority="2398">
      <formula>$C39="Sales"</formula>
    </cfRule>
    <cfRule type="expression" dxfId="21507" priority="2399">
      <formula>$C39="Expences"</formula>
    </cfRule>
    <cfRule type="expression" dxfId="21506" priority="2400">
      <formula>$C39="Garlic Purchase"</formula>
    </cfRule>
    <cfRule type="expression" dxfId="21505" priority="2401">
      <formula>$C39="Ginger Purchase"</formula>
    </cfRule>
  </conditionalFormatting>
  <conditionalFormatting sqref="B39">
    <cfRule type="expression" dxfId="21504" priority="2402">
      <formula>$C39="Advance"</formula>
    </cfRule>
  </conditionalFormatting>
  <conditionalFormatting sqref="B39">
    <cfRule type="expression" dxfId="21503" priority="2383">
      <formula>$C39="Delivery charge"</formula>
    </cfRule>
    <cfRule type="expression" dxfId="21502" priority="2384">
      <formula>$C39="Staff Salary"</formula>
    </cfRule>
    <cfRule type="expression" dxfId="21501" priority="2385">
      <formula>$C39="Rent"</formula>
    </cfRule>
    <cfRule type="expression" dxfId="21500" priority="2386">
      <formula>$C39="Petrol"</formula>
    </cfRule>
    <cfRule type="expression" dxfId="21499" priority="2387">
      <formula>$C39="Bills"</formula>
    </cfRule>
    <cfRule type="expression" dxfId="21498" priority="2388">
      <formula>$C39="Sales"</formula>
    </cfRule>
    <cfRule type="expression" dxfId="21497" priority="2389">
      <formula>$C39="Expences"</formula>
    </cfRule>
    <cfRule type="expression" dxfId="21496" priority="2390">
      <formula>$C39="Garlic Purchase"</formula>
    </cfRule>
    <cfRule type="expression" dxfId="21495" priority="2391">
      <formula>$C39="Ginger Purchase"</formula>
    </cfRule>
  </conditionalFormatting>
  <conditionalFormatting sqref="B39">
    <cfRule type="expression" dxfId="21494" priority="2392">
      <formula>$C39="Advance"</formula>
    </cfRule>
  </conditionalFormatting>
  <conditionalFormatting sqref="B39">
    <cfRule type="expression" dxfId="21493" priority="2373">
      <formula>$C39="Delivery charge"</formula>
    </cfRule>
    <cfRule type="expression" dxfId="21492" priority="2374">
      <formula>$C39="Staff Salary"</formula>
    </cfRule>
    <cfRule type="expression" dxfId="21491" priority="2375">
      <formula>$C39="Rent"</formula>
    </cfRule>
    <cfRule type="expression" dxfId="21490" priority="2376">
      <formula>$C39="Petrol"</formula>
    </cfRule>
    <cfRule type="expression" dxfId="21489" priority="2377">
      <formula>$C39="Bills"</formula>
    </cfRule>
    <cfRule type="expression" dxfId="21488" priority="2378">
      <formula>$C39="Sales"</formula>
    </cfRule>
    <cfRule type="expression" dxfId="21487" priority="2379">
      <formula>$C39="Expences"</formula>
    </cfRule>
    <cfRule type="expression" dxfId="21486" priority="2380">
      <formula>$C39="Garlic Purchase"</formula>
    </cfRule>
    <cfRule type="expression" dxfId="21485" priority="2381">
      <formula>$C39="Ginger Purchase"</formula>
    </cfRule>
  </conditionalFormatting>
  <conditionalFormatting sqref="B39">
    <cfRule type="expression" dxfId="21484" priority="2382">
      <formula>$C39="Advance"</formula>
    </cfRule>
  </conditionalFormatting>
  <conditionalFormatting sqref="B39">
    <cfRule type="expression" dxfId="21483" priority="2363">
      <formula>$C39="Delivery charge"</formula>
    </cfRule>
    <cfRule type="expression" dxfId="21482" priority="2364">
      <formula>$C39="Staff Salary"</formula>
    </cfRule>
    <cfRule type="expression" dxfId="21481" priority="2365">
      <formula>$C39="Rent"</formula>
    </cfRule>
    <cfRule type="expression" dxfId="21480" priority="2366">
      <formula>$C39="Petrol"</formula>
    </cfRule>
    <cfRule type="expression" dxfId="21479" priority="2367">
      <formula>$C39="Bills"</formula>
    </cfRule>
    <cfRule type="expression" dxfId="21478" priority="2368">
      <formula>$C39="Sales"</formula>
    </cfRule>
    <cfRule type="expression" dxfId="21477" priority="2369">
      <formula>$C39="Expences"</formula>
    </cfRule>
    <cfRule type="expression" dxfId="21476" priority="2370">
      <formula>$C39="Garlic Purchase"</formula>
    </cfRule>
    <cfRule type="expression" dxfId="21475" priority="2371">
      <formula>$C39="Ginger Purchase"</formula>
    </cfRule>
  </conditionalFormatting>
  <conditionalFormatting sqref="B39">
    <cfRule type="expression" dxfId="21474" priority="2372">
      <formula>$C39="Advance"</formula>
    </cfRule>
  </conditionalFormatting>
  <conditionalFormatting sqref="B39">
    <cfRule type="expression" dxfId="21473" priority="2353">
      <formula>$C39="Delivery charge"</formula>
    </cfRule>
    <cfRule type="expression" dxfId="21472" priority="2354">
      <formula>$C39="Staff Salary"</formula>
    </cfRule>
    <cfRule type="expression" dxfId="21471" priority="2355">
      <formula>$C39="Rent"</formula>
    </cfRule>
    <cfRule type="expression" dxfId="21470" priority="2356">
      <formula>$C39="Petrol"</formula>
    </cfRule>
    <cfRule type="expression" dxfId="21469" priority="2357">
      <formula>$C39="Bills"</formula>
    </cfRule>
    <cfRule type="expression" dxfId="21468" priority="2358">
      <formula>$C39="Sales"</formula>
    </cfRule>
    <cfRule type="expression" dxfId="21467" priority="2359">
      <formula>$C39="Expences"</formula>
    </cfRule>
    <cfRule type="expression" dxfId="21466" priority="2360">
      <formula>$C39="Garlic Purchase"</formula>
    </cfRule>
    <cfRule type="expression" dxfId="21465" priority="2361">
      <formula>$C39="Ginger Purchase"</formula>
    </cfRule>
  </conditionalFormatting>
  <conditionalFormatting sqref="B39">
    <cfRule type="expression" dxfId="21464" priority="2362">
      <formula>$C39="Advance"</formula>
    </cfRule>
  </conditionalFormatting>
  <conditionalFormatting sqref="B39">
    <cfRule type="expression" dxfId="21463" priority="2343">
      <formula>$C39="Delivery charge"</formula>
    </cfRule>
    <cfRule type="expression" dxfId="21462" priority="2344">
      <formula>$C39="Staff Salary"</formula>
    </cfRule>
    <cfRule type="expression" dxfId="21461" priority="2345">
      <formula>$C39="Rent"</formula>
    </cfRule>
    <cfRule type="expression" dxfId="21460" priority="2346">
      <formula>$C39="Petrol"</formula>
    </cfRule>
    <cfRule type="expression" dxfId="21459" priority="2347">
      <formula>$C39="Bills"</formula>
    </cfRule>
    <cfRule type="expression" dxfId="21458" priority="2348">
      <formula>$C39="Sales"</formula>
    </cfRule>
    <cfRule type="expression" dxfId="21457" priority="2349">
      <formula>$C39="Expences"</formula>
    </cfRule>
    <cfRule type="expression" dxfId="21456" priority="2350">
      <formula>$C39="Garlic Purchase"</formula>
    </cfRule>
    <cfRule type="expression" dxfId="21455" priority="2351">
      <formula>$C39="Ginger Purchase"</formula>
    </cfRule>
  </conditionalFormatting>
  <conditionalFormatting sqref="B39">
    <cfRule type="expression" dxfId="21454" priority="2352">
      <formula>$C39="Advance"</formula>
    </cfRule>
  </conditionalFormatting>
  <conditionalFormatting sqref="B39">
    <cfRule type="expression" dxfId="21453" priority="2333">
      <formula>$C39="Delivery charge"</formula>
    </cfRule>
    <cfRule type="expression" dxfId="21452" priority="2334">
      <formula>$C39="Staff Salary"</formula>
    </cfRule>
    <cfRule type="expression" dxfId="21451" priority="2335">
      <formula>$C39="Rent"</formula>
    </cfRule>
    <cfRule type="expression" dxfId="21450" priority="2336">
      <formula>$C39="Petrol"</formula>
    </cfRule>
    <cfRule type="expression" dxfId="21449" priority="2337">
      <formula>$C39="Bills"</formula>
    </cfRule>
    <cfRule type="expression" dxfId="21448" priority="2338">
      <formula>$C39="Sales"</formula>
    </cfRule>
    <cfRule type="expression" dxfId="21447" priority="2339">
      <formula>$C39="Expences"</formula>
    </cfRule>
    <cfRule type="expression" dxfId="21446" priority="2340">
      <formula>$C39="Garlic Purchase"</formula>
    </cfRule>
    <cfRule type="expression" dxfId="21445" priority="2341">
      <formula>$C39="Ginger Purchase"</formula>
    </cfRule>
  </conditionalFormatting>
  <conditionalFormatting sqref="B39">
    <cfRule type="expression" dxfId="21444" priority="2342">
      <formula>$C39="Advance"</formula>
    </cfRule>
  </conditionalFormatting>
  <conditionalFormatting sqref="B39">
    <cfRule type="expression" dxfId="21443" priority="2323">
      <formula>$C39="Delivery charge"</formula>
    </cfRule>
    <cfRule type="expression" dxfId="21442" priority="2324">
      <formula>$C39="Staff Salary"</formula>
    </cfRule>
    <cfRule type="expression" dxfId="21441" priority="2325">
      <formula>$C39="Rent"</formula>
    </cfRule>
    <cfRule type="expression" dxfId="21440" priority="2326">
      <formula>$C39="Petrol"</formula>
    </cfRule>
    <cfRule type="expression" dxfId="21439" priority="2327">
      <formula>$C39="Bills"</formula>
    </cfRule>
    <cfRule type="expression" dxfId="21438" priority="2328">
      <formula>$C39="Sales"</formula>
    </cfRule>
    <cfRule type="expression" dxfId="21437" priority="2329">
      <formula>$C39="Expences"</formula>
    </cfRule>
    <cfRule type="expression" dxfId="21436" priority="2330">
      <formula>$C39="Garlic Purchase"</formula>
    </cfRule>
    <cfRule type="expression" dxfId="21435" priority="2331">
      <formula>$C39="Ginger Purchase"</formula>
    </cfRule>
  </conditionalFormatting>
  <conditionalFormatting sqref="B39">
    <cfRule type="expression" dxfId="21434" priority="2332">
      <formula>$C39="Advance"</formula>
    </cfRule>
  </conditionalFormatting>
  <conditionalFormatting sqref="B39">
    <cfRule type="expression" dxfId="21433" priority="2313">
      <formula>$C39="Delivery charge"</formula>
    </cfRule>
    <cfRule type="expression" dxfId="21432" priority="2314">
      <formula>$C39="Staff Salary"</formula>
    </cfRule>
    <cfRule type="expression" dxfId="21431" priority="2315">
      <formula>$C39="Rent"</formula>
    </cfRule>
    <cfRule type="expression" dxfId="21430" priority="2316">
      <formula>$C39="Petrol"</formula>
    </cfRule>
    <cfRule type="expression" dxfId="21429" priority="2317">
      <formula>$C39="Bills"</formula>
    </cfRule>
    <cfRule type="expression" dxfId="21428" priority="2318">
      <formula>$C39="Sales"</formula>
    </cfRule>
    <cfRule type="expression" dxfId="21427" priority="2319">
      <formula>$C39="Expences"</formula>
    </cfRule>
    <cfRule type="expression" dxfId="21426" priority="2320">
      <formula>$C39="Garlic Purchase"</formula>
    </cfRule>
    <cfRule type="expression" dxfId="21425" priority="2321">
      <formula>$C39="Ginger Purchase"</formula>
    </cfRule>
  </conditionalFormatting>
  <conditionalFormatting sqref="B39">
    <cfRule type="expression" dxfId="21424" priority="2322">
      <formula>$C39="Advance"</formula>
    </cfRule>
  </conditionalFormatting>
  <conditionalFormatting sqref="B39">
    <cfRule type="expression" dxfId="21423" priority="2303">
      <formula>$C39="Delivery charge"</formula>
    </cfRule>
    <cfRule type="expression" dxfId="21422" priority="2304">
      <formula>$C39="Staff Salary"</formula>
    </cfRule>
    <cfRule type="expression" dxfId="21421" priority="2305">
      <formula>$C39="Rent"</formula>
    </cfRule>
    <cfRule type="expression" dxfId="21420" priority="2306">
      <formula>$C39="Petrol"</formula>
    </cfRule>
    <cfRule type="expression" dxfId="21419" priority="2307">
      <formula>$C39="Bills"</formula>
    </cfRule>
    <cfRule type="expression" dxfId="21418" priority="2308">
      <formula>$C39="Sales"</formula>
    </cfRule>
    <cfRule type="expression" dxfId="21417" priority="2309">
      <formula>$C39="Expences"</formula>
    </cfRule>
    <cfRule type="expression" dxfId="21416" priority="2310">
      <formula>$C39="Garlic Purchase"</formula>
    </cfRule>
    <cfRule type="expression" dxfId="21415" priority="2311">
      <formula>$C39="Ginger Purchase"</formula>
    </cfRule>
  </conditionalFormatting>
  <conditionalFormatting sqref="B39">
    <cfRule type="expression" dxfId="21414" priority="2312">
      <formula>$C39="Advance"</formula>
    </cfRule>
  </conditionalFormatting>
  <conditionalFormatting sqref="B39">
    <cfRule type="expression" dxfId="21413" priority="2293">
      <formula>$C39="Delivery charge"</formula>
    </cfRule>
    <cfRule type="expression" dxfId="21412" priority="2294">
      <formula>$C39="Staff Salary"</formula>
    </cfRule>
    <cfRule type="expression" dxfId="21411" priority="2295">
      <formula>$C39="Rent"</formula>
    </cfRule>
    <cfRule type="expression" dxfId="21410" priority="2296">
      <formula>$C39="Petrol"</formula>
    </cfRule>
    <cfRule type="expression" dxfId="21409" priority="2297">
      <formula>$C39="Bills"</formula>
    </cfRule>
    <cfRule type="expression" dxfId="21408" priority="2298">
      <formula>$C39="Sales"</formula>
    </cfRule>
    <cfRule type="expression" dxfId="21407" priority="2299">
      <formula>$C39="Expences"</formula>
    </cfRule>
    <cfRule type="expression" dxfId="21406" priority="2300">
      <formula>$C39="Garlic Purchase"</formula>
    </cfRule>
    <cfRule type="expression" dxfId="21405" priority="2301">
      <formula>$C39="Ginger Purchase"</formula>
    </cfRule>
  </conditionalFormatting>
  <conditionalFormatting sqref="B39">
    <cfRule type="expression" dxfId="21404" priority="2302">
      <formula>$C39="Advance"</formula>
    </cfRule>
  </conditionalFormatting>
  <conditionalFormatting sqref="B38">
    <cfRule type="expression" dxfId="21403" priority="2283">
      <formula>$C38="Delivery charge"</formula>
    </cfRule>
    <cfRule type="expression" dxfId="21402" priority="2284">
      <formula>$C38="Staff Salary"</formula>
    </cfRule>
    <cfRule type="expression" dxfId="21401" priority="2285">
      <formula>$C38="Rent"</formula>
    </cfRule>
    <cfRule type="expression" dxfId="21400" priority="2286">
      <formula>$C38="Petrol"</formula>
    </cfRule>
    <cfRule type="expression" dxfId="21399" priority="2287">
      <formula>$C38="Bills"</formula>
    </cfRule>
    <cfRule type="expression" dxfId="21398" priority="2288">
      <formula>$C38="Sales"</formula>
    </cfRule>
    <cfRule type="expression" dxfId="21397" priority="2289">
      <formula>$C38="Expences"</formula>
    </cfRule>
    <cfRule type="expression" dxfId="21396" priority="2290">
      <formula>$C38="Garlic Purchase"</formula>
    </cfRule>
    <cfRule type="expression" dxfId="21395" priority="2291">
      <formula>$C38="Ginger Purchase"</formula>
    </cfRule>
  </conditionalFormatting>
  <conditionalFormatting sqref="B38">
    <cfRule type="expression" dxfId="21394" priority="2292">
      <formula>$C38="Advance"</formula>
    </cfRule>
  </conditionalFormatting>
  <conditionalFormatting sqref="B39">
    <cfRule type="expression" dxfId="21393" priority="2273">
      <formula>$C39="Delivery charge"</formula>
    </cfRule>
    <cfRule type="expression" dxfId="21392" priority="2274">
      <formula>$C39="Staff Salary"</formula>
    </cfRule>
    <cfRule type="expression" dxfId="21391" priority="2275">
      <formula>$C39="Rent"</formula>
    </cfRule>
    <cfRule type="expression" dxfId="21390" priority="2276">
      <formula>$C39="Petrol"</formula>
    </cfRule>
    <cfRule type="expression" dxfId="21389" priority="2277">
      <formula>$C39="Bills"</formula>
    </cfRule>
    <cfRule type="expression" dxfId="21388" priority="2278">
      <formula>$C39="Sales"</formula>
    </cfRule>
    <cfRule type="expression" dxfId="21387" priority="2279">
      <formula>$C39="Expences"</formula>
    </cfRule>
    <cfRule type="expression" dxfId="21386" priority="2280">
      <formula>$C39="Garlic Purchase"</formula>
    </cfRule>
    <cfRule type="expression" dxfId="21385" priority="2281">
      <formula>$C39="Ginger Purchase"</formula>
    </cfRule>
  </conditionalFormatting>
  <conditionalFormatting sqref="B39">
    <cfRule type="expression" dxfId="21384" priority="2282">
      <formula>$C39="Advance"</formula>
    </cfRule>
  </conditionalFormatting>
  <conditionalFormatting sqref="B39">
    <cfRule type="expression" dxfId="21383" priority="2263">
      <formula>$C39="Delivery charge"</formula>
    </cfRule>
    <cfRule type="expression" dxfId="21382" priority="2264">
      <formula>$C39="Staff Salary"</formula>
    </cfRule>
    <cfRule type="expression" dxfId="21381" priority="2265">
      <formula>$C39="Rent"</formula>
    </cfRule>
    <cfRule type="expression" dxfId="21380" priority="2266">
      <formula>$C39="Petrol"</formula>
    </cfRule>
    <cfRule type="expression" dxfId="21379" priority="2267">
      <formula>$C39="Bills"</formula>
    </cfRule>
    <cfRule type="expression" dxfId="21378" priority="2268">
      <formula>$C39="Sales"</formula>
    </cfRule>
    <cfRule type="expression" dxfId="21377" priority="2269">
      <formula>$C39="Expences"</formula>
    </cfRule>
    <cfRule type="expression" dxfId="21376" priority="2270">
      <formula>$C39="Garlic Purchase"</formula>
    </cfRule>
    <cfRule type="expression" dxfId="21375" priority="2271">
      <formula>$C39="Ginger Purchase"</formula>
    </cfRule>
  </conditionalFormatting>
  <conditionalFormatting sqref="B39">
    <cfRule type="expression" dxfId="21374" priority="2272">
      <formula>$C39="Advance"</formula>
    </cfRule>
  </conditionalFormatting>
  <conditionalFormatting sqref="B39">
    <cfRule type="expression" dxfId="21373" priority="2253">
      <formula>$C39="Delivery charge"</formula>
    </cfRule>
    <cfRule type="expression" dxfId="21372" priority="2254">
      <formula>$C39="Staff Salary"</formula>
    </cfRule>
    <cfRule type="expression" dxfId="21371" priority="2255">
      <formula>$C39="Rent"</formula>
    </cfRule>
    <cfRule type="expression" dxfId="21370" priority="2256">
      <formula>$C39="Petrol"</formula>
    </cfRule>
    <cfRule type="expression" dxfId="21369" priority="2257">
      <formula>$C39="Bills"</formula>
    </cfRule>
    <cfRule type="expression" dxfId="21368" priority="2258">
      <formula>$C39="Sales"</formula>
    </cfRule>
    <cfRule type="expression" dxfId="21367" priority="2259">
      <formula>$C39="Expences"</formula>
    </cfRule>
    <cfRule type="expression" dxfId="21366" priority="2260">
      <formula>$C39="Garlic Purchase"</formula>
    </cfRule>
    <cfRule type="expression" dxfId="21365" priority="2261">
      <formula>$C39="Ginger Purchase"</formula>
    </cfRule>
  </conditionalFormatting>
  <conditionalFormatting sqref="B39">
    <cfRule type="expression" dxfId="21364" priority="2262">
      <formula>$C39="Advance"</formula>
    </cfRule>
  </conditionalFormatting>
  <conditionalFormatting sqref="B39">
    <cfRule type="expression" dxfId="21363" priority="2243">
      <formula>$C39="Delivery charge"</formula>
    </cfRule>
    <cfRule type="expression" dxfId="21362" priority="2244">
      <formula>$C39="Staff Salary"</formula>
    </cfRule>
    <cfRule type="expression" dxfId="21361" priority="2245">
      <formula>$C39="Rent"</formula>
    </cfRule>
    <cfRule type="expression" dxfId="21360" priority="2246">
      <formula>$C39="Petrol"</formula>
    </cfRule>
    <cfRule type="expression" dxfId="21359" priority="2247">
      <formula>$C39="Bills"</formula>
    </cfRule>
    <cfRule type="expression" dxfId="21358" priority="2248">
      <formula>$C39="Sales"</formula>
    </cfRule>
    <cfRule type="expression" dxfId="21357" priority="2249">
      <formula>$C39="Expences"</formula>
    </cfRule>
    <cfRule type="expression" dxfId="21356" priority="2250">
      <formula>$C39="Garlic Purchase"</formula>
    </cfRule>
    <cfRule type="expression" dxfId="21355" priority="2251">
      <formula>$C39="Ginger Purchase"</formula>
    </cfRule>
  </conditionalFormatting>
  <conditionalFormatting sqref="B39">
    <cfRule type="expression" dxfId="21354" priority="2252">
      <formula>$C39="Advance"</formula>
    </cfRule>
  </conditionalFormatting>
  <conditionalFormatting sqref="B38">
    <cfRule type="expression" dxfId="21353" priority="2233">
      <formula>$C38="Delivery charge"</formula>
    </cfRule>
    <cfRule type="expression" dxfId="21352" priority="2234">
      <formula>$C38="Staff Salary"</formula>
    </cfRule>
    <cfRule type="expression" dxfId="21351" priority="2235">
      <formula>$C38="Rent"</formula>
    </cfRule>
    <cfRule type="expression" dxfId="21350" priority="2236">
      <formula>$C38="Petrol"</formula>
    </cfRule>
    <cfRule type="expression" dxfId="21349" priority="2237">
      <formula>$C38="Bills"</formula>
    </cfRule>
    <cfRule type="expression" dxfId="21348" priority="2238">
      <formula>$C38="Sales"</formula>
    </cfRule>
    <cfRule type="expression" dxfId="21347" priority="2239">
      <formula>$C38="Expences"</formula>
    </cfRule>
    <cfRule type="expression" dxfId="21346" priority="2240">
      <formula>$C38="Garlic Purchase"</formula>
    </cfRule>
    <cfRule type="expression" dxfId="21345" priority="2241">
      <formula>$C38="Ginger Purchase"</formula>
    </cfRule>
  </conditionalFormatting>
  <conditionalFormatting sqref="B38">
    <cfRule type="expression" dxfId="21344" priority="2242">
      <formula>$C38="Advance"</formula>
    </cfRule>
  </conditionalFormatting>
  <conditionalFormatting sqref="B38">
    <cfRule type="expression" dxfId="21343" priority="2223">
      <formula>$C38="Delivery charge"</formula>
    </cfRule>
    <cfRule type="expression" dxfId="21342" priority="2224">
      <formula>$C38="Staff Salary"</formula>
    </cfRule>
    <cfRule type="expression" dxfId="21341" priority="2225">
      <formula>$C38="Rent"</formula>
    </cfRule>
    <cfRule type="expression" dxfId="21340" priority="2226">
      <formula>$C38="Petrol"</formula>
    </cfRule>
    <cfRule type="expression" dxfId="21339" priority="2227">
      <formula>$C38="Bills"</formula>
    </cfRule>
    <cfRule type="expression" dxfId="21338" priority="2228">
      <formula>$C38="Sales"</formula>
    </cfRule>
    <cfRule type="expression" dxfId="21337" priority="2229">
      <formula>$C38="Expences"</formula>
    </cfRule>
    <cfRule type="expression" dxfId="21336" priority="2230">
      <formula>$C38="Garlic Purchase"</formula>
    </cfRule>
    <cfRule type="expression" dxfId="21335" priority="2231">
      <formula>$C38="Ginger Purchase"</formula>
    </cfRule>
  </conditionalFormatting>
  <conditionalFormatting sqref="B38">
    <cfRule type="expression" dxfId="21334" priority="2232">
      <formula>$C38="Advance"</formula>
    </cfRule>
  </conditionalFormatting>
  <conditionalFormatting sqref="B38">
    <cfRule type="expression" dxfId="21333" priority="2213">
      <formula>$C38="Delivery charge"</formula>
    </cfRule>
    <cfRule type="expression" dxfId="21332" priority="2214">
      <formula>$C38="Staff Salary"</formula>
    </cfRule>
    <cfRule type="expression" dxfId="21331" priority="2215">
      <formula>$C38="Rent"</formula>
    </cfRule>
    <cfRule type="expression" dxfId="21330" priority="2216">
      <formula>$C38="Petrol"</formula>
    </cfRule>
    <cfRule type="expression" dxfId="21329" priority="2217">
      <formula>$C38="Bills"</formula>
    </cfRule>
    <cfRule type="expression" dxfId="21328" priority="2218">
      <formula>$C38="Sales"</formula>
    </cfRule>
    <cfRule type="expression" dxfId="21327" priority="2219">
      <formula>$C38="Expences"</formula>
    </cfRule>
    <cfRule type="expression" dxfId="21326" priority="2220">
      <formula>$C38="Garlic Purchase"</formula>
    </cfRule>
    <cfRule type="expression" dxfId="21325" priority="2221">
      <formula>$C38="Ginger Purchase"</formula>
    </cfRule>
  </conditionalFormatting>
  <conditionalFormatting sqref="B38">
    <cfRule type="expression" dxfId="21324" priority="2222">
      <formula>$C38="Advance"</formula>
    </cfRule>
  </conditionalFormatting>
  <conditionalFormatting sqref="B38">
    <cfRule type="expression" dxfId="21323" priority="2203">
      <formula>$C38="Delivery charge"</formula>
    </cfRule>
    <cfRule type="expression" dxfId="21322" priority="2204">
      <formula>$C38="Staff Salary"</formula>
    </cfRule>
    <cfRule type="expression" dxfId="21321" priority="2205">
      <formula>$C38="Rent"</formula>
    </cfRule>
    <cfRule type="expression" dxfId="21320" priority="2206">
      <formula>$C38="Petrol"</formula>
    </cfRule>
    <cfRule type="expression" dxfId="21319" priority="2207">
      <formula>$C38="Bills"</formula>
    </cfRule>
    <cfRule type="expression" dxfId="21318" priority="2208">
      <formula>$C38="Sales"</formula>
    </cfRule>
    <cfRule type="expression" dxfId="21317" priority="2209">
      <formula>$C38="Expences"</formula>
    </cfRule>
    <cfRule type="expression" dxfId="21316" priority="2210">
      <formula>$C38="Garlic Purchase"</formula>
    </cfRule>
    <cfRule type="expression" dxfId="21315" priority="2211">
      <formula>$C38="Ginger Purchase"</formula>
    </cfRule>
  </conditionalFormatting>
  <conditionalFormatting sqref="B38">
    <cfRule type="expression" dxfId="21314" priority="2212">
      <formula>$C38="Advance"</formula>
    </cfRule>
  </conditionalFormatting>
  <conditionalFormatting sqref="B39">
    <cfRule type="expression" dxfId="21313" priority="2193">
      <formula>$C39="Delivery charge"</formula>
    </cfRule>
    <cfRule type="expression" dxfId="21312" priority="2194">
      <formula>$C39="Staff Salary"</formula>
    </cfRule>
    <cfRule type="expression" dxfId="21311" priority="2195">
      <formula>$C39="Rent"</formula>
    </cfRule>
    <cfRule type="expression" dxfId="21310" priority="2196">
      <formula>$C39="Petrol"</formula>
    </cfRule>
    <cfRule type="expression" dxfId="21309" priority="2197">
      <formula>$C39="Bills"</formula>
    </cfRule>
    <cfRule type="expression" dxfId="21308" priority="2198">
      <formula>$C39="Sales"</formula>
    </cfRule>
    <cfRule type="expression" dxfId="21307" priority="2199">
      <formula>$C39="Expences"</formula>
    </cfRule>
    <cfRule type="expression" dxfId="21306" priority="2200">
      <formula>$C39="Garlic Purchase"</formula>
    </cfRule>
    <cfRule type="expression" dxfId="21305" priority="2201">
      <formula>$C39="Ginger Purchase"</formula>
    </cfRule>
  </conditionalFormatting>
  <conditionalFormatting sqref="B39">
    <cfRule type="expression" dxfId="21304" priority="2202">
      <formula>$C39="Advance"</formula>
    </cfRule>
  </conditionalFormatting>
  <conditionalFormatting sqref="B38">
    <cfRule type="expression" dxfId="21303" priority="2183">
      <formula>$C38="Delivery charge"</formula>
    </cfRule>
    <cfRule type="expression" dxfId="21302" priority="2184">
      <formula>$C38="Staff Salary"</formula>
    </cfRule>
    <cfRule type="expression" dxfId="21301" priority="2185">
      <formula>$C38="Rent"</formula>
    </cfRule>
    <cfRule type="expression" dxfId="21300" priority="2186">
      <formula>$C38="Petrol"</formula>
    </cfRule>
    <cfRule type="expression" dxfId="21299" priority="2187">
      <formula>$C38="Bills"</formula>
    </cfRule>
    <cfRule type="expression" dxfId="21298" priority="2188">
      <formula>$C38="Sales"</formula>
    </cfRule>
    <cfRule type="expression" dxfId="21297" priority="2189">
      <formula>$C38="Expences"</formula>
    </cfRule>
    <cfRule type="expression" dxfId="21296" priority="2190">
      <formula>$C38="Garlic Purchase"</formula>
    </cfRule>
    <cfRule type="expression" dxfId="21295" priority="2191">
      <formula>$C38="Ginger Purchase"</formula>
    </cfRule>
  </conditionalFormatting>
  <conditionalFormatting sqref="B38">
    <cfRule type="expression" dxfId="21294" priority="2192">
      <formula>$C38="Advance"</formula>
    </cfRule>
  </conditionalFormatting>
  <conditionalFormatting sqref="B38">
    <cfRule type="expression" dxfId="21293" priority="2173">
      <formula>$C38="Delivery charge"</formula>
    </cfRule>
    <cfRule type="expression" dxfId="21292" priority="2174">
      <formula>$C38="Staff Salary"</formula>
    </cfRule>
    <cfRule type="expression" dxfId="21291" priority="2175">
      <formula>$C38="Rent"</formula>
    </cfRule>
    <cfRule type="expression" dxfId="21290" priority="2176">
      <formula>$C38="Petrol"</formula>
    </cfRule>
    <cfRule type="expression" dxfId="21289" priority="2177">
      <formula>$C38="Bills"</formula>
    </cfRule>
    <cfRule type="expression" dxfId="21288" priority="2178">
      <formula>$C38="Sales"</formula>
    </cfRule>
    <cfRule type="expression" dxfId="21287" priority="2179">
      <formula>$C38="Expences"</formula>
    </cfRule>
    <cfRule type="expression" dxfId="21286" priority="2180">
      <formula>$C38="Garlic Purchase"</formula>
    </cfRule>
    <cfRule type="expression" dxfId="21285" priority="2181">
      <formula>$C38="Ginger Purchase"</formula>
    </cfRule>
  </conditionalFormatting>
  <conditionalFormatting sqref="B38">
    <cfRule type="expression" dxfId="21284" priority="2182">
      <formula>$C38="Advance"</formula>
    </cfRule>
  </conditionalFormatting>
  <conditionalFormatting sqref="B38">
    <cfRule type="expression" dxfId="21283" priority="2163">
      <formula>$C38="Delivery charge"</formula>
    </cfRule>
    <cfRule type="expression" dxfId="21282" priority="2164">
      <formula>$C38="Staff Salary"</formula>
    </cfRule>
    <cfRule type="expression" dxfId="21281" priority="2165">
      <formula>$C38="Rent"</formula>
    </cfRule>
    <cfRule type="expression" dxfId="21280" priority="2166">
      <formula>$C38="Petrol"</formula>
    </cfRule>
    <cfRule type="expression" dxfId="21279" priority="2167">
      <formula>$C38="Bills"</formula>
    </cfRule>
    <cfRule type="expression" dxfId="21278" priority="2168">
      <formula>$C38="Sales"</formula>
    </cfRule>
    <cfRule type="expression" dxfId="21277" priority="2169">
      <formula>$C38="Expences"</formula>
    </cfRule>
    <cfRule type="expression" dxfId="21276" priority="2170">
      <formula>$C38="Garlic Purchase"</formula>
    </cfRule>
    <cfRule type="expression" dxfId="21275" priority="2171">
      <formula>$C38="Ginger Purchase"</formula>
    </cfRule>
  </conditionalFormatting>
  <conditionalFormatting sqref="B38">
    <cfRule type="expression" dxfId="21274" priority="2172">
      <formula>$C38="Advance"</formula>
    </cfRule>
  </conditionalFormatting>
  <conditionalFormatting sqref="B38">
    <cfRule type="expression" dxfId="21273" priority="2153">
      <formula>$C38="Delivery charge"</formula>
    </cfRule>
    <cfRule type="expression" dxfId="21272" priority="2154">
      <formula>$C38="Staff Salary"</formula>
    </cfRule>
    <cfRule type="expression" dxfId="21271" priority="2155">
      <formula>$C38="Rent"</formula>
    </cfRule>
    <cfRule type="expression" dxfId="21270" priority="2156">
      <formula>$C38="Petrol"</formula>
    </cfRule>
    <cfRule type="expression" dxfId="21269" priority="2157">
      <formula>$C38="Bills"</formula>
    </cfRule>
    <cfRule type="expression" dxfId="21268" priority="2158">
      <formula>$C38="Sales"</formula>
    </cfRule>
    <cfRule type="expression" dxfId="21267" priority="2159">
      <formula>$C38="Expences"</formula>
    </cfRule>
    <cfRule type="expression" dxfId="21266" priority="2160">
      <formula>$C38="Garlic Purchase"</formula>
    </cfRule>
    <cfRule type="expression" dxfId="21265" priority="2161">
      <formula>$C38="Ginger Purchase"</formula>
    </cfRule>
  </conditionalFormatting>
  <conditionalFormatting sqref="B38">
    <cfRule type="expression" dxfId="21264" priority="2162">
      <formula>$C38="Advance"</formula>
    </cfRule>
  </conditionalFormatting>
  <conditionalFormatting sqref="B38">
    <cfRule type="expression" dxfId="21263" priority="2143">
      <formula>$C38="Delivery charge"</formula>
    </cfRule>
    <cfRule type="expression" dxfId="21262" priority="2144">
      <formula>$C38="Staff Salary"</formula>
    </cfRule>
    <cfRule type="expression" dxfId="21261" priority="2145">
      <formula>$C38="Rent"</formula>
    </cfRule>
    <cfRule type="expression" dxfId="21260" priority="2146">
      <formula>$C38="Petrol"</formula>
    </cfRule>
    <cfRule type="expression" dxfId="21259" priority="2147">
      <formula>$C38="Bills"</formula>
    </cfRule>
    <cfRule type="expression" dxfId="21258" priority="2148">
      <formula>$C38="Sales"</formula>
    </cfRule>
    <cfRule type="expression" dxfId="21257" priority="2149">
      <formula>$C38="Expences"</formula>
    </cfRule>
    <cfRule type="expression" dxfId="21256" priority="2150">
      <formula>$C38="Garlic Purchase"</formula>
    </cfRule>
    <cfRule type="expression" dxfId="21255" priority="2151">
      <formula>$C38="Ginger Purchase"</formula>
    </cfRule>
  </conditionalFormatting>
  <conditionalFormatting sqref="B38">
    <cfRule type="expression" dxfId="21254" priority="2152">
      <formula>$C38="Advance"</formula>
    </cfRule>
  </conditionalFormatting>
  <conditionalFormatting sqref="B39">
    <cfRule type="expression" dxfId="21253" priority="2133">
      <formula>$C39="Delivery charge"</formula>
    </cfRule>
    <cfRule type="expression" dxfId="21252" priority="2134">
      <formula>$C39="Staff Salary"</formula>
    </cfRule>
    <cfRule type="expression" dxfId="21251" priority="2135">
      <formula>$C39="Rent"</formula>
    </cfRule>
    <cfRule type="expression" dxfId="21250" priority="2136">
      <formula>$C39="Petrol"</formula>
    </cfRule>
    <cfRule type="expression" dxfId="21249" priority="2137">
      <formula>$C39="Bills"</formula>
    </cfRule>
    <cfRule type="expression" dxfId="21248" priority="2138">
      <formula>$C39="Sales"</formula>
    </cfRule>
    <cfRule type="expression" dxfId="21247" priority="2139">
      <formula>$C39="Expences"</formula>
    </cfRule>
    <cfRule type="expression" dxfId="21246" priority="2140">
      <formula>$C39="Garlic Purchase"</formula>
    </cfRule>
    <cfRule type="expression" dxfId="21245" priority="2141">
      <formula>$C39="Ginger Purchase"</formula>
    </cfRule>
  </conditionalFormatting>
  <conditionalFormatting sqref="B39">
    <cfRule type="expression" dxfId="21244" priority="2142">
      <formula>$C39="Advance"</formula>
    </cfRule>
  </conditionalFormatting>
  <conditionalFormatting sqref="B39">
    <cfRule type="expression" dxfId="21243" priority="2123">
      <formula>$C39="Delivery charge"</formula>
    </cfRule>
    <cfRule type="expression" dxfId="21242" priority="2124">
      <formula>$C39="Staff Salary"</formula>
    </cfRule>
    <cfRule type="expression" dxfId="21241" priority="2125">
      <formula>$C39="Rent"</formula>
    </cfRule>
    <cfRule type="expression" dxfId="21240" priority="2126">
      <formula>$C39="Petrol"</formula>
    </cfRule>
    <cfRule type="expression" dxfId="21239" priority="2127">
      <formula>$C39="Bills"</formula>
    </cfRule>
    <cfRule type="expression" dxfId="21238" priority="2128">
      <formula>$C39="Sales"</formula>
    </cfRule>
    <cfRule type="expression" dxfId="21237" priority="2129">
      <formula>$C39="Expences"</formula>
    </cfRule>
    <cfRule type="expression" dxfId="21236" priority="2130">
      <formula>$C39="Garlic Purchase"</formula>
    </cfRule>
    <cfRule type="expression" dxfId="21235" priority="2131">
      <formula>$C39="Ginger Purchase"</formula>
    </cfRule>
  </conditionalFormatting>
  <conditionalFormatting sqref="B39">
    <cfRule type="expression" dxfId="21234" priority="2132">
      <formula>$C39="Advance"</formula>
    </cfRule>
  </conditionalFormatting>
  <conditionalFormatting sqref="B39">
    <cfRule type="expression" dxfId="21233" priority="2113">
      <formula>$C39="Delivery charge"</formula>
    </cfRule>
    <cfRule type="expression" dxfId="21232" priority="2114">
      <formula>$C39="Staff Salary"</formula>
    </cfRule>
    <cfRule type="expression" dxfId="21231" priority="2115">
      <formula>$C39="Rent"</formula>
    </cfRule>
    <cfRule type="expression" dxfId="21230" priority="2116">
      <formula>$C39="Petrol"</formula>
    </cfRule>
    <cfRule type="expression" dxfId="21229" priority="2117">
      <formula>$C39="Bills"</formula>
    </cfRule>
    <cfRule type="expression" dxfId="21228" priority="2118">
      <formula>$C39="Sales"</formula>
    </cfRule>
    <cfRule type="expression" dxfId="21227" priority="2119">
      <formula>$C39="Expences"</formula>
    </cfRule>
    <cfRule type="expression" dxfId="21226" priority="2120">
      <formula>$C39="Garlic Purchase"</formula>
    </cfRule>
    <cfRule type="expression" dxfId="21225" priority="2121">
      <formula>$C39="Ginger Purchase"</formula>
    </cfRule>
  </conditionalFormatting>
  <conditionalFormatting sqref="B39">
    <cfRule type="expression" dxfId="21224" priority="2122">
      <formula>$C39="Advance"</formula>
    </cfRule>
  </conditionalFormatting>
  <conditionalFormatting sqref="B39">
    <cfRule type="expression" dxfId="21223" priority="2103">
      <formula>$C39="Delivery charge"</formula>
    </cfRule>
    <cfRule type="expression" dxfId="21222" priority="2104">
      <formula>$C39="Staff Salary"</formula>
    </cfRule>
    <cfRule type="expression" dxfId="21221" priority="2105">
      <formula>$C39="Rent"</formula>
    </cfRule>
    <cfRule type="expression" dxfId="21220" priority="2106">
      <formula>$C39="Petrol"</formula>
    </cfRule>
    <cfRule type="expression" dxfId="21219" priority="2107">
      <formula>$C39="Bills"</formula>
    </cfRule>
    <cfRule type="expression" dxfId="21218" priority="2108">
      <formula>$C39="Sales"</formula>
    </cfRule>
    <cfRule type="expression" dxfId="21217" priority="2109">
      <formula>$C39="Expences"</formula>
    </cfRule>
    <cfRule type="expression" dxfId="21216" priority="2110">
      <formula>$C39="Garlic Purchase"</formula>
    </cfRule>
    <cfRule type="expression" dxfId="21215" priority="2111">
      <formula>$C39="Ginger Purchase"</formula>
    </cfRule>
  </conditionalFormatting>
  <conditionalFormatting sqref="B39">
    <cfRule type="expression" dxfId="21214" priority="2112">
      <formula>$C39="Advance"</formula>
    </cfRule>
  </conditionalFormatting>
  <conditionalFormatting sqref="B39">
    <cfRule type="expression" dxfId="21213" priority="2093">
      <formula>$C39="Delivery charge"</formula>
    </cfRule>
    <cfRule type="expression" dxfId="21212" priority="2094">
      <formula>$C39="Staff Salary"</formula>
    </cfRule>
    <cfRule type="expression" dxfId="21211" priority="2095">
      <formula>$C39="Rent"</formula>
    </cfRule>
    <cfRule type="expression" dxfId="21210" priority="2096">
      <formula>$C39="Petrol"</formula>
    </cfRule>
    <cfRule type="expression" dxfId="21209" priority="2097">
      <formula>$C39="Bills"</formula>
    </cfRule>
    <cfRule type="expression" dxfId="21208" priority="2098">
      <formula>$C39="Sales"</formula>
    </cfRule>
    <cfRule type="expression" dxfId="21207" priority="2099">
      <formula>$C39="Expences"</formula>
    </cfRule>
    <cfRule type="expression" dxfId="21206" priority="2100">
      <formula>$C39="Garlic Purchase"</formula>
    </cfRule>
    <cfRule type="expression" dxfId="21205" priority="2101">
      <formula>$C39="Ginger Purchase"</formula>
    </cfRule>
  </conditionalFormatting>
  <conditionalFormatting sqref="B39">
    <cfRule type="expression" dxfId="21204" priority="2102">
      <formula>$C39="Advance"</formula>
    </cfRule>
  </conditionalFormatting>
  <conditionalFormatting sqref="B38">
    <cfRule type="expression" dxfId="21203" priority="2083">
      <formula>$C38="Delivery charge"</formula>
    </cfRule>
    <cfRule type="expression" dxfId="21202" priority="2084">
      <formula>$C38="Staff Salary"</formula>
    </cfRule>
    <cfRule type="expression" dxfId="21201" priority="2085">
      <formula>$C38="Rent"</formula>
    </cfRule>
    <cfRule type="expression" dxfId="21200" priority="2086">
      <formula>$C38="Petrol"</formula>
    </cfRule>
    <cfRule type="expression" dxfId="21199" priority="2087">
      <formula>$C38="Bills"</formula>
    </cfRule>
    <cfRule type="expression" dxfId="21198" priority="2088">
      <formula>$C38="Sales"</formula>
    </cfRule>
    <cfRule type="expression" dxfId="21197" priority="2089">
      <formula>$C38="Expences"</formula>
    </cfRule>
    <cfRule type="expression" dxfId="21196" priority="2090">
      <formula>$C38="Garlic Purchase"</formula>
    </cfRule>
    <cfRule type="expression" dxfId="21195" priority="2091">
      <formula>$C38="Ginger Purchase"</formula>
    </cfRule>
  </conditionalFormatting>
  <conditionalFormatting sqref="B38">
    <cfRule type="expression" dxfId="21194" priority="2092">
      <formula>$C38="Advance"</formula>
    </cfRule>
  </conditionalFormatting>
  <conditionalFormatting sqref="B39">
    <cfRule type="expression" dxfId="21193" priority="2073">
      <formula>$C39="Delivery charge"</formula>
    </cfRule>
    <cfRule type="expression" dxfId="21192" priority="2074">
      <formula>$C39="Staff Salary"</formula>
    </cfRule>
    <cfRule type="expression" dxfId="21191" priority="2075">
      <formula>$C39="Rent"</formula>
    </cfRule>
    <cfRule type="expression" dxfId="21190" priority="2076">
      <formula>$C39="Petrol"</formula>
    </cfRule>
    <cfRule type="expression" dxfId="21189" priority="2077">
      <formula>$C39="Bills"</formula>
    </cfRule>
    <cfRule type="expression" dxfId="21188" priority="2078">
      <formula>$C39="Sales"</formula>
    </cfRule>
    <cfRule type="expression" dxfId="21187" priority="2079">
      <formula>$C39="Expences"</formula>
    </cfRule>
    <cfRule type="expression" dxfId="21186" priority="2080">
      <formula>$C39="Garlic Purchase"</formula>
    </cfRule>
    <cfRule type="expression" dxfId="21185" priority="2081">
      <formula>$C39="Ginger Purchase"</formula>
    </cfRule>
  </conditionalFormatting>
  <conditionalFormatting sqref="B39">
    <cfRule type="expression" dxfId="21184" priority="2082">
      <formula>$C39="Advance"</formula>
    </cfRule>
  </conditionalFormatting>
  <conditionalFormatting sqref="B39">
    <cfRule type="expression" dxfId="21183" priority="2063">
      <formula>$C39="Delivery charge"</formula>
    </cfRule>
    <cfRule type="expression" dxfId="21182" priority="2064">
      <formula>$C39="Staff Salary"</formula>
    </cfRule>
    <cfRule type="expression" dxfId="21181" priority="2065">
      <formula>$C39="Rent"</formula>
    </cfRule>
    <cfRule type="expression" dxfId="21180" priority="2066">
      <formula>$C39="Petrol"</formula>
    </cfRule>
    <cfRule type="expression" dxfId="21179" priority="2067">
      <formula>$C39="Bills"</formula>
    </cfRule>
    <cfRule type="expression" dxfId="21178" priority="2068">
      <formula>$C39="Sales"</formula>
    </cfRule>
    <cfRule type="expression" dxfId="21177" priority="2069">
      <formula>$C39="Expences"</formula>
    </cfRule>
    <cfRule type="expression" dxfId="21176" priority="2070">
      <formula>$C39="Garlic Purchase"</formula>
    </cfRule>
    <cfRule type="expression" dxfId="21175" priority="2071">
      <formula>$C39="Ginger Purchase"</formula>
    </cfRule>
  </conditionalFormatting>
  <conditionalFormatting sqref="B39">
    <cfRule type="expression" dxfId="21174" priority="2072">
      <formula>$C39="Advance"</formula>
    </cfRule>
  </conditionalFormatting>
  <conditionalFormatting sqref="B39">
    <cfRule type="expression" dxfId="21173" priority="2053">
      <formula>$C39="Delivery charge"</formula>
    </cfRule>
    <cfRule type="expression" dxfId="21172" priority="2054">
      <formula>$C39="Staff Salary"</formula>
    </cfRule>
    <cfRule type="expression" dxfId="21171" priority="2055">
      <formula>$C39="Rent"</formula>
    </cfRule>
    <cfRule type="expression" dxfId="21170" priority="2056">
      <formula>$C39="Petrol"</formula>
    </cfRule>
    <cfRule type="expression" dxfId="21169" priority="2057">
      <formula>$C39="Bills"</formula>
    </cfRule>
    <cfRule type="expression" dxfId="21168" priority="2058">
      <formula>$C39="Sales"</formula>
    </cfRule>
    <cfRule type="expression" dxfId="21167" priority="2059">
      <formula>$C39="Expences"</formula>
    </cfRule>
    <cfRule type="expression" dxfId="21166" priority="2060">
      <formula>$C39="Garlic Purchase"</formula>
    </cfRule>
    <cfRule type="expression" dxfId="21165" priority="2061">
      <formula>$C39="Ginger Purchase"</formula>
    </cfRule>
  </conditionalFormatting>
  <conditionalFormatting sqref="B39">
    <cfRule type="expression" dxfId="21164" priority="2062">
      <formula>$C39="Advance"</formula>
    </cfRule>
  </conditionalFormatting>
  <conditionalFormatting sqref="B39">
    <cfRule type="expression" dxfId="21163" priority="2043">
      <formula>$C39="Delivery charge"</formula>
    </cfRule>
    <cfRule type="expression" dxfId="21162" priority="2044">
      <formula>$C39="Staff Salary"</formula>
    </cfRule>
    <cfRule type="expression" dxfId="21161" priority="2045">
      <formula>$C39="Rent"</formula>
    </cfRule>
    <cfRule type="expression" dxfId="21160" priority="2046">
      <formula>$C39="Petrol"</formula>
    </cfRule>
    <cfRule type="expression" dxfId="21159" priority="2047">
      <formula>$C39="Bills"</formula>
    </cfRule>
    <cfRule type="expression" dxfId="21158" priority="2048">
      <formula>$C39="Sales"</formula>
    </cfRule>
    <cfRule type="expression" dxfId="21157" priority="2049">
      <formula>$C39="Expences"</formula>
    </cfRule>
    <cfRule type="expression" dxfId="21156" priority="2050">
      <formula>$C39="Garlic Purchase"</formula>
    </cfRule>
    <cfRule type="expression" dxfId="21155" priority="2051">
      <formula>$C39="Ginger Purchase"</formula>
    </cfRule>
  </conditionalFormatting>
  <conditionalFormatting sqref="B39">
    <cfRule type="expression" dxfId="21154" priority="2052">
      <formula>$C39="Advance"</formula>
    </cfRule>
  </conditionalFormatting>
  <conditionalFormatting sqref="B39">
    <cfRule type="expression" dxfId="21153" priority="2033">
      <formula>$C39="Delivery charge"</formula>
    </cfRule>
    <cfRule type="expression" dxfId="21152" priority="2034">
      <formula>$C39="Staff Salary"</formula>
    </cfRule>
    <cfRule type="expression" dxfId="21151" priority="2035">
      <formula>$C39="Rent"</formula>
    </cfRule>
    <cfRule type="expression" dxfId="21150" priority="2036">
      <formula>$C39="Petrol"</formula>
    </cfRule>
    <cfRule type="expression" dxfId="21149" priority="2037">
      <formula>$C39="Bills"</formula>
    </cfRule>
    <cfRule type="expression" dxfId="21148" priority="2038">
      <formula>$C39="Sales"</formula>
    </cfRule>
    <cfRule type="expression" dxfId="21147" priority="2039">
      <formula>$C39="Expences"</formula>
    </cfRule>
    <cfRule type="expression" dxfId="21146" priority="2040">
      <formula>$C39="Garlic Purchase"</formula>
    </cfRule>
    <cfRule type="expression" dxfId="21145" priority="2041">
      <formula>$C39="Ginger Purchase"</formula>
    </cfRule>
  </conditionalFormatting>
  <conditionalFormatting sqref="B39">
    <cfRule type="expression" dxfId="21144" priority="2042">
      <formula>$C39="Advance"</formula>
    </cfRule>
  </conditionalFormatting>
  <conditionalFormatting sqref="B39">
    <cfRule type="expression" dxfId="21143" priority="2023">
      <formula>$C39="Delivery charge"</formula>
    </cfRule>
    <cfRule type="expression" dxfId="21142" priority="2024">
      <formula>$C39="Staff Salary"</formula>
    </cfRule>
    <cfRule type="expression" dxfId="21141" priority="2025">
      <formula>$C39="Rent"</formula>
    </cfRule>
    <cfRule type="expression" dxfId="21140" priority="2026">
      <formula>$C39="Petrol"</formula>
    </cfRule>
    <cfRule type="expression" dxfId="21139" priority="2027">
      <formula>$C39="Bills"</formula>
    </cfRule>
    <cfRule type="expression" dxfId="21138" priority="2028">
      <formula>$C39="Sales"</formula>
    </cfRule>
    <cfRule type="expression" dxfId="21137" priority="2029">
      <formula>$C39="Expences"</formula>
    </cfRule>
    <cfRule type="expression" dxfId="21136" priority="2030">
      <formula>$C39="Garlic Purchase"</formula>
    </cfRule>
    <cfRule type="expression" dxfId="21135" priority="2031">
      <formula>$C39="Ginger Purchase"</formula>
    </cfRule>
  </conditionalFormatting>
  <conditionalFormatting sqref="B39">
    <cfRule type="expression" dxfId="21134" priority="2032">
      <formula>$C39="Advance"</formula>
    </cfRule>
  </conditionalFormatting>
  <conditionalFormatting sqref="B39">
    <cfRule type="expression" dxfId="21133" priority="2013">
      <formula>$C39="Delivery charge"</formula>
    </cfRule>
    <cfRule type="expression" dxfId="21132" priority="2014">
      <formula>$C39="Staff Salary"</formula>
    </cfRule>
    <cfRule type="expression" dxfId="21131" priority="2015">
      <formula>$C39="Rent"</formula>
    </cfRule>
    <cfRule type="expression" dxfId="21130" priority="2016">
      <formula>$C39="Petrol"</formula>
    </cfRule>
    <cfRule type="expression" dxfId="21129" priority="2017">
      <formula>$C39="Bills"</formula>
    </cfRule>
    <cfRule type="expression" dxfId="21128" priority="2018">
      <formula>$C39="Sales"</formula>
    </cfRule>
    <cfRule type="expression" dxfId="21127" priority="2019">
      <formula>$C39="Expences"</formula>
    </cfRule>
    <cfRule type="expression" dxfId="21126" priority="2020">
      <formula>$C39="Garlic Purchase"</formula>
    </cfRule>
    <cfRule type="expression" dxfId="21125" priority="2021">
      <formula>$C39="Ginger Purchase"</formula>
    </cfRule>
  </conditionalFormatting>
  <conditionalFormatting sqref="B39">
    <cfRule type="expression" dxfId="21124" priority="2022">
      <formula>$C39="Advance"</formula>
    </cfRule>
  </conditionalFormatting>
  <conditionalFormatting sqref="B39">
    <cfRule type="expression" dxfId="21123" priority="2003">
      <formula>$C39="Delivery charge"</formula>
    </cfRule>
    <cfRule type="expression" dxfId="21122" priority="2004">
      <formula>$C39="Staff Salary"</formula>
    </cfRule>
    <cfRule type="expression" dxfId="21121" priority="2005">
      <formula>$C39="Rent"</formula>
    </cfRule>
    <cfRule type="expression" dxfId="21120" priority="2006">
      <formula>$C39="Petrol"</formula>
    </cfRule>
    <cfRule type="expression" dxfId="21119" priority="2007">
      <formula>$C39="Bills"</formula>
    </cfRule>
    <cfRule type="expression" dxfId="21118" priority="2008">
      <formula>$C39="Sales"</formula>
    </cfRule>
    <cfRule type="expression" dxfId="21117" priority="2009">
      <formula>$C39="Expences"</formula>
    </cfRule>
    <cfRule type="expression" dxfId="21116" priority="2010">
      <formula>$C39="Garlic Purchase"</formula>
    </cfRule>
    <cfRule type="expression" dxfId="21115" priority="2011">
      <formula>$C39="Ginger Purchase"</formula>
    </cfRule>
  </conditionalFormatting>
  <conditionalFormatting sqref="B39">
    <cfRule type="expression" dxfId="21114" priority="2012">
      <formula>$C39="Advance"</formula>
    </cfRule>
  </conditionalFormatting>
  <conditionalFormatting sqref="B39">
    <cfRule type="expression" dxfId="21113" priority="1993">
      <formula>$C39="Delivery charge"</formula>
    </cfRule>
    <cfRule type="expression" dxfId="21112" priority="1994">
      <formula>$C39="Staff Salary"</formula>
    </cfRule>
    <cfRule type="expression" dxfId="21111" priority="1995">
      <formula>$C39="Rent"</formula>
    </cfRule>
    <cfRule type="expression" dxfId="21110" priority="1996">
      <formula>$C39="Petrol"</formula>
    </cfRule>
    <cfRule type="expression" dxfId="21109" priority="1997">
      <formula>$C39="Bills"</formula>
    </cfRule>
    <cfRule type="expression" dxfId="21108" priority="1998">
      <formula>$C39="Sales"</formula>
    </cfRule>
    <cfRule type="expression" dxfId="21107" priority="1999">
      <formula>$C39="Expences"</formula>
    </cfRule>
    <cfRule type="expression" dxfId="21106" priority="2000">
      <formula>$C39="Garlic Purchase"</formula>
    </cfRule>
    <cfRule type="expression" dxfId="21105" priority="2001">
      <formula>$C39="Ginger Purchase"</formula>
    </cfRule>
  </conditionalFormatting>
  <conditionalFormatting sqref="B39">
    <cfRule type="expression" dxfId="21104" priority="2002">
      <formula>$C39="Advance"</formula>
    </cfRule>
  </conditionalFormatting>
  <conditionalFormatting sqref="B39 B41 B43 B45 B47 B49 B51 B53">
    <cfRule type="expression" dxfId="21103" priority="1992">
      <formula>$C39="Advance"</formula>
    </cfRule>
  </conditionalFormatting>
  <conditionalFormatting sqref="B39 B41 B43 B45 B47 B49 B51 B53">
    <cfRule type="expression" dxfId="21102" priority="1983">
      <formula>$C39="Delivery charge"</formula>
    </cfRule>
    <cfRule type="expression" dxfId="21101" priority="1984">
      <formula>$C39="Staff Salary"</formula>
    </cfRule>
    <cfRule type="expression" dxfId="21100" priority="1985">
      <formula>$C39="Rent"</formula>
    </cfRule>
    <cfRule type="expression" dxfId="21099" priority="1986">
      <formula>$C39="Petrol"</formula>
    </cfRule>
    <cfRule type="expression" dxfId="21098" priority="1987">
      <formula>$C39="Bills"</formula>
    </cfRule>
    <cfRule type="expression" dxfId="21097" priority="1988">
      <formula>$C39="Sales"</formula>
    </cfRule>
    <cfRule type="expression" dxfId="21096" priority="1989">
      <formula>$C39="Expences"</formula>
    </cfRule>
    <cfRule type="expression" dxfId="21095" priority="1990">
      <formula>$C39="Garlic Purchase"</formula>
    </cfRule>
    <cfRule type="expression" dxfId="21094" priority="1991">
      <formula>$C39="Ginger Purchase"</formula>
    </cfRule>
  </conditionalFormatting>
  <conditionalFormatting sqref="B38 B40 B42 B44 B46 B48 B50 B52 B54">
    <cfRule type="expression" dxfId="21093" priority="1973">
      <formula>$C38="Delivery charge"</formula>
    </cfRule>
    <cfRule type="expression" dxfId="21092" priority="1974">
      <formula>$C38="Staff Salary"</formula>
    </cfRule>
    <cfRule type="expression" dxfId="21091" priority="1975">
      <formula>$C38="Rent"</formula>
    </cfRule>
    <cfRule type="expression" dxfId="21090" priority="1976">
      <formula>$C38="Petrol"</formula>
    </cfRule>
    <cfRule type="expression" dxfId="21089" priority="1977">
      <formula>$C38="Bills"</formula>
    </cfRule>
    <cfRule type="expression" dxfId="21088" priority="1978">
      <formula>$C38="Sales"</formula>
    </cfRule>
    <cfRule type="expression" dxfId="21087" priority="1979">
      <formula>$C38="Expences"</formula>
    </cfRule>
    <cfRule type="expression" dxfId="21086" priority="1980">
      <formula>$C38="Garlic Purchase"</formula>
    </cfRule>
    <cfRule type="expression" dxfId="21085" priority="1981">
      <formula>$C38="Ginger Purchase"</formula>
    </cfRule>
  </conditionalFormatting>
  <conditionalFormatting sqref="B38 B40 B42 B44 B46 B48 B50 B52 B54">
    <cfRule type="expression" dxfId="21084" priority="1982">
      <formula>$C38="Advance"</formula>
    </cfRule>
  </conditionalFormatting>
  <conditionalFormatting sqref="B38 B40 B42 B44 B46 B48 B50 B52 B54">
    <cfRule type="expression" dxfId="21083" priority="1963">
      <formula>$C38="Delivery charge"</formula>
    </cfRule>
    <cfRule type="expression" dxfId="21082" priority="1964">
      <formula>$C38="Staff Salary"</formula>
    </cfRule>
    <cfRule type="expression" dxfId="21081" priority="1965">
      <formula>$C38="Rent"</formula>
    </cfRule>
    <cfRule type="expression" dxfId="21080" priority="1966">
      <formula>$C38="Petrol"</formula>
    </cfRule>
    <cfRule type="expression" dxfId="21079" priority="1967">
      <formula>$C38="Bills"</formula>
    </cfRule>
    <cfRule type="expression" dxfId="21078" priority="1968">
      <formula>$C38="Sales"</formula>
    </cfRule>
    <cfRule type="expression" dxfId="21077" priority="1969">
      <formula>$C38="Expences"</formula>
    </cfRule>
    <cfRule type="expression" dxfId="21076" priority="1970">
      <formula>$C38="Garlic Purchase"</formula>
    </cfRule>
    <cfRule type="expression" dxfId="21075" priority="1971">
      <formula>$C38="Ginger Purchase"</formula>
    </cfRule>
  </conditionalFormatting>
  <conditionalFormatting sqref="B38 B40 B42 B44 B46 B48 B50 B52 B54">
    <cfRule type="expression" dxfId="21074" priority="1972">
      <formula>$C38="Advance"</formula>
    </cfRule>
  </conditionalFormatting>
  <conditionalFormatting sqref="B38 B40 B42 B44 B46 B48 B50 B52 B54">
    <cfRule type="expression" dxfId="21073" priority="1953">
      <formula>$C38="Delivery charge"</formula>
    </cfRule>
    <cfRule type="expression" dxfId="21072" priority="1954">
      <formula>$C38="Staff Salary"</formula>
    </cfRule>
    <cfRule type="expression" dxfId="21071" priority="1955">
      <formula>$C38="Rent"</formula>
    </cfRule>
    <cfRule type="expression" dxfId="21070" priority="1956">
      <formula>$C38="Petrol"</formula>
    </cfRule>
    <cfRule type="expression" dxfId="21069" priority="1957">
      <formula>$C38="Bills"</formula>
    </cfRule>
    <cfRule type="expression" dxfId="21068" priority="1958">
      <formula>$C38="Sales"</formula>
    </cfRule>
    <cfRule type="expression" dxfId="21067" priority="1959">
      <formula>$C38="Expences"</formula>
    </cfRule>
    <cfRule type="expression" dxfId="21066" priority="1960">
      <formula>$C38="Garlic Purchase"</formula>
    </cfRule>
    <cfRule type="expression" dxfId="21065" priority="1961">
      <formula>$C38="Ginger Purchase"</formula>
    </cfRule>
  </conditionalFormatting>
  <conditionalFormatting sqref="B38 B40 B42 B44 B46 B48 B50 B52 B54">
    <cfRule type="expression" dxfId="21064" priority="1962">
      <formula>$C38="Advance"</formula>
    </cfRule>
  </conditionalFormatting>
  <conditionalFormatting sqref="B38 B40 B42 B44 B46 B48 B50 B52 B54">
    <cfRule type="expression" dxfId="21063" priority="1943">
      <formula>$C38="Delivery charge"</formula>
    </cfRule>
    <cfRule type="expression" dxfId="21062" priority="1944">
      <formula>$C38="Staff Salary"</formula>
    </cfRule>
    <cfRule type="expression" dxfId="21061" priority="1945">
      <formula>$C38="Rent"</formula>
    </cfRule>
    <cfRule type="expression" dxfId="21060" priority="1946">
      <formula>$C38="Petrol"</formula>
    </cfRule>
    <cfRule type="expression" dxfId="21059" priority="1947">
      <formula>$C38="Bills"</formula>
    </cfRule>
    <cfRule type="expression" dxfId="21058" priority="1948">
      <formula>$C38="Sales"</formula>
    </cfRule>
    <cfRule type="expression" dxfId="21057" priority="1949">
      <formula>$C38="Expences"</formula>
    </cfRule>
    <cfRule type="expression" dxfId="21056" priority="1950">
      <formula>$C38="Garlic Purchase"</formula>
    </cfRule>
    <cfRule type="expression" dxfId="21055" priority="1951">
      <formula>$C38="Ginger Purchase"</formula>
    </cfRule>
  </conditionalFormatting>
  <conditionalFormatting sqref="B38 B40 B42 B44 B46 B48 B50 B52 B54">
    <cfRule type="expression" dxfId="21054" priority="1952">
      <formula>$C38="Advance"</formula>
    </cfRule>
  </conditionalFormatting>
  <conditionalFormatting sqref="B38 B40 B42 B44 B46 B48 B50 B52 B54">
    <cfRule type="expression" dxfId="21053" priority="1933">
      <formula>$C38="Delivery charge"</formula>
    </cfRule>
    <cfRule type="expression" dxfId="21052" priority="1934">
      <formula>$C38="Staff Salary"</formula>
    </cfRule>
    <cfRule type="expression" dxfId="21051" priority="1935">
      <formula>$C38="Rent"</formula>
    </cfRule>
    <cfRule type="expression" dxfId="21050" priority="1936">
      <formula>$C38="Petrol"</formula>
    </cfRule>
    <cfRule type="expression" dxfId="21049" priority="1937">
      <formula>$C38="Bills"</formula>
    </cfRule>
    <cfRule type="expression" dxfId="21048" priority="1938">
      <formula>$C38="Sales"</formula>
    </cfRule>
    <cfRule type="expression" dxfId="21047" priority="1939">
      <formula>$C38="Expences"</formula>
    </cfRule>
    <cfRule type="expression" dxfId="21046" priority="1940">
      <formula>$C38="Garlic Purchase"</formula>
    </cfRule>
    <cfRule type="expression" dxfId="21045" priority="1941">
      <formula>$C38="Ginger Purchase"</formula>
    </cfRule>
  </conditionalFormatting>
  <conditionalFormatting sqref="B38 B40 B42 B44 B46 B48 B50 B52 B54">
    <cfRule type="expression" dxfId="21044" priority="1942">
      <formula>$C38="Advance"</formula>
    </cfRule>
  </conditionalFormatting>
  <conditionalFormatting sqref="B38 B40 B42 B44 B46 B48 B50 B52 B54">
    <cfRule type="expression" dxfId="21043" priority="1923">
      <formula>$C38="Delivery charge"</formula>
    </cfRule>
    <cfRule type="expression" dxfId="21042" priority="1924">
      <formula>$C38="Staff Salary"</formula>
    </cfRule>
    <cfRule type="expression" dxfId="21041" priority="1925">
      <formula>$C38="Rent"</formula>
    </cfRule>
    <cfRule type="expression" dxfId="21040" priority="1926">
      <formula>$C38="Petrol"</formula>
    </cfRule>
    <cfRule type="expression" dxfId="21039" priority="1927">
      <formula>$C38="Bills"</formula>
    </cfRule>
    <cfRule type="expression" dxfId="21038" priority="1928">
      <formula>$C38="Sales"</formula>
    </cfRule>
    <cfRule type="expression" dxfId="21037" priority="1929">
      <formula>$C38="Expences"</formula>
    </cfRule>
    <cfRule type="expression" dxfId="21036" priority="1930">
      <formula>$C38="Garlic Purchase"</formula>
    </cfRule>
    <cfRule type="expression" dxfId="21035" priority="1931">
      <formula>$C38="Ginger Purchase"</formula>
    </cfRule>
  </conditionalFormatting>
  <conditionalFormatting sqref="B38 B40 B42 B44 B46 B48 B50 B52 B54">
    <cfRule type="expression" dxfId="21034" priority="1932">
      <formula>$C38="Advance"</formula>
    </cfRule>
  </conditionalFormatting>
  <conditionalFormatting sqref="B38 B40 B42 B44 B46 B48 B50 B52 B54">
    <cfRule type="expression" dxfId="21033" priority="1913">
      <formula>$C38="Delivery charge"</formula>
    </cfRule>
    <cfRule type="expression" dxfId="21032" priority="1914">
      <formula>$C38="Staff Salary"</formula>
    </cfRule>
    <cfRule type="expression" dxfId="21031" priority="1915">
      <formula>$C38="Rent"</formula>
    </cfRule>
    <cfRule type="expression" dxfId="21030" priority="1916">
      <formula>$C38="Petrol"</formula>
    </cfRule>
    <cfRule type="expression" dxfId="21029" priority="1917">
      <formula>$C38="Bills"</formula>
    </cfRule>
    <cfRule type="expression" dxfId="21028" priority="1918">
      <formula>$C38="Sales"</formula>
    </cfRule>
    <cfRule type="expression" dxfId="21027" priority="1919">
      <formula>$C38="Expences"</formula>
    </cfRule>
    <cfRule type="expression" dxfId="21026" priority="1920">
      <formula>$C38="Garlic Purchase"</formula>
    </cfRule>
    <cfRule type="expression" dxfId="21025" priority="1921">
      <formula>$C38="Ginger Purchase"</formula>
    </cfRule>
  </conditionalFormatting>
  <conditionalFormatting sqref="B38 B40 B42 B44 B46 B48 B50 B52 B54">
    <cfRule type="expression" dxfId="21024" priority="1922">
      <formula>$C38="Advance"</formula>
    </cfRule>
  </conditionalFormatting>
  <conditionalFormatting sqref="B38 B40 B42 B44 B46 B48 B50 B52 B54">
    <cfRule type="expression" dxfId="21023" priority="1903">
      <formula>$C38="Delivery charge"</formula>
    </cfRule>
    <cfRule type="expression" dxfId="21022" priority="1904">
      <formula>$C38="Staff Salary"</formula>
    </cfRule>
    <cfRule type="expression" dxfId="21021" priority="1905">
      <formula>$C38="Rent"</formula>
    </cfRule>
    <cfRule type="expression" dxfId="21020" priority="1906">
      <formula>$C38="Petrol"</formula>
    </cfRule>
    <cfRule type="expression" dxfId="21019" priority="1907">
      <formula>$C38="Bills"</formula>
    </cfRule>
    <cfRule type="expression" dxfId="21018" priority="1908">
      <formula>$C38="Sales"</formula>
    </cfRule>
    <cfRule type="expression" dxfId="21017" priority="1909">
      <formula>$C38="Expences"</formula>
    </cfRule>
    <cfRule type="expression" dxfId="21016" priority="1910">
      <formula>$C38="Garlic Purchase"</formula>
    </cfRule>
    <cfRule type="expression" dxfId="21015" priority="1911">
      <formula>$C38="Ginger Purchase"</formula>
    </cfRule>
  </conditionalFormatting>
  <conditionalFormatting sqref="B38 B40 B42 B44 B46 B48 B50 B52 B54">
    <cfRule type="expression" dxfId="21014" priority="1912">
      <formula>$C38="Advance"</formula>
    </cfRule>
  </conditionalFormatting>
  <conditionalFormatting sqref="B38 B40 B42 B44 B46 B48 B50 B52 B54">
    <cfRule type="expression" dxfId="21013" priority="1893">
      <formula>$C38="Delivery charge"</formula>
    </cfRule>
    <cfRule type="expression" dxfId="21012" priority="1894">
      <formula>$C38="Staff Salary"</formula>
    </cfRule>
    <cfRule type="expression" dxfId="21011" priority="1895">
      <formula>$C38="Rent"</formula>
    </cfRule>
    <cfRule type="expression" dxfId="21010" priority="1896">
      <formula>$C38="Petrol"</formula>
    </cfRule>
    <cfRule type="expression" dxfId="21009" priority="1897">
      <formula>$C38="Bills"</formula>
    </cfRule>
    <cfRule type="expression" dxfId="21008" priority="1898">
      <formula>$C38="Sales"</formula>
    </cfRule>
    <cfRule type="expression" dxfId="21007" priority="1899">
      <formula>$C38="Expences"</formula>
    </cfRule>
    <cfRule type="expression" dxfId="21006" priority="1900">
      <formula>$C38="Garlic Purchase"</formula>
    </cfRule>
    <cfRule type="expression" dxfId="21005" priority="1901">
      <formula>$C38="Ginger Purchase"</formula>
    </cfRule>
  </conditionalFormatting>
  <conditionalFormatting sqref="B38 B40 B42 B44 B46 B48 B50 B52 B54">
    <cfRule type="expression" dxfId="21004" priority="1902">
      <formula>$C38="Advance"</formula>
    </cfRule>
  </conditionalFormatting>
  <conditionalFormatting sqref="B38 B40 B42 B44 B46 B48 B50 B52 B54">
    <cfRule type="expression" dxfId="21003" priority="1883">
      <formula>$C38="Delivery charge"</formula>
    </cfRule>
    <cfRule type="expression" dxfId="21002" priority="1884">
      <formula>$C38="Staff Salary"</formula>
    </cfRule>
    <cfRule type="expression" dxfId="21001" priority="1885">
      <formula>$C38="Rent"</formula>
    </cfRule>
    <cfRule type="expression" dxfId="21000" priority="1886">
      <formula>$C38="Petrol"</formula>
    </cfRule>
    <cfRule type="expression" dxfId="20999" priority="1887">
      <formula>$C38="Bills"</formula>
    </cfRule>
    <cfRule type="expression" dxfId="20998" priority="1888">
      <formula>$C38="Sales"</formula>
    </cfRule>
    <cfRule type="expression" dxfId="20997" priority="1889">
      <formula>$C38="Expences"</formula>
    </cfRule>
    <cfRule type="expression" dxfId="20996" priority="1890">
      <formula>$C38="Garlic Purchase"</formula>
    </cfRule>
    <cfRule type="expression" dxfId="20995" priority="1891">
      <formula>$C38="Ginger Purchase"</formula>
    </cfRule>
  </conditionalFormatting>
  <conditionalFormatting sqref="B38 B40 B42 B44 B46 B48 B50 B52 B54">
    <cfRule type="expression" dxfId="20994" priority="1892">
      <formula>$C38="Advance"</formula>
    </cfRule>
  </conditionalFormatting>
  <conditionalFormatting sqref="B38 B40 B42 B44 B46 B48 B50 B52 B54">
    <cfRule type="expression" dxfId="20993" priority="1873">
      <formula>$C38="Delivery charge"</formula>
    </cfRule>
    <cfRule type="expression" dxfId="20992" priority="1874">
      <formula>$C38="Staff Salary"</formula>
    </cfRule>
    <cfRule type="expression" dxfId="20991" priority="1875">
      <formula>$C38="Rent"</formula>
    </cfRule>
    <cfRule type="expression" dxfId="20990" priority="1876">
      <formula>$C38="Petrol"</formula>
    </cfRule>
    <cfRule type="expression" dxfId="20989" priority="1877">
      <formula>$C38="Bills"</formula>
    </cfRule>
    <cfRule type="expression" dxfId="20988" priority="1878">
      <formula>$C38="Sales"</formula>
    </cfRule>
    <cfRule type="expression" dxfId="20987" priority="1879">
      <formula>$C38="Expences"</formula>
    </cfRule>
    <cfRule type="expression" dxfId="20986" priority="1880">
      <formula>$C38="Garlic Purchase"</formula>
    </cfRule>
    <cfRule type="expression" dxfId="20985" priority="1881">
      <formula>$C38="Ginger Purchase"</formula>
    </cfRule>
  </conditionalFormatting>
  <conditionalFormatting sqref="B38 B40 B42 B44 B46 B48 B50 B52 B54">
    <cfRule type="expression" dxfId="20984" priority="1882">
      <formula>$C38="Advance"</formula>
    </cfRule>
  </conditionalFormatting>
  <conditionalFormatting sqref="B39 B41 B43 B45 B47 B49 B51 B53">
    <cfRule type="expression" dxfId="20983" priority="1863">
      <formula>$C39="Delivery charge"</formula>
    </cfRule>
    <cfRule type="expression" dxfId="20982" priority="1864">
      <formula>$C39="Staff Salary"</formula>
    </cfRule>
    <cfRule type="expression" dxfId="20981" priority="1865">
      <formula>$C39="Rent"</formula>
    </cfRule>
    <cfRule type="expression" dxfId="20980" priority="1866">
      <formula>$C39="Petrol"</formula>
    </cfRule>
    <cfRule type="expression" dxfId="20979" priority="1867">
      <formula>$C39="Bills"</formula>
    </cfRule>
    <cfRule type="expression" dxfId="20978" priority="1868">
      <formula>$C39="Sales"</formula>
    </cfRule>
    <cfRule type="expression" dxfId="20977" priority="1869">
      <formula>$C39="Expences"</formula>
    </cfRule>
    <cfRule type="expression" dxfId="20976" priority="1870">
      <formula>$C39="Garlic Purchase"</formula>
    </cfRule>
    <cfRule type="expression" dxfId="20975" priority="1871">
      <formula>$C39="Ginger Purchase"</formula>
    </cfRule>
  </conditionalFormatting>
  <conditionalFormatting sqref="B39 B41 B43 B45 B47 B49 B51 B53">
    <cfRule type="expression" dxfId="20974" priority="1872">
      <formula>$C39="Advance"</formula>
    </cfRule>
  </conditionalFormatting>
  <conditionalFormatting sqref="B38 B40 B42 B44 B46 B48 B50 B52 B54">
    <cfRule type="expression" dxfId="20973" priority="1853">
      <formula>$C38="Delivery charge"</formula>
    </cfRule>
    <cfRule type="expression" dxfId="20972" priority="1854">
      <formula>$C38="Staff Salary"</formula>
    </cfRule>
    <cfRule type="expression" dxfId="20971" priority="1855">
      <formula>$C38="Rent"</formula>
    </cfRule>
    <cfRule type="expression" dxfId="20970" priority="1856">
      <formula>$C38="Petrol"</formula>
    </cfRule>
    <cfRule type="expression" dxfId="20969" priority="1857">
      <formula>$C38="Bills"</formula>
    </cfRule>
    <cfRule type="expression" dxfId="20968" priority="1858">
      <formula>$C38="Sales"</formula>
    </cfRule>
    <cfRule type="expression" dxfId="20967" priority="1859">
      <formula>$C38="Expences"</formula>
    </cfRule>
    <cfRule type="expression" dxfId="20966" priority="1860">
      <formula>$C38="Garlic Purchase"</formula>
    </cfRule>
    <cfRule type="expression" dxfId="20965" priority="1861">
      <formula>$C38="Ginger Purchase"</formula>
    </cfRule>
  </conditionalFormatting>
  <conditionalFormatting sqref="B38 B40 B42 B44 B46 B48 B50 B52 B54">
    <cfRule type="expression" dxfId="20964" priority="1862">
      <formula>$C38="Advance"</formula>
    </cfRule>
  </conditionalFormatting>
  <conditionalFormatting sqref="B38 B40 B42 B44 B46 B48 B50 B52 B54">
    <cfRule type="expression" dxfId="20963" priority="1843">
      <formula>$C38="Delivery charge"</formula>
    </cfRule>
    <cfRule type="expression" dxfId="20962" priority="1844">
      <formula>$C38="Staff Salary"</formula>
    </cfRule>
    <cfRule type="expression" dxfId="20961" priority="1845">
      <formula>$C38="Rent"</formula>
    </cfRule>
    <cfRule type="expression" dxfId="20960" priority="1846">
      <formula>$C38="Petrol"</formula>
    </cfRule>
    <cfRule type="expression" dxfId="20959" priority="1847">
      <formula>$C38="Bills"</formula>
    </cfRule>
    <cfRule type="expression" dxfId="20958" priority="1848">
      <formula>$C38="Sales"</formula>
    </cfRule>
    <cfRule type="expression" dxfId="20957" priority="1849">
      <formula>$C38="Expences"</formula>
    </cfRule>
    <cfRule type="expression" dxfId="20956" priority="1850">
      <formula>$C38="Garlic Purchase"</formula>
    </cfRule>
    <cfRule type="expression" dxfId="20955" priority="1851">
      <formula>$C38="Ginger Purchase"</formula>
    </cfRule>
  </conditionalFormatting>
  <conditionalFormatting sqref="B38 B40 B42 B44 B46 B48 B50 B52 B54">
    <cfRule type="expression" dxfId="20954" priority="1852">
      <formula>$C38="Advance"</formula>
    </cfRule>
  </conditionalFormatting>
  <conditionalFormatting sqref="B38 B40 B42 B44 B46 B48 B50 B52 B54">
    <cfRule type="expression" dxfId="20953" priority="1833">
      <formula>$C38="Delivery charge"</formula>
    </cfRule>
    <cfRule type="expression" dxfId="20952" priority="1834">
      <formula>$C38="Staff Salary"</formula>
    </cfRule>
    <cfRule type="expression" dxfId="20951" priority="1835">
      <formula>$C38="Rent"</formula>
    </cfRule>
    <cfRule type="expression" dxfId="20950" priority="1836">
      <formula>$C38="Petrol"</formula>
    </cfRule>
    <cfRule type="expression" dxfId="20949" priority="1837">
      <formula>$C38="Bills"</formula>
    </cfRule>
    <cfRule type="expression" dxfId="20948" priority="1838">
      <formula>$C38="Sales"</formula>
    </cfRule>
    <cfRule type="expression" dxfId="20947" priority="1839">
      <formula>$C38="Expences"</formula>
    </cfRule>
    <cfRule type="expression" dxfId="20946" priority="1840">
      <formula>$C38="Garlic Purchase"</formula>
    </cfRule>
    <cfRule type="expression" dxfId="20945" priority="1841">
      <formula>$C38="Ginger Purchase"</formula>
    </cfRule>
  </conditionalFormatting>
  <conditionalFormatting sqref="B38 B40 B42 B44 B46 B48 B50 B52 B54">
    <cfRule type="expression" dxfId="20944" priority="1842">
      <formula>$C38="Advance"</formula>
    </cfRule>
  </conditionalFormatting>
  <conditionalFormatting sqref="B38 B40 B42 B44 B46 B48 B50 B52 B54">
    <cfRule type="expression" dxfId="20943" priority="1823">
      <formula>$C38="Delivery charge"</formula>
    </cfRule>
    <cfRule type="expression" dxfId="20942" priority="1824">
      <formula>$C38="Staff Salary"</formula>
    </cfRule>
    <cfRule type="expression" dxfId="20941" priority="1825">
      <formula>$C38="Rent"</formula>
    </cfRule>
    <cfRule type="expression" dxfId="20940" priority="1826">
      <formula>$C38="Petrol"</formula>
    </cfRule>
    <cfRule type="expression" dxfId="20939" priority="1827">
      <formula>$C38="Bills"</formula>
    </cfRule>
    <cfRule type="expression" dxfId="20938" priority="1828">
      <formula>$C38="Sales"</formula>
    </cfRule>
    <cfRule type="expression" dxfId="20937" priority="1829">
      <formula>$C38="Expences"</formula>
    </cfRule>
    <cfRule type="expression" dxfId="20936" priority="1830">
      <formula>$C38="Garlic Purchase"</formula>
    </cfRule>
    <cfRule type="expression" dxfId="20935" priority="1831">
      <formula>$C38="Ginger Purchase"</formula>
    </cfRule>
  </conditionalFormatting>
  <conditionalFormatting sqref="B38 B40 B42 B44 B46 B48 B50 B52 B54">
    <cfRule type="expression" dxfId="20934" priority="1832">
      <formula>$C38="Advance"</formula>
    </cfRule>
  </conditionalFormatting>
  <conditionalFormatting sqref="B39 B41 B43 B45 B47 B49 B51 B53">
    <cfRule type="expression" dxfId="20933" priority="1813">
      <formula>$C39="Delivery charge"</formula>
    </cfRule>
    <cfRule type="expression" dxfId="20932" priority="1814">
      <formula>$C39="Staff Salary"</formula>
    </cfRule>
    <cfRule type="expression" dxfId="20931" priority="1815">
      <formula>$C39="Rent"</formula>
    </cfRule>
    <cfRule type="expression" dxfId="20930" priority="1816">
      <formula>$C39="Petrol"</formula>
    </cfRule>
    <cfRule type="expression" dxfId="20929" priority="1817">
      <formula>$C39="Bills"</formula>
    </cfRule>
    <cfRule type="expression" dxfId="20928" priority="1818">
      <formula>$C39="Sales"</formula>
    </cfRule>
    <cfRule type="expression" dxfId="20927" priority="1819">
      <formula>$C39="Expences"</formula>
    </cfRule>
    <cfRule type="expression" dxfId="20926" priority="1820">
      <formula>$C39="Garlic Purchase"</formula>
    </cfRule>
    <cfRule type="expression" dxfId="20925" priority="1821">
      <formula>$C39="Ginger Purchase"</formula>
    </cfRule>
  </conditionalFormatting>
  <conditionalFormatting sqref="B39 B41 B43 B45 B47 B49 B51 B53">
    <cfRule type="expression" dxfId="20924" priority="1822">
      <formula>$C39="Advance"</formula>
    </cfRule>
  </conditionalFormatting>
  <conditionalFormatting sqref="B39 B41 B43 B45 B47 B49 B51 B53">
    <cfRule type="expression" dxfId="20923" priority="1803">
      <formula>$C39="Delivery charge"</formula>
    </cfRule>
    <cfRule type="expression" dxfId="20922" priority="1804">
      <formula>$C39="Staff Salary"</formula>
    </cfRule>
    <cfRule type="expression" dxfId="20921" priority="1805">
      <formula>$C39="Rent"</formula>
    </cfRule>
    <cfRule type="expression" dxfId="20920" priority="1806">
      <formula>$C39="Petrol"</formula>
    </cfRule>
    <cfRule type="expression" dxfId="20919" priority="1807">
      <formula>$C39="Bills"</formula>
    </cfRule>
    <cfRule type="expression" dxfId="20918" priority="1808">
      <formula>$C39="Sales"</formula>
    </cfRule>
    <cfRule type="expression" dxfId="20917" priority="1809">
      <formula>$C39="Expences"</formula>
    </cfRule>
    <cfRule type="expression" dxfId="20916" priority="1810">
      <formula>$C39="Garlic Purchase"</formula>
    </cfRule>
    <cfRule type="expression" dxfId="20915" priority="1811">
      <formula>$C39="Ginger Purchase"</formula>
    </cfRule>
  </conditionalFormatting>
  <conditionalFormatting sqref="B39 B41 B43 B45 B47 B49 B51 B53">
    <cfRule type="expression" dxfId="20914" priority="1812">
      <formula>$C39="Advance"</formula>
    </cfRule>
  </conditionalFormatting>
  <conditionalFormatting sqref="B39 B41 B43 B45 B47 B49 B51 B53">
    <cfRule type="expression" dxfId="20913" priority="1793">
      <formula>$C39="Delivery charge"</formula>
    </cfRule>
    <cfRule type="expression" dxfId="20912" priority="1794">
      <formula>$C39="Staff Salary"</formula>
    </cfRule>
    <cfRule type="expression" dxfId="20911" priority="1795">
      <formula>$C39="Rent"</formula>
    </cfRule>
    <cfRule type="expression" dxfId="20910" priority="1796">
      <formula>$C39="Petrol"</formula>
    </cfRule>
    <cfRule type="expression" dxfId="20909" priority="1797">
      <formula>$C39="Bills"</formula>
    </cfRule>
    <cfRule type="expression" dxfId="20908" priority="1798">
      <formula>$C39="Sales"</formula>
    </cfRule>
    <cfRule type="expression" dxfId="20907" priority="1799">
      <formula>$C39="Expences"</formula>
    </cfRule>
    <cfRule type="expression" dxfId="20906" priority="1800">
      <formula>$C39="Garlic Purchase"</formula>
    </cfRule>
    <cfRule type="expression" dxfId="20905" priority="1801">
      <formula>$C39="Ginger Purchase"</formula>
    </cfRule>
  </conditionalFormatting>
  <conditionalFormatting sqref="B39 B41 B43 B45 B47 B49 B51 B53">
    <cfRule type="expression" dxfId="20904" priority="1802">
      <formula>$C39="Advance"</formula>
    </cfRule>
  </conditionalFormatting>
  <conditionalFormatting sqref="B39 B41 B43 B45 B47 B49 B51 B53">
    <cfRule type="expression" dxfId="20903" priority="1783">
      <formula>$C39="Delivery charge"</formula>
    </cfRule>
    <cfRule type="expression" dxfId="20902" priority="1784">
      <formula>$C39="Staff Salary"</formula>
    </cfRule>
    <cfRule type="expression" dxfId="20901" priority="1785">
      <formula>$C39="Rent"</formula>
    </cfRule>
    <cfRule type="expression" dxfId="20900" priority="1786">
      <formula>$C39="Petrol"</formula>
    </cfRule>
    <cfRule type="expression" dxfId="20899" priority="1787">
      <formula>$C39="Bills"</formula>
    </cfRule>
    <cfRule type="expression" dxfId="20898" priority="1788">
      <formula>$C39="Sales"</formula>
    </cfRule>
    <cfRule type="expression" dxfId="20897" priority="1789">
      <formula>$C39="Expences"</formula>
    </cfRule>
    <cfRule type="expression" dxfId="20896" priority="1790">
      <formula>$C39="Garlic Purchase"</formula>
    </cfRule>
    <cfRule type="expression" dxfId="20895" priority="1791">
      <formula>$C39="Ginger Purchase"</formula>
    </cfRule>
  </conditionalFormatting>
  <conditionalFormatting sqref="B39 B41 B43 B45 B47 B49 B51 B53">
    <cfRule type="expression" dxfId="20894" priority="1792">
      <formula>$C39="Advance"</formula>
    </cfRule>
  </conditionalFormatting>
  <conditionalFormatting sqref="B38 B40 B42 B44 B46 B48 B50 B52 B54">
    <cfRule type="expression" dxfId="20893" priority="1773">
      <formula>$C38="Delivery charge"</formula>
    </cfRule>
    <cfRule type="expression" dxfId="20892" priority="1774">
      <formula>$C38="Staff Salary"</formula>
    </cfRule>
    <cfRule type="expression" dxfId="20891" priority="1775">
      <formula>$C38="Rent"</formula>
    </cfRule>
    <cfRule type="expression" dxfId="20890" priority="1776">
      <formula>$C38="Petrol"</formula>
    </cfRule>
    <cfRule type="expression" dxfId="20889" priority="1777">
      <formula>$C38="Bills"</formula>
    </cfRule>
    <cfRule type="expression" dxfId="20888" priority="1778">
      <formula>$C38="Sales"</formula>
    </cfRule>
    <cfRule type="expression" dxfId="20887" priority="1779">
      <formula>$C38="Expences"</formula>
    </cfRule>
    <cfRule type="expression" dxfId="20886" priority="1780">
      <formula>$C38="Garlic Purchase"</formula>
    </cfRule>
    <cfRule type="expression" dxfId="20885" priority="1781">
      <formula>$C38="Ginger Purchase"</formula>
    </cfRule>
  </conditionalFormatting>
  <conditionalFormatting sqref="B38 B40 B42 B44 B46 B48 B50 B52 B54">
    <cfRule type="expression" dxfId="20884" priority="1782">
      <formula>$C38="Advance"</formula>
    </cfRule>
  </conditionalFormatting>
  <conditionalFormatting sqref="B39 B41 B43 B45 B47 B49 B51 B53">
    <cfRule type="expression" dxfId="20883" priority="1763">
      <formula>$C39="Delivery charge"</formula>
    </cfRule>
    <cfRule type="expression" dxfId="20882" priority="1764">
      <formula>$C39="Staff Salary"</formula>
    </cfRule>
    <cfRule type="expression" dxfId="20881" priority="1765">
      <formula>$C39="Rent"</formula>
    </cfRule>
    <cfRule type="expression" dxfId="20880" priority="1766">
      <formula>$C39="Petrol"</formula>
    </cfRule>
    <cfRule type="expression" dxfId="20879" priority="1767">
      <formula>$C39="Bills"</formula>
    </cfRule>
    <cfRule type="expression" dxfId="20878" priority="1768">
      <formula>$C39="Sales"</formula>
    </cfRule>
    <cfRule type="expression" dxfId="20877" priority="1769">
      <formula>$C39="Expences"</formula>
    </cfRule>
    <cfRule type="expression" dxfId="20876" priority="1770">
      <formula>$C39="Garlic Purchase"</formula>
    </cfRule>
    <cfRule type="expression" dxfId="20875" priority="1771">
      <formula>$C39="Ginger Purchase"</formula>
    </cfRule>
  </conditionalFormatting>
  <conditionalFormatting sqref="B39 B41 B43 B45 B47 B49 B51 B53">
    <cfRule type="expression" dxfId="20874" priority="1772">
      <formula>$C39="Advance"</formula>
    </cfRule>
  </conditionalFormatting>
  <conditionalFormatting sqref="B39 B41 B43 B45 B47 B49 B51 B53">
    <cfRule type="expression" dxfId="20873" priority="1753">
      <formula>$C39="Delivery charge"</formula>
    </cfRule>
    <cfRule type="expression" dxfId="20872" priority="1754">
      <formula>$C39="Staff Salary"</formula>
    </cfRule>
    <cfRule type="expression" dxfId="20871" priority="1755">
      <formula>$C39="Rent"</formula>
    </cfRule>
    <cfRule type="expression" dxfId="20870" priority="1756">
      <formula>$C39="Petrol"</formula>
    </cfRule>
    <cfRule type="expression" dxfId="20869" priority="1757">
      <formula>$C39="Bills"</formula>
    </cfRule>
    <cfRule type="expression" dxfId="20868" priority="1758">
      <formula>$C39="Sales"</formula>
    </cfRule>
    <cfRule type="expression" dxfId="20867" priority="1759">
      <formula>$C39="Expences"</formula>
    </cfRule>
    <cfRule type="expression" dxfId="20866" priority="1760">
      <formula>$C39="Garlic Purchase"</formula>
    </cfRule>
    <cfRule type="expression" dxfId="20865" priority="1761">
      <formula>$C39="Ginger Purchase"</formula>
    </cfRule>
  </conditionalFormatting>
  <conditionalFormatting sqref="B39 B41 B43 B45 B47 B49 B51 B53">
    <cfRule type="expression" dxfId="20864" priority="1762">
      <formula>$C39="Advance"</formula>
    </cfRule>
  </conditionalFormatting>
  <conditionalFormatting sqref="B39 B41 B43 B45 B47 B49 B51 B53">
    <cfRule type="expression" dxfId="20863" priority="1743">
      <formula>$C39="Delivery charge"</formula>
    </cfRule>
    <cfRule type="expression" dxfId="20862" priority="1744">
      <formula>$C39="Staff Salary"</formula>
    </cfRule>
    <cfRule type="expression" dxfId="20861" priority="1745">
      <formula>$C39="Rent"</formula>
    </cfRule>
    <cfRule type="expression" dxfId="20860" priority="1746">
      <formula>$C39="Petrol"</formula>
    </cfRule>
    <cfRule type="expression" dxfId="20859" priority="1747">
      <formula>$C39="Bills"</formula>
    </cfRule>
    <cfRule type="expression" dxfId="20858" priority="1748">
      <formula>$C39="Sales"</formula>
    </cfRule>
    <cfRule type="expression" dxfId="20857" priority="1749">
      <formula>$C39="Expences"</formula>
    </cfRule>
    <cfRule type="expression" dxfId="20856" priority="1750">
      <formula>$C39="Garlic Purchase"</formula>
    </cfRule>
    <cfRule type="expression" dxfId="20855" priority="1751">
      <formula>$C39="Ginger Purchase"</formula>
    </cfRule>
  </conditionalFormatting>
  <conditionalFormatting sqref="B39 B41 B43 B45 B47 B49 B51 B53">
    <cfRule type="expression" dxfId="20854" priority="1752">
      <formula>$C39="Advance"</formula>
    </cfRule>
  </conditionalFormatting>
  <conditionalFormatting sqref="B39 B41 B43 B45 B47 B49 B51 B53">
    <cfRule type="expression" dxfId="20853" priority="1733">
      <formula>$C39="Delivery charge"</formula>
    </cfRule>
    <cfRule type="expression" dxfId="20852" priority="1734">
      <formula>$C39="Staff Salary"</formula>
    </cfRule>
    <cfRule type="expression" dxfId="20851" priority="1735">
      <formula>$C39="Rent"</formula>
    </cfRule>
    <cfRule type="expression" dxfId="20850" priority="1736">
      <formula>$C39="Petrol"</formula>
    </cfRule>
    <cfRule type="expression" dxfId="20849" priority="1737">
      <formula>$C39="Bills"</formula>
    </cfRule>
    <cfRule type="expression" dxfId="20848" priority="1738">
      <formula>$C39="Sales"</formula>
    </cfRule>
    <cfRule type="expression" dxfId="20847" priority="1739">
      <formula>$C39="Expences"</formula>
    </cfRule>
    <cfRule type="expression" dxfId="20846" priority="1740">
      <formula>$C39="Garlic Purchase"</formula>
    </cfRule>
    <cfRule type="expression" dxfId="20845" priority="1741">
      <formula>$C39="Ginger Purchase"</formula>
    </cfRule>
  </conditionalFormatting>
  <conditionalFormatting sqref="B39 B41 B43 B45 B47 B49 B51 B53">
    <cfRule type="expression" dxfId="20844" priority="1742">
      <formula>$C39="Advance"</formula>
    </cfRule>
  </conditionalFormatting>
  <conditionalFormatting sqref="B39 B41 B43 B45 B47 B49 B51 B53">
    <cfRule type="expression" dxfId="20843" priority="1723">
      <formula>$C39="Delivery charge"</formula>
    </cfRule>
    <cfRule type="expression" dxfId="20842" priority="1724">
      <formula>$C39="Staff Salary"</formula>
    </cfRule>
    <cfRule type="expression" dxfId="20841" priority="1725">
      <formula>$C39="Rent"</formula>
    </cfRule>
    <cfRule type="expression" dxfId="20840" priority="1726">
      <formula>$C39="Petrol"</formula>
    </cfRule>
    <cfRule type="expression" dxfId="20839" priority="1727">
      <formula>$C39="Bills"</formula>
    </cfRule>
    <cfRule type="expression" dxfId="20838" priority="1728">
      <formula>$C39="Sales"</formula>
    </cfRule>
    <cfRule type="expression" dxfId="20837" priority="1729">
      <formula>$C39="Expences"</formula>
    </cfRule>
    <cfRule type="expression" dxfId="20836" priority="1730">
      <formula>$C39="Garlic Purchase"</formula>
    </cfRule>
    <cfRule type="expression" dxfId="20835" priority="1731">
      <formula>$C39="Ginger Purchase"</formula>
    </cfRule>
  </conditionalFormatting>
  <conditionalFormatting sqref="B39 B41 B43 B45 B47 B49 B51 B53">
    <cfRule type="expression" dxfId="20834" priority="1732">
      <formula>$C39="Advance"</formula>
    </cfRule>
  </conditionalFormatting>
  <conditionalFormatting sqref="B38 B40 B42 B44 B46 B48 B50 B52 B54">
    <cfRule type="expression" dxfId="20833" priority="1713">
      <formula>$C38="Delivery charge"</formula>
    </cfRule>
    <cfRule type="expression" dxfId="20832" priority="1714">
      <formula>$C38="Staff Salary"</formula>
    </cfRule>
    <cfRule type="expression" dxfId="20831" priority="1715">
      <formula>$C38="Rent"</formula>
    </cfRule>
    <cfRule type="expression" dxfId="20830" priority="1716">
      <formula>$C38="Petrol"</formula>
    </cfRule>
    <cfRule type="expression" dxfId="20829" priority="1717">
      <formula>$C38="Bills"</formula>
    </cfRule>
    <cfRule type="expression" dxfId="20828" priority="1718">
      <formula>$C38="Sales"</formula>
    </cfRule>
    <cfRule type="expression" dxfId="20827" priority="1719">
      <formula>$C38="Expences"</formula>
    </cfRule>
    <cfRule type="expression" dxfId="20826" priority="1720">
      <formula>$C38="Garlic Purchase"</formula>
    </cfRule>
    <cfRule type="expression" dxfId="20825" priority="1721">
      <formula>$C38="Ginger Purchase"</formula>
    </cfRule>
  </conditionalFormatting>
  <conditionalFormatting sqref="B38 B40 B42 B44 B46 B48 B50 B52 B54">
    <cfRule type="expression" dxfId="20824" priority="1722">
      <formula>$C38="Advance"</formula>
    </cfRule>
  </conditionalFormatting>
  <conditionalFormatting sqref="B38 B40 B42 B44 B46 B48 B50 B52 B54">
    <cfRule type="expression" dxfId="20823" priority="1703">
      <formula>$C38="Delivery charge"</formula>
    </cfRule>
    <cfRule type="expression" dxfId="20822" priority="1704">
      <formula>$C38="Staff Salary"</formula>
    </cfRule>
    <cfRule type="expression" dxfId="20821" priority="1705">
      <formula>$C38="Rent"</formula>
    </cfRule>
    <cfRule type="expression" dxfId="20820" priority="1706">
      <formula>$C38="Petrol"</formula>
    </cfRule>
    <cfRule type="expression" dxfId="20819" priority="1707">
      <formula>$C38="Bills"</formula>
    </cfRule>
    <cfRule type="expression" dxfId="20818" priority="1708">
      <formula>$C38="Sales"</formula>
    </cfRule>
    <cfRule type="expression" dxfId="20817" priority="1709">
      <formula>$C38="Expences"</formula>
    </cfRule>
    <cfRule type="expression" dxfId="20816" priority="1710">
      <formula>$C38="Garlic Purchase"</formula>
    </cfRule>
    <cfRule type="expression" dxfId="20815" priority="1711">
      <formula>$C38="Ginger Purchase"</formula>
    </cfRule>
  </conditionalFormatting>
  <conditionalFormatting sqref="B38 B40 B42 B44 B46 B48 B50 B52 B54">
    <cfRule type="expression" dxfId="20814" priority="1712">
      <formula>$C38="Advance"</formula>
    </cfRule>
  </conditionalFormatting>
  <conditionalFormatting sqref="B38 B40 B42 B44 B46 B48 B50 B52 B54">
    <cfRule type="expression" dxfId="20813" priority="1693">
      <formula>$C38="Delivery charge"</formula>
    </cfRule>
    <cfRule type="expression" dxfId="20812" priority="1694">
      <formula>$C38="Staff Salary"</formula>
    </cfRule>
    <cfRule type="expression" dxfId="20811" priority="1695">
      <formula>$C38="Rent"</formula>
    </cfRule>
    <cfRule type="expression" dxfId="20810" priority="1696">
      <formula>$C38="Petrol"</formula>
    </cfRule>
    <cfRule type="expression" dxfId="20809" priority="1697">
      <formula>$C38="Bills"</formula>
    </cfRule>
    <cfRule type="expression" dxfId="20808" priority="1698">
      <formula>$C38="Sales"</formula>
    </cfRule>
    <cfRule type="expression" dxfId="20807" priority="1699">
      <formula>$C38="Expences"</formula>
    </cfRule>
    <cfRule type="expression" dxfId="20806" priority="1700">
      <formula>$C38="Garlic Purchase"</formula>
    </cfRule>
    <cfRule type="expression" dxfId="20805" priority="1701">
      <formula>$C38="Ginger Purchase"</formula>
    </cfRule>
  </conditionalFormatting>
  <conditionalFormatting sqref="B38 B40 B42 B44 B46 B48 B50 B52 B54">
    <cfRule type="expression" dxfId="20804" priority="1702">
      <formula>$C38="Advance"</formula>
    </cfRule>
  </conditionalFormatting>
  <conditionalFormatting sqref="B38 B40 B42 B44 B46 B48 B50 B52 B54">
    <cfRule type="expression" dxfId="20803" priority="1683">
      <formula>$C38="Delivery charge"</formula>
    </cfRule>
    <cfRule type="expression" dxfId="20802" priority="1684">
      <formula>$C38="Staff Salary"</formula>
    </cfRule>
    <cfRule type="expression" dxfId="20801" priority="1685">
      <formula>$C38="Rent"</formula>
    </cfRule>
    <cfRule type="expression" dxfId="20800" priority="1686">
      <formula>$C38="Petrol"</formula>
    </cfRule>
    <cfRule type="expression" dxfId="20799" priority="1687">
      <formula>$C38="Bills"</formula>
    </cfRule>
    <cfRule type="expression" dxfId="20798" priority="1688">
      <formula>$C38="Sales"</formula>
    </cfRule>
    <cfRule type="expression" dxfId="20797" priority="1689">
      <formula>$C38="Expences"</formula>
    </cfRule>
    <cfRule type="expression" dxfId="20796" priority="1690">
      <formula>$C38="Garlic Purchase"</formula>
    </cfRule>
    <cfRule type="expression" dxfId="20795" priority="1691">
      <formula>$C38="Ginger Purchase"</formula>
    </cfRule>
  </conditionalFormatting>
  <conditionalFormatting sqref="B38 B40 B42 B44 B46 B48 B50 B52 B54">
    <cfRule type="expression" dxfId="20794" priority="1692">
      <formula>$C38="Advance"</formula>
    </cfRule>
  </conditionalFormatting>
  <conditionalFormatting sqref="B38 B40 B42 B44 B46 B48 B50 B52 B54">
    <cfRule type="expression" dxfId="20793" priority="1673">
      <formula>$C38="Delivery charge"</formula>
    </cfRule>
    <cfRule type="expression" dxfId="20792" priority="1674">
      <formula>$C38="Staff Salary"</formula>
    </cfRule>
    <cfRule type="expression" dxfId="20791" priority="1675">
      <formula>$C38="Rent"</formula>
    </cfRule>
    <cfRule type="expression" dxfId="20790" priority="1676">
      <formula>$C38="Petrol"</formula>
    </cfRule>
    <cfRule type="expression" dxfId="20789" priority="1677">
      <formula>$C38="Bills"</formula>
    </cfRule>
    <cfRule type="expression" dxfId="20788" priority="1678">
      <formula>$C38="Sales"</formula>
    </cfRule>
    <cfRule type="expression" dxfId="20787" priority="1679">
      <formula>$C38="Expences"</formula>
    </cfRule>
    <cfRule type="expression" dxfId="20786" priority="1680">
      <formula>$C38="Garlic Purchase"</formula>
    </cfRule>
    <cfRule type="expression" dxfId="20785" priority="1681">
      <formula>$C38="Ginger Purchase"</formula>
    </cfRule>
  </conditionalFormatting>
  <conditionalFormatting sqref="B38 B40 B42 B44 B46 B48 B50 B52 B54">
    <cfRule type="expression" dxfId="20784" priority="1682">
      <formula>$C38="Advance"</formula>
    </cfRule>
  </conditionalFormatting>
  <conditionalFormatting sqref="B39 B41 B43 B45 B47 B49 B51 B53">
    <cfRule type="expression" dxfId="20783" priority="1663">
      <formula>$C39="Delivery charge"</formula>
    </cfRule>
    <cfRule type="expression" dxfId="20782" priority="1664">
      <formula>$C39="Staff Salary"</formula>
    </cfRule>
    <cfRule type="expression" dxfId="20781" priority="1665">
      <formula>$C39="Rent"</formula>
    </cfRule>
    <cfRule type="expression" dxfId="20780" priority="1666">
      <formula>$C39="Petrol"</formula>
    </cfRule>
    <cfRule type="expression" dxfId="20779" priority="1667">
      <formula>$C39="Bills"</formula>
    </cfRule>
    <cfRule type="expression" dxfId="20778" priority="1668">
      <formula>$C39="Sales"</formula>
    </cfRule>
    <cfRule type="expression" dxfId="20777" priority="1669">
      <formula>$C39="Expences"</formula>
    </cfRule>
    <cfRule type="expression" dxfId="20776" priority="1670">
      <formula>$C39="Garlic Purchase"</formula>
    </cfRule>
    <cfRule type="expression" dxfId="20775" priority="1671">
      <formula>$C39="Ginger Purchase"</formula>
    </cfRule>
  </conditionalFormatting>
  <conditionalFormatting sqref="B39 B41 B43 B45 B47 B49 B51 B53">
    <cfRule type="expression" dxfId="20774" priority="1672">
      <formula>$C39="Advance"</formula>
    </cfRule>
  </conditionalFormatting>
  <conditionalFormatting sqref="B38 B40 B42 B44 B46 B48 B50 B52 B54">
    <cfRule type="expression" dxfId="20773" priority="1653">
      <formula>$C38="Delivery charge"</formula>
    </cfRule>
    <cfRule type="expression" dxfId="20772" priority="1654">
      <formula>$C38="Staff Salary"</formula>
    </cfRule>
    <cfRule type="expression" dxfId="20771" priority="1655">
      <formula>$C38="Rent"</formula>
    </cfRule>
    <cfRule type="expression" dxfId="20770" priority="1656">
      <formula>$C38="Petrol"</formula>
    </cfRule>
    <cfRule type="expression" dxfId="20769" priority="1657">
      <formula>$C38="Bills"</formula>
    </cfRule>
    <cfRule type="expression" dxfId="20768" priority="1658">
      <formula>$C38="Sales"</formula>
    </cfRule>
    <cfRule type="expression" dxfId="20767" priority="1659">
      <formula>$C38="Expences"</formula>
    </cfRule>
    <cfRule type="expression" dxfId="20766" priority="1660">
      <formula>$C38="Garlic Purchase"</formula>
    </cfRule>
    <cfRule type="expression" dxfId="20765" priority="1661">
      <formula>$C38="Ginger Purchase"</formula>
    </cfRule>
  </conditionalFormatting>
  <conditionalFormatting sqref="B38 B40 B42 B44 B46 B48 B50 B52 B54">
    <cfRule type="expression" dxfId="20764" priority="1662">
      <formula>$C38="Advance"</formula>
    </cfRule>
  </conditionalFormatting>
  <conditionalFormatting sqref="B38 B40 B42 B44 B46 B48 B50 B52 B54">
    <cfRule type="expression" dxfId="20763" priority="1643">
      <formula>$C38="Delivery charge"</formula>
    </cfRule>
    <cfRule type="expression" dxfId="20762" priority="1644">
      <formula>$C38="Staff Salary"</formula>
    </cfRule>
    <cfRule type="expression" dxfId="20761" priority="1645">
      <formula>$C38="Rent"</formula>
    </cfRule>
    <cfRule type="expression" dxfId="20760" priority="1646">
      <formula>$C38="Petrol"</formula>
    </cfRule>
    <cfRule type="expression" dxfId="20759" priority="1647">
      <formula>$C38="Bills"</formula>
    </cfRule>
    <cfRule type="expression" dxfId="20758" priority="1648">
      <formula>$C38="Sales"</formula>
    </cfRule>
    <cfRule type="expression" dxfId="20757" priority="1649">
      <formula>$C38="Expences"</formula>
    </cfRule>
    <cfRule type="expression" dxfId="20756" priority="1650">
      <formula>$C38="Garlic Purchase"</formula>
    </cfRule>
    <cfRule type="expression" dxfId="20755" priority="1651">
      <formula>$C38="Ginger Purchase"</formula>
    </cfRule>
  </conditionalFormatting>
  <conditionalFormatting sqref="B38 B40 B42 B44 B46 B48 B50 B52 B54">
    <cfRule type="expression" dxfId="20754" priority="1652">
      <formula>$C38="Advance"</formula>
    </cfRule>
  </conditionalFormatting>
  <conditionalFormatting sqref="B38 B40 B42 B44 B46 B48 B50 B52 B54">
    <cfRule type="expression" dxfId="20753" priority="1633">
      <formula>$C38="Delivery charge"</formula>
    </cfRule>
    <cfRule type="expression" dxfId="20752" priority="1634">
      <formula>$C38="Staff Salary"</formula>
    </cfRule>
    <cfRule type="expression" dxfId="20751" priority="1635">
      <formula>$C38="Rent"</formula>
    </cfRule>
    <cfRule type="expression" dxfId="20750" priority="1636">
      <formula>$C38="Petrol"</formula>
    </cfRule>
    <cfRule type="expression" dxfId="20749" priority="1637">
      <formula>$C38="Bills"</formula>
    </cfRule>
    <cfRule type="expression" dxfId="20748" priority="1638">
      <formula>$C38="Sales"</formula>
    </cfRule>
    <cfRule type="expression" dxfId="20747" priority="1639">
      <formula>$C38="Expences"</formula>
    </cfRule>
    <cfRule type="expression" dxfId="20746" priority="1640">
      <formula>$C38="Garlic Purchase"</formula>
    </cfRule>
    <cfRule type="expression" dxfId="20745" priority="1641">
      <formula>$C38="Ginger Purchase"</formula>
    </cfRule>
  </conditionalFormatting>
  <conditionalFormatting sqref="B38 B40 B42 B44 B46 B48 B50 B52 B54">
    <cfRule type="expression" dxfId="20744" priority="1642">
      <formula>$C38="Advance"</formula>
    </cfRule>
  </conditionalFormatting>
  <conditionalFormatting sqref="B38 B40 B42 B44 B46 B48 B50 B52 B54">
    <cfRule type="expression" dxfId="20743" priority="1623">
      <formula>$C38="Delivery charge"</formula>
    </cfRule>
    <cfRule type="expression" dxfId="20742" priority="1624">
      <formula>$C38="Staff Salary"</formula>
    </cfRule>
    <cfRule type="expression" dxfId="20741" priority="1625">
      <formula>$C38="Rent"</formula>
    </cfRule>
    <cfRule type="expression" dxfId="20740" priority="1626">
      <formula>$C38="Petrol"</formula>
    </cfRule>
    <cfRule type="expression" dxfId="20739" priority="1627">
      <formula>$C38="Bills"</formula>
    </cfRule>
    <cfRule type="expression" dxfId="20738" priority="1628">
      <formula>$C38="Sales"</formula>
    </cfRule>
    <cfRule type="expression" dxfId="20737" priority="1629">
      <formula>$C38="Expences"</formula>
    </cfRule>
    <cfRule type="expression" dxfId="20736" priority="1630">
      <formula>$C38="Garlic Purchase"</formula>
    </cfRule>
    <cfRule type="expression" dxfId="20735" priority="1631">
      <formula>$C38="Ginger Purchase"</formula>
    </cfRule>
  </conditionalFormatting>
  <conditionalFormatting sqref="B38 B40 B42 B44 B46 B48 B50 B52 B54">
    <cfRule type="expression" dxfId="20734" priority="1632">
      <formula>$C38="Advance"</formula>
    </cfRule>
  </conditionalFormatting>
  <conditionalFormatting sqref="B38 B40 B42 B44 B46 B48 B50 B52 B54">
    <cfRule type="expression" dxfId="20733" priority="1613">
      <formula>$C38="Delivery charge"</formula>
    </cfRule>
    <cfRule type="expression" dxfId="20732" priority="1614">
      <formula>$C38="Staff Salary"</formula>
    </cfRule>
    <cfRule type="expression" dxfId="20731" priority="1615">
      <formula>$C38="Rent"</formula>
    </cfRule>
    <cfRule type="expression" dxfId="20730" priority="1616">
      <formula>$C38="Petrol"</formula>
    </cfRule>
    <cfRule type="expression" dxfId="20729" priority="1617">
      <formula>$C38="Bills"</formula>
    </cfRule>
    <cfRule type="expression" dxfId="20728" priority="1618">
      <formula>$C38="Sales"</formula>
    </cfRule>
    <cfRule type="expression" dxfId="20727" priority="1619">
      <formula>$C38="Expences"</formula>
    </cfRule>
    <cfRule type="expression" dxfId="20726" priority="1620">
      <formula>$C38="Garlic Purchase"</formula>
    </cfRule>
    <cfRule type="expression" dxfId="20725" priority="1621">
      <formula>$C38="Ginger Purchase"</formula>
    </cfRule>
  </conditionalFormatting>
  <conditionalFormatting sqref="B38 B40 B42 B44 B46 B48 B50 B52 B54">
    <cfRule type="expression" dxfId="20724" priority="1622">
      <formula>$C38="Advance"</formula>
    </cfRule>
  </conditionalFormatting>
  <conditionalFormatting sqref="B38 B40 B42 B44 B46 B48 B50 B52 B54">
    <cfRule type="expression" dxfId="20723" priority="1603">
      <formula>$C38="Delivery charge"</formula>
    </cfRule>
    <cfRule type="expression" dxfId="20722" priority="1604">
      <formula>$C38="Staff Salary"</formula>
    </cfRule>
    <cfRule type="expression" dxfId="20721" priority="1605">
      <formula>$C38="Rent"</formula>
    </cfRule>
    <cfRule type="expression" dxfId="20720" priority="1606">
      <formula>$C38="Petrol"</formula>
    </cfRule>
    <cfRule type="expression" dxfId="20719" priority="1607">
      <formula>$C38="Bills"</formula>
    </cfRule>
    <cfRule type="expression" dxfId="20718" priority="1608">
      <formula>$C38="Sales"</formula>
    </cfRule>
    <cfRule type="expression" dxfId="20717" priority="1609">
      <formula>$C38="Expences"</formula>
    </cfRule>
    <cfRule type="expression" dxfId="20716" priority="1610">
      <formula>$C38="Garlic Purchase"</formula>
    </cfRule>
    <cfRule type="expression" dxfId="20715" priority="1611">
      <formula>$C38="Ginger Purchase"</formula>
    </cfRule>
  </conditionalFormatting>
  <conditionalFormatting sqref="B38 B40 B42 B44 B46 B48 B50 B52 B54">
    <cfRule type="expression" dxfId="20714" priority="1612">
      <formula>$C38="Advance"</formula>
    </cfRule>
  </conditionalFormatting>
  <conditionalFormatting sqref="B38 B40 B42 B44 B46 B48 B50 B52 B54">
    <cfRule type="expression" dxfId="20713" priority="1593">
      <formula>$C38="Delivery charge"</formula>
    </cfRule>
    <cfRule type="expression" dxfId="20712" priority="1594">
      <formula>$C38="Staff Salary"</formula>
    </cfRule>
    <cfRule type="expression" dxfId="20711" priority="1595">
      <formula>$C38="Rent"</formula>
    </cfRule>
    <cfRule type="expression" dxfId="20710" priority="1596">
      <formula>$C38="Petrol"</formula>
    </cfRule>
    <cfRule type="expression" dxfId="20709" priority="1597">
      <formula>$C38="Bills"</formula>
    </cfRule>
    <cfRule type="expression" dxfId="20708" priority="1598">
      <formula>$C38="Sales"</formula>
    </cfRule>
    <cfRule type="expression" dxfId="20707" priority="1599">
      <formula>$C38="Expences"</formula>
    </cfRule>
    <cfRule type="expression" dxfId="20706" priority="1600">
      <formula>$C38="Garlic Purchase"</formula>
    </cfRule>
    <cfRule type="expression" dxfId="20705" priority="1601">
      <formula>$C38="Ginger Purchase"</formula>
    </cfRule>
  </conditionalFormatting>
  <conditionalFormatting sqref="B38 B40 B42 B44 B46 B48 B50 B52 B54">
    <cfRule type="expression" dxfId="20704" priority="1602">
      <formula>$C38="Advance"</formula>
    </cfRule>
  </conditionalFormatting>
  <conditionalFormatting sqref="B38 B40 B42 B44 B46 B48 B50 B52 B54">
    <cfRule type="expression" dxfId="20703" priority="1583">
      <formula>$C38="Delivery charge"</formula>
    </cfRule>
    <cfRule type="expression" dxfId="20702" priority="1584">
      <formula>$C38="Staff Salary"</formula>
    </cfRule>
    <cfRule type="expression" dxfId="20701" priority="1585">
      <formula>$C38="Rent"</formula>
    </cfRule>
    <cfRule type="expression" dxfId="20700" priority="1586">
      <formula>$C38="Petrol"</formula>
    </cfRule>
    <cfRule type="expression" dxfId="20699" priority="1587">
      <formula>$C38="Bills"</formula>
    </cfRule>
    <cfRule type="expression" dxfId="20698" priority="1588">
      <formula>$C38="Sales"</formula>
    </cfRule>
    <cfRule type="expression" dxfId="20697" priority="1589">
      <formula>$C38="Expences"</formula>
    </cfRule>
    <cfRule type="expression" dxfId="20696" priority="1590">
      <formula>$C38="Garlic Purchase"</formula>
    </cfRule>
    <cfRule type="expression" dxfId="20695" priority="1591">
      <formula>$C38="Ginger Purchase"</formula>
    </cfRule>
  </conditionalFormatting>
  <conditionalFormatting sqref="B38 B40 B42 B44 B46 B48 B50 B52 B54">
    <cfRule type="expression" dxfId="20694" priority="1592">
      <formula>$C38="Advance"</formula>
    </cfRule>
  </conditionalFormatting>
  <conditionalFormatting sqref="B38 B40 B42 B44 B46 B48 B50 B52 B54">
    <cfRule type="expression" dxfId="20693" priority="1573">
      <formula>$C38="Delivery charge"</formula>
    </cfRule>
    <cfRule type="expression" dxfId="20692" priority="1574">
      <formula>$C38="Staff Salary"</formula>
    </cfRule>
    <cfRule type="expression" dxfId="20691" priority="1575">
      <formula>$C38="Rent"</formula>
    </cfRule>
    <cfRule type="expression" dxfId="20690" priority="1576">
      <formula>$C38="Petrol"</formula>
    </cfRule>
    <cfRule type="expression" dxfId="20689" priority="1577">
      <formula>$C38="Bills"</formula>
    </cfRule>
    <cfRule type="expression" dxfId="20688" priority="1578">
      <formula>$C38="Sales"</formula>
    </cfRule>
    <cfRule type="expression" dxfId="20687" priority="1579">
      <formula>$C38="Expences"</formula>
    </cfRule>
    <cfRule type="expression" dxfId="20686" priority="1580">
      <formula>$C38="Garlic Purchase"</formula>
    </cfRule>
    <cfRule type="expression" dxfId="20685" priority="1581">
      <formula>$C38="Ginger Purchase"</formula>
    </cfRule>
  </conditionalFormatting>
  <conditionalFormatting sqref="B38 B40 B42 B44 B46 B48 B50 B52 B54">
    <cfRule type="expression" dxfId="20684" priority="1582">
      <formula>$C38="Advance"</formula>
    </cfRule>
  </conditionalFormatting>
  <conditionalFormatting sqref="A38">
    <cfRule type="expression" dxfId="20683" priority="1572">
      <formula>$C38="Advance"</formula>
    </cfRule>
  </conditionalFormatting>
  <conditionalFormatting sqref="A39:A48">
    <cfRule type="expression" dxfId="20682" priority="1571">
      <formula>$C39="Advance"</formula>
    </cfRule>
  </conditionalFormatting>
  <conditionalFormatting sqref="A49:A55">
    <cfRule type="expression" dxfId="20681" priority="1570">
      <formula>$C49="Advance"</formula>
    </cfRule>
  </conditionalFormatting>
  <conditionalFormatting sqref="B55 B57">
    <cfRule type="expression" dxfId="20680" priority="1460">
      <formula>$C55="Delivery charge"</formula>
    </cfRule>
    <cfRule type="expression" dxfId="20679" priority="1461">
      <formula>$C55="Staff Salary"</formula>
    </cfRule>
    <cfRule type="expression" dxfId="20678" priority="1462">
      <formula>$C55="Rent"</formula>
    </cfRule>
    <cfRule type="expression" dxfId="20677" priority="1463">
      <formula>$C55="Petrol"</formula>
    </cfRule>
    <cfRule type="expression" dxfId="20676" priority="1464">
      <formula>$C55="Bills"</formula>
    </cfRule>
    <cfRule type="expression" dxfId="20675" priority="1465">
      <formula>$C55="Sales"</formula>
    </cfRule>
    <cfRule type="expression" dxfId="20674" priority="1466">
      <formula>$C55="Expences"</formula>
    </cfRule>
    <cfRule type="expression" dxfId="20673" priority="1467">
      <formula>$C55="Garlic Purchase"</formula>
    </cfRule>
    <cfRule type="expression" dxfId="20672" priority="1468">
      <formula>$C55="Ginger Purchase"</formula>
    </cfRule>
  </conditionalFormatting>
  <conditionalFormatting sqref="B55 B57">
    <cfRule type="expression" dxfId="20671" priority="1469">
      <formula>$C55="Advance"</formula>
    </cfRule>
  </conditionalFormatting>
  <conditionalFormatting sqref="B55 B57">
    <cfRule type="expression" dxfId="20670" priority="1450">
      <formula>$C55="Delivery charge"</formula>
    </cfRule>
    <cfRule type="expression" dxfId="20669" priority="1451">
      <formula>$C55="Staff Salary"</formula>
    </cfRule>
    <cfRule type="expression" dxfId="20668" priority="1452">
      <formula>$C55="Rent"</formula>
    </cfRule>
    <cfRule type="expression" dxfId="20667" priority="1453">
      <formula>$C55="Petrol"</formula>
    </cfRule>
    <cfRule type="expression" dxfId="20666" priority="1454">
      <formula>$C55="Bills"</formula>
    </cfRule>
    <cfRule type="expression" dxfId="20665" priority="1455">
      <formula>$C55="Sales"</formula>
    </cfRule>
    <cfRule type="expression" dxfId="20664" priority="1456">
      <formula>$C55="Expences"</formula>
    </cfRule>
    <cfRule type="expression" dxfId="20663" priority="1457">
      <formula>$C55="Garlic Purchase"</formula>
    </cfRule>
    <cfRule type="expression" dxfId="20662" priority="1458">
      <formula>$C55="Ginger Purchase"</formula>
    </cfRule>
  </conditionalFormatting>
  <conditionalFormatting sqref="B55 B57">
    <cfRule type="expression" dxfId="20661" priority="1459">
      <formula>$C55="Advance"</formula>
    </cfRule>
  </conditionalFormatting>
  <conditionalFormatting sqref="B55 B57">
    <cfRule type="expression" dxfId="20660" priority="1440">
      <formula>$C55="Delivery charge"</formula>
    </cfRule>
    <cfRule type="expression" dxfId="20659" priority="1441">
      <formula>$C55="Staff Salary"</formula>
    </cfRule>
    <cfRule type="expression" dxfId="20658" priority="1442">
      <formula>$C55="Rent"</formula>
    </cfRule>
    <cfRule type="expression" dxfId="20657" priority="1443">
      <formula>$C55="Petrol"</formula>
    </cfRule>
    <cfRule type="expression" dxfId="20656" priority="1444">
      <formula>$C55="Bills"</formula>
    </cfRule>
    <cfRule type="expression" dxfId="20655" priority="1445">
      <formula>$C55="Sales"</formula>
    </cfRule>
    <cfRule type="expression" dxfId="20654" priority="1446">
      <formula>$C55="Expences"</formula>
    </cfRule>
    <cfRule type="expression" dxfId="20653" priority="1447">
      <formula>$C55="Garlic Purchase"</formula>
    </cfRule>
    <cfRule type="expression" dxfId="20652" priority="1448">
      <formula>$C55="Ginger Purchase"</formula>
    </cfRule>
  </conditionalFormatting>
  <conditionalFormatting sqref="B55 B57">
    <cfRule type="expression" dxfId="20651" priority="1449">
      <formula>$C55="Advance"</formula>
    </cfRule>
  </conditionalFormatting>
  <conditionalFormatting sqref="B55 B57">
    <cfRule type="expression" dxfId="20650" priority="1430">
      <formula>$C55="Delivery charge"</formula>
    </cfRule>
    <cfRule type="expression" dxfId="20649" priority="1431">
      <formula>$C55="Staff Salary"</formula>
    </cfRule>
    <cfRule type="expression" dxfId="20648" priority="1432">
      <formula>$C55="Rent"</formula>
    </cfRule>
    <cfRule type="expression" dxfId="20647" priority="1433">
      <formula>$C55="Petrol"</formula>
    </cfRule>
    <cfRule type="expression" dxfId="20646" priority="1434">
      <formula>$C55="Bills"</formula>
    </cfRule>
    <cfRule type="expression" dxfId="20645" priority="1435">
      <formula>$C55="Sales"</formula>
    </cfRule>
    <cfRule type="expression" dxfId="20644" priority="1436">
      <formula>$C55="Expences"</formula>
    </cfRule>
    <cfRule type="expression" dxfId="20643" priority="1437">
      <formula>$C55="Garlic Purchase"</formula>
    </cfRule>
    <cfRule type="expression" dxfId="20642" priority="1438">
      <formula>$C55="Ginger Purchase"</formula>
    </cfRule>
  </conditionalFormatting>
  <conditionalFormatting sqref="B55 B57">
    <cfRule type="expression" dxfId="20641" priority="1439">
      <formula>$C55="Advance"</formula>
    </cfRule>
  </conditionalFormatting>
  <conditionalFormatting sqref="B55 B57">
    <cfRule type="expression" dxfId="20640" priority="1420">
      <formula>$C55="Delivery charge"</formula>
    </cfRule>
    <cfRule type="expression" dxfId="20639" priority="1421">
      <formula>$C55="Staff Salary"</formula>
    </cfRule>
    <cfRule type="expression" dxfId="20638" priority="1422">
      <formula>$C55="Rent"</formula>
    </cfRule>
    <cfRule type="expression" dxfId="20637" priority="1423">
      <formula>$C55="Petrol"</formula>
    </cfRule>
    <cfRule type="expression" dxfId="20636" priority="1424">
      <formula>$C55="Bills"</formula>
    </cfRule>
    <cfRule type="expression" dxfId="20635" priority="1425">
      <formula>$C55="Sales"</formula>
    </cfRule>
    <cfRule type="expression" dxfId="20634" priority="1426">
      <formula>$C55="Expences"</formula>
    </cfRule>
    <cfRule type="expression" dxfId="20633" priority="1427">
      <formula>$C55="Garlic Purchase"</formula>
    </cfRule>
    <cfRule type="expression" dxfId="20632" priority="1428">
      <formula>$C55="Ginger Purchase"</formula>
    </cfRule>
  </conditionalFormatting>
  <conditionalFormatting sqref="B55 B57">
    <cfRule type="expression" dxfId="20631" priority="1429">
      <formula>$C55="Advance"</formula>
    </cfRule>
  </conditionalFormatting>
  <conditionalFormatting sqref="B55 B57">
    <cfRule type="expression" dxfId="20630" priority="1410">
      <formula>$C55="Delivery charge"</formula>
    </cfRule>
    <cfRule type="expression" dxfId="20629" priority="1411">
      <formula>$C55="Staff Salary"</formula>
    </cfRule>
    <cfRule type="expression" dxfId="20628" priority="1412">
      <formula>$C55="Rent"</formula>
    </cfRule>
    <cfRule type="expression" dxfId="20627" priority="1413">
      <formula>$C55="Petrol"</formula>
    </cfRule>
    <cfRule type="expression" dxfId="20626" priority="1414">
      <formula>$C55="Bills"</formula>
    </cfRule>
    <cfRule type="expression" dxfId="20625" priority="1415">
      <formula>$C55="Sales"</formula>
    </cfRule>
    <cfRule type="expression" dxfId="20624" priority="1416">
      <formula>$C55="Expences"</formula>
    </cfRule>
    <cfRule type="expression" dxfId="20623" priority="1417">
      <formula>$C55="Garlic Purchase"</formula>
    </cfRule>
    <cfRule type="expression" dxfId="20622" priority="1418">
      <formula>$C55="Ginger Purchase"</formula>
    </cfRule>
  </conditionalFormatting>
  <conditionalFormatting sqref="B55 B57">
    <cfRule type="expression" dxfId="20621" priority="1419">
      <formula>$C55="Advance"</formula>
    </cfRule>
  </conditionalFormatting>
  <conditionalFormatting sqref="B55 B57">
    <cfRule type="expression" dxfId="20620" priority="1400">
      <formula>$C55="Delivery charge"</formula>
    </cfRule>
    <cfRule type="expression" dxfId="20619" priority="1401">
      <formula>$C55="Staff Salary"</formula>
    </cfRule>
    <cfRule type="expression" dxfId="20618" priority="1402">
      <formula>$C55="Rent"</formula>
    </cfRule>
    <cfRule type="expression" dxfId="20617" priority="1403">
      <formula>$C55="Petrol"</formula>
    </cfRule>
    <cfRule type="expression" dxfId="20616" priority="1404">
      <formula>$C55="Bills"</formula>
    </cfRule>
    <cfRule type="expression" dxfId="20615" priority="1405">
      <formula>$C55="Sales"</formula>
    </cfRule>
    <cfRule type="expression" dxfId="20614" priority="1406">
      <formula>$C55="Expences"</formula>
    </cfRule>
    <cfRule type="expression" dxfId="20613" priority="1407">
      <formula>$C55="Garlic Purchase"</formula>
    </cfRule>
    <cfRule type="expression" dxfId="20612" priority="1408">
      <formula>$C55="Ginger Purchase"</formula>
    </cfRule>
  </conditionalFormatting>
  <conditionalFormatting sqref="B55 B57">
    <cfRule type="expression" dxfId="20611" priority="1409">
      <formula>$C55="Advance"</formula>
    </cfRule>
  </conditionalFormatting>
  <conditionalFormatting sqref="B55 B57">
    <cfRule type="expression" dxfId="20610" priority="1390">
      <formula>$C55="Delivery charge"</formula>
    </cfRule>
    <cfRule type="expression" dxfId="20609" priority="1391">
      <formula>$C55="Staff Salary"</formula>
    </cfRule>
    <cfRule type="expression" dxfId="20608" priority="1392">
      <formula>$C55="Rent"</formula>
    </cfRule>
    <cfRule type="expression" dxfId="20607" priority="1393">
      <formula>$C55="Petrol"</formula>
    </cfRule>
    <cfRule type="expression" dxfId="20606" priority="1394">
      <formula>$C55="Bills"</formula>
    </cfRule>
    <cfRule type="expression" dxfId="20605" priority="1395">
      <formula>$C55="Sales"</formula>
    </cfRule>
    <cfRule type="expression" dxfId="20604" priority="1396">
      <formula>$C55="Expences"</formula>
    </cfRule>
    <cfRule type="expression" dxfId="20603" priority="1397">
      <formula>$C55="Garlic Purchase"</formula>
    </cfRule>
    <cfRule type="expression" dxfId="20602" priority="1398">
      <formula>$C55="Ginger Purchase"</formula>
    </cfRule>
  </conditionalFormatting>
  <conditionalFormatting sqref="B55 B57">
    <cfRule type="expression" dxfId="20601" priority="1399">
      <formula>$C55="Advance"</formula>
    </cfRule>
  </conditionalFormatting>
  <conditionalFormatting sqref="B55 B57">
    <cfRule type="expression" dxfId="20600" priority="1380">
      <formula>$C55="Delivery charge"</formula>
    </cfRule>
    <cfRule type="expression" dxfId="20599" priority="1381">
      <formula>$C55="Staff Salary"</formula>
    </cfRule>
    <cfRule type="expression" dxfId="20598" priority="1382">
      <formula>$C55="Rent"</formula>
    </cfRule>
    <cfRule type="expression" dxfId="20597" priority="1383">
      <formula>$C55="Petrol"</formula>
    </cfRule>
    <cfRule type="expression" dxfId="20596" priority="1384">
      <formula>$C55="Bills"</formula>
    </cfRule>
    <cfRule type="expression" dxfId="20595" priority="1385">
      <formula>$C55="Sales"</formula>
    </cfRule>
    <cfRule type="expression" dxfId="20594" priority="1386">
      <formula>$C55="Expences"</formula>
    </cfRule>
    <cfRule type="expression" dxfId="20593" priority="1387">
      <formula>$C55="Garlic Purchase"</formula>
    </cfRule>
    <cfRule type="expression" dxfId="20592" priority="1388">
      <formula>$C55="Ginger Purchase"</formula>
    </cfRule>
  </conditionalFormatting>
  <conditionalFormatting sqref="B55 B57">
    <cfRule type="expression" dxfId="20591" priority="1389">
      <formula>$C55="Advance"</formula>
    </cfRule>
  </conditionalFormatting>
  <conditionalFormatting sqref="B55 B57">
    <cfRule type="expression" dxfId="20590" priority="1370">
      <formula>$C55="Delivery charge"</formula>
    </cfRule>
    <cfRule type="expression" dxfId="20589" priority="1371">
      <formula>$C55="Staff Salary"</formula>
    </cfRule>
    <cfRule type="expression" dxfId="20588" priority="1372">
      <formula>$C55="Rent"</formula>
    </cfRule>
    <cfRule type="expression" dxfId="20587" priority="1373">
      <formula>$C55="Petrol"</formula>
    </cfRule>
    <cfRule type="expression" dxfId="20586" priority="1374">
      <formula>$C55="Bills"</formula>
    </cfRule>
    <cfRule type="expression" dxfId="20585" priority="1375">
      <formula>$C55="Sales"</formula>
    </cfRule>
    <cfRule type="expression" dxfId="20584" priority="1376">
      <formula>$C55="Expences"</formula>
    </cfRule>
    <cfRule type="expression" dxfId="20583" priority="1377">
      <formula>$C55="Garlic Purchase"</formula>
    </cfRule>
    <cfRule type="expression" dxfId="20582" priority="1378">
      <formula>$C55="Ginger Purchase"</formula>
    </cfRule>
  </conditionalFormatting>
  <conditionalFormatting sqref="B55 B57">
    <cfRule type="expression" dxfId="20581" priority="1379">
      <formula>$C55="Advance"</formula>
    </cfRule>
  </conditionalFormatting>
  <conditionalFormatting sqref="B55 B57">
    <cfRule type="expression" dxfId="20580" priority="1360">
      <formula>$C55="Delivery charge"</formula>
    </cfRule>
    <cfRule type="expression" dxfId="20579" priority="1361">
      <formula>$C55="Staff Salary"</formula>
    </cfRule>
    <cfRule type="expression" dxfId="20578" priority="1362">
      <formula>$C55="Rent"</formula>
    </cfRule>
    <cfRule type="expression" dxfId="20577" priority="1363">
      <formula>$C55="Petrol"</formula>
    </cfRule>
    <cfRule type="expression" dxfId="20576" priority="1364">
      <formula>$C55="Bills"</formula>
    </cfRule>
    <cfRule type="expression" dxfId="20575" priority="1365">
      <formula>$C55="Sales"</formula>
    </cfRule>
    <cfRule type="expression" dxfId="20574" priority="1366">
      <formula>$C55="Expences"</formula>
    </cfRule>
    <cfRule type="expression" dxfId="20573" priority="1367">
      <formula>$C55="Garlic Purchase"</formula>
    </cfRule>
    <cfRule type="expression" dxfId="20572" priority="1368">
      <formula>$C55="Ginger Purchase"</formula>
    </cfRule>
  </conditionalFormatting>
  <conditionalFormatting sqref="B55 B57">
    <cfRule type="expression" dxfId="20571" priority="1369">
      <formula>$C55="Advance"</formula>
    </cfRule>
  </conditionalFormatting>
  <conditionalFormatting sqref="B55 B57">
    <cfRule type="expression" dxfId="20570" priority="1350">
      <formula>$C55="Delivery charge"</formula>
    </cfRule>
    <cfRule type="expression" dxfId="20569" priority="1351">
      <formula>$C55="Staff Salary"</formula>
    </cfRule>
    <cfRule type="expression" dxfId="20568" priority="1352">
      <formula>$C55="Rent"</formula>
    </cfRule>
    <cfRule type="expression" dxfId="20567" priority="1353">
      <formula>$C55="Petrol"</formula>
    </cfRule>
    <cfRule type="expression" dxfId="20566" priority="1354">
      <formula>$C55="Bills"</formula>
    </cfRule>
    <cfRule type="expression" dxfId="20565" priority="1355">
      <formula>$C55="Sales"</formula>
    </cfRule>
    <cfRule type="expression" dxfId="20564" priority="1356">
      <formula>$C55="Expences"</formula>
    </cfRule>
    <cfRule type="expression" dxfId="20563" priority="1357">
      <formula>$C55="Garlic Purchase"</formula>
    </cfRule>
    <cfRule type="expression" dxfId="20562" priority="1358">
      <formula>$C55="Ginger Purchase"</formula>
    </cfRule>
  </conditionalFormatting>
  <conditionalFormatting sqref="B55 B57">
    <cfRule type="expression" dxfId="20561" priority="1359">
      <formula>$C55="Advance"</formula>
    </cfRule>
  </conditionalFormatting>
  <conditionalFormatting sqref="B55 B57">
    <cfRule type="expression" dxfId="20560" priority="1340">
      <formula>$C55="Delivery charge"</formula>
    </cfRule>
    <cfRule type="expression" dxfId="20559" priority="1341">
      <formula>$C55="Staff Salary"</formula>
    </cfRule>
    <cfRule type="expression" dxfId="20558" priority="1342">
      <formula>$C55="Rent"</formula>
    </cfRule>
    <cfRule type="expression" dxfId="20557" priority="1343">
      <formula>$C55="Petrol"</formula>
    </cfRule>
    <cfRule type="expression" dxfId="20556" priority="1344">
      <formula>$C55="Bills"</formula>
    </cfRule>
    <cfRule type="expression" dxfId="20555" priority="1345">
      <formula>$C55="Sales"</formula>
    </cfRule>
    <cfRule type="expression" dxfId="20554" priority="1346">
      <formula>$C55="Expences"</formula>
    </cfRule>
    <cfRule type="expression" dxfId="20553" priority="1347">
      <formula>$C55="Garlic Purchase"</formula>
    </cfRule>
    <cfRule type="expression" dxfId="20552" priority="1348">
      <formula>$C55="Ginger Purchase"</formula>
    </cfRule>
  </conditionalFormatting>
  <conditionalFormatting sqref="B55 B57">
    <cfRule type="expression" dxfId="20551" priority="1349">
      <formula>$C55="Advance"</formula>
    </cfRule>
  </conditionalFormatting>
  <conditionalFormatting sqref="B55 B57">
    <cfRule type="expression" dxfId="20550" priority="1330">
      <formula>$C55="Delivery charge"</formula>
    </cfRule>
    <cfRule type="expression" dxfId="20549" priority="1331">
      <formula>$C55="Staff Salary"</formula>
    </cfRule>
    <cfRule type="expression" dxfId="20548" priority="1332">
      <formula>$C55="Rent"</formula>
    </cfRule>
    <cfRule type="expression" dxfId="20547" priority="1333">
      <formula>$C55="Petrol"</formula>
    </cfRule>
    <cfRule type="expression" dxfId="20546" priority="1334">
      <formula>$C55="Bills"</formula>
    </cfRule>
    <cfRule type="expression" dxfId="20545" priority="1335">
      <formula>$C55="Sales"</formula>
    </cfRule>
    <cfRule type="expression" dxfId="20544" priority="1336">
      <formula>$C55="Expences"</formula>
    </cfRule>
    <cfRule type="expression" dxfId="20543" priority="1337">
      <formula>$C55="Garlic Purchase"</formula>
    </cfRule>
    <cfRule type="expression" dxfId="20542" priority="1338">
      <formula>$C55="Ginger Purchase"</formula>
    </cfRule>
  </conditionalFormatting>
  <conditionalFormatting sqref="B55 B57">
    <cfRule type="expression" dxfId="20541" priority="1339">
      <formula>$C55="Advance"</formula>
    </cfRule>
  </conditionalFormatting>
  <conditionalFormatting sqref="B55 B57">
    <cfRule type="expression" dxfId="20540" priority="1320">
      <formula>$C55="Delivery charge"</formula>
    </cfRule>
    <cfRule type="expression" dxfId="20539" priority="1321">
      <formula>$C55="Staff Salary"</formula>
    </cfRule>
    <cfRule type="expression" dxfId="20538" priority="1322">
      <formula>$C55="Rent"</formula>
    </cfRule>
    <cfRule type="expression" dxfId="20537" priority="1323">
      <formula>$C55="Petrol"</formula>
    </cfRule>
    <cfRule type="expression" dxfId="20536" priority="1324">
      <formula>$C55="Bills"</formula>
    </cfRule>
    <cfRule type="expression" dxfId="20535" priority="1325">
      <formula>$C55="Sales"</formula>
    </cfRule>
    <cfRule type="expression" dxfId="20534" priority="1326">
      <formula>$C55="Expences"</formula>
    </cfRule>
    <cfRule type="expression" dxfId="20533" priority="1327">
      <formula>$C55="Garlic Purchase"</formula>
    </cfRule>
    <cfRule type="expression" dxfId="20532" priority="1328">
      <formula>$C55="Ginger Purchase"</formula>
    </cfRule>
  </conditionalFormatting>
  <conditionalFormatting sqref="B55 B57">
    <cfRule type="expression" dxfId="20531" priority="1329">
      <formula>$C55="Advance"</formula>
    </cfRule>
  </conditionalFormatting>
  <conditionalFormatting sqref="B55 B57">
    <cfRule type="expression" dxfId="20530" priority="1310">
      <formula>$C55="Delivery charge"</formula>
    </cfRule>
    <cfRule type="expression" dxfId="20529" priority="1311">
      <formula>$C55="Staff Salary"</formula>
    </cfRule>
    <cfRule type="expression" dxfId="20528" priority="1312">
      <formula>$C55="Rent"</formula>
    </cfRule>
    <cfRule type="expression" dxfId="20527" priority="1313">
      <formula>$C55="Petrol"</formula>
    </cfRule>
    <cfRule type="expression" dxfId="20526" priority="1314">
      <formula>$C55="Bills"</formula>
    </cfRule>
    <cfRule type="expression" dxfId="20525" priority="1315">
      <formula>$C55="Sales"</formula>
    </cfRule>
    <cfRule type="expression" dxfId="20524" priority="1316">
      <formula>$C55="Expences"</formula>
    </cfRule>
    <cfRule type="expression" dxfId="20523" priority="1317">
      <formula>$C55="Garlic Purchase"</formula>
    </cfRule>
    <cfRule type="expression" dxfId="20522" priority="1318">
      <formula>$C55="Ginger Purchase"</formula>
    </cfRule>
  </conditionalFormatting>
  <conditionalFormatting sqref="B55 B57">
    <cfRule type="expression" dxfId="20521" priority="1319">
      <formula>$C55="Advance"</formula>
    </cfRule>
  </conditionalFormatting>
  <conditionalFormatting sqref="B55 B57">
    <cfRule type="expression" dxfId="20520" priority="1300">
      <formula>$C55="Delivery charge"</formula>
    </cfRule>
    <cfRule type="expression" dxfId="20519" priority="1301">
      <formula>$C55="Staff Salary"</formula>
    </cfRule>
    <cfRule type="expression" dxfId="20518" priority="1302">
      <formula>$C55="Rent"</formula>
    </cfRule>
    <cfRule type="expression" dxfId="20517" priority="1303">
      <formula>$C55="Petrol"</formula>
    </cfRule>
    <cfRule type="expression" dxfId="20516" priority="1304">
      <formula>$C55="Bills"</formula>
    </cfRule>
    <cfRule type="expression" dxfId="20515" priority="1305">
      <formula>$C55="Sales"</formula>
    </cfRule>
    <cfRule type="expression" dxfId="20514" priority="1306">
      <formula>$C55="Expences"</formula>
    </cfRule>
    <cfRule type="expression" dxfId="20513" priority="1307">
      <formula>$C55="Garlic Purchase"</formula>
    </cfRule>
    <cfRule type="expression" dxfId="20512" priority="1308">
      <formula>$C55="Ginger Purchase"</formula>
    </cfRule>
  </conditionalFormatting>
  <conditionalFormatting sqref="B55 B57">
    <cfRule type="expression" dxfId="20511" priority="1309">
      <formula>$C55="Advance"</formula>
    </cfRule>
  </conditionalFormatting>
  <conditionalFormatting sqref="B55 B57">
    <cfRule type="expression" dxfId="20510" priority="1290">
      <formula>$C55="Delivery charge"</formula>
    </cfRule>
    <cfRule type="expression" dxfId="20509" priority="1291">
      <formula>$C55="Staff Salary"</formula>
    </cfRule>
    <cfRule type="expression" dxfId="20508" priority="1292">
      <formula>$C55="Rent"</formula>
    </cfRule>
    <cfRule type="expression" dxfId="20507" priority="1293">
      <formula>$C55="Petrol"</formula>
    </cfRule>
    <cfRule type="expression" dxfId="20506" priority="1294">
      <formula>$C55="Bills"</formula>
    </cfRule>
    <cfRule type="expression" dxfId="20505" priority="1295">
      <formula>$C55="Sales"</formula>
    </cfRule>
    <cfRule type="expression" dxfId="20504" priority="1296">
      <formula>$C55="Expences"</formula>
    </cfRule>
    <cfRule type="expression" dxfId="20503" priority="1297">
      <formula>$C55="Garlic Purchase"</formula>
    </cfRule>
    <cfRule type="expression" dxfId="20502" priority="1298">
      <formula>$C55="Ginger Purchase"</formula>
    </cfRule>
  </conditionalFormatting>
  <conditionalFormatting sqref="B55 B57">
    <cfRule type="expression" dxfId="20501" priority="1299">
      <formula>$C55="Advance"</formula>
    </cfRule>
  </conditionalFormatting>
  <conditionalFormatting sqref="B55 B57">
    <cfRule type="expression" dxfId="20500" priority="1280">
      <formula>$C55="Delivery charge"</formula>
    </cfRule>
    <cfRule type="expression" dxfId="20499" priority="1281">
      <formula>$C55="Staff Salary"</formula>
    </cfRule>
    <cfRule type="expression" dxfId="20498" priority="1282">
      <formula>$C55="Rent"</formula>
    </cfRule>
    <cfRule type="expression" dxfId="20497" priority="1283">
      <formula>$C55="Petrol"</formula>
    </cfRule>
    <cfRule type="expression" dxfId="20496" priority="1284">
      <formula>$C55="Bills"</formula>
    </cfRule>
    <cfRule type="expression" dxfId="20495" priority="1285">
      <formula>$C55="Sales"</formula>
    </cfRule>
    <cfRule type="expression" dxfId="20494" priority="1286">
      <formula>$C55="Expences"</formula>
    </cfRule>
    <cfRule type="expression" dxfId="20493" priority="1287">
      <formula>$C55="Garlic Purchase"</formula>
    </cfRule>
    <cfRule type="expression" dxfId="20492" priority="1288">
      <formula>$C55="Ginger Purchase"</formula>
    </cfRule>
  </conditionalFormatting>
  <conditionalFormatting sqref="B55 B57">
    <cfRule type="expression" dxfId="20491" priority="1289">
      <formula>$C55="Advance"</formula>
    </cfRule>
  </conditionalFormatting>
  <conditionalFormatting sqref="B55 B57">
    <cfRule type="expression" dxfId="20490" priority="1270">
      <formula>$C55="Delivery charge"</formula>
    </cfRule>
    <cfRule type="expression" dxfId="20489" priority="1271">
      <formula>$C55="Staff Salary"</formula>
    </cfRule>
    <cfRule type="expression" dxfId="20488" priority="1272">
      <formula>$C55="Rent"</formula>
    </cfRule>
    <cfRule type="expression" dxfId="20487" priority="1273">
      <formula>$C55="Petrol"</formula>
    </cfRule>
    <cfRule type="expression" dxfId="20486" priority="1274">
      <formula>$C55="Bills"</formula>
    </cfRule>
    <cfRule type="expression" dxfId="20485" priority="1275">
      <formula>$C55="Sales"</formula>
    </cfRule>
    <cfRule type="expression" dxfId="20484" priority="1276">
      <formula>$C55="Expences"</formula>
    </cfRule>
    <cfRule type="expression" dxfId="20483" priority="1277">
      <formula>$C55="Garlic Purchase"</formula>
    </cfRule>
    <cfRule type="expression" dxfId="20482" priority="1278">
      <formula>$C55="Ginger Purchase"</formula>
    </cfRule>
  </conditionalFormatting>
  <conditionalFormatting sqref="B55 B57">
    <cfRule type="expression" dxfId="20481" priority="1279">
      <formula>$C55="Advance"</formula>
    </cfRule>
  </conditionalFormatting>
  <conditionalFormatting sqref="B55 B57">
    <cfRule type="expression" dxfId="20480" priority="1260">
      <formula>$C55="Delivery charge"</formula>
    </cfRule>
    <cfRule type="expression" dxfId="20479" priority="1261">
      <formula>$C55="Staff Salary"</formula>
    </cfRule>
    <cfRule type="expression" dxfId="20478" priority="1262">
      <formula>$C55="Rent"</formula>
    </cfRule>
    <cfRule type="expression" dxfId="20477" priority="1263">
      <formula>$C55="Petrol"</formula>
    </cfRule>
    <cfRule type="expression" dxfId="20476" priority="1264">
      <formula>$C55="Bills"</formula>
    </cfRule>
    <cfRule type="expression" dxfId="20475" priority="1265">
      <formula>$C55="Sales"</formula>
    </cfRule>
    <cfRule type="expression" dxfId="20474" priority="1266">
      <formula>$C55="Expences"</formula>
    </cfRule>
    <cfRule type="expression" dxfId="20473" priority="1267">
      <formula>$C55="Garlic Purchase"</formula>
    </cfRule>
    <cfRule type="expression" dxfId="20472" priority="1268">
      <formula>$C55="Ginger Purchase"</formula>
    </cfRule>
  </conditionalFormatting>
  <conditionalFormatting sqref="B55 B57">
    <cfRule type="expression" dxfId="20471" priority="1269">
      <formula>$C55="Advance"</formula>
    </cfRule>
  </conditionalFormatting>
  <conditionalFormatting sqref="B55 B57">
    <cfRule type="expression" dxfId="20470" priority="1250">
      <formula>$C55="Delivery charge"</formula>
    </cfRule>
    <cfRule type="expression" dxfId="20469" priority="1251">
      <formula>$C55="Staff Salary"</formula>
    </cfRule>
    <cfRule type="expression" dxfId="20468" priority="1252">
      <formula>$C55="Rent"</formula>
    </cfRule>
    <cfRule type="expression" dxfId="20467" priority="1253">
      <formula>$C55="Petrol"</formula>
    </cfRule>
    <cfRule type="expression" dxfId="20466" priority="1254">
      <formula>$C55="Bills"</formula>
    </cfRule>
    <cfRule type="expression" dxfId="20465" priority="1255">
      <formula>$C55="Sales"</formula>
    </cfRule>
    <cfRule type="expression" dxfId="20464" priority="1256">
      <formula>$C55="Expences"</formula>
    </cfRule>
    <cfRule type="expression" dxfId="20463" priority="1257">
      <formula>$C55="Garlic Purchase"</formula>
    </cfRule>
    <cfRule type="expression" dxfId="20462" priority="1258">
      <formula>$C55="Ginger Purchase"</formula>
    </cfRule>
  </conditionalFormatting>
  <conditionalFormatting sqref="B55 B57">
    <cfRule type="expression" dxfId="20461" priority="1259">
      <formula>$C55="Advance"</formula>
    </cfRule>
  </conditionalFormatting>
  <conditionalFormatting sqref="B55 B57">
    <cfRule type="expression" dxfId="20460" priority="1240">
      <formula>$C55="Delivery charge"</formula>
    </cfRule>
    <cfRule type="expression" dxfId="20459" priority="1241">
      <formula>$C55="Staff Salary"</formula>
    </cfRule>
    <cfRule type="expression" dxfId="20458" priority="1242">
      <formula>$C55="Rent"</formula>
    </cfRule>
    <cfRule type="expression" dxfId="20457" priority="1243">
      <formula>$C55="Petrol"</formula>
    </cfRule>
    <cfRule type="expression" dxfId="20456" priority="1244">
      <formula>$C55="Bills"</formula>
    </cfRule>
    <cfRule type="expression" dxfId="20455" priority="1245">
      <formula>$C55="Sales"</formula>
    </cfRule>
    <cfRule type="expression" dxfId="20454" priority="1246">
      <formula>$C55="Expences"</formula>
    </cfRule>
    <cfRule type="expression" dxfId="20453" priority="1247">
      <formula>$C55="Garlic Purchase"</formula>
    </cfRule>
    <cfRule type="expression" dxfId="20452" priority="1248">
      <formula>$C55="Ginger Purchase"</formula>
    </cfRule>
  </conditionalFormatting>
  <conditionalFormatting sqref="B55 B57">
    <cfRule type="expression" dxfId="20451" priority="1249">
      <formula>$C55="Advance"</formula>
    </cfRule>
  </conditionalFormatting>
  <conditionalFormatting sqref="B55 B57">
    <cfRule type="expression" dxfId="20450" priority="1230">
      <formula>$C55="Delivery charge"</formula>
    </cfRule>
    <cfRule type="expression" dxfId="20449" priority="1231">
      <formula>$C55="Staff Salary"</formula>
    </cfRule>
    <cfRule type="expression" dxfId="20448" priority="1232">
      <formula>$C55="Rent"</formula>
    </cfRule>
    <cfRule type="expression" dxfId="20447" priority="1233">
      <formula>$C55="Petrol"</formula>
    </cfRule>
    <cfRule type="expression" dxfId="20446" priority="1234">
      <formula>$C55="Bills"</formula>
    </cfRule>
    <cfRule type="expression" dxfId="20445" priority="1235">
      <formula>$C55="Sales"</formula>
    </cfRule>
    <cfRule type="expression" dxfId="20444" priority="1236">
      <formula>$C55="Expences"</formula>
    </cfRule>
    <cfRule type="expression" dxfId="20443" priority="1237">
      <formula>$C55="Garlic Purchase"</formula>
    </cfRule>
    <cfRule type="expression" dxfId="20442" priority="1238">
      <formula>$C55="Ginger Purchase"</formula>
    </cfRule>
  </conditionalFormatting>
  <conditionalFormatting sqref="B55 B57">
    <cfRule type="expression" dxfId="20441" priority="1239">
      <formula>$C55="Advance"</formula>
    </cfRule>
  </conditionalFormatting>
  <conditionalFormatting sqref="B55 B57">
    <cfRule type="expression" dxfId="20440" priority="1220">
      <formula>$C55="Delivery charge"</formula>
    </cfRule>
    <cfRule type="expression" dxfId="20439" priority="1221">
      <formula>$C55="Staff Salary"</formula>
    </cfRule>
    <cfRule type="expression" dxfId="20438" priority="1222">
      <formula>$C55="Rent"</formula>
    </cfRule>
    <cfRule type="expression" dxfId="20437" priority="1223">
      <formula>$C55="Petrol"</formula>
    </cfRule>
    <cfRule type="expression" dxfId="20436" priority="1224">
      <formula>$C55="Bills"</formula>
    </cfRule>
    <cfRule type="expression" dxfId="20435" priority="1225">
      <formula>$C55="Sales"</formula>
    </cfRule>
    <cfRule type="expression" dxfId="20434" priority="1226">
      <formula>$C55="Expences"</formula>
    </cfRule>
    <cfRule type="expression" dxfId="20433" priority="1227">
      <formula>$C55="Garlic Purchase"</formula>
    </cfRule>
    <cfRule type="expression" dxfId="20432" priority="1228">
      <formula>$C55="Ginger Purchase"</formula>
    </cfRule>
  </conditionalFormatting>
  <conditionalFormatting sqref="B55 B57">
    <cfRule type="expression" dxfId="20431" priority="1229">
      <formula>$C55="Advance"</formula>
    </cfRule>
  </conditionalFormatting>
  <conditionalFormatting sqref="B55 B57">
    <cfRule type="expression" dxfId="20430" priority="1210">
      <formula>$C55="Delivery charge"</formula>
    </cfRule>
    <cfRule type="expression" dxfId="20429" priority="1211">
      <formula>$C55="Staff Salary"</formula>
    </cfRule>
    <cfRule type="expression" dxfId="20428" priority="1212">
      <formula>$C55="Rent"</formula>
    </cfRule>
    <cfRule type="expression" dxfId="20427" priority="1213">
      <formula>$C55="Petrol"</formula>
    </cfRule>
    <cfRule type="expression" dxfId="20426" priority="1214">
      <formula>$C55="Bills"</formula>
    </cfRule>
    <cfRule type="expression" dxfId="20425" priority="1215">
      <formula>$C55="Sales"</formula>
    </cfRule>
    <cfRule type="expression" dxfId="20424" priority="1216">
      <formula>$C55="Expences"</formula>
    </cfRule>
    <cfRule type="expression" dxfId="20423" priority="1217">
      <formula>$C55="Garlic Purchase"</formula>
    </cfRule>
    <cfRule type="expression" dxfId="20422" priority="1218">
      <formula>$C55="Ginger Purchase"</formula>
    </cfRule>
  </conditionalFormatting>
  <conditionalFormatting sqref="B55 B57">
    <cfRule type="expression" dxfId="20421" priority="1219">
      <formula>$C55="Advance"</formula>
    </cfRule>
  </conditionalFormatting>
  <conditionalFormatting sqref="B55 B57">
    <cfRule type="expression" dxfId="20420" priority="1200">
      <formula>$C55="Delivery charge"</formula>
    </cfRule>
    <cfRule type="expression" dxfId="20419" priority="1201">
      <formula>$C55="Staff Salary"</formula>
    </cfRule>
    <cfRule type="expression" dxfId="20418" priority="1202">
      <formula>$C55="Rent"</formula>
    </cfRule>
    <cfRule type="expression" dxfId="20417" priority="1203">
      <formula>$C55="Petrol"</formula>
    </cfRule>
    <cfRule type="expression" dxfId="20416" priority="1204">
      <formula>$C55="Bills"</formula>
    </cfRule>
    <cfRule type="expression" dxfId="20415" priority="1205">
      <formula>$C55="Sales"</formula>
    </cfRule>
    <cfRule type="expression" dxfId="20414" priority="1206">
      <formula>$C55="Expences"</formula>
    </cfRule>
    <cfRule type="expression" dxfId="20413" priority="1207">
      <formula>$C55="Garlic Purchase"</formula>
    </cfRule>
    <cfRule type="expression" dxfId="20412" priority="1208">
      <formula>$C55="Ginger Purchase"</formula>
    </cfRule>
  </conditionalFormatting>
  <conditionalFormatting sqref="B55 B57">
    <cfRule type="expression" dxfId="20411" priority="1209">
      <formula>$C55="Advance"</formula>
    </cfRule>
  </conditionalFormatting>
  <conditionalFormatting sqref="B55 B57">
    <cfRule type="expression" dxfId="20410" priority="1190">
      <formula>$C55="Delivery charge"</formula>
    </cfRule>
    <cfRule type="expression" dxfId="20409" priority="1191">
      <formula>$C55="Staff Salary"</formula>
    </cfRule>
    <cfRule type="expression" dxfId="20408" priority="1192">
      <formula>$C55="Rent"</formula>
    </cfRule>
    <cfRule type="expression" dxfId="20407" priority="1193">
      <formula>$C55="Petrol"</formula>
    </cfRule>
    <cfRule type="expression" dxfId="20406" priority="1194">
      <formula>$C55="Bills"</formula>
    </cfRule>
    <cfRule type="expression" dxfId="20405" priority="1195">
      <formula>$C55="Sales"</formula>
    </cfRule>
    <cfRule type="expression" dxfId="20404" priority="1196">
      <formula>$C55="Expences"</formula>
    </cfRule>
    <cfRule type="expression" dxfId="20403" priority="1197">
      <formula>$C55="Garlic Purchase"</formula>
    </cfRule>
    <cfRule type="expression" dxfId="20402" priority="1198">
      <formula>$C55="Ginger Purchase"</formula>
    </cfRule>
  </conditionalFormatting>
  <conditionalFormatting sqref="B55 B57">
    <cfRule type="expression" dxfId="20401" priority="1199">
      <formula>$C55="Advance"</formula>
    </cfRule>
  </conditionalFormatting>
  <conditionalFormatting sqref="B55 B57">
    <cfRule type="expression" dxfId="20400" priority="1180">
      <formula>$C55="Delivery charge"</formula>
    </cfRule>
    <cfRule type="expression" dxfId="20399" priority="1181">
      <formula>$C55="Staff Salary"</formula>
    </cfRule>
    <cfRule type="expression" dxfId="20398" priority="1182">
      <formula>$C55="Rent"</formula>
    </cfRule>
    <cfRule type="expression" dxfId="20397" priority="1183">
      <formula>$C55="Petrol"</formula>
    </cfRule>
    <cfRule type="expression" dxfId="20396" priority="1184">
      <formula>$C55="Bills"</formula>
    </cfRule>
    <cfRule type="expression" dxfId="20395" priority="1185">
      <formula>$C55="Sales"</formula>
    </cfRule>
    <cfRule type="expression" dxfId="20394" priority="1186">
      <formula>$C55="Expences"</formula>
    </cfRule>
    <cfRule type="expression" dxfId="20393" priority="1187">
      <formula>$C55="Garlic Purchase"</formula>
    </cfRule>
    <cfRule type="expression" dxfId="20392" priority="1188">
      <formula>$C55="Ginger Purchase"</formula>
    </cfRule>
  </conditionalFormatting>
  <conditionalFormatting sqref="B55 B57">
    <cfRule type="expression" dxfId="20391" priority="1189">
      <formula>$C55="Advance"</formula>
    </cfRule>
  </conditionalFormatting>
  <conditionalFormatting sqref="B55 B57">
    <cfRule type="expression" dxfId="20390" priority="1170">
      <formula>$C55="Delivery charge"</formula>
    </cfRule>
    <cfRule type="expression" dxfId="20389" priority="1171">
      <formula>$C55="Staff Salary"</formula>
    </cfRule>
    <cfRule type="expression" dxfId="20388" priority="1172">
      <formula>$C55="Rent"</formula>
    </cfRule>
    <cfRule type="expression" dxfId="20387" priority="1173">
      <formula>$C55="Petrol"</formula>
    </cfRule>
    <cfRule type="expression" dxfId="20386" priority="1174">
      <formula>$C55="Bills"</formula>
    </cfRule>
    <cfRule type="expression" dxfId="20385" priority="1175">
      <formula>$C55="Sales"</formula>
    </cfRule>
    <cfRule type="expression" dxfId="20384" priority="1176">
      <formula>$C55="Expences"</formula>
    </cfRule>
    <cfRule type="expression" dxfId="20383" priority="1177">
      <formula>$C55="Garlic Purchase"</formula>
    </cfRule>
    <cfRule type="expression" dxfId="20382" priority="1178">
      <formula>$C55="Ginger Purchase"</formula>
    </cfRule>
  </conditionalFormatting>
  <conditionalFormatting sqref="B55 B57">
    <cfRule type="expression" dxfId="20381" priority="1179">
      <formula>$C55="Advance"</formula>
    </cfRule>
  </conditionalFormatting>
  <conditionalFormatting sqref="B55 B57">
    <cfRule type="expression" dxfId="20380" priority="1169">
      <formula>$C55="Advance"</formula>
    </cfRule>
  </conditionalFormatting>
  <conditionalFormatting sqref="B55 B57">
    <cfRule type="expression" dxfId="20379" priority="1160">
      <formula>$C55="Delivery charge"</formula>
    </cfRule>
    <cfRule type="expression" dxfId="20378" priority="1161">
      <formula>$C55="Staff Salary"</formula>
    </cfRule>
    <cfRule type="expression" dxfId="20377" priority="1162">
      <formula>$C55="Rent"</formula>
    </cfRule>
    <cfRule type="expression" dxfId="20376" priority="1163">
      <formula>$C55="Petrol"</formula>
    </cfRule>
    <cfRule type="expression" dxfId="20375" priority="1164">
      <formula>$C55="Bills"</formula>
    </cfRule>
    <cfRule type="expression" dxfId="20374" priority="1165">
      <formula>$C55="Sales"</formula>
    </cfRule>
    <cfRule type="expression" dxfId="20373" priority="1166">
      <formula>$C55="Expences"</formula>
    </cfRule>
    <cfRule type="expression" dxfId="20372" priority="1167">
      <formula>$C55="Garlic Purchase"</formula>
    </cfRule>
    <cfRule type="expression" dxfId="20371" priority="1168">
      <formula>$C55="Ginger Purchase"</formula>
    </cfRule>
  </conditionalFormatting>
  <conditionalFormatting sqref="B56">
    <cfRule type="expression" dxfId="20370" priority="1150">
      <formula>$C56="Delivery charge"</formula>
    </cfRule>
    <cfRule type="expression" dxfId="20369" priority="1151">
      <formula>$C56="Staff Salary"</formula>
    </cfRule>
    <cfRule type="expression" dxfId="20368" priority="1152">
      <formula>$C56="Rent"</formula>
    </cfRule>
    <cfRule type="expression" dxfId="20367" priority="1153">
      <formula>$C56="Petrol"</formula>
    </cfRule>
    <cfRule type="expression" dxfId="20366" priority="1154">
      <formula>$C56="Bills"</formula>
    </cfRule>
    <cfRule type="expression" dxfId="20365" priority="1155">
      <formula>$C56="Sales"</formula>
    </cfRule>
    <cfRule type="expression" dxfId="20364" priority="1156">
      <formula>$C56="Expences"</formula>
    </cfRule>
    <cfRule type="expression" dxfId="20363" priority="1157">
      <formula>$C56="Garlic Purchase"</formula>
    </cfRule>
    <cfRule type="expression" dxfId="20362" priority="1158">
      <formula>$C56="Ginger Purchase"</formula>
    </cfRule>
  </conditionalFormatting>
  <conditionalFormatting sqref="B56">
    <cfRule type="expression" dxfId="20361" priority="1159">
      <formula>$C56="Advance"</formula>
    </cfRule>
  </conditionalFormatting>
  <conditionalFormatting sqref="B56">
    <cfRule type="expression" dxfId="20360" priority="1140">
      <formula>$C56="Delivery charge"</formula>
    </cfRule>
    <cfRule type="expression" dxfId="20359" priority="1141">
      <formula>$C56="Staff Salary"</formula>
    </cfRule>
    <cfRule type="expression" dxfId="20358" priority="1142">
      <formula>$C56="Rent"</formula>
    </cfRule>
    <cfRule type="expression" dxfId="20357" priority="1143">
      <formula>$C56="Petrol"</formula>
    </cfRule>
    <cfRule type="expression" dxfId="20356" priority="1144">
      <formula>$C56="Bills"</formula>
    </cfRule>
    <cfRule type="expression" dxfId="20355" priority="1145">
      <formula>$C56="Sales"</formula>
    </cfRule>
    <cfRule type="expression" dxfId="20354" priority="1146">
      <formula>$C56="Expences"</formula>
    </cfRule>
    <cfRule type="expression" dxfId="20353" priority="1147">
      <formula>$C56="Garlic Purchase"</formula>
    </cfRule>
    <cfRule type="expression" dxfId="20352" priority="1148">
      <formula>$C56="Ginger Purchase"</formula>
    </cfRule>
  </conditionalFormatting>
  <conditionalFormatting sqref="B56">
    <cfRule type="expression" dxfId="20351" priority="1149">
      <formula>$C56="Advance"</formula>
    </cfRule>
  </conditionalFormatting>
  <conditionalFormatting sqref="B56">
    <cfRule type="expression" dxfId="20350" priority="1130">
      <formula>$C56="Delivery charge"</formula>
    </cfRule>
    <cfRule type="expression" dxfId="20349" priority="1131">
      <formula>$C56="Staff Salary"</formula>
    </cfRule>
    <cfRule type="expression" dxfId="20348" priority="1132">
      <formula>$C56="Rent"</formula>
    </cfRule>
    <cfRule type="expression" dxfId="20347" priority="1133">
      <formula>$C56="Petrol"</formula>
    </cfRule>
    <cfRule type="expression" dxfId="20346" priority="1134">
      <formula>$C56="Bills"</formula>
    </cfRule>
    <cfRule type="expression" dxfId="20345" priority="1135">
      <formula>$C56="Sales"</formula>
    </cfRule>
    <cfRule type="expression" dxfId="20344" priority="1136">
      <formula>$C56="Expences"</formula>
    </cfRule>
    <cfRule type="expression" dxfId="20343" priority="1137">
      <formula>$C56="Garlic Purchase"</formula>
    </cfRule>
    <cfRule type="expression" dxfId="20342" priority="1138">
      <formula>$C56="Ginger Purchase"</formula>
    </cfRule>
  </conditionalFormatting>
  <conditionalFormatting sqref="B56">
    <cfRule type="expression" dxfId="20341" priority="1139">
      <formula>$C56="Advance"</formula>
    </cfRule>
  </conditionalFormatting>
  <conditionalFormatting sqref="B56">
    <cfRule type="expression" dxfId="20340" priority="1120">
      <formula>$C56="Delivery charge"</formula>
    </cfRule>
    <cfRule type="expression" dxfId="20339" priority="1121">
      <formula>$C56="Staff Salary"</formula>
    </cfRule>
    <cfRule type="expression" dxfId="20338" priority="1122">
      <formula>$C56="Rent"</formula>
    </cfRule>
    <cfRule type="expression" dxfId="20337" priority="1123">
      <formula>$C56="Petrol"</formula>
    </cfRule>
    <cfRule type="expression" dxfId="20336" priority="1124">
      <formula>$C56="Bills"</formula>
    </cfRule>
    <cfRule type="expression" dxfId="20335" priority="1125">
      <formula>$C56="Sales"</formula>
    </cfRule>
    <cfRule type="expression" dxfId="20334" priority="1126">
      <formula>$C56="Expences"</formula>
    </cfRule>
    <cfRule type="expression" dxfId="20333" priority="1127">
      <formula>$C56="Garlic Purchase"</formula>
    </cfRule>
    <cfRule type="expression" dxfId="20332" priority="1128">
      <formula>$C56="Ginger Purchase"</formula>
    </cfRule>
  </conditionalFormatting>
  <conditionalFormatting sqref="B56">
    <cfRule type="expression" dxfId="20331" priority="1129">
      <formula>$C56="Advance"</formula>
    </cfRule>
  </conditionalFormatting>
  <conditionalFormatting sqref="B56">
    <cfRule type="expression" dxfId="20330" priority="1110">
      <formula>$C56="Delivery charge"</formula>
    </cfRule>
    <cfRule type="expression" dxfId="20329" priority="1111">
      <formula>$C56="Staff Salary"</formula>
    </cfRule>
    <cfRule type="expression" dxfId="20328" priority="1112">
      <formula>$C56="Rent"</formula>
    </cfRule>
    <cfRule type="expression" dxfId="20327" priority="1113">
      <formula>$C56="Petrol"</formula>
    </cfRule>
    <cfRule type="expression" dxfId="20326" priority="1114">
      <formula>$C56="Bills"</formula>
    </cfRule>
    <cfRule type="expression" dxfId="20325" priority="1115">
      <formula>$C56="Sales"</formula>
    </cfRule>
    <cfRule type="expression" dxfId="20324" priority="1116">
      <formula>$C56="Expences"</formula>
    </cfRule>
    <cfRule type="expression" dxfId="20323" priority="1117">
      <formula>$C56="Garlic Purchase"</formula>
    </cfRule>
    <cfRule type="expression" dxfId="20322" priority="1118">
      <formula>$C56="Ginger Purchase"</formula>
    </cfRule>
  </conditionalFormatting>
  <conditionalFormatting sqref="B56">
    <cfRule type="expression" dxfId="20321" priority="1119">
      <formula>$C56="Advance"</formula>
    </cfRule>
  </conditionalFormatting>
  <conditionalFormatting sqref="B56">
    <cfRule type="expression" dxfId="20320" priority="1100">
      <formula>$C56="Delivery charge"</formula>
    </cfRule>
    <cfRule type="expression" dxfId="20319" priority="1101">
      <formula>$C56="Staff Salary"</formula>
    </cfRule>
    <cfRule type="expression" dxfId="20318" priority="1102">
      <formula>$C56="Rent"</formula>
    </cfRule>
    <cfRule type="expression" dxfId="20317" priority="1103">
      <formula>$C56="Petrol"</formula>
    </cfRule>
    <cfRule type="expression" dxfId="20316" priority="1104">
      <formula>$C56="Bills"</formula>
    </cfRule>
    <cfRule type="expression" dxfId="20315" priority="1105">
      <formula>$C56="Sales"</formula>
    </cfRule>
    <cfRule type="expression" dxfId="20314" priority="1106">
      <formula>$C56="Expences"</formula>
    </cfRule>
    <cfRule type="expression" dxfId="20313" priority="1107">
      <formula>$C56="Garlic Purchase"</formula>
    </cfRule>
    <cfRule type="expression" dxfId="20312" priority="1108">
      <formula>$C56="Ginger Purchase"</formula>
    </cfRule>
  </conditionalFormatting>
  <conditionalFormatting sqref="B56">
    <cfRule type="expression" dxfId="20311" priority="1109">
      <formula>$C56="Advance"</formula>
    </cfRule>
  </conditionalFormatting>
  <conditionalFormatting sqref="B56">
    <cfRule type="expression" dxfId="20310" priority="1090">
      <formula>$C56="Delivery charge"</formula>
    </cfRule>
    <cfRule type="expression" dxfId="20309" priority="1091">
      <formula>$C56="Staff Salary"</formula>
    </cfRule>
    <cfRule type="expression" dxfId="20308" priority="1092">
      <formula>$C56="Rent"</formula>
    </cfRule>
    <cfRule type="expression" dxfId="20307" priority="1093">
      <formula>$C56="Petrol"</formula>
    </cfRule>
    <cfRule type="expression" dxfId="20306" priority="1094">
      <formula>$C56="Bills"</formula>
    </cfRule>
    <cfRule type="expression" dxfId="20305" priority="1095">
      <formula>$C56="Sales"</formula>
    </cfRule>
    <cfRule type="expression" dxfId="20304" priority="1096">
      <formula>$C56="Expences"</formula>
    </cfRule>
    <cfRule type="expression" dxfId="20303" priority="1097">
      <formula>$C56="Garlic Purchase"</formula>
    </cfRule>
    <cfRule type="expression" dxfId="20302" priority="1098">
      <formula>$C56="Ginger Purchase"</formula>
    </cfRule>
  </conditionalFormatting>
  <conditionalFormatting sqref="B56">
    <cfRule type="expression" dxfId="20301" priority="1099">
      <formula>$C56="Advance"</formula>
    </cfRule>
  </conditionalFormatting>
  <conditionalFormatting sqref="B56">
    <cfRule type="expression" dxfId="20300" priority="1080">
      <formula>$C56="Delivery charge"</formula>
    </cfRule>
    <cfRule type="expression" dxfId="20299" priority="1081">
      <formula>$C56="Staff Salary"</formula>
    </cfRule>
    <cfRule type="expression" dxfId="20298" priority="1082">
      <formula>$C56="Rent"</formula>
    </cfRule>
    <cfRule type="expression" dxfId="20297" priority="1083">
      <formula>$C56="Petrol"</formula>
    </cfRule>
    <cfRule type="expression" dxfId="20296" priority="1084">
      <formula>$C56="Bills"</formula>
    </cfRule>
    <cfRule type="expression" dxfId="20295" priority="1085">
      <formula>$C56="Sales"</formula>
    </cfRule>
    <cfRule type="expression" dxfId="20294" priority="1086">
      <formula>$C56="Expences"</formula>
    </cfRule>
    <cfRule type="expression" dxfId="20293" priority="1087">
      <formula>$C56="Garlic Purchase"</formula>
    </cfRule>
    <cfRule type="expression" dxfId="20292" priority="1088">
      <formula>$C56="Ginger Purchase"</formula>
    </cfRule>
  </conditionalFormatting>
  <conditionalFormatting sqref="B56">
    <cfRule type="expression" dxfId="20291" priority="1089">
      <formula>$C56="Advance"</formula>
    </cfRule>
  </conditionalFormatting>
  <conditionalFormatting sqref="B56">
    <cfRule type="expression" dxfId="20290" priority="1070">
      <formula>$C56="Delivery charge"</formula>
    </cfRule>
    <cfRule type="expression" dxfId="20289" priority="1071">
      <formula>$C56="Staff Salary"</formula>
    </cfRule>
    <cfRule type="expression" dxfId="20288" priority="1072">
      <formula>$C56="Rent"</formula>
    </cfRule>
    <cfRule type="expression" dxfId="20287" priority="1073">
      <formula>$C56="Petrol"</formula>
    </cfRule>
    <cfRule type="expression" dxfId="20286" priority="1074">
      <formula>$C56="Bills"</formula>
    </cfRule>
    <cfRule type="expression" dxfId="20285" priority="1075">
      <formula>$C56="Sales"</formula>
    </cfRule>
    <cfRule type="expression" dxfId="20284" priority="1076">
      <formula>$C56="Expences"</formula>
    </cfRule>
    <cfRule type="expression" dxfId="20283" priority="1077">
      <formula>$C56="Garlic Purchase"</formula>
    </cfRule>
    <cfRule type="expression" dxfId="20282" priority="1078">
      <formula>$C56="Ginger Purchase"</formula>
    </cfRule>
  </conditionalFormatting>
  <conditionalFormatting sqref="B56">
    <cfRule type="expression" dxfId="20281" priority="1079">
      <formula>$C56="Advance"</formula>
    </cfRule>
  </conditionalFormatting>
  <conditionalFormatting sqref="B56">
    <cfRule type="expression" dxfId="20280" priority="1060">
      <formula>$C56="Delivery charge"</formula>
    </cfRule>
    <cfRule type="expression" dxfId="20279" priority="1061">
      <formula>$C56="Staff Salary"</formula>
    </cfRule>
    <cfRule type="expression" dxfId="20278" priority="1062">
      <formula>$C56="Rent"</formula>
    </cfRule>
    <cfRule type="expression" dxfId="20277" priority="1063">
      <formula>$C56="Petrol"</formula>
    </cfRule>
    <cfRule type="expression" dxfId="20276" priority="1064">
      <formula>$C56="Bills"</formula>
    </cfRule>
    <cfRule type="expression" dxfId="20275" priority="1065">
      <formula>$C56="Sales"</formula>
    </cfRule>
    <cfRule type="expression" dxfId="20274" priority="1066">
      <formula>$C56="Expences"</formula>
    </cfRule>
    <cfRule type="expression" dxfId="20273" priority="1067">
      <formula>$C56="Garlic Purchase"</formula>
    </cfRule>
    <cfRule type="expression" dxfId="20272" priority="1068">
      <formula>$C56="Ginger Purchase"</formula>
    </cfRule>
  </conditionalFormatting>
  <conditionalFormatting sqref="B56">
    <cfRule type="expression" dxfId="20271" priority="1069">
      <formula>$C56="Advance"</formula>
    </cfRule>
  </conditionalFormatting>
  <conditionalFormatting sqref="B56">
    <cfRule type="expression" dxfId="20270" priority="1050">
      <formula>$C56="Delivery charge"</formula>
    </cfRule>
    <cfRule type="expression" dxfId="20269" priority="1051">
      <formula>$C56="Staff Salary"</formula>
    </cfRule>
    <cfRule type="expression" dxfId="20268" priority="1052">
      <formula>$C56="Rent"</formula>
    </cfRule>
    <cfRule type="expression" dxfId="20267" priority="1053">
      <formula>$C56="Petrol"</formula>
    </cfRule>
    <cfRule type="expression" dxfId="20266" priority="1054">
      <formula>$C56="Bills"</formula>
    </cfRule>
    <cfRule type="expression" dxfId="20265" priority="1055">
      <formula>$C56="Sales"</formula>
    </cfRule>
    <cfRule type="expression" dxfId="20264" priority="1056">
      <formula>$C56="Expences"</formula>
    </cfRule>
    <cfRule type="expression" dxfId="20263" priority="1057">
      <formula>$C56="Garlic Purchase"</formula>
    </cfRule>
    <cfRule type="expression" dxfId="20262" priority="1058">
      <formula>$C56="Ginger Purchase"</formula>
    </cfRule>
  </conditionalFormatting>
  <conditionalFormatting sqref="B56">
    <cfRule type="expression" dxfId="20261" priority="1059">
      <formula>$C56="Advance"</formula>
    </cfRule>
  </conditionalFormatting>
  <conditionalFormatting sqref="B55 B57">
    <cfRule type="expression" dxfId="20260" priority="1040">
      <formula>$C55="Delivery charge"</formula>
    </cfRule>
    <cfRule type="expression" dxfId="20259" priority="1041">
      <formula>$C55="Staff Salary"</formula>
    </cfRule>
    <cfRule type="expression" dxfId="20258" priority="1042">
      <formula>$C55="Rent"</formula>
    </cfRule>
    <cfRule type="expression" dxfId="20257" priority="1043">
      <formula>$C55="Petrol"</formula>
    </cfRule>
    <cfRule type="expression" dxfId="20256" priority="1044">
      <formula>$C55="Bills"</formula>
    </cfRule>
    <cfRule type="expression" dxfId="20255" priority="1045">
      <formula>$C55="Sales"</formula>
    </cfRule>
    <cfRule type="expression" dxfId="20254" priority="1046">
      <formula>$C55="Expences"</formula>
    </cfRule>
    <cfRule type="expression" dxfId="20253" priority="1047">
      <formula>$C55="Garlic Purchase"</formula>
    </cfRule>
    <cfRule type="expression" dxfId="20252" priority="1048">
      <formula>$C55="Ginger Purchase"</formula>
    </cfRule>
  </conditionalFormatting>
  <conditionalFormatting sqref="B55 B57">
    <cfRule type="expression" dxfId="20251" priority="1049">
      <formula>$C55="Advance"</formula>
    </cfRule>
  </conditionalFormatting>
  <conditionalFormatting sqref="B56">
    <cfRule type="expression" dxfId="20250" priority="1030">
      <formula>$C56="Delivery charge"</formula>
    </cfRule>
    <cfRule type="expression" dxfId="20249" priority="1031">
      <formula>$C56="Staff Salary"</formula>
    </cfRule>
    <cfRule type="expression" dxfId="20248" priority="1032">
      <formula>$C56="Rent"</formula>
    </cfRule>
    <cfRule type="expression" dxfId="20247" priority="1033">
      <formula>$C56="Petrol"</formula>
    </cfRule>
    <cfRule type="expression" dxfId="20246" priority="1034">
      <formula>$C56="Bills"</formula>
    </cfRule>
    <cfRule type="expression" dxfId="20245" priority="1035">
      <formula>$C56="Sales"</formula>
    </cfRule>
    <cfRule type="expression" dxfId="20244" priority="1036">
      <formula>$C56="Expences"</formula>
    </cfRule>
    <cfRule type="expression" dxfId="20243" priority="1037">
      <formula>$C56="Garlic Purchase"</formula>
    </cfRule>
    <cfRule type="expression" dxfId="20242" priority="1038">
      <formula>$C56="Ginger Purchase"</formula>
    </cfRule>
  </conditionalFormatting>
  <conditionalFormatting sqref="B56">
    <cfRule type="expression" dxfId="20241" priority="1039">
      <formula>$C56="Advance"</formula>
    </cfRule>
  </conditionalFormatting>
  <conditionalFormatting sqref="B56">
    <cfRule type="expression" dxfId="20240" priority="1020">
      <formula>$C56="Delivery charge"</formula>
    </cfRule>
    <cfRule type="expression" dxfId="20239" priority="1021">
      <formula>$C56="Staff Salary"</formula>
    </cfRule>
    <cfRule type="expression" dxfId="20238" priority="1022">
      <formula>$C56="Rent"</formula>
    </cfRule>
    <cfRule type="expression" dxfId="20237" priority="1023">
      <formula>$C56="Petrol"</formula>
    </cfRule>
    <cfRule type="expression" dxfId="20236" priority="1024">
      <formula>$C56="Bills"</formula>
    </cfRule>
    <cfRule type="expression" dxfId="20235" priority="1025">
      <formula>$C56="Sales"</formula>
    </cfRule>
    <cfRule type="expression" dxfId="20234" priority="1026">
      <formula>$C56="Expences"</formula>
    </cfRule>
    <cfRule type="expression" dxfId="20233" priority="1027">
      <formula>$C56="Garlic Purchase"</formula>
    </cfRule>
    <cfRule type="expression" dxfId="20232" priority="1028">
      <formula>$C56="Ginger Purchase"</formula>
    </cfRule>
  </conditionalFormatting>
  <conditionalFormatting sqref="B56">
    <cfRule type="expression" dxfId="20231" priority="1029">
      <formula>$C56="Advance"</formula>
    </cfRule>
  </conditionalFormatting>
  <conditionalFormatting sqref="B56">
    <cfRule type="expression" dxfId="20230" priority="1010">
      <formula>$C56="Delivery charge"</formula>
    </cfRule>
    <cfRule type="expression" dxfId="20229" priority="1011">
      <formula>$C56="Staff Salary"</formula>
    </cfRule>
    <cfRule type="expression" dxfId="20228" priority="1012">
      <formula>$C56="Rent"</formula>
    </cfRule>
    <cfRule type="expression" dxfId="20227" priority="1013">
      <formula>$C56="Petrol"</formula>
    </cfRule>
    <cfRule type="expression" dxfId="20226" priority="1014">
      <formula>$C56="Bills"</formula>
    </cfRule>
    <cfRule type="expression" dxfId="20225" priority="1015">
      <formula>$C56="Sales"</formula>
    </cfRule>
    <cfRule type="expression" dxfId="20224" priority="1016">
      <formula>$C56="Expences"</formula>
    </cfRule>
    <cfRule type="expression" dxfId="20223" priority="1017">
      <formula>$C56="Garlic Purchase"</formula>
    </cfRule>
    <cfRule type="expression" dxfId="20222" priority="1018">
      <formula>$C56="Ginger Purchase"</formula>
    </cfRule>
  </conditionalFormatting>
  <conditionalFormatting sqref="B56">
    <cfRule type="expression" dxfId="20221" priority="1019">
      <formula>$C56="Advance"</formula>
    </cfRule>
  </conditionalFormatting>
  <conditionalFormatting sqref="B56">
    <cfRule type="expression" dxfId="20220" priority="1000">
      <formula>$C56="Delivery charge"</formula>
    </cfRule>
    <cfRule type="expression" dxfId="20219" priority="1001">
      <formula>$C56="Staff Salary"</formula>
    </cfRule>
    <cfRule type="expression" dxfId="20218" priority="1002">
      <formula>$C56="Rent"</formula>
    </cfRule>
    <cfRule type="expression" dxfId="20217" priority="1003">
      <formula>$C56="Petrol"</formula>
    </cfRule>
    <cfRule type="expression" dxfId="20216" priority="1004">
      <formula>$C56="Bills"</formula>
    </cfRule>
    <cfRule type="expression" dxfId="20215" priority="1005">
      <formula>$C56="Sales"</formula>
    </cfRule>
    <cfRule type="expression" dxfId="20214" priority="1006">
      <formula>$C56="Expences"</formula>
    </cfRule>
    <cfRule type="expression" dxfId="20213" priority="1007">
      <formula>$C56="Garlic Purchase"</formula>
    </cfRule>
    <cfRule type="expression" dxfId="20212" priority="1008">
      <formula>$C56="Ginger Purchase"</formula>
    </cfRule>
  </conditionalFormatting>
  <conditionalFormatting sqref="B56">
    <cfRule type="expression" dxfId="20211" priority="1009">
      <formula>$C56="Advance"</formula>
    </cfRule>
  </conditionalFormatting>
  <conditionalFormatting sqref="B55 B57">
    <cfRule type="expression" dxfId="20210" priority="990">
      <formula>$C55="Delivery charge"</formula>
    </cfRule>
    <cfRule type="expression" dxfId="20209" priority="991">
      <formula>$C55="Staff Salary"</formula>
    </cfRule>
    <cfRule type="expression" dxfId="20208" priority="992">
      <formula>$C55="Rent"</formula>
    </cfRule>
    <cfRule type="expression" dxfId="20207" priority="993">
      <formula>$C55="Petrol"</formula>
    </cfRule>
    <cfRule type="expression" dxfId="20206" priority="994">
      <formula>$C55="Bills"</formula>
    </cfRule>
    <cfRule type="expression" dxfId="20205" priority="995">
      <formula>$C55="Sales"</formula>
    </cfRule>
    <cfRule type="expression" dxfId="20204" priority="996">
      <formula>$C55="Expences"</formula>
    </cfRule>
    <cfRule type="expression" dxfId="20203" priority="997">
      <formula>$C55="Garlic Purchase"</formula>
    </cfRule>
    <cfRule type="expression" dxfId="20202" priority="998">
      <formula>$C55="Ginger Purchase"</formula>
    </cfRule>
  </conditionalFormatting>
  <conditionalFormatting sqref="B55 B57">
    <cfRule type="expression" dxfId="20201" priority="999">
      <formula>$C55="Advance"</formula>
    </cfRule>
  </conditionalFormatting>
  <conditionalFormatting sqref="B55 B57">
    <cfRule type="expression" dxfId="20200" priority="980">
      <formula>$C55="Delivery charge"</formula>
    </cfRule>
    <cfRule type="expression" dxfId="20199" priority="981">
      <formula>$C55="Staff Salary"</formula>
    </cfRule>
    <cfRule type="expression" dxfId="20198" priority="982">
      <formula>$C55="Rent"</formula>
    </cfRule>
    <cfRule type="expression" dxfId="20197" priority="983">
      <formula>$C55="Petrol"</formula>
    </cfRule>
    <cfRule type="expression" dxfId="20196" priority="984">
      <formula>$C55="Bills"</formula>
    </cfRule>
    <cfRule type="expression" dxfId="20195" priority="985">
      <formula>$C55="Sales"</formula>
    </cfRule>
    <cfRule type="expression" dxfId="20194" priority="986">
      <formula>$C55="Expences"</formula>
    </cfRule>
    <cfRule type="expression" dxfId="20193" priority="987">
      <formula>$C55="Garlic Purchase"</formula>
    </cfRule>
    <cfRule type="expression" dxfId="20192" priority="988">
      <formula>$C55="Ginger Purchase"</formula>
    </cfRule>
  </conditionalFormatting>
  <conditionalFormatting sqref="B55 B57">
    <cfRule type="expression" dxfId="20191" priority="989">
      <formula>$C55="Advance"</formula>
    </cfRule>
  </conditionalFormatting>
  <conditionalFormatting sqref="B55 B57">
    <cfRule type="expression" dxfId="20190" priority="970">
      <formula>$C55="Delivery charge"</formula>
    </cfRule>
    <cfRule type="expression" dxfId="20189" priority="971">
      <formula>$C55="Staff Salary"</formula>
    </cfRule>
    <cfRule type="expression" dxfId="20188" priority="972">
      <formula>$C55="Rent"</formula>
    </cfRule>
    <cfRule type="expression" dxfId="20187" priority="973">
      <formula>$C55="Petrol"</formula>
    </cfRule>
    <cfRule type="expression" dxfId="20186" priority="974">
      <formula>$C55="Bills"</formula>
    </cfRule>
    <cfRule type="expression" dxfId="20185" priority="975">
      <formula>$C55="Sales"</formula>
    </cfRule>
    <cfRule type="expression" dxfId="20184" priority="976">
      <formula>$C55="Expences"</formula>
    </cfRule>
    <cfRule type="expression" dxfId="20183" priority="977">
      <formula>$C55="Garlic Purchase"</formula>
    </cfRule>
    <cfRule type="expression" dxfId="20182" priority="978">
      <formula>$C55="Ginger Purchase"</formula>
    </cfRule>
  </conditionalFormatting>
  <conditionalFormatting sqref="B55 B57">
    <cfRule type="expression" dxfId="20181" priority="979">
      <formula>$C55="Advance"</formula>
    </cfRule>
  </conditionalFormatting>
  <conditionalFormatting sqref="B55 B57">
    <cfRule type="expression" dxfId="20180" priority="960">
      <formula>$C55="Delivery charge"</formula>
    </cfRule>
    <cfRule type="expression" dxfId="20179" priority="961">
      <formula>$C55="Staff Salary"</formula>
    </cfRule>
    <cfRule type="expression" dxfId="20178" priority="962">
      <formula>$C55="Rent"</formula>
    </cfRule>
    <cfRule type="expression" dxfId="20177" priority="963">
      <formula>$C55="Petrol"</formula>
    </cfRule>
    <cfRule type="expression" dxfId="20176" priority="964">
      <formula>$C55="Bills"</formula>
    </cfRule>
    <cfRule type="expression" dxfId="20175" priority="965">
      <formula>$C55="Sales"</formula>
    </cfRule>
    <cfRule type="expression" dxfId="20174" priority="966">
      <formula>$C55="Expences"</formula>
    </cfRule>
    <cfRule type="expression" dxfId="20173" priority="967">
      <formula>$C55="Garlic Purchase"</formula>
    </cfRule>
    <cfRule type="expression" dxfId="20172" priority="968">
      <formula>$C55="Ginger Purchase"</formula>
    </cfRule>
  </conditionalFormatting>
  <conditionalFormatting sqref="B55 B57">
    <cfRule type="expression" dxfId="20171" priority="969">
      <formula>$C55="Advance"</formula>
    </cfRule>
  </conditionalFormatting>
  <conditionalFormatting sqref="B56">
    <cfRule type="expression" dxfId="20170" priority="950">
      <formula>$C56="Delivery charge"</formula>
    </cfRule>
    <cfRule type="expression" dxfId="20169" priority="951">
      <formula>$C56="Staff Salary"</formula>
    </cfRule>
    <cfRule type="expression" dxfId="20168" priority="952">
      <formula>$C56="Rent"</formula>
    </cfRule>
    <cfRule type="expression" dxfId="20167" priority="953">
      <formula>$C56="Petrol"</formula>
    </cfRule>
    <cfRule type="expression" dxfId="20166" priority="954">
      <formula>$C56="Bills"</formula>
    </cfRule>
    <cfRule type="expression" dxfId="20165" priority="955">
      <formula>$C56="Sales"</formula>
    </cfRule>
    <cfRule type="expression" dxfId="20164" priority="956">
      <formula>$C56="Expences"</formula>
    </cfRule>
    <cfRule type="expression" dxfId="20163" priority="957">
      <formula>$C56="Garlic Purchase"</formula>
    </cfRule>
    <cfRule type="expression" dxfId="20162" priority="958">
      <formula>$C56="Ginger Purchase"</formula>
    </cfRule>
  </conditionalFormatting>
  <conditionalFormatting sqref="B56">
    <cfRule type="expression" dxfId="20161" priority="959">
      <formula>$C56="Advance"</formula>
    </cfRule>
  </conditionalFormatting>
  <conditionalFormatting sqref="B55 B57">
    <cfRule type="expression" dxfId="20160" priority="940">
      <formula>$C55="Delivery charge"</formula>
    </cfRule>
    <cfRule type="expression" dxfId="20159" priority="941">
      <formula>$C55="Staff Salary"</formula>
    </cfRule>
    <cfRule type="expression" dxfId="20158" priority="942">
      <formula>$C55="Rent"</formula>
    </cfRule>
    <cfRule type="expression" dxfId="20157" priority="943">
      <formula>$C55="Petrol"</formula>
    </cfRule>
    <cfRule type="expression" dxfId="20156" priority="944">
      <formula>$C55="Bills"</formula>
    </cfRule>
    <cfRule type="expression" dxfId="20155" priority="945">
      <formula>$C55="Sales"</formula>
    </cfRule>
    <cfRule type="expression" dxfId="20154" priority="946">
      <formula>$C55="Expences"</formula>
    </cfRule>
    <cfRule type="expression" dxfId="20153" priority="947">
      <formula>$C55="Garlic Purchase"</formula>
    </cfRule>
    <cfRule type="expression" dxfId="20152" priority="948">
      <formula>$C55="Ginger Purchase"</formula>
    </cfRule>
  </conditionalFormatting>
  <conditionalFormatting sqref="B55 B57">
    <cfRule type="expression" dxfId="20151" priority="949">
      <formula>$C55="Advance"</formula>
    </cfRule>
  </conditionalFormatting>
  <conditionalFormatting sqref="B55 B57">
    <cfRule type="expression" dxfId="20150" priority="930">
      <formula>$C55="Delivery charge"</formula>
    </cfRule>
    <cfRule type="expression" dxfId="20149" priority="931">
      <formula>$C55="Staff Salary"</formula>
    </cfRule>
    <cfRule type="expression" dxfId="20148" priority="932">
      <formula>$C55="Rent"</formula>
    </cfRule>
    <cfRule type="expression" dxfId="20147" priority="933">
      <formula>$C55="Petrol"</formula>
    </cfRule>
    <cfRule type="expression" dxfId="20146" priority="934">
      <formula>$C55="Bills"</formula>
    </cfRule>
    <cfRule type="expression" dxfId="20145" priority="935">
      <formula>$C55="Sales"</formula>
    </cfRule>
    <cfRule type="expression" dxfId="20144" priority="936">
      <formula>$C55="Expences"</formula>
    </cfRule>
    <cfRule type="expression" dxfId="20143" priority="937">
      <formula>$C55="Garlic Purchase"</formula>
    </cfRule>
    <cfRule type="expression" dxfId="20142" priority="938">
      <formula>$C55="Ginger Purchase"</formula>
    </cfRule>
  </conditionalFormatting>
  <conditionalFormatting sqref="B55 B57">
    <cfRule type="expression" dxfId="20141" priority="939">
      <formula>$C55="Advance"</formula>
    </cfRule>
  </conditionalFormatting>
  <conditionalFormatting sqref="B55 B57">
    <cfRule type="expression" dxfId="20140" priority="920">
      <formula>$C55="Delivery charge"</formula>
    </cfRule>
    <cfRule type="expression" dxfId="20139" priority="921">
      <formula>$C55="Staff Salary"</formula>
    </cfRule>
    <cfRule type="expression" dxfId="20138" priority="922">
      <formula>$C55="Rent"</formula>
    </cfRule>
    <cfRule type="expression" dxfId="20137" priority="923">
      <formula>$C55="Petrol"</formula>
    </cfRule>
    <cfRule type="expression" dxfId="20136" priority="924">
      <formula>$C55="Bills"</formula>
    </cfRule>
    <cfRule type="expression" dxfId="20135" priority="925">
      <formula>$C55="Sales"</formula>
    </cfRule>
    <cfRule type="expression" dxfId="20134" priority="926">
      <formula>$C55="Expences"</formula>
    </cfRule>
    <cfRule type="expression" dxfId="20133" priority="927">
      <formula>$C55="Garlic Purchase"</formula>
    </cfRule>
    <cfRule type="expression" dxfId="20132" priority="928">
      <formula>$C55="Ginger Purchase"</formula>
    </cfRule>
  </conditionalFormatting>
  <conditionalFormatting sqref="B55 B57">
    <cfRule type="expression" dxfId="20131" priority="929">
      <formula>$C55="Advance"</formula>
    </cfRule>
  </conditionalFormatting>
  <conditionalFormatting sqref="B55 B57">
    <cfRule type="expression" dxfId="20130" priority="910">
      <formula>$C55="Delivery charge"</formula>
    </cfRule>
    <cfRule type="expression" dxfId="20129" priority="911">
      <formula>$C55="Staff Salary"</formula>
    </cfRule>
    <cfRule type="expression" dxfId="20128" priority="912">
      <formula>$C55="Rent"</formula>
    </cfRule>
    <cfRule type="expression" dxfId="20127" priority="913">
      <formula>$C55="Petrol"</formula>
    </cfRule>
    <cfRule type="expression" dxfId="20126" priority="914">
      <formula>$C55="Bills"</formula>
    </cfRule>
    <cfRule type="expression" dxfId="20125" priority="915">
      <formula>$C55="Sales"</formula>
    </cfRule>
    <cfRule type="expression" dxfId="20124" priority="916">
      <formula>$C55="Expences"</formula>
    </cfRule>
    <cfRule type="expression" dxfId="20123" priority="917">
      <formula>$C55="Garlic Purchase"</formula>
    </cfRule>
    <cfRule type="expression" dxfId="20122" priority="918">
      <formula>$C55="Ginger Purchase"</formula>
    </cfRule>
  </conditionalFormatting>
  <conditionalFormatting sqref="B55 B57">
    <cfRule type="expression" dxfId="20121" priority="919">
      <formula>$C55="Advance"</formula>
    </cfRule>
  </conditionalFormatting>
  <conditionalFormatting sqref="B55 B57">
    <cfRule type="expression" dxfId="20120" priority="900">
      <formula>$C55="Delivery charge"</formula>
    </cfRule>
    <cfRule type="expression" dxfId="20119" priority="901">
      <formula>$C55="Staff Salary"</formula>
    </cfRule>
    <cfRule type="expression" dxfId="20118" priority="902">
      <formula>$C55="Rent"</formula>
    </cfRule>
    <cfRule type="expression" dxfId="20117" priority="903">
      <formula>$C55="Petrol"</formula>
    </cfRule>
    <cfRule type="expression" dxfId="20116" priority="904">
      <formula>$C55="Bills"</formula>
    </cfRule>
    <cfRule type="expression" dxfId="20115" priority="905">
      <formula>$C55="Sales"</formula>
    </cfRule>
    <cfRule type="expression" dxfId="20114" priority="906">
      <formula>$C55="Expences"</formula>
    </cfRule>
    <cfRule type="expression" dxfId="20113" priority="907">
      <formula>$C55="Garlic Purchase"</formula>
    </cfRule>
    <cfRule type="expression" dxfId="20112" priority="908">
      <formula>$C55="Ginger Purchase"</formula>
    </cfRule>
  </conditionalFormatting>
  <conditionalFormatting sqref="B55 B57">
    <cfRule type="expression" dxfId="20111" priority="909">
      <formula>$C55="Advance"</formula>
    </cfRule>
  </conditionalFormatting>
  <conditionalFormatting sqref="B56">
    <cfRule type="expression" dxfId="20110" priority="890">
      <formula>$C56="Delivery charge"</formula>
    </cfRule>
    <cfRule type="expression" dxfId="20109" priority="891">
      <formula>$C56="Staff Salary"</formula>
    </cfRule>
    <cfRule type="expression" dxfId="20108" priority="892">
      <formula>$C56="Rent"</formula>
    </cfRule>
    <cfRule type="expression" dxfId="20107" priority="893">
      <formula>$C56="Petrol"</formula>
    </cfRule>
    <cfRule type="expression" dxfId="20106" priority="894">
      <formula>$C56="Bills"</formula>
    </cfRule>
    <cfRule type="expression" dxfId="20105" priority="895">
      <formula>$C56="Sales"</formula>
    </cfRule>
    <cfRule type="expression" dxfId="20104" priority="896">
      <formula>$C56="Expences"</formula>
    </cfRule>
    <cfRule type="expression" dxfId="20103" priority="897">
      <formula>$C56="Garlic Purchase"</formula>
    </cfRule>
    <cfRule type="expression" dxfId="20102" priority="898">
      <formula>$C56="Ginger Purchase"</formula>
    </cfRule>
  </conditionalFormatting>
  <conditionalFormatting sqref="B56">
    <cfRule type="expression" dxfId="20101" priority="899">
      <formula>$C56="Advance"</formula>
    </cfRule>
  </conditionalFormatting>
  <conditionalFormatting sqref="B56">
    <cfRule type="expression" dxfId="20100" priority="880">
      <formula>$C56="Delivery charge"</formula>
    </cfRule>
    <cfRule type="expression" dxfId="20099" priority="881">
      <formula>$C56="Staff Salary"</formula>
    </cfRule>
    <cfRule type="expression" dxfId="20098" priority="882">
      <formula>$C56="Rent"</formula>
    </cfRule>
    <cfRule type="expression" dxfId="20097" priority="883">
      <formula>$C56="Petrol"</formula>
    </cfRule>
    <cfRule type="expression" dxfId="20096" priority="884">
      <formula>$C56="Bills"</formula>
    </cfRule>
    <cfRule type="expression" dxfId="20095" priority="885">
      <formula>$C56="Sales"</formula>
    </cfRule>
    <cfRule type="expression" dxfId="20094" priority="886">
      <formula>$C56="Expences"</formula>
    </cfRule>
    <cfRule type="expression" dxfId="20093" priority="887">
      <formula>$C56="Garlic Purchase"</formula>
    </cfRule>
    <cfRule type="expression" dxfId="20092" priority="888">
      <formula>$C56="Ginger Purchase"</formula>
    </cfRule>
  </conditionalFormatting>
  <conditionalFormatting sqref="B56">
    <cfRule type="expression" dxfId="20091" priority="889">
      <formula>$C56="Advance"</formula>
    </cfRule>
  </conditionalFormatting>
  <conditionalFormatting sqref="B56">
    <cfRule type="expression" dxfId="20090" priority="870">
      <formula>$C56="Delivery charge"</formula>
    </cfRule>
    <cfRule type="expression" dxfId="20089" priority="871">
      <formula>$C56="Staff Salary"</formula>
    </cfRule>
    <cfRule type="expression" dxfId="20088" priority="872">
      <formula>$C56="Rent"</formula>
    </cfRule>
    <cfRule type="expression" dxfId="20087" priority="873">
      <formula>$C56="Petrol"</formula>
    </cfRule>
    <cfRule type="expression" dxfId="20086" priority="874">
      <formula>$C56="Bills"</formula>
    </cfRule>
    <cfRule type="expression" dxfId="20085" priority="875">
      <formula>$C56="Sales"</formula>
    </cfRule>
    <cfRule type="expression" dxfId="20084" priority="876">
      <formula>$C56="Expences"</formula>
    </cfRule>
    <cfRule type="expression" dxfId="20083" priority="877">
      <formula>$C56="Garlic Purchase"</formula>
    </cfRule>
    <cfRule type="expression" dxfId="20082" priority="878">
      <formula>$C56="Ginger Purchase"</formula>
    </cfRule>
  </conditionalFormatting>
  <conditionalFormatting sqref="B56">
    <cfRule type="expression" dxfId="20081" priority="879">
      <formula>$C56="Advance"</formula>
    </cfRule>
  </conditionalFormatting>
  <conditionalFormatting sqref="B56">
    <cfRule type="expression" dxfId="20080" priority="860">
      <formula>$C56="Delivery charge"</formula>
    </cfRule>
    <cfRule type="expression" dxfId="20079" priority="861">
      <formula>$C56="Staff Salary"</formula>
    </cfRule>
    <cfRule type="expression" dxfId="20078" priority="862">
      <formula>$C56="Rent"</formula>
    </cfRule>
    <cfRule type="expression" dxfId="20077" priority="863">
      <formula>$C56="Petrol"</formula>
    </cfRule>
    <cfRule type="expression" dxfId="20076" priority="864">
      <formula>$C56="Bills"</formula>
    </cfRule>
    <cfRule type="expression" dxfId="20075" priority="865">
      <formula>$C56="Sales"</formula>
    </cfRule>
    <cfRule type="expression" dxfId="20074" priority="866">
      <formula>$C56="Expences"</formula>
    </cfRule>
    <cfRule type="expression" dxfId="20073" priority="867">
      <formula>$C56="Garlic Purchase"</formula>
    </cfRule>
    <cfRule type="expression" dxfId="20072" priority="868">
      <formula>$C56="Ginger Purchase"</formula>
    </cfRule>
  </conditionalFormatting>
  <conditionalFormatting sqref="B56">
    <cfRule type="expression" dxfId="20071" priority="869">
      <formula>$C56="Advance"</formula>
    </cfRule>
  </conditionalFormatting>
  <conditionalFormatting sqref="B56">
    <cfRule type="expression" dxfId="20070" priority="850">
      <formula>$C56="Delivery charge"</formula>
    </cfRule>
    <cfRule type="expression" dxfId="20069" priority="851">
      <formula>$C56="Staff Salary"</formula>
    </cfRule>
    <cfRule type="expression" dxfId="20068" priority="852">
      <formula>$C56="Rent"</formula>
    </cfRule>
    <cfRule type="expression" dxfId="20067" priority="853">
      <formula>$C56="Petrol"</formula>
    </cfRule>
    <cfRule type="expression" dxfId="20066" priority="854">
      <formula>$C56="Bills"</formula>
    </cfRule>
    <cfRule type="expression" dxfId="20065" priority="855">
      <formula>$C56="Sales"</formula>
    </cfRule>
    <cfRule type="expression" dxfId="20064" priority="856">
      <formula>$C56="Expences"</formula>
    </cfRule>
    <cfRule type="expression" dxfId="20063" priority="857">
      <formula>$C56="Garlic Purchase"</formula>
    </cfRule>
    <cfRule type="expression" dxfId="20062" priority="858">
      <formula>$C56="Ginger Purchase"</formula>
    </cfRule>
  </conditionalFormatting>
  <conditionalFormatting sqref="B56">
    <cfRule type="expression" dxfId="20061" priority="859">
      <formula>$C56="Advance"</formula>
    </cfRule>
  </conditionalFormatting>
  <conditionalFormatting sqref="B55 B57">
    <cfRule type="expression" dxfId="20060" priority="840">
      <formula>$C55="Delivery charge"</formula>
    </cfRule>
    <cfRule type="expression" dxfId="20059" priority="841">
      <formula>$C55="Staff Salary"</formula>
    </cfRule>
    <cfRule type="expression" dxfId="20058" priority="842">
      <formula>$C55="Rent"</formula>
    </cfRule>
    <cfRule type="expression" dxfId="20057" priority="843">
      <formula>$C55="Petrol"</formula>
    </cfRule>
    <cfRule type="expression" dxfId="20056" priority="844">
      <formula>$C55="Bills"</formula>
    </cfRule>
    <cfRule type="expression" dxfId="20055" priority="845">
      <formula>$C55="Sales"</formula>
    </cfRule>
    <cfRule type="expression" dxfId="20054" priority="846">
      <formula>$C55="Expences"</formula>
    </cfRule>
    <cfRule type="expression" dxfId="20053" priority="847">
      <formula>$C55="Garlic Purchase"</formula>
    </cfRule>
    <cfRule type="expression" dxfId="20052" priority="848">
      <formula>$C55="Ginger Purchase"</formula>
    </cfRule>
  </conditionalFormatting>
  <conditionalFormatting sqref="B55 B57">
    <cfRule type="expression" dxfId="20051" priority="849">
      <formula>$C55="Advance"</formula>
    </cfRule>
  </conditionalFormatting>
  <conditionalFormatting sqref="B56">
    <cfRule type="expression" dxfId="20050" priority="830">
      <formula>$C56="Delivery charge"</formula>
    </cfRule>
    <cfRule type="expression" dxfId="20049" priority="831">
      <formula>$C56="Staff Salary"</formula>
    </cfRule>
    <cfRule type="expression" dxfId="20048" priority="832">
      <formula>$C56="Rent"</formula>
    </cfRule>
    <cfRule type="expression" dxfId="20047" priority="833">
      <formula>$C56="Petrol"</formula>
    </cfRule>
    <cfRule type="expression" dxfId="20046" priority="834">
      <formula>$C56="Bills"</formula>
    </cfRule>
    <cfRule type="expression" dxfId="20045" priority="835">
      <formula>$C56="Sales"</formula>
    </cfRule>
    <cfRule type="expression" dxfId="20044" priority="836">
      <formula>$C56="Expences"</formula>
    </cfRule>
    <cfRule type="expression" dxfId="20043" priority="837">
      <formula>$C56="Garlic Purchase"</formula>
    </cfRule>
    <cfRule type="expression" dxfId="20042" priority="838">
      <formula>$C56="Ginger Purchase"</formula>
    </cfRule>
  </conditionalFormatting>
  <conditionalFormatting sqref="B56">
    <cfRule type="expression" dxfId="20041" priority="839">
      <formula>$C56="Advance"</formula>
    </cfRule>
  </conditionalFormatting>
  <conditionalFormatting sqref="B56">
    <cfRule type="expression" dxfId="20040" priority="820">
      <formula>$C56="Delivery charge"</formula>
    </cfRule>
    <cfRule type="expression" dxfId="20039" priority="821">
      <formula>$C56="Staff Salary"</formula>
    </cfRule>
    <cfRule type="expression" dxfId="20038" priority="822">
      <formula>$C56="Rent"</formula>
    </cfRule>
    <cfRule type="expression" dxfId="20037" priority="823">
      <formula>$C56="Petrol"</formula>
    </cfRule>
    <cfRule type="expression" dxfId="20036" priority="824">
      <formula>$C56="Bills"</formula>
    </cfRule>
    <cfRule type="expression" dxfId="20035" priority="825">
      <formula>$C56="Sales"</formula>
    </cfRule>
    <cfRule type="expression" dxfId="20034" priority="826">
      <formula>$C56="Expences"</formula>
    </cfRule>
    <cfRule type="expression" dxfId="20033" priority="827">
      <formula>$C56="Garlic Purchase"</formula>
    </cfRule>
    <cfRule type="expression" dxfId="20032" priority="828">
      <formula>$C56="Ginger Purchase"</formula>
    </cfRule>
  </conditionalFormatting>
  <conditionalFormatting sqref="B56">
    <cfRule type="expression" dxfId="20031" priority="829">
      <formula>$C56="Advance"</formula>
    </cfRule>
  </conditionalFormatting>
  <conditionalFormatting sqref="B56">
    <cfRule type="expression" dxfId="20030" priority="810">
      <formula>$C56="Delivery charge"</formula>
    </cfRule>
    <cfRule type="expression" dxfId="20029" priority="811">
      <formula>$C56="Staff Salary"</formula>
    </cfRule>
    <cfRule type="expression" dxfId="20028" priority="812">
      <formula>$C56="Rent"</formula>
    </cfRule>
    <cfRule type="expression" dxfId="20027" priority="813">
      <formula>$C56="Petrol"</formula>
    </cfRule>
    <cfRule type="expression" dxfId="20026" priority="814">
      <formula>$C56="Bills"</formula>
    </cfRule>
    <cfRule type="expression" dxfId="20025" priority="815">
      <formula>$C56="Sales"</formula>
    </cfRule>
    <cfRule type="expression" dxfId="20024" priority="816">
      <formula>$C56="Expences"</formula>
    </cfRule>
    <cfRule type="expression" dxfId="20023" priority="817">
      <formula>$C56="Garlic Purchase"</formula>
    </cfRule>
    <cfRule type="expression" dxfId="20022" priority="818">
      <formula>$C56="Ginger Purchase"</formula>
    </cfRule>
  </conditionalFormatting>
  <conditionalFormatting sqref="B56">
    <cfRule type="expression" dxfId="20021" priority="819">
      <formula>$C56="Advance"</formula>
    </cfRule>
  </conditionalFormatting>
  <conditionalFormatting sqref="B56">
    <cfRule type="expression" dxfId="20020" priority="800">
      <formula>$C56="Delivery charge"</formula>
    </cfRule>
    <cfRule type="expression" dxfId="20019" priority="801">
      <formula>$C56="Staff Salary"</formula>
    </cfRule>
    <cfRule type="expression" dxfId="20018" priority="802">
      <formula>$C56="Rent"</formula>
    </cfRule>
    <cfRule type="expression" dxfId="20017" priority="803">
      <formula>$C56="Petrol"</formula>
    </cfRule>
    <cfRule type="expression" dxfId="20016" priority="804">
      <formula>$C56="Bills"</formula>
    </cfRule>
    <cfRule type="expression" dxfId="20015" priority="805">
      <formula>$C56="Sales"</formula>
    </cfRule>
    <cfRule type="expression" dxfId="20014" priority="806">
      <formula>$C56="Expences"</formula>
    </cfRule>
    <cfRule type="expression" dxfId="20013" priority="807">
      <formula>$C56="Garlic Purchase"</formula>
    </cfRule>
    <cfRule type="expression" dxfId="20012" priority="808">
      <formula>$C56="Ginger Purchase"</formula>
    </cfRule>
  </conditionalFormatting>
  <conditionalFormatting sqref="B56">
    <cfRule type="expression" dxfId="20011" priority="809">
      <formula>$C56="Advance"</formula>
    </cfRule>
  </conditionalFormatting>
  <conditionalFormatting sqref="B56">
    <cfRule type="expression" dxfId="20010" priority="790">
      <formula>$C56="Delivery charge"</formula>
    </cfRule>
    <cfRule type="expression" dxfId="20009" priority="791">
      <formula>$C56="Staff Salary"</formula>
    </cfRule>
    <cfRule type="expression" dxfId="20008" priority="792">
      <formula>$C56="Rent"</formula>
    </cfRule>
    <cfRule type="expression" dxfId="20007" priority="793">
      <formula>$C56="Petrol"</formula>
    </cfRule>
    <cfRule type="expression" dxfId="20006" priority="794">
      <formula>$C56="Bills"</formula>
    </cfRule>
    <cfRule type="expression" dxfId="20005" priority="795">
      <formula>$C56="Sales"</formula>
    </cfRule>
    <cfRule type="expression" dxfId="20004" priority="796">
      <formula>$C56="Expences"</formula>
    </cfRule>
    <cfRule type="expression" dxfId="20003" priority="797">
      <formula>$C56="Garlic Purchase"</formula>
    </cfRule>
    <cfRule type="expression" dxfId="20002" priority="798">
      <formula>$C56="Ginger Purchase"</formula>
    </cfRule>
  </conditionalFormatting>
  <conditionalFormatting sqref="B56">
    <cfRule type="expression" dxfId="20001" priority="799">
      <formula>$C56="Advance"</formula>
    </cfRule>
  </conditionalFormatting>
  <conditionalFormatting sqref="B56">
    <cfRule type="expression" dxfId="20000" priority="780">
      <formula>$C56="Delivery charge"</formula>
    </cfRule>
    <cfRule type="expression" dxfId="19999" priority="781">
      <formula>$C56="Staff Salary"</formula>
    </cfRule>
    <cfRule type="expression" dxfId="19998" priority="782">
      <formula>$C56="Rent"</formula>
    </cfRule>
    <cfRule type="expression" dxfId="19997" priority="783">
      <formula>$C56="Petrol"</formula>
    </cfRule>
    <cfRule type="expression" dxfId="19996" priority="784">
      <formula>$C56="Bills"</formula>
    </cfRule>
    <cfRule type="expression" dxfId="19995" priority="785">
      <formula>$C56="Sales"</formula>
    </cfRule>
    <cfRule type="expression" dxfId="19994" priority="786">
      <formula>$C56="Expences"</formula>
    </cfRule>
    <cfRule type="expression" dxfId="19993" priority="787">
      <formula>$C56="Garlic Purchase"</formula>
    </cfRule>
    <cfRule type="expression" dxfId="19992" priority="788">
      <formula>$C56="Ginger Purchase"</formula>
    </cfRule>
  </conditionalFormatting>
  <conditionalFormatting sqref="B56">
    <cfRule type="expression" dxfId="19991" priority="789">
      <formula>$C56="Advance"</formula>
    </cfRule>
  </conditionalFormatting>
  <conditionalFormatting sqref="B56">
    <cfRule type="expression" dxfId="19990" priority="770">
      <formula>$C56="Delivery charge"</formula>
    </cfRule>
    <cfRule type="expression" dxfId="19989" priority="771">
      <formula>$C56="Staff Salary"</formula>
    </cfRule>
    <cfRule type="expression" dxfId="19988" priority="772">
      <formula>$C56="Rent"</formula>
    </cfRule>
    <cfRule type="expression" dxfId="19987" priority="773">
      <formula>$C56="Petrol"</formula>
    </cfRule>
    <cfRule type="expression" dxfId="19986" priority="774">
      <formula>$C56="Bills"</formula>
    </cfRule>
    <cfRule type="expression" dxfId="19985" priority="775">
      <formula>$C56="Sales"</formula>
    </cfRule>
    <cfRule type="expression" dxfId="19984" priority="776">
      <formula>$C56="Expences"</formula>
    </cfRule>
    <cfRule type="expression" dxfId="19983" priority="777">
      <formula>$C56="Garlic Purchase"</formula>
    </cfRule>
    <cfRule type="expression" dxfId="19982" priority="778">
      <formula>$C56="Ginger Purchase"</formula>
    </cfRule>
  </conditionalFormatting>
  <conditionalFormatting sqref="B56">
    <cfRule type="expression" dxfId="19981" priority="779">
      <formula>$C56="Advance"</formula>
    </cfRule>
  </conditionalFormatting>
  <conditionalFormatting sqref="B56">
    <cfRule type="expression" dxfId="19980" priority="760">
      <formula>$C56="Delivery charge"</formula>
    </cfRule>
    <cfRule type="expression" dxfId="19979" priority="761">
      <formula>$C56="Staff Salary"</formula>
    </cfRule>
    <cfRule type="expression" dxfId="19978" priority="762">
      <formula>$C56="Rent"</formula>
    </cfRule>
    <cfRule type="expression" dxfId="19977" priority="763">
      <formula>$C56="Petrol"</formula>
    </cfRule>
    <cfRule type="expression" dxfId="19976" priority="764">
      <formula>$C56="Bills"</formula>
    </cfRule>
    <cfRule type="expression" dxfId="19975" priority="765">
      <formula>$C56="Sales"</formula>
    </cfRule>
    <cfRule type="expression" dxfId="19974" priority="766">
      <formula>$C56="Expences"</formula>
    </cfRule>
    <cfRule type="expression" dxfId="19973" priority="767">
      <formula>$C56="Garlic Purchase"</formula>
    </cfRule>
    <cfRule type="expression" dxfId="19972" priority="768">
      <formula>$C56="Ginger Purchase"</formula>
    </cfRule>
  </conditionalFormatting>
  <conditionalFormatting sqref="B56">
    <cfRule type="expression" dxfId="19971" priority="769">
      <formula>$C56="Advance"</formula>
    </cfRule>
  </conditionalFormatting>
  <conditionalFormatting sqref="B56">
    <cfRule type="expression" dxfId="19970" priority="750">
      <formula>$C56="Delivery charge"</formula>
    </cfRule>
    <cfRule type="expression" dxfId="19969" priority="751">
      <formula>$C56="Staff Salary"</formula>
    </cfRule>
    <cfRule type="expression" dxfId="19968" priority="752">
      <formula>$C56="Rent"</formula>
    </cfRule>
    <cfRule type="expression" dxfId="19967" priority="753">
      <formula>$C56="Petrol"</formula>
    </cfRule>
    <cfRule type="expression" dxfId="19966" priority="754">
      <formula>$C56="Bills"</formula>
    </cfRule>
    <cfRule type="expression" dxfId="19965" priority="755">
      <formula>$C56="Sales"</formula>
    </cfRule>
    <cfRule type="expression" dxfId="19964" priority="756">
      <formula>$C56="Expences"</formula>
    </cfRule>
    <cfRule type="expression" dxfId="19963" priority="757">
      <formula>$C56="Garlic Purchase"</formula>
    </cfRule>
    <cfRule type="expression" dxfId="19962" priority="758">
      <formula>$C56="Ginger Purchase"</formula>
    </cfRule>
  </conditionalFormatting>
  <conditionalFormatting sqref="B56">
    <cfRule type="expression" dxfId="19961" priority="759">
      <formula>$C56="Advance"</formula>
    </cfRule>
  </conditionalFormatting>
  <conditionalFormatting sqref="A56:A63">
    <cfRule type="expression" dxfId="19960" priority="749">
      <formula>$C56="Advance"</formula>
    </cfRule>
  </conditionalFormatting>
  <conditionalFormatting sqref="B56">
    <cfRule type="expression" dxfId="19959" priority="739">
      <formula>$C56="Delivery charge"</formula>
    </cfRule>
    <cfRule type="expression" dxfId="19958" priority="740">
      <formula>$C56="Staff Salary"</formula>
    </cfRule>
    <cfRule type="expression" dxfId="19957" priority="741">
      <formula>$C56="Rent"</formula>
    </cfRule>
    <cfRule type="expression" dxfId="19956" priority="742">
      <formula>$C56="Petrol"</formula>
    </cfRule>
    <cfRule type="expression" dxfId="19955" priority="743">
      <formula>$C56="Bills"</formula>
    </cfRule>
    <cfRule type="expression" dxfId="19954" priority="744">
      <formula>$C56="Sales"</formula>
    </cfRule>
    <cfRule type="expression" dxfId="19953" priority="745">
      <formula>$C56="Expences"</formula>
    </cfRule>
    <cfRule type="expression" dxfId="19952" priority="746">
      <formula>$C56="Garlic Purchase"</formula>
    </cfRule>
    <cfRule type="expression" dxfId="19951" priority="747">
      <formula>$C56="Ginger Purchase"</formula>
    </cfRule>
  </conditionalFormatting>
  <conditionalFormatting sqref="B56">
    <cfRule type="expression" dxfId="19950" priority="748">
      <formula>$C56="Advance"</formula>
    </cfRule>
  </conditionalFormatting>
  <conditionalFormatting sqref="B56">
    <cfRule type="expression" dxfId="19949" priority="729">
      <formula>$C56="Delivery charge"</formula>
    </cfRule>
    <cfRule type="expression" dxfId="19948" priority="730">
      <formula>$C56="Staff Salary"</formula>
    </cfRule>
    <cfRule type="expression" dxfId="19947" priority="731">
      <formula>$C56="Rent"</formula>
    </cfRule>
    <cfRule type="expression" dxfId="19946" priority="732">
      <formula>$C56="Petrol"</formula>
    </cfRule>
    <cfRule type="expression" dxfId="19945" priority="733">
      <formula>$C56="Bills"</formula>
    </cfRule>
    <cfRule type="expression" dxfId="19944" priority="734">
      <formula>$C56="Sales"</formula>
    </cfRule>
    <cfRule type="expression" dxfId="19943" priority="735">
      <formula>$C56="Expences"</formula>
    </cfRule>
    <cfRule type="expression" dxfId="19942" priority="736">
      <formula>$C56="Garlic Purchase"</formula>
    </cfRule>
    <cfRule type="expression" dxfId="19941" priority="737">
      <formula>$C56="Ginger Purchase"</formula>
    </cfRule>
  </conditionalFormatting>
  <conditionalFormatting sqref="B56">
    <cfRule type="expression" dxfId="19940" priority="738">
      <formula>$C56="Advance"</formula>
    </cfRule>
  </conditionalFormatting>
  <conditionalFormatting sqref="B56">
    <cfRule type="expression" dxfId="19939" priority="719">
      <formula>$C56="Delivery charge"</formula>
    </cfRule>
    <cfRule type="expression" dxfId="19938" priority="720">
      <formula>$C56="Staff Salary"</formula>
    </cfRule>
    <cfRule type="expression" dxfId="19937" priority="721">
      <formula>$C56="Rent"</formula>
    </cfRule>
    <cfRule type="expression" dxfId="19936" priority="722">
      <formula>$C56="Petrol"</formula>
    </cfRule>
    <cfRule type="expression" dxfId="19935" priority="723">
      <formula>$C56="Bills"</formula>
    </cfRule>
    <cfRule type="expression" dxfId="19934" priority="724">
      <formula>$C56="Sales"</formula>
    </cfRule>
    <cfRule type="expression" dxfId="19933" priority="725">
      <formula>$C56="Expences"</formula>
    </cfRule>
    <cfRule type="expression" dxfId="19932" priority="726">
      <formula>$C56="Garlic Purchase"</formula>
    </cfRule>
    <cfRule type="expression" dxfId="19931" priority="727">
      <formula>$C56="Ginger Purchase"</formula>
    </cfRule>
  </conditionalFormatting>
  <conditionalFormatting sqref="B56">
    <cfRule type="expression" dxfId="19930" priority="728">
      <formula>$C56="Advance"</formula>
    </cfRule>
  </conditionalFormatting>
  <conditionalFormatting sqref="B56">
    <cfRule type="expression" dxfId="19929" priority="709">
      <formula>$C56="Delivery charge"</formula>
    </cfRule>
    <cfRule type="expression" dxfId="19928" priority="710">
      <formula>$C56="Staff Salary"</formula>
    </cfRule>
    <cfRule type="expression" dxfId="19927" priority="711">
      <formula>$C56="Rent"</formula>
    </cfRule>
    <cfRule type="expression" dxfId="19926" priority="712">
      <formula>$C56="Petrol"</formula>
    </cfRule>
    <cfRule type="expression" dxfId="19925" priority="713">
      <formula>$C56="Bills"</formula>
    </cfRule>
    <cfRule type="expression" dxfId="19924" priority="714">
      <formula>$C56="Sales"</formula>
    </cfRule>
    <cfRule type="expression" dxfId="19923" priority="715">
      <formula>$C56="Expences"</formula>
    </cfRule>
    <cfRule type="expression" dxfId="19922" priority="716">
      <formula>$C56="Garlic Purchase"</formula>
    </cfRule>
    <cfRule type="expression" dxfId="19921" priority="717">
      <formula>$C56="Ginger Purchase"</formula>
    </cfRule>
  </conditionalFormatting>
  <conditionalFormatting sqref="B56">
    <cfRule type="expression" dxfId="19920" priority="718">
      <formula>$C56="Advance"</formula>
    </cfRule>
  </conditionalFormatting>
  <conditionalFormatting sqref="B56">
    <cfRule type="expression" dxfId="19919" priority="699">
      <formula>$C56="Delivery charge"</formula>
    </cfRule>
    <cfRule type="expression" dxfId="19918" priority="700">
      <formula>$C56="Staff Salary"</formula>
    </cfRule>
    <cfRule type="expression" dxfId="19917" priority="701">
      <formula>$C56="Rent"</formula>
    </cfRule>
    <cfRule type="expression" dxfId="19916" priority="702">
      <formula>$C56="Petrol"</formula>
    </cfRule>
    <cfRule type="expression" dxfId="19915" priority="703">
      <formula>$C56="Bills"</formula>
    </cfRule>
    <cfRule type="expression" dxfId="19914" priority="704">
      <formula>$C56="Sales"</formula>
    </cfRule>
    <cfRule type="expression" dxfId="19913" priority="705">
      <formula>$C56="Expences"</formula>
    </cfRule>
    <cfRule type="expression" dxfId="19912" priority="706">
      <formula>$C56="Garlic Purchase"</formula>
    </cfRule>
    <cfRule type="expression" dxfId="19911" priority="707">
      <formula>$C56="Ginger Purchase"</formula>
    </cfRule>
  </conditionalFormatting>
  <conditionalFormatting sqref="B56">
    <cfRule type="expression" dxfId="19910" priority="708">
      <formula>$C56="Advance"</formula>
    </cfRule>
  </conditionalFormatting>
  <conditionalFormatting sqref="B56">
    <cfRule type="expression" dxfId="19909" priority="689">
      <formula>$C56="Delivery charge"</formula>
    </cfRule>
    <cfRule type="expression" dxfId="19908" priority="690">
      <formula>$C56="Staff Salary"</formula>
    </cfRule>
    <cfRule type="expression" dxfId="19907" priority="691">
      <formula>$C56="Rent"</formula>
    </cfRule>
    <cfRule type="expression" dxfId="19906" priority="692">
      <formula>$C56="Petrol"</formula>
    </cfRule>
    <cfRule type="expression" dxfId="19905" priority="693">
      <formula>$C56="Bills"</formula>
    </cfRule>
    <cfRule type="expression" dxfId="19904" priority="694">
      <formula>$C56="Sales"</formula>
    </cfRule>
    <cfRule type="expression" dxfId="19903" priority="695">
      <formula>$C56="Expences"</formula>
    </cfRule>
    <cfRule type="expression" dxfId="19902" priority="696">
      <formula>$C56="Garlic Purchase"</formula>
    </cfRule>
    <cfRule type="expression" dxfId="19901" priority="697">
      <formula>$C56="Ginger Purchase"</formula>
    </cfRule>
  </conditionalFormatting>
  <conditionalFormatting sqref="B56">
    <cfRule type="expression" dxfId="19900" priority="698">
      <formula>$C56="Advance"</formula>
    </cfRule>
  </conditionalFormatting>
  <conditionalFormatting sqref="B56">
    <cfRule type="expression" dxfId="19899" priority="679">
      <formula>$C56="Delivery charge"</formula>
    </cfRule>
    <cfRule type="expression" dxfId="19898" priority="680">
      <formula>$C56="Staff Salary"</formula>
    </cfRule>
    <cfRule type="expression" dxfId="19897" priority="681">
      <formula>$C56="Rent"</formula>
    </cfRule>
    <cfRule type="expression" dxfId="19896" priority="682">
      <formula>$C56="Petrol"</formula>
    </cfRule>
    <cfRule type="expression" dxfId="19895" priority="683">
      <formula>$C56="Bills"</formula>
    </cfRule>
    <cfRule type="expression" dxfId="19894" priority="684">
      <formula>$C56="Sales"</formula>
    </cfRule>
    <cfRule type="expression" dxfId="19893" priority="685">
      <formula>$C56="Expences"</formula>
    </cfRule>
    <cfRule type="expression" dxfId="19892" priority="686">
      <formula>$C56="Garlic Purchase"</formula>
    </cfRule>
    <cfRule type="expression" dxfId="19891" priority="687">
      <formula>$C56="Ginger Purchase"</formula>
    </cfRule>
  </conditionalFormatting>
  <conditionalFormatting sqref="B56">
    <cfRule type="expression" dxfId="19890" priority="688">
      <formula>$C56="Advance"</formula>
    </cfRule>
  </conditionalFormatting>
  <conditionalFormatting sqref="B56">
    <cfRule type="expression" dxfId="19889" priority="669">
      <formula>$C56="Delivery charge"</formula>
    </cfRule>
    <cfRule type="expression" dxfId="19888" priority="670">
      <formula>$C56="Staff Salary"</formula>
    </cfRule>
    <cfRule type="expression" dxfId="19887" priority="671">
      <formula>$C56="Rent"</formula>
    </cfRule>
    <cfRule type="expression" dxfId="19886" priority="672">
      <formula>$C56="Petrol"</formula>
    </cfRule>
    <cfRule type="expression" dxfId="19885" priority="673">
      <formula>$C56="Bills"</formula>
    </cfRule>
    <cfRule type="expression" dxfId="19884" priority="674">
      <formula>$C56="Sales"</formula>
    </cfRule>
    <cfRule type="expression" dxfId="19883" priority="675">
      <formula>$C56="Expences"</formula>
    </cfRule>
    <cfRule type="expression" dxfId="19882" priority="676">
      <formula>$C56="Garlic Purchase"</formula>
    </cfRule>
    <cfRule type="expression" dxfId="19881" priority="677">
      <formula>$C56="Ginger Purchase"</formula>
    </cfRule>
  </conditionalFormatting>
  <conditionalFormatting sqref="B56">
    <cfRule type="expression" dxfId="19880" priority="678">
      <formula>$C56="Advance"</formula>
    </cfRule>
  </conditionalFormatting>
  <conditionalFormatting sqref="B56">
    <cfRule type="expression" dxfId="19879" priority="659">
      <formula>$C56="Delivery charge"</formula>
    </cfRule>
    <cfRule type="expression" dxfId="19878" priority="660">
      <formula>$C56="Staff Salary"</formula>
    </cfRule>
    <cfRule type="expression" dxfId="19877" priority="661">
      <formula>$C56="Rent"</formula>
    </cfRule>
    <cfRule type="expression" dxfId="19876" priority="662">
      <formula>$C56="Petrol"</formula>
    </cfRule>
    <cfRule type="expression" dxfId="19875" priority="663">
      <formula>$C56="Bills"</formula>
    </cfRule>
    <cfRule type="expression" dxfId="19874" priority="664">
      <formula>$C56="Sales"</formula>
    </cfRule>
    <cfRule type="expression" dxfId="19873" priority="665">
      <formula>$C56="Expences"</formula>
    </cfRule>
    <cfRule type="expression" dxfId="19872" priority="666">
      <formula>$C56="Garlic Purchase"</formula>
    </cfRule>
    <cfRule type="expression" dxfId="19871" priority="667">
      <formula>$C56="Ginger Purchase"</formula>
    </cfRule>
  </conditionalFormatting>
  <conditionalFormatting sqref="B56">
    <cfRule type="expression" dxfId="19870" priority="668">
      <formula>$C56="Advance"</formula>
    </cfRule>
  </conditionalFormatting>
  <conditionalFormatting sqref="B56">
    <cfRule type="expression" dxfId="19869" priority="649">
      <formula>$C56="Delivery charge"</formula>
    </cfRule>
    <cfRule type="expression" dxfId="19868" priority="650">
      <formula>$C56="Staff Salary"</formula>
    </cfRule>
    <cfRule type="expression" dxfId="19867" priority="651">
      <formula>$C56="Rent"</formula>
    </cfRule>
    <cfRule type="expression" dxfId="19866" priority="652">
      <formula>$C56="Petrol"</formula>
    </cfRule>
    <cfRule type="expression" dxfId="19865" priority="653">
      <formula>$C56="Bills"</formula>
    </cfRule>
    <cfRule type="expression" dxfId="19864" priority="654">
      <formula>$C56="Sales"</formula>
    </cfRule>
    <cfRule type="expression" dxfId="19863" priority="655">
      <formula>$C56="Expences"</formula>
    </cfRule>
    <cfRule type="expression" dxfId="19862" priority="656">
      <formula>$C56="Garlic Purchase"</formula>
    </cfRule>
    <cfRule type="expression" dxfId="19861" priority="657">
      <formula>$C56="Ginger Purchase"</formula>
    </cfRule>
  </conditionalFormatting>
  <conditionalFormatting sqref="B56">
    <cfRule type="expression" dxfId="19860" priority="658">
      <formula>$C56="Advance"</formula>
    </cfRule>
  </conditionalFormatting>
  <conditionalFormatting sqref="B56">
    <cfRule type="expression" dxfId="19859" priority="639">
      <formula>$C56="Delivery charge"</formula>
    </cfRule>
    <cfRule type="expression" dxfId="19858" priority="640">
      <formula>$C56="Staff Salary"</formula>
    </cfRule>
    <cfRule type="expression" dxfId="19857" priority="641">
      <formula>$C56="Rent"</formula>
    </cfRule>
    <cfRule type="expression" dxfId="19856" priority="642">
      <formula>$C56="Petrol"</formula>
    </cfRule>
    <cfRule type="expression" dxfId="19855" priority="643">
      <formula>$C56="Bills"</formula>
    </cfRule>
    <cfRule type="expression" dxfId="19854" priority="644">
      <formula>$C56="Sales"</formula>
    </cfRule>
    <cfRule type="expression" dxfId="19853" priority="645">
      <formula>$C56="Expences"</formula>
    </cfRule>
    <cfRule type="expression" dxfId="19852" priority="646">
      <formula>$C56="Garlic Purchase"</formula>
    </cfRule>
    <cfRule type="expression" dxfId="19851" priority="647">
      <formula>$C56="Ginger Purchase"</formula>
    </cfRule>
  </conditionalFormatting>
  <conditionalFormatting sqref="B56">
    <cfRule type="expression" dxfId="19850" priority="648">
      <formula>$C56="Advance"</formula>
    </cfRule>
  </conditionalFormatting>
  <conditionalFormatting sqref="B56">
    <cfRule type="expression" dxfId="19849" priority="629">
      <formula>$C56="Delivery charge"</formula>
    </cfRule>
    <cfRule type="expression" dxfId="19848" priority="630">
      <formula>$C56="Staff Salary"</formula>
    </cfRule>
    <cfRule type="expression" dxfId="19847" priority="631">
      <formula>$C56="Rent"</formula>
    </cfRule>
    <cfRule type="expression" dxfId="19846" priority="632">
      <formula>$C56="Petrol"</formula>
    </cfRule>
    <cfRule type="expression" dxfId="19845" priority="633">
      <formula>$C56="Bills"</formula>
    </cfRule>
    <cfRule type="expression" dxfId="19844" priority="634">
      <formula>$C56="Sales"</formula>
    </cfRule>
    <cfRule type="expression" dxfId="19843" priority="635">
      <formula>$C56="Expences"</formula>
    </cfRule>
    <cfRule type="expression" dxfId="19842" priority="636">
      <formula>$C56="Garlic Purchase"</formula>
    </cfRule>
    <cfRule type="expression" dxfId="19841" priority="637">
      <formula>$C56="Ginger Purchase"</formula>
    </cfRule>
  </conditionalFormatting>
  <conditionalFormatting sqref="B56">
    <cfRule type="expression" dxfId="19840" priority="638">
      <formula>$C56="Advance"</formula>
    </cfRule>
  </conditionalFormatting>
  <conditionalFormatting sqref="B56">
    <cfRule type="expression" dxfId="19839" priority="619">
      <formula>$C56="Delivery charge"</formula>
    </cfRule>
    <cfRule type="expression" dxfId="19838" priority="620">
      <formula>$C56="Staff Salary"</formula>
    </cfRule>
    <cfRule type="expression" dxfId="19837" priority="621">
      <formula>$C56="Rent"</formula>
    </cfRule>
    <cfRule type="expression" dxfId="19836" priority="622">
      <formula>$C56="Petrol"</formula>
    </cfRule>
    <cfRule type="expression" dxfId="19835" priority="623">
      <formula>$C56="Bills"</formula>
    </cfRule>
    <cfRule type="expression" dxfId="19834" priority="624">
      <formula>$C56="Sales"</formula>
    </cfRule>
    <cfRule type="expression" dxfId="19833" priority="625">
      <formula>$C56="Expences"</formula>
    </cfRule>
    <cfRule type="expression" dxfId="19832" priority="626">
      <formula>$C56="Garlic Purchase"</formula>
    </cfRule>
    <cfRule type="expression" dxfId="19831" priority="627">
      <formula>$C56="Ginger Purchase"</formula>
    </cfRule>
  </conditionalFormatting>
  <conditionalFormatting sqref="B56">
    <cfRule type="expression" dxfId="19830" priority="628">
      <formula>$C56="Advance"</formula>
    </cfRule>
  </conditionalFormatting>
  <conditionalFormatting sqref="B56">
    <cfRule type="expression" dxfId="19829" priority="609">
      <formula>$C56="Delivery charge"</formula>
    </cfRule>
    <cfRule type="expression" dxfId="19828" priority="610">
      <formula>$C56="Staff Salary"</formula>
    </cfRule>
    <cfRule type="expression" dxfId="19827" priority="611">
      <formula>$C56="Rent"</formula>
    </cfRule>
    <cfRule type="expression" dxfId="19826" priority="612">
      <formula>$C56="Petrol"</formula>
    </cfRule>
    <cfRule type="expression" dxfId="19825" priority="613">
      <formula>$C56="Bills"</formula>
    </cfRule>
    <cfRule type="expression" dxfId="19824" priority="614">
      <formula>$C56="Sales"</formula>
    </cfRule>
    <cfRule type="expression" dxfId="19823" priority="615">
      <formula>$C56="Expences"</formula>
    </cfRule>
    <cfRule type="expression" dxfId="19822" priority="616">
      <formula>$C56="Garlic Purchase"</formula>
    </cfRule>
    <cfRule type="expression" dxfId="19821" priority="617">
      <formula>$C56="Ginger Purchase"</formula>
    </cfRule>
  </conditionalFormatting>
  <conditionalFormatting sqref="B56">
    <cfRule type="expression" dxfId="19820" priority="618">
      <formula>$C56="Advance"</formula>
    </cfRule>
  </conditionalFormatting>
  <conditionalFormatting sqref="B56">
    <cfRule type="expression" dxfId="19819" priority="599">
      <formula>$C56="Delivery charge"</formula>
    </cfRule>
    <cfRule type="expression" dxfId="19818" priority="600">
      <formula>$C56="Staff Salary"</formula>
    </cfRule>
    <cfRule type="expression" dxfId="19817" priority="601">
      <formula>$C56="Rent"</formula>
    </cfRule>
    <cfRule type="expression" dxfId="19816" priority="602">
      <formula>$C56="Petrol"</formula>
    </cfRule>
    <cfRule type="expression" dxfId="19815" priority="603">
      <formula>$C56="Bills"</formula>
    </cfRule>
    <cfRule type="expression" dxfId="19814" priority="604">
      <formula>$C56="Sales"</formula>
    </cfRule>
    <cfRule type="expression" dxfId="19813" priority="605">
      <formula>$C56="Expences"</formula>
    </cfRule>
    <cfRule type="expression" dxfId="19812" priority="606">
      <formula>$C56="Garlic Purchase"</formula>
    </cfRule>
    <cfRule type="expression" dxfId="19811" priority="607">
      <formula>$C56="Ginger Purchase"</formula>
    </cfRule>
  </conditionalFormatting>
  <conditionalFormatting sqref="B56">
    <cfRule type="expression" dxfId="19810" priority="608">
      <formula>$C56="Advance"</formula>
    </cfRule>
  </conditionalFormatting>
  <conditionalFormatting sqref="B56">
    <cfRule type="expression" dxfId="19809" priority="589">
      <formula>$C56="Delivery charge"</formula>
    </cfRule>
    <cfRule type="expression" dxfId="19808" priority="590">
      <formula>$C56="Staff Salary"</formula>
    </cfRule>
    <cfRule type="expression" dxfId="19807" priority="591">
      <formula>$C56="Rent"</formula>
    </cfRule>
    <cfRule type="expression" dxfId="19806" priority="592">
      <formula>$C56="Petrol"</formula>
    </cfRule>
    <cfRule type="expression" dxfId="19805" priority="593">
      <formula>$C56="Bills"</formula>
    </cfRule>
    <cfRule type="expression" dxfId="19804" priority="594">
      <formula>$C56="Sales"</formula>
    </cfRule>
    <cfRule type="expression" dxfId="19803" priority="595">
      <formula>$C56="Expences"</formula>
    </cfRule>
    <cfRule type="expression" dxfId="19802" priority="596">
      <formula>$C56="Garlic Purchase"</formula>
    </cfRule>
    <cfRule type="expression" dxfId="19801" priority="597">
      <formula>$C56="Ginger Purchase"</formula>
    </cfRule>
  </conditionalFormatting>
  <conditionalFormatting sqref="B56">
    <cfRule type="expression" dxfId="19800" priority="598">
      <formula>$C56="Advance"</formula>
    </cfRule>
  </conditionalFormatting>
  <conditionalFormatting sqref="B56">
    <cfRule type="expression" dxfId="19799" priority="579">
      <formula>$C56="Delivery charge"</formula>
    </cfRule>
    <cfRule type="expression" dxfId="19798" priority="580">
      <formula>$C56="Staff Salary"</formula>
    </cfRule>
    <cfRule type="expression" dxfId="19797" priority="581">
      <formula>$C56="Rent"</formula>
    </cfRule>
    <cfRule type="expression" dxfId="19796" priority="582">
      <formula>$C56="Petrol"</formula>
    </cfRule>
    <cfRule type="expression" dxfId="19795" priority="583">
      <formula>$C56="Bills"</formula>
    </cfRule>
    <cfRule type="expression" dxfId="19794" priority="584">
      <formula>$C56="Sales"</formula>
    </cfRule>
    <cfRule type="expression" dxfId="19793" priority="585">
      <formula>$C56="Expences"</formula>
    </cfRule>
    <cfRule type="expression" dxfId="19792" priority="586">
      <formula>$C56="Garlic Purchase"</formula>
    </cfRule>
    <cfRule type="expression" dxfId="19791" priority="587">
      <formula>$C56="Ginger Purchase"</formula>
    </cfRule>
  </conditionalFormatting>
  <conditionalFormatting sqref="B56">
    <cfRule type="expression" dxfId="19790" priority="588">
      <formula>$C56="Advance"</formula>
    </cfRule>
  </conditionalFormatting>
  <conditionalFormatting sqref="B56">
    <cfRule type="expression" dxfId="19789" priority="569">
      <formula>$C56="Delivery charge"</formula>
    </cfRule>
    <cfRule type="expression" dxfId="19788" priority="570">
      <formula>$C56="Staff Salary"</formula>
    </cfRule>
    <cfRule type="expression" dxfId="19787" priority="571">
      <formula>$C56="Rent"</formula>
    </cfRule>
    <cfRule type="expression" dxfId="19786" priority="572">
      <formula>$C56="Petrol"</formula>
    </cfRule>
    <cfRule type="expression" dxfId="19785" priority="573">
      <formula>$C56="Bills"</formula>
    </cfRule>
    <cfRule type="expression" dxfId="19784" priority="574">
      <formula>$C56="Sales"</formula>
    </cfRule>
    <cfRule type="expression" dxfId="19783" priority="575">
      <formula>$C56="Expences"</formula>
    </cfRule>
    <cfRule type="expression" dxfId="19782" priority="576">
      <formula>$C56="Garlic Purchase"</formula>
    </cfRule>
    <cfRule type="expression" dxfId="19781" priority="577">
      <formula>$C56="Ginger Purchase"</formula>
    </cfRule>
  </conditionalFormatting>
  <conditionalFormatting sqref="B56">
    <cfRule type="expression" dxfId="19780" priority="578">
      <formula>$C56="Advance"</formula>
    </cfRule>
  </conditionalFormatting>
  <conditionalFormatting sqref="B56">
    <cfRule type="expression" dxfId="19779" priority="559">
      <formula>$C56="Delivery charge"</formula>
    </cfRule>
    <cfRule type="expression" dxfId="19778" priority="560">
      <formula>$C56="Staff Salary"</formula>
    </cfRule>
    <cfRule type="expression" dxfId="19777" priority="561">
      <formula>$C56="Rent"</formula>
    </cfRule>
    <cfRule type="expression" dxfId="19776" priority="562">
      <formula>$C56="Petrol"</formula>
    </cfRule>
    <cfRule type="expression" dxfId="19775" priority="563">
      <formula>$C56="Bills"</formula>
    </cfRule>
    <cfRule type="expression" dxfId="19774" priority="564">
      <formula>$C56="Sales"</formula>
    </cfRule>
    <cfRule type="expression" dxfId="19773" priority="565">
      <formula>$C56="Expences"</formula>
    </cfRule>
    <cfRule type="expression" dxfId="19772" priority="566">
      <formula>$C56="Garlic Purchase"</formula>
    </cfRule>
    <cfRule type="expression" dxfId="19771" priority="567">
      <formula>$C56="Ginger Purchase"</formula>
    </cfRule>
  </conditionalFormatting>
  <conditionalFormatting sqref="B56">
    <cfRule type="expression" dxfId="19770" priority="568">
      <formula>$C56="Advance"</formula>
    </cfRule>
  </conditionalFormatting>
  <conditionalFormatting sqref="B56">
    <cfRule type="expression" dxfId="19769" priority="549">
      <formula>$C56="Delivery charge"</formula>
    </cfRule>
    <cfRule type="expression" dxfId="19768" priority="550">
      <formula>$C56="Staff Salary"</formula>
    </cfRule>
    <cfRule type="expression" dxfId="19767" priority="551">
      <formula>$C56="Rent"</formula>
    </cfRule>
    <cfRule type="expression" dxfId="19766" priority="552">
      <formula>$C56="Petrol"</formula>
    </cfRule>
    <cfRule type="expression" dxfId="19765" priority="553">
      <formula>$C56="Bills"</formula>
    </cfRule>
    <cfRule type="expression" dxfId="19764" priority="554">
      <formula>$C56="Sales"</formula>
    </cfRule>
    <cfRule type="expression" dxfId="19763" priority="555">
      <formula>$C56="Expences"</formula>
    </cfRule>
    <cfRule type="expression" dxfId="19762" priority="556">
      <formula>$C56="Garlic Purchase"</formula>
    </cfRule>
    <cfRule type="expression" dxfId="19761" priority="557">
      <formula>$C56="Ginger Purchase"</formula>
    </cfRule>
  </conditionalFormatting>
  <conditionalFormatting sqref="B56">
    <cfRule type="expression" dxfId="19760" priority="558">
      <formula>$C56="Advance"</formula>
    </cfRule>
  </conditionalFormatting>
  <conditionalFormatting sqref="B56">
    <cfRule type="expression" dxfId="19759" priority="539">
      <formula>$C56="Delivery charge"</formula>
    </cfRule>
    <cfRule type="expression" dxfId="19758" priority="540">
      <formula>$C56="Staff Salary"</formula>
    </cfRule>
    <cfRule type="expression" dxfId="19757" priority="541">
      <formula>$C56="Rent"</formula>
    </cfRule>
    <cfRule type="expression" dxfId="19756" priority="542">
      <formula>$C56="Petrol"</formula>
    </cfRule>
    <cfRule type="expression" dxfId="19755" priority="543">
      <formula>$C56="Bills"</formula>
    </cfRule>
    <cfRule type="expression" dxfId="19754" priority="544">
      <formula>$C56="Sales"</formula>
    </cfRule>
    <cfRule type="expression" dxfId="19753" priority="545">
      <formula>$C56="Expences"</formula>
    </cfRule>
    <cfRule type="expression" dxfId="19752" priority="546">
      <formula>$C56="Garlic Purchase"</formula>
    </cfRule>
    <cfRule type="expression" dxfId="19751" priority="547">
      <formula>$C56="Ginger Purchase"</formula>
    </cfRule>
  </conditionalFormatting>
  <conditionalFormatting sqref="B56">
    <cfRule type="expression" dxfId="19750" priority="548">
      <formula>$C56="Advance"</formula>
    </cfRule>
  </conditionalFormatting>
  <conditionalFormatting sqref="B56">
    <cfRule type="expression" dxfId="19749" priority="529">
      <formula>$C56="Delivery charge"</formula>
    </cfRule>
    <cfRule type="expression" dxfId="19748" priority="530">
      <formula>$C56="Staff Salary"</formula>
    </cfRule>
    <cfRule type="expression" dxfId="19747" priority="531">
      <formula>$C56="Rent"</formula>
    </cfRule>
    <cfRule type="expression" dxfId="19746" priority="532">
      <formula>$C56="Petrol"</formula>
    </cfRule>
    <cfRule type="expression" dxfId="19745" priority="533">
      <formula>$C56="Bills"</formula>
    </cfRule>
    <cfRule type="expression" dxfId="19744" priority="534">
      <formula>$C56="Sales"</formula>
    </cfRule>
    <cfRule type="expression" dxfId="19743" priority="535">
      <formula>$C56="Expences"</formula>
    </cfRule>
    <cfRule type="expression" dxfId="19742" priority="536">
      <formula>$C56="Garlic Purchase"</formula>
    </cfRule>
    <cfRule type="expression" dxfId="19741" priority="537">
      <formula>$C56="Ginger Purchase"</formula>
    </cfRule>
  </conditionalFormatting>
  <conditionalFormatting sqref="B56">
    <cfRule type="expression" dxfId="19740" priority="538">
      <formula>$C56="Advance"</formula>
    </cfRule>
  </conditionalFormatting>
  <conditionalFormatting sqref="B56">
    <cfRule type="expression" dxfId="19739" priority="519">
      <formula>$C56="Delivery charge"</formula>
    </cfRule>
    <cfRule type="expression" dxfId="19738" priority="520">
      <formula>$C56="Staff Salary"</formula>
    </cfRule>
    <cfRule type="expression" dxfId="19737" priority="521">
      <formula>$C56="Rent"</formula>
    </cfRule>
    <cfRule type="expression" dxfId="19736" priority="522">
      <formula>$C56="Petrol"</formula>
    </cfRule>
    <cfRule type="expression" dxfId="19735" priority="523">
      <formula>$C56="Bills"</formula>
    </cfRule>
    <cfRule type="expression" dxfId="19734" priority="524">
      <formula>$C56="Sales"</formula>
    </cfRule>
    <cfRule type="expression" dxfId="19733" priority="525">
      <formula>$C56="Expences"</formula>
    </cfRule>
    <cfRule type="expression" dxfId="19732" priority="526">
      <formula>$C56="Garlic Purchase"</formula>
    </cfRule>
    <cfRule type="expression" dxfId="19731" priority="527">
      <formula>$C56="Ginger Purchase"</formula>
    </cfRule>
  </conditionalFormatting>
  <conditionalFormatting sqref="B56">
    <cfRule type="expression" dxfId="19730" priority="528">
      <formula>$C56="Advance"</formula>
    </cfRule>
  </conditionalFormatting>
  <conditionalFormatting sqref="B56">
    <cfRule type="expression" dxfId="19729" priority="509">
      <formula>$C56="Delivery charge"</formula>
    </cfRule>
    <cfRule type="expression" dxfId="19728" priority="510">
      <formula>$C56="Staff Salary"</formula>
    </cfRule>
    <cfRule type="expression" dxfId="19727" priority="511">
      <formula>$C56="Rent"</formula>
    </cfRule>
    <cfRule type="expression" dxfId="19726" priority="512">
      <formula>$C56="Petrol"</formula>
    </cfRule>
    <cfRule type="expression" dxfId="19725" priority="513">
      <formula>$C56="Bills"</formula>
    </cfRule>
    <cfRule type="expression" dxfId="19724" priority="514">
      <formula>$C56="Sales"</formula>
    </cfRule>
    <cfRule type="expression" dxfId="19723" priority="515">
      <formula>$C56="Expences"</formula>
    </cfRule>
    <cfRule type="expression" dxfId="19722" priority="516">
      <formula>$C56="Garlic Purchase"</formula>
    </cfRule>
    <cfRule type="expression" dxfId="19721" priority="517">
      <formula>$C56="Ginger Purchase"</formula>
    </cfRule>
  </conditionalFormatting>
  <conditionalFormatting sqref="B56">
    <cfRule type="expression" dxfId="19720" priority="518">
      <formula>$C56="Advance"</formula>
    </cfRule>
  </conditionalFormatting>
  <conditionalFormatting sqref="B56">
    <cfRule type="expression" dxfId="19719" priority="499">
      <formula>$C56="Delivery charge"</formula>
    </cfRule>
    <cfRule type="expression" dxfId="19718" priority="500">
      <formula>$C56="Staff Salary"</formula>
    </cfRule>
    <cfRule type="expression" dxfId="19717" priority="501">
      <formula>$C56="Rent"</formula>
    </cfRule>
    <cfRule type="expression" dxfId="19716" priority="502">
      <formula>$C56="Petrol"</formula>
    </cfRule>
    <cfRule type="expression" dxfId="19715" priority="503">
      <formula>$C56="Bills"</formula>
    </cfRule>
    <cfRule type="expression" dxfId="19714" priority="504">
      <formula>$C56="Sales"</formula>
    </cfRule>
    <cfRule type="expression" dxfId="19713" priority="505">
      <formula>$C56="Expences"</formula>
    </cfRule>
    <cfRule type="expression" dxfId="19712" priority="506">
      <formula>$C56="Garlic Purchase"</formula>
    </cfRule>
    <cfRule type="expression" dxfId="19711" priority="507">
      <formula>$C56="Ginger Purchase"</formula>
    </cfRule>
  </conditionalFormatting>
  <conditionalFormatting sqref="B56">
    <cfRule type="expression" dxfId="19710" priority="508">
      <formula>$C56="Advance"</formula>
    </cfRule>
  </conditionalFormatting>
  <conditionalFormatting sqref="B56">
    <cfRule type="expression" dxfId="19709" priority="489">
      <formula>$C56="Delivery charge"</formula>
    </cfRule>
    <cfRule type="expression" dxfId="19708" priority="490">
      <formula>$C56="Staff Salary"</formula>
    </cfRule>
    <cfRule type="expression" dxfId="19707" priority="491">
      <formula>$C56="Rent"</formula>
    </cfRule>
    <cfRule type="expression" dxfId="19706" priority="492">
      <formula>$C56="Petrol"</formula>
    </cfRule>
    <cfRule type="expression" dxfId="19705" priority="493">
      <formula>$C56="Bills"</formula>
    </cfRule>
    <cfRule type="expression" dxfId="19704" priority="494">
      <formula>$C56="Sales"</formula>
    </cfRule>
    <cfRule type="expression" dxfId="19703" priority="495">
      <formula>$C56="Expences"</formula>
    </cfRule>
    <cfRule type="expression" dxfId="19702" priority="496">
      <formula>$C56="Garlic Purchase"</formula>
    </cfRule>
    <cfRule type="expression" dxfId="19701" priority="497">
      <formula>$C56="Ginger Purchase"</formula>
    </cfRule>
  </conditionalFormatting>
  <conditionalFormatting sqref="B56">
    <cfRule type="expression" dxfId="19700" priority="498">
      <formula>$C56="Advance"</formula>
    </cfRule>
  </conditionalFormatting>
  <conditionalFormatting sqref="B56">
    <cfRule type="expression" dxfId="19699" priority="479">
      <formula>$C56="Delivery charge"</formula>
    </cfRule>
    <cfRule type="expression" dxfId="19698" priority="480">
      <formula>$C56="Staff Salary"</formula>
    </cfRule>
    <cfRule type="expression" dxfId="19697" priority="481">
      <formula>$C56="Rent"</formula>
    </cfRule>
    <cfRule type="expression" dxfId="19696" priority="482">
      <formula>$C56="Petrol"</formula>
    </cfRule>
    <cfRule type="expression" dxfId="19695" priority="483">
      <formula>$C56="Bills"</formula>
    </cfRule>
    <cfRule type="expression" dxfId="19694" priority="484">
      <formula>$C56="Sales"</formula>
    </cfRule>
    <cfRule type="expression" dxfId="19693" priority="485">
      <formula>$C56="Expences"</formula>
    </cfRule>
    <cfRule type="expression" dxfId="19692" priority="486">
      <formula>$C56="Garlic Purchase"</formula>
    </cfRule>
    <cfRule type="expression" dxfId="19691" priority="487">
      <formula>$C56="Ginger Purchase"</formula>
    </cfRule>
  </conditionalFormatting>
  <conditionalFormatting sqref="B56">
    <cfRule type="expression" dxfId="19690" priority="488">
      <formula>$C56="Advance"</formula>
    </cfRule>
  </conditionalFormatting>
  <conditionalFormatting sqref="B56">
    <cfRule type="expression" dxfId="19689" priority="469">
      <formula>$C56="Delivery charge"</formula>
    </cfRule>
    <cfRule type="expression" dxfId="19688" priority="470">
      <formula>$C56="Staff Salary"</formula>
    </cfRule>
    <cfRule type="expression" dxfId="19687" priority="471">
      <formula>$C56="Rent"</formula>
    </cfRule>
    <cfRule type="expression" dxfId="19686" priority="472">
      <formula>$C56="Petrol"</formula>
    </cfRule>
    <cfRule type="expression" dxfId="19685" priority="473">
      <formula>$C56="Bills"</formula>
    </cfRule>
    <cfRule type="expression" dxfId="19684" priority="474">
      <formula>$C56="Sales"</formula>
    </cfRule>
    <cfRule type="expression" dxfId="19683" priority="475">
      <formula>$C56="Expences"</formula>
    </cfRule>
    <cfRule type="expression" dxfId="19682" priority="476">
      <formula>$C56="Garlic Purchase"</formula>
    </cfRule>
    <cfRule type="expression" dxfId="19681" priority="477">
      <formula>$C56="Ginger Purchase"</formula>
    </cfRule>
  </conditionalFormatting>
  <conditionalFormatting sqref="B56">
    <cfRule type="expression" dxfId="19680" priority="478">
      <formula>$C56="Advance"</formula>
    </cfRule>
  </conditionalFormatting>
  <conditionalFormatting sqref="B56">
    <cfRule type="expression" dxfId="19679" priority="459">
      <formula>$C56="Delivery charge"</formula>
    </cfRule>
    <cfRule type="expression" dxfId="19678" priority="460">
      <formula>$C56="Staff Salary"</formula>
    </cfRule>
    <cfRule type="expression" dxfId="19677" priority="461">
      <formula>$C56="Rent"</formula>
    </cfRule>
    <cfRule type="expression" dxfId="19676" priority="462">
      <formula>$C56="Petrol"</formula>
    </cfRule>
    <cfRule type="expression" dxfId="19675" priority="463">
      <formula>$C56="Bills"</formula>
    </cfRule>
    <cfRule type="expression" dxfId="19674" priority="464">
      <formula>$C56="Sales"</formula>
    </cfRule>
    <cfRule type="expression" dxfId="19673" priority="465">
      <formula>$C56="Expences"</formula>
    </cfRule>
    <cfRule type="expression" dxfId="19672" priority="466">
      <formula>$C56="Garlic Purchase"</formula>
    </cfRule>
    <cfRule type="expression" dxfId="19671" priority="467">
      <formula>$C56="Ginger Purchase"</formula>
    </cfRule>
  </conditionalFormatting>
  <conditionalFormatting sqref="B56">
    <cfRule type="expression" dxfId="19670" priority="468">
      <formula>$C56="Advance"</formula>
    </cfRule>
  </conditionalFormatting>
  <conditionalFormatting sqref="B56">
    <cfRule type="expression" dxfId="19669" priority="449">
      <formula>$C56="Delivery charge"</formula>
    </cfRule>
    <cfRule type="expression" dxfId="19668" priority="450">
      <formula>$C56="Staff Salary"</formula>
    </cfRule>
    <cfRule type="expression" dxfId="19667" priority="451">
      <formula>$C56="Rent"</formula>
    </cfRule>
    <cfRule type="expression" dxfId="19666" priority="452">
      <formula>$C56="Petrol"</formula>
    </cfRule>
    <cfRule type="expression" dxfId="19665" priority="453">
      <formula>$C56="Bills"</formula>
    </cfRule>
    <cfRule type="expression" dxfId="19664" priority="454">
      <formula>$C56="Sales"</formula>
    </cfRule>
    <cfRule type="expression" dxfId="19663" priority="455">
      <formula>$C56="Expences"</formula>
    </cfRule>
    <cfRule type="expression" dxfId="19662" priority="456">
      <formula>$C56="Garlic Purchase"</formula>
    </cfRule>
    <cfRule type="expression" dxfId="19661" priority="457">
      <formula>$C56="Ginger Purchase"</formula>
    </cfRule>
  </conditionalFormatting>
  <conditionalFormatting sqref="B56">
    <cfRule type="expression" dxfId="19660" priority="458">
      <formula>$C56="Advance"</formula>
    </cfRule>
  </conditionalFormatting>
  <conditionalFormatting sqref="B56">
    <cfRule type="expression" dxfId="19659" priority="448">
      <formula>$C56="Advance"</formula>
    </cfRule>
  </conditionalFormatting>
  <conditionalFormatting sqref="B56">
    <cfRule type="expression" dxfId="19658" priority="439">
      <formula>$C56="Delivery charge"</formula>
    </cfRule>
    <cfRule type="expression" dxfId="19657" priority="440">
      <formula>$C56="Staff Salary"</formula>
    </cfRule>
    <cfRule type="expression" dxfId="19656" priority="441">
      <formula>$C56="Rent"</formula>
    </cfRule>
    <cfRule type="expression" dxfId="19655" priority="442">
      <formula>$C56="Petrol"</formula>
    </cfRule>
    <cfRule type="expression" dxfId="19654" priority="443">
      <formula>$C56="Bills"</formula>
    </cfRule>
    <cfRule type="expression" dxfId="19653" priority="444">
      <formula>$C56="Sales"</formula>
    </cfRule>
    <cfRule type="expression" dxfId="19652" priority="445">
      <formula>$C56="Expences"</formula>
    </cfRule>
    <cfRule type="expression" dxfId="19651" priority="446">
      <formula>$C56="Garlic Purchase"</formula>
    </cfRule>
    <cfRule type="expression" dxfId="19650" priority="447">
      <formula>$C56="Ginger Purchase"</formula>
    </cfRule>
  </conditionalFormatting>
  <conditionalFormatting sqref="B57">
    <cfRule type="expression" dxfId="19649" priority="429">
      <formula>$C57="Delivery charge"</formula>
    </cfRule>
    <cfRule type="expression" dxfId="19648" priority="430">
      <formula>$C57="Staff Salary"</formula>
    </cfRule>
    <cfRule type="expression" dxfId="19647" priority="431">
      <formula>$C57="Rent"</formula>
    </cfRule>
    <cfRule type="expression" dxfId="19646" priority="432">
      <formula>$C57="Petrol"</formula>
    </cfRule>
    <cfRule type="expression" dxfId="19645" priority="433">
      <formula>$C57="Bills"</formula>
    </cfRule>
    <cfRule type="expression" dxfId="19644" priority="434">
      <formula>$C57="Sales"</formula>
    </cfRule>
    <cfRule type="expression" dxfId="19643" priority="435">
      <formula>$C57="Expences"</formula>
    </cfRule>
    <cfRule type="expression" dxfId="19642" priority="436">
      <formula>$C57="Garlic Purchase"</formula>
    </cfRule>
    <cfRule type="expression" dxfId="19641" priority="437">
      <formula>$C57="Ginger Purchase"</formula>
    </cfRule>
  </conditionalFormatting>
  <conditionalFormatting sqref="B57">
    <cfRule type="expression" dxfId="19640" priority="438">
      <formula>$C57="Advance"</formula>
    </cfRule>
  </conditionalFormatting>
  <conditionalFormatting sqref="B57">
    <cfRule type="expression" dxfId="19639" priority="419">
      <formula>$C57="Delivery charge"</formula>
    </cfRule>
    <cfRule type="expression" dxfId="19638" priority="420">
      <formula>$C57="Staff Salary"</formula>
    </cfRule>
    <cfRule type="expression" dxfId="19637" priority="421">
      <formula>$C57="Rent"</formula>
    </cfRule>
    <cfRule type="expression" dxfId="19636" priority="422">
      <formula>$C57="Petrol"</formula>
    </cfRule>
    <cfRule type="expression" dxfId="19635" priority="423">
      <formula>$C57="Bills"</formula>
    </cfRule>
    <cfRule type="expression" dxfId="19634" priority="424">
      <formula>$C57="Sales"</formula>
    </cfRule>
    <cfRule type="expression" dxfId="19633" priority="425">
      <formula>$C57="Expences"</formula>
    </cfRule>
    <cfRule type="expression" dxfId="19632" priority="426">
      <formula>$C57="Garlic Purchase"</formula>
    </cfRule>
    <cfRule type="expression" dxfId="19631" priority="427">
      <formula>$C57="Ginger Purchase"</formula>
    </cfRule>
  </conditionalFormatting>
  <conditionalFormatting sqref="B57">
    <cfRule type="expression" dxfId="19630" priority="428">
      <formula>$C57="Advance"</formula>
    </cfRule>
  </conditionalFormatting>
  <conditionalFormatting sqref="B57">
    <cfRule type="expression" dxfId="19629" priority="409">
      <formula>$C57="Delivery charge"</formula>
    </cfRule>
    <cfRule type="expression" dxfId="19628" priority="410">
      <formula>$C57="Staff Salary"</formula>
    </cfRule>
    <cfRule type="expression" dxfId="19627" priority="411">
      <formula>$C57="Rent"</formula>
    </cfRule>
    <cfRule type="expression" dxfId="19626" priority="412">
      <formula>$C57="Petrol"</formula>
    </cfRule>
    <cfRule type="expression" dxfId="19625" priority="413">
      <formula>$C57="Bills"</formula>
    </cfRule>
    <cfRule type="expression" dxfId="19624" priority="414">
      <formula>$C57="Sales"</formula>
    </cfRule>
    <cfRule type="expression" dxfId="19623" priority="415">
      <formula>$C57="Expences"</formula>
    </cfRule>
    <cfRule type="expression" dxfId="19622" priority="416">
      <formula>$C57="Garlic Purchase"</formula>
    </cfRule>
    <cfRule type="expression" dxfId="19621" priority="417">
      <formula>$C57="Ginger Purchase"</formula>
    </cfRule>
  </conditionalFormatting>
  <conditionalFormatting sqref="B57">
    <cfRule type="expression" dxfId="19620" priority="418">
      <formula>$C57="Advance"</formula>
    </cfRule>
  </conditionalFormatting>
  <conditionalFormatting sqref="B57">
    <cfRule type="expression" dxfId="19619" priority="399">
      <formula>$C57="Delivery charge"</formula>
    </cfRule>
    <cfRule type="expression" dxfId="19618" priority="400">
      <formula>$C57="Staff Salary"</formula>
    </cfRule>
    <cfRule type="expression" dxfId="19617" priority="401">
      <formula>$C57="Rent"</formula>
    </cfRule>
    <cfRule type="expression" dxfId="19616" priority="402">
      <formula>$C57="Petrol"</formula>
    </cfRule>
    <cfRule type="expression" dxfId="19615" priority="403">
      <formula>$C57="Bills"</formula>
    </cfRule>
    <cfRule type="expression" dxfId="19614" priority="404">
      <formula>$C57="Sales"</formula>
    </cfRule>
    <cfRule type="expression" dxfId="19613" priority="405">
      <formula>$C57="Expences"</formula>
    </cfRule>
    <cfRule type="expression" dxfId="19612" priority="406">
      <formula>$C57="Garlic Purchase"</formula>
    </cfRule>
    <cfRule type="expression" dxfId="19611" priority="407">
      <formula>$C57="Ginger Purchase"</formula>
    </cfRule>
  </conditionalFormatting>
  <conditionalFormatting sqref="B57">
    <cfRule type="expression" dxfId="19610" priority="408">
      <formula>$C57="Advance"</formula>
    </cfRule>
  </conditionalFormatting>
  <conditionalFormatting sqref="B57">
    <cfRule type="expression" dxfId="19609" priority="389">
      <formula>$C57="Delivery charge"</formula>
    </cfRule>
    <cfRule type="expression" dxfId="19608" priority="390">
      <formula>$C57="Staff Salary"</formula>
    </cfRule>
    <cfRule type="expression" dxfId="19607" priority="391">
      <formula>$C57="Rent"</formula>
    </cfRule>
    <cfRule type="expression" dxfId="19606" priority="392">
      <formula>$C57="Petrol"</formula>
    </cfRule>
    <cfRule type="expression" dxfId="19605" priority="393">
      <formula>$C57="Bills"</formula>
    </cfRule>
    <cfRule type="expression" dxfId="19604" priority="394">
      <formula>$C57="Sales"</formula>
    </cfRule>
    <cfRule type="expression" dxfId="19603" priority="395">
      <formula>$C57="Expences"</formula>
    </cfRule>
    <cfRule type="expression" dxfId="19602" priority="396">
      <formula>$C57="Garlic Purchase"</formula>
    </cfRule>
    <cfRule type="expression" dxfId="19601" priority="397">
      <formula>$C57="Ginger Purchase"</formula>
    </cfRule>
  </conditionalFormatting>
  <conditionalFormatting sqref="B57">
    <cfRule type="expression" dxfId="19600" priority="398">
      <formula>$C57="Advance"</formula>
    </cfRule>
  </conditionalFormatting>
  <conditionalFormatting sqref="B57">
    <cfRule type="expression" dxfId="19599" priority="379">
      <formula>$C57="Delivery charge"</formula>
    </cfRule>
    <cfRule type="expression" dxfId="19598" priority="380">
      <formula>$C57="Staff Salary"</formula>
    </cfRule>
    <cfRule type="expression" dxfId="19597" priority="381">
      <formula>$C57="Rent"</formula>
    </cfRule>
    <cfRule type="expression" dxfId="19596" priority="382">
      <formula>$C57="Petrol"</formula>
    </cfRule>
    <cfRule type="expression" dxfId="19595" priority="383">
      <formula>$C57="Bills"</formula>
    </cfRule>
    <cfRule type="expression" dxfId="19594" priority="384">
      <formula>$C57="Sales"</formula>
    </cfRule>
    <cfRule type="expression" dxfId="19593" priority="385">
      <formula>$C57="Expences"</formula>
    </cfRule>
    <cfRule type="expression" dxfId="19592" priority="386">
      <formula>$C57="Garlic Purchase"</formula>
    </cfRule>
    <cfRule type="expression" dxfId="19591" priority="387">
      <formula>$C57="Ginger Purchase"</formula>
    </cfRule>
  </conditionalFormatting>
  <conditionalFormatting sqref="B57">
    <cfRule type="expression" dxfId="19590" priority="388">
      <formula>$C57="Advance"</formula>
    </cfRule>
  </conditionalFormatting>
  <conditionalFormatting sqref="B57">
    <cfRule type="expression" dxfId="19589" priority="369">
      <formula>$C57="Delivery charge"</formula>
    </cfRule>
    <cfRule type="expression" dxfId="19588" priority="370">
      <formula>$C57="Staff Salary"</formula>
    </cfRule>
    <cfRule type="expression" dxfId="19587" priority="371">
      <formula>$C57="Rent"</formula>
    </cfRule>
    <cfRule type="expression" dxfId="19586" priority="372">
      <formula>$C57="Petrol"</formula>
    </cfRule>
    <cfRule type="expression" dxfId="19585" priority="373">
      <formula>$C57="Bills"</formula>
    </cfRule>
    <cfRule type="expression" dxfId="19584" priority="374">
      <formula>$C57="Sales"</formula>
    </cfRule>
    <cfRule type="expression" dxfId="19583" priority="375">
      <formula>$C57="Expences"</formula>
    </cfRule>
    <cfRule type="expression" dxfId="19582" priority="376">
      <formula>$C57="Garlic Purchase"</formula>
    </cfRule>
    <cfRule type="expression" dxfId="19581" priority="377">
      <formula>$C57="Ginger Purchase"</formula>
    </cfRule>
  </conditionalFormatting>
  <conditionalFormatting sqref="B57">
    <cfRule type="expression" dxfId="19580" priority="378">
      <formula>$C57="Advance"</formula>
    </cfRule>
  </conditionalFormatting>
  <conditionalFormatting sqref="B57">
    <cfRule type="expression" dxfId="19579" priority="359">
      <formula>$C57="Delivery charge"</formula>
    </cfRule>
    <cfRule type="expression" dxfId="19578" priority="360">
      <formula>$C57="Staff Salary"</formula>
    </cfRule>
    <cfRule type="expression" dxfId="19577" priority="361">
      <formula>$C57="Rent"</formula>
    </cfRule>
    <cfRule type="expression" dxfId="19576" priority="362">
      <formula>$C57="Petrol"</formula>
    </cfRule>
    <cfRule type="expression" dxfId="19575" priority="363">
      <formula>$C57="Bills"</formula>
    </cfRule>
    <cfRule type="expression" dxfId="19574" priority="364">
      <formula>$C57="Sales"</formula>
    </cfRule>
    <cfRule type="expression" dxfId="19573" priority="365">
      <formula>$C57="Expences"</formula>
    </cfRule>
    <cfRule type="expression" dxfId="19572" priority="366">
      <formula>$C57="Garlic Purchase"</formula>
    </cfRule>
    <cfRule type="expression" dxfId="19571" priority="367">
      <formula>$C57="Ginger Purchase"</formula>
    </cfRule>
  </conditionalFormatting>
  <conditionalFormatting sqref="B57">
    <cfRule type="expression" dxfId="19570" priority="368">
      <formula>$C57="Advance"</formula>
    </cfRule>
  </conditionalFormatting>
  <conditionalFormatting sqref="B57">
    <cfRule type="expression" dxfId="19569" priority="349">
      <formula>$C57="Delivery charge"</formula>
    </cfRule>
    <cfRule type="expression" dxfId="19568" priority="350">
      <formula>$C57="Staff Salary"</formula>
    </cfRule>
    <cfRule type="expression" dxfId="19567" priority="351">
      <formula>$C57="Rent"</formula>
    </cfRule>
    <cfRule type="expression" dxfId="19566" priority="352">
      <formula>$C57="Petrol"</formula>
    </cfRule>
    <cfRule type="expression" dxfId="19565" priority="353">
      <formula>$C57="Bills"</formula>
    </cfRule>
    <cfRule type="expression" dxfId="19564" priority="354">
      <formula>$C57="Sales"</formula>
    </cfRule>
    <cfRule type="expression" dxfId="19563" priority="355">
      <formula>$C57="Expences"</formula>
    </cfRule>
    <cfRule type="expression" dxfId="19562" priority="356">
      <formula>$C57="Garlic Purchase"</formula>
    </cfRule>
    <cfRule type="expression" dxfId="19561" priority="357">
      <formula>$C57="Ginger Purchase"</formula>
    </cfRule>
  </conditionalFormatting>
  <conditionalFormatting sqref="B57">
    <cfRule type="expression" dxfId="19560" priority="358">
      <formula>$C57="Advance"</formula>
    </cfRule>
  </conditionalFormatting>
  <conditionalFormatting sqref="B57">
    <cfRule type="expression" dxfId="19559" priority="339">
      <formula>$C57="Delivery charge"</formula>
    </cfRule>
    <cfRule type="expression" dxfId="19558" priority="340">
      <formula>$C57="Staff Salary"</formula>
    </cfRule>
    <cfRule type="expression" dxfId="19557" priority="341">
      <formula>$C57="Rent"</formula>
    </cfRule>
    <cfRule type="expression" dxfId="19556" priority="342">
      <formula>$C57="Petrol"</formula>
    </cfRule>
    <cfRule type="expression" dxfId="19555" priority="343">
      <formula>$C57="Bills"</formula>
    </cfRule>
    <cfRule type="expression" dxfId="19554" priority="344">
      <formula>$C57="Sales"</formula>
    </cfRule>
    <cfRule type="expression" dxfId="19553" priority="345">
      <formula>$C57="Expences"</formula>
    </cfRule>
    <cfRule type="expression" dxfId="19552" priority="346">
      <formula>$C57="Garlic Purchase"</formula>
    </cfRule>
    <cfRule type="expression" dxfId="19551" priority="347">
      <formula>$C57="Ginger Purchase"</formula>
    </cfRule>
  </conditionalFormatting>
  <conditionalFormatting sqref="B57">
    <cfRule type="expression" dxfId="19550" priority="348">
      <formula>$C57="Advance"</formula>
    </cfRule>
  </conditionalFormatting>
  <conditionalFormatting sqref="B57">
    <cfRule type="expression" dxfId="19549" priority="329">
      <formula>$C57="Delivery charge"</formula>
    </cfRule>
    <cfRule type="expression" dxfId="19548" priority="330">
      <formula>$C57="Staff Salary"</formula>
    </cfRule>
    <cfRule type="expression" dxfId="19547" priority="331">
      <formula>$C57="Rent"</formula>
    </cfRule>
    <cfRule type="expression" dxfId="19546" priority="332">
      <formula>$C57="Petrol"</formula>
    </cfRule>
    <cfRule type="expression" dxfId="19545" priority="333">
      <formula>$C57="Bills"</formula>
    </cfRule>
    <cfRule type="expression" dxfId="19544" priority="334">
      <formula>$C57="Sales"</formula>
    </cfRule>
    <cfRule type="expression" dxfId="19543" priority="335">
      <formula>$C57="Expences"</formula>
    </cfRule>
    <cfRule type="expression" dxfId="19542" priority="336">
      <formula>$C57="Garlic Purchase"</formula>
    </cfRule>
    <cfRule type="expression" dxfId="19541" priority="337">
      <formula>$C57="Ginger Purchase"</formula>
    </cfRule>
  </conditionalFormatting>
  <conditionalFormatting sqref="B57">
    <cfRule type="expression" dxfId="19540" priority="338">
      <formula>$C57="Advance"</formula>
    </cfRule>
  </conditionalFormatting>
  <conditionalFormatting sqref="B56">
    <cfRule type="expression" dxfId="19539" priority="319">
      <formula>$C56="Delivery charge"</formula>
    </cfRule>
    <cfRule type="expression" dxfId="19538" priority="320">
      <formula>$C56="Staff Salary"</formula>
    </cfRule>
    <cfRule type="expression" dxfId="19537" priority="321">
      <formula>$C56="Rent"</formula>
    </cfRule>
    <cfRule type="expression" dxfId="19536" priority="322">
      <formula>$C56="Petrol"</formula>
    </cfRule>
    <cfRule type="expression" dxfId="19535" priority="323">
      <formula>$C56="Bills"</formula>
    </cfRule>
    <cfRule type="expression" dxfId="19534" priority="324">
      <formula>$C56="Sales"</formula>
    </cfRule>
    <cfRule type="expression" dxfId="19533" priority="325">
      <formula>$C56="Expences"</formula>
    </cfRule>
    <cfRule type="expression" dxfId="19532" priority="326">
      <formula>$C56="Garlic Purchase"</formula>
    </cfRule>
    <cfRule type="expression" dxfId="19531" priority="327">
      <formula>$C56="Ginger Purchase"</formula>
    </cfRule>
  </conditionalFormatting>
  <conditionalFormatting sqref="B56">
    <cfRule type="expression" dxfId="19530" priority="328">
      <formula>$C56="Advance"</formula>
    </cfRule>
  </conditionalFormatting>
  <conditionalFormatting sqref="B57">
    <cfRule type="expression" dxfId="19529" priority="309">
      <formula>$C57="Delivery charge"</formula>
    </cfRule>
    <cfRule type="expression" dxfId="19528" priority="310">
      <formula>$C57="Staff Salary"</formula>
    </cfRule>
    <cfRule type="expression" dxfId="19527" priority="311">
      <formula>$C57="Rent"</formula>
    </cfRule>
    <cfRule type="expression" dxfId="19526" priority="312">
      <formula>$C57="Petrol"</formula>
    </cfRule>
    <cfRule type="expression" dxfId="19525" priority="313">
      <formula>$C57="Bills"</formula>
    </cfRule>
    <cfRule type="expression" dxfId="19524" priority="314">
      <formula>$C57="Sales"</formula>
    </cfRule>
    <cfRule type="expression" dxfId="19523" priority="315">
      <formula>$C57="Expences"</formula>
    </cfRule>
    <cfRule type="expression" dxfId="19522" priority="316">
      <formula>$C57="Garlic Purchase"</formula>
    </cfRule>
    <cfRule type="expression" dxfId="19521" priority="317">
      <formula>$C57="Ginger Purchase"</formula>
    </cfRule>
  </conditionalFormatting>
  <conditionalFormatting sqref="B57">
    <cfRule type="expression" dxfId="19520" priority="318">
      <formula>$C57="Advance"</formula>
    </cfRule>
  </conditionalFormatting>
  <conditionalFormatting sqref="B57">
    <cfRule type="expression" dxfId="19519" priority="299">
      <formula>$C57="Delivery charge"</formula>
    </cfRule>
    <cfRule type="expression" dxfId="19518" priority="300">
      <formula>$C57="Staff Salary"</formula>
    </cfRule>
    <cfRule type="expression" dxfId="19517" priority="301">
      <formula>$C57="Rent"</formula>
    </cfRule>
    <cfRule type="expression" dxfId="19516" priority="302">
      <formula>$C57="Petrol"</formula>
    </cfRule>
    <cfRule type="expression" dxfId="19515" priority="303">
      <formula>$C57="Bills"</formula>
    </cfRule>
    <cfRule type="expression" dxfId="19514" priority="304">
      <formula>$C57="Sales"</formula>
    </cfRule>
    <cfRule type="expression" dxfId="19513" priority="305">
      <formula>$C57="Expences"</formula>
    </cfRule>
    <cfRule type="expression" dxfId="19512" priority="306">
      <formula>$C57="Garlic Purchase"</formula>
    </cfRule>
    <cfRule type="expression" dxfId="19511" priority="307">
      <formula>$C57="Ginger Purchase"</formula>
    </cfRule>
  </conditionalFormatting>
  <conditionalFormatting sqref="B57">
    <cfRule type="expression" dxfId="19510" priority="308">
      <formula>$C57="Advance"</formula>
    </cfRule>
  </conditionalFormatting>
  <conditionalFormatting sqref="B57">
    <cfRule type="expression" dxfId="19509" priority="289">
      <formula>$C57="Delivery charge"</formula>
    </cfRule>
    <cfRule type="expression" dxfId="19508" priority="290">
      <formula>$C57="Staff Salary"</formula>
    </cfRule>
    <cfRule type="expression" dxfId="19507" priority="291">
      <formula>$C57="Rent"</formula>
    </cfRule>
    <cfRule type="expression" dxfId="19506" priority="292">
      <formula>$C57="Petrol"</formula>
    </cfRule>
    <cfRule type="expression" dxfId="19505" priority="293">
      <formula>$C57="Bills"</formula>
    </cfRule>
    <cfRule type="expression" dxfId="19504" priority="294">
      <formula>$C57="Sales"</formula>
    </cfRule>
    <cfRule type="expression" dxfId="19503" priority="295">
      <formula>$C57="Expences"</formula>
    </cfRule>
    <cfRule type="expression" dxfId="19502" priority="296">
      <formula>$C57="Garlic Purchase"</formula>
    </cfRule>
    <cfRule type="expression" dxfId="19501" priority="297">
      <formula>$C57="Ginger Purchase"</formula>
    </cfRule>
  </conditionalFormatting>
  <conditionalFormatting sqref="B57">
    <cfRule type="expression" dxfId="19500" priority="298">
      <formula>$C57="Advance"</formula>
    </cfRule>
  </conditionalFormatting>
  <conditionalFormatting sqref="B57">
    <cfRule type="expression" dxfId="19499" priority="279">
      <formula>$C57="Delivery charge"</formula>
    </cfRule>
    <cfRule type="expression" dxfId="19498" priority="280">
      <formula>$C57="Staff Salary"</formula>
    </cfRule>
    <cfRule type="expression" dxfId="19497" priority="281">
      <formula>$C57="Rent"</formula>
    </cfRule>
    <cfRule type="expression" dxfId="19496" priority="282">
      <formula>$C57="Petrol"</formula>
    </cfRule>
    <cfRule type="expression" dxfId="19495" priority="283">
      <formula>$C57="Bills"</formula>
    </cfRule>
    <cfRule type="expression" dxfId="19494" priority="284">
      <formula>$C57="Sales"</formula>
    </cfRule>
    <cfRule type="expression" dxfId="19493" priority="285">
      <formula>$C57="Expences"</formula>
    </cfRule>
    <cfRule type="expression" dxfId="19492" priority="286">
      <formula>$C57="Garlic Purchase"</formula>
    </cfRule>
    <cfRule type="expression" dxfId="19491" priority="287">
      <formula>$C57="Ginger Purchase"</formula>
    </cfRule>
  </conditionalFormatting>
  <conditionalFormatting sqref="B57">
    <cfRule type="expression" dxfId="19490" priority="288">
      <formula>$C57="Advance"</formula>
    </cfRule>
  </conditionalFormatting>
  <conditionalFormatting sqref="B56">
    <cfRule type="expression" dxfId="19489" priority="269">
      <formula>$C56="Delivery charge"</formula>
    </cfRule>
    <cfRule type="expression" dxfId="19488" priority="270">
      <formula>$C56="Staff Salary"</formula>
    </cfRule>
    <cfRule type="expression" dxfId="19487" priority="271">
      <formula>$C56="Rent"</formula>
    </cfRule>
    <cfRule type="expression" dxfId="19486" priority="272">
      <formula>$C56="Petrol"</formula>
    </cfRule>
    <cfRule type="expression" dxfId="19485" priority="273">
      <formula>$C56="Bills"</formula>
    </cfRule>
    <cfRule type="expression" dxfId="19484" priority="274">
      <formula>$C56="Sales"</formula>
    </cfRule>
    <cfRule type="expression" dxfId="19483" priority="275">
      <formula>$C56="Expences"</formula>
    </cfRule>
    <cfRule type="expression" dxfId="19482" priority="276">
      <formula>$C56="Garlic Purchase"</formula>
    </cfRule>
    <cfRule type="expression" dxfId="19481" priority="277">
      <formula>$C56="Ginger Purchase"</formula>
    </cfRule>
  </conditionalFormatting>
  <conditionalFormatting sqref="B56">
    <cfRule type="expression" dxfId="19480" priority="278">
      <formula>$C56="Advance"</formula>
    </cfRule>
  </conditionalFormatting>
  <conditionalFormatting sqref="B56">
    <cfRule type="expression" dxfId="19479" priority="259">
      <formula>$C56="Delivery charge"</formula>
    </cfRule>
    <cfRule type="expression" dxfId="19478" priority="260">
      <formula>$C56="Staff Salary"</formula>
    </cfRule>
    <cfRule type="expression" dxfId="19477" priority="261">
      <formula>$C56="Rent"</formula>
    </cfRule>
    <cfRule type="expression" dxfId="19476" priority="262">
      <formula>$C56="Petrol"</formula>
    </cfRule>
    <cfRule type="expression" dxfId="19475" priority="263">
      <formula>$C56="Bills"</formula>
    </cfRule>
    <cfRule type="expression" dxfId="19474" priority="264">
      <formula>$C56="Sales"</formula>
    </cfRule>
    <cfRule type="expression" dxfId="19473" priority="265">
      <formula>$C56="Expences"</formula>
    </cfRule>
    <cfRule type="expression" dxfId="19472" priority="266">
      <formula>$C56="Garlic Purchase"</formula>
    </cfRule>
    <cfRule type="expression" dxfId="19471" priority="267">
      <formula>$C56="Ginger Purchase"</formula>
    </cfRule>
  </conditionalFormatting>
  <conditionalFormatting sqref="B56">
    <cfRule type="expression" dxfId="19470" priority="268">
      <formula>$C56="Advance"</formula>
    </cfRule>
  </conditionalFormatting>
  <conditionalFormatting sqref="B56">
    <cfRule type="expression" dxfId="19469" priority="249">
      <formula>$C56="Delivery charge"</formula>
    </cfRule>
    <cfRule type="expression" dxfId="19468" priority="250">
      <formula>$C56="Staff Salary"</formula>
    </cfRule>
    <cfRule type="expression" dxfId="19467" priority="251">
      <formula>$C56="Rent"</formula>
    </cfRule>
    <cfRule type="expression" dxfId="19466" priority="252">
      <formula>$C56="Petrol"</formula>
    </cfRule>
    <cfRule type="expression" dxfId="19465" priority="253">
      <formula>$C56="Bills"</formula>
    </cfRule>
    <cfRule type="expression" dxfId="19464" priority="254">
      <formula>$C56="Sales"</formula>
    </cfRule>
    <cfRule type="expression" dxfId="19463" priority="255">
      <formula>$C56="Expences"</formula>
    </cfRule>
    <cfRule type="expression" dxfId="19462" priority="256">
      <formula>$C56="Garlic Purchase"</formula>
    </cfRule>
    <cfRule type="expression" dxfId="19461" priority="257">
      <formula>$C56="Ginger Purchase"</formula>
    </cfRule>
  </conditionalFormatting>
  <conditionalFormatting sqref="B56">
    <cfRule type="expression" dxfId="19460" priority="258">
      <formula>$C56="Advance"</formula>
    </cfRule>
  </conditionalFormatting>
  <conditionalFormatting sqref="B58">
    <cfRule type="expression" dxfId="19459" priority="28">
      <formula>$C57="Advance"</formula>
    </cfRule>
  </conditionalFormatting>
  <conditionalFormatting sqref="B58">
    <cfRule type="expression" dxfId="19458" priority="19">
      <formula>$C57="Delivery charge"</formula>
    </cfRule>
    <cfRule type="expression" dxfId="19457" priority="20">
      <formula>$C57="Staff Salary"</formula>
    </cfRule>
    <cfRule type="expression" dxfId="19456" priority="21">
      <formula>$C57="Rent"</formula>
    </cfRule>
    <cfRule type="expression" dxfId="19455" priority="22">
      <formula>$C57="Petrol"</formula>
    </cfRule>
    <cfRule type="expression" dxfId="19454" priority="23">
      <formula>$C57="Bills"</formula>
    </cfRule>
    <cfRule type="expression" dxfId="19453" priority="24">
      <formula>$C57="Sales"</formula>
    </cfRule>
    <cfRule type="expression" dxfId="19452" priority="25">
      <formula>$C57="Expences"</formula>
    </cfRule>
    <cfRule type="expression" dxfId="19451" priority="26">
      <formula>$C57="Garlic Purchase"</formula>
    </cfRule>
    <cfRule type="expression" dxfId="19450" priority="27">
      <formula>$C57="Ginger Purchase"</formula>
    </cfRule>
  </conditionalFormatting>
  <conditionalFormatting sqref="A64:A76">
    <cfRule type="expression" dxfId="19449" priority="18">
      <formula>$C64="Advance"</formula>
    </cfRule>
  </conditionalFormatting>
  <conditionalFormatting sqref="A77">
    <cfRule type="expression" dxfId="19448" priority="17">
      <formula>$C77="Advance"</formula>
    </cfRule>
  </conditionalFormatting>
  <conditionalFormatting sqref="A78:A88">
    <cfRule type="expression" dxfId="19447" priority="16">
      <formula>$C78="Advance"</formula>
    </cfRule>
  </conditionalFormatting>
  <conditionalFormatting sqref="A89:A94">
    <cfRule type="expression" dxfId="19446" priority="15">
      <formula>$C89="Advance"</formula>
    </cfRule>
  </conditionalFormatting>
  <conditionalFormatting sqref="A95:A97">
    <cfRule type="expression" dxfId="19445" priority="14">
      <formula>$C95="Advance"</formula>
    </cfRule>
  </conditionalFormatting>
  <conditionalFormatting sqref="A98:A101">
    <cfRule type="expression" dxfId="19444" priority="13">
      <formula>$C98="Advance"</formula>
    </cfRule>
  </conditionalFormatting>
  <conditionalFormatting sqref="A102:A105">
    <cfRule type="expression" dxfId="19443" priority="12">
      <formula>$C102="Advance"</formula>
    </cfRule>
  </conditionalFormatting>
  <conditionalFormatting sqref="A106">
    <cfRule type="expression" dxfId="19442" priority="11">
      <formula>$C106="Advance"</formula>
    </cfRule>
  </conditionalFormatting>
  <conditionalFormatting sqref="A107:A114">
    <cfRule type="expression" dxfId="19441" priority="10">
      <formula>$C107="Advance"</formula>
    </cfRule>
  </conditionalFormatting>
  <conditionalFormatting sqref="A115:A117">
    <cfRule type="expression" dxfId="19440" priority="9">
      <formula>$C115="Advance"</formula>
    </cfRule>
  </conditionalFormatting>
  <conditionalFormatting sqref="A118">
    <cfRule type="expression" dxfId="19439" priority="8">
      <formula>$C118="Advance"</formula>
    </cfRule>
  </conditionalFormatting>
  <conditionalFormatting sqref="A119:A126">
    <cfRule type="expression" dxfId="19438" priority="7">
      <formula>$C119="Advance"</formula>
    </cfRule>
  </conditionalFormatting>
  <conditionalFormatting sqref="A127:A132">
    <cfRule type="expression" dxfId="19437" priority="6">
      <formula>$C127="Advance"</formula>
    </cfRule>
  </conditionalFormatting>
  <conditionalFormatting sqref="A133:A141">
    <cfRule type="expression" dxfId="19436" priority="5">
      <formula>$C133="Advance"</formula>
    </cfRule>
  </conditionalFormatting>
  <conditionalFormatting sqref="A142">
    <cfRule type="expression" dxfId="19435" priority="4">
      <formula>$C142="Advance"</formula>
    </cfRule>
  </conditionalFormatting>
  <conditionalFormatting sqref="A143">
    <cfRule type="expression" dxfId="19434" priority="3">
      <formula>$C143="Advance"</formula>
    </cfRule>
  </conditionalFormatting>
  <conditionalFormatting sqref="A144">
    <cfRule type="expression" dxfId="19433" priority="2">
      <formula>$C144="Advance"</formula>
    </cfRule>
  </conditionalFormatting>
  <conditionalFormatting sqref="A145:A146">
    <cfRule type="expression" dxfId="19432" priority="1">
      <formula>$C145="Advance"</formula>
    </cfRule>
  </conditionalFormatting>
  <pageMargins left="0.7" right="0.7" top="0.75" bottom="0.75" header="0" footer="0"/>
  <pageSetup paperSize="9" orientation="portrait" r:id="rId3"/>
  <drawing r:id="rId4"/>
  <tableParts count="1">
    <tablePart r:id="rId5"/>
  </tableParts>
  <extLst>
    <ext xmlns:x14="http://schemas.microsoft.com/office/spreadsheetml/2009/9/main" uri="{CCE6A557-97BC-4b89-ADB6-D9C93CAAB3DF}">
      <x14:dataValidations xmlns:xm="http://schemas.microsoft.com/office/excel/2006/main" count="39">
        <x14:dataValidation type="list" allowBlank="1" showInputMessage="1" showErrorMessage="1">
          <x14:formula1>
            <xm:f>Sheet2!$D$1:$D$14</xm:f>
          </x14:formula1>
          <xm:sqref>F3:F6</xm:sqref>
        </x14:dataValidation>
        <x14:dataValidation type="list" allowBlank="1" showInputMessage="1" showErrorMessage="1">
          <x14:formula1>
            <xm:f>Sheet2!$A$1:$A$15</xm:f>
          </x14:formula1>
          <xm:sqref>C11:C104</xm:sqref>
        </x14:dataValidation>
        <x14:dataValidation type="list" allowBlank="1" showInputMessage="1" showErrorMessage="1">
          <x14:formula1>
            <xm:f>Sheet2!$E$1:$E$6</xm:f>
          </x14:formula1>
          <xm:sqref>G2:G82</xm:sqref>
        </x14:dataValidation>
        <x14:dataValidation type="list" allowBlank="1" showInputMessage="1" showErrorMessage="1">
          <x14:formula1>
            <xm:f>Sheet2!$D$1:$D$8</xm:f>
          </x14:formula1>
          <xm:sqref>F2</xm:sqref>
        </x14:dataValidation>
        <x14:dataValidation type="list" allowBlank="1" showInputMessage="1" showErrorMessage="1">
          <x14:formula1>
            <xm:f>Sheet2!$A$1:$A$13</xm:f>
          </x14:formula1>
          <xm:sqref>C3:C10</xm:sqref>
        </x14:dataValidation>
        <x14:dataValidation type="list" allowBlank="1" showInputMessage="1" showErrorMessage="1">
          <x14:formula1>
            <xm:f>Sheet2!$D$1:$D$15</xm:f>
          </x14:formula1>
          <xm:sqref>F7</xm:sqref>
        </x14:dataValidation>
        <x14:dataValidation type="list" allowBlank="1" showInputMessage="1" showErrorMessage="1">
          <x14:formula1>
            <xm:f>Sheet2!$D$1:$D$16</xm:f>
          </x14:formula1>
          <xm:sqref>F8</xm:sqref>
        </x14:dataValidation>
        <x14:dataValidation type="list" allowBlank="1" showInputMessage="1" showErrorMessage="1">
          <x14:formula1>
            <xm:f>Sheet2!$D$1:$D$17</xm:f>
          </x14:formula1>
          <xm:sqref>F9:F12</xm:sqref>
        </x14:dataValidation>
        <x14:dataValidation type="list" allowBlank="1" showInputMessage="1" showErrorMessage="1">
          <x14:formula1>
            <xm:f>Sheet2!$D$1:$D$18</xm:f>
          </x14:formula1>
          <xm:sqref>F13</xm:sqref>
        </x14:dataValidation>
        <x14:dataValidation type="list" allowBlank="1" showInputMessage="1" showErrorMessage="1">
          <x14:formula1>
            <xm:f>Sheet2!$D$1:$D$19</xm:f>
          </x14:formula1>
          <xm:sqref>F14:F16</xm:sqref>
        </x14:dataValidation>
        <x14:dataValidation type="list" allowBlank="1" showInputMessage="1" showErrorMessage="1">
          <x14:formula1>
            <xm:f>Sheet2!$D$1:$D$20</xm:f>
          </x14:formula1>
          <xm:sqref>F17:F19</xm:sqref>
        </x14:dataValidation>
        <x14:dataValidation type="list" allowBlank="1" showInputMessage="1" showErrorMessage="1">
          <x14:formula1>
            <xm:f>Sheet2!$D$1:$D$21</xm:f>
          </x14:formula1>
          <xm:sqref>F20:F22</xm:sqref>
        </x14:dataValidation>
        <x14:dataValidation type="list" allowBlank="1" showInputMessage="1" showErrorMessage="1">
          <x14:formula1>
            <xm:f>Sheet2!$D$1:$D$24</xm:f>
          </x14:formula1>
          <xm:sqref>F23:F27</xm:sqref>
        </x14:dataValidation>
        <x14:dataValidation type="list" allowBlank="1" showInputMessage="1" showErrorMessage="1">
          <x14:formula1>
            <xm:f>Sheet2!$D$1:$D$26</xm:f>
          </x14:formula1>
          <xm:sqref>F28:F30</xm:sqref>
        </x14:dataValidation>
        <x14:dataValidation type="list" allowBlank="1" showInputMessage="1" showErrorMessage="1">
          <x14:formula1>
            <xm:f>Sheet2!$D$1:$D$27</xm:f>
          </x14:formula1>
          <xm:sqref>F31:F40</xm:sqref>
        </x14:dataValidation>
        <x14:dataValidation type="list" allowBlank="1" showInputMessage="1" showErrorMessage="1">
          <x14:formula1>
            <xm:f>Sheet2!$D$1:$D$28</xm:f>
          </x14:formula1>
          <xm:sqref>F41</xm:sqref>
        </x14:dataValidation>
        <x14:dataValidation type="list" allowBlank="1" showInputMessage="1" showErrorMessage="1">
          <x14:formula1>
            <xm:f>Sheet2!$D$1:$D$29</xm:f>
          </x14:formula1>
          <xm:sqref>F42:F49 F51:F55</xm:sqref>
        </x14:dataValidation>
        <x14:dataValidation type="list" allowBlank="1" showInputMessage="1" showErrorMessage="1">
          <x14:formula1>
            <xm:f>Sheet2!$D$1:$D$30</xm:f>
          </x14:formula1>
          <xm:sqref>F50</xm:sqref>
        </x14:dataValidation>
        <x14:dataValidation type="list" allowBlank="1" showInputMessage="1" showErrorMessage="1">
          <x14:formula1>
            <xm:f>Sheet2!$D$1:$D$31</xm:f>
          </x14:formula1>
          <xm:sqref>F56:F58</xm:sqref>
        </x14:dataValidation>
        <x14:dataValidation type="list" allowBlank="1" showInputMessage="1" showErrorMessage="1">
          <x14:formula1>
            <xm:f>Sheet2!$D$1:$D$32</xm:f>
          </x14:formula1>
          <xm:sqref>F59:F65</xm:sqref>
        </x14:dataValidation>
        <x14:dataValidation type="list" allowBlank="1" showInputMessage="1" showErrorMessage="1">
          <x14:formula1>
            <xm:f>Sheet2!$D$1:$D$33</xm:f>
          </x14:formula1>
          <xm:sqref>F66:F67</xm:sqref>
        </x14:dataValidation>
        <x14:dataValidation type="list" allowBlank="1" showInputMessage="1" showErrorMessage="1">
          <x14:formula1>
            <xm:f>Sheet2!$D$1:$D$34</xm:f>
          </x14:formula1>
          <xm:sqref>F68:F71</xm:sqref>
        </x14:dataValidation>
        <x14:dataValidation type="list" allowBlank="1" showInputMessage="1" showErrorMessage="1">
          <x14:formula1>
            <xm:f>Sheet2!$D$1:$D$35</xm:f>
          </x14:formula1>
          <xm:sqref>F72</xm:sqref>
        </x14:dataValidation>
        <x14:dataValidation type="list" allowBlank="1" showInputMessage="1" showErrorMessage="1">
          <x14:formula1>
            <xm:f>Sheet2!$D$1:$D$36</xm:f>
          </x14:formula1>
          <xm:sqref>F73:F77</xm:sqref>
        </x14:dataValidation>
        <x14:dataValidation type="list" allowBlank="1" showInputMessage="1" showErrorMessage="1">
          <x14:formula1>
            <xm:f>Sheet2!$D$1:$D$37</xm:f>
          </x14:formula1>
          <xm:sqref>F78:F85</xm:sqref>
        </x14:dataValidation>
        <x14:dataValidation type="list" allowBlank="1" showInputMessage="1" showErrorMessage="1">
          <x14:formula1>
            <xm:f>Sheet2!$D$1:$D$38</xm:f>
          </x14:formula1>
          <xm:sqref>F86:F101</xm:sqref>
        </x14:dataValidation>
        <x14:dataValidation type="list" allowBlank="1" showInputMessage="1" showErrorMessage="1">
          <x14:formula1>
            <xm:f>Sheet2!$D$1:$D$39</xm:f>
          </x14:formula1>
          <xm:sqref>F102:F122</xm:sqref>
        </x14:dataValidation>
        <x14:dataValidation type="list" allowBlank="1" showInputMessage="1" showErrorMessage="1">
          <x14:formula1>
            <xm:f>Sheet2!$D$1:$D$40</xm:f>
          </x14:formula1>
          <xm:sqref>F123:F134</xm:sqref>
        </x14:dataValidation>
        <x14:dataValidation type="list" allowBlank="1" showInputMessage="1" showErrorMessage="1">
          <x14:formula1>
            <xm:f>Sheet2!$D$1:$D$41</xm:f>
          </x14:formula1>
          <xm:sqref>F135:F139</xm:sqref>
        </x14:dataValidation>
        <x14:dataValidation type="list" allowBlank="1" showInputMessage="1" showErrorMessage="1">
          <x14:formula1>
            <xm:f>Sheet2!$D$1:$D$42</xm:f>
          </x14:formula1>
          <xm:sqref>F140:F151</xm:sqref>
        </x14:dataValidation>
        <x14:dataValidation type="list" allowBlank="1" showInputMessage="1" showErrorMessage="1">
          <x14:formula1>
            <xm:f>Sheet2!$D$1:$D$43</xm:f>
          </x14:formula1>
          <xm:sqref>F152:F166</xm:sqref>
        </x14:dataValidation>
        <x14:dataValidation type="list" allowBlank="1" showInputMessage="1" showErrorMessage="1">
          <x14:formula1>
            <xm:f>Sheet2!$D$1:$D$44</xm:f>
          </x14:formula1>
          <xm:sqref>F167:F250</xm:sqref>
        </x14:dataValidation>
        <x14:dataValidation type="list" allowBlank="1" showInputMessage="1" showErrorMessage="1">
          <x14:formula1>
            <xm:f>Sheet2!$C$1:$C$5</xm:f>
          </x14:formula1>
          <xm:sqref>K2:K340</xm:sqref>
        </x14:dataValidation>
        <x14:dataValidation type="list" allowBlank="1" showInputMessage="1" showErrorMessage="1">
          <x14:formula1>
            <xm:f>Sheet2!$E$1:$E$8</xm:f>
          </x14:formula1>
          <xm:sqref>G83:G340</xm:sqref>
        </x14:dataValidation>
        <x14:dataValidation type="list" allowBlank="1" showInputMessage="1" showErrorMessage="1">
          <x14:formula1>
            <xm:f>Sheet2!$A$1:$A$16</xm:f>
          </x14:formula1>
          <xm:sqref>C105:C340</xm:sqref>
        </x14:dataValidation>
        <x14:dataValidation type="list" allowBlank="1" showInputMessage="1" showErrorMessage="1">
          <x14:formula1>
            <xm:f>Sheet2!$D$1:$D$44</xm:f>
          </x14:formula1>
          <xm:sqref>F251:F293</xm:sqref>
        </x14:dataValidation>
        <x14:dataValidation type="list" allowBlank="1" showInputMessage="1" showErrorMessage="1">
          <x14:formula1>
            <xm:f>Sheet2!$D$1:$D$45</xm:f>
          </x14:formula1>
          <xm:sqref>F294:F302</xm:sqref>
        </x14:dataValidation>
        <x14:dataValidation type="list" allowBlank="1" showInputMessage="1" showErrorMessage="1">
          <x14:formula1>
            <xm:f>Sheet2!$D$1:$D$46</xm:f>
          </x14:formula1>
          <xm:sqref>F303:F327</xm:sqref>
        </x14:dataValidation>
        <x14:dataValidation type="list" allowBlank="1" showInputMessage="1" showErrorMessage="1">
          <x14:formula1>
            <xm:f>Sheet2!$D$1:$D$47</xm:f>
          </x14:formula1>
          <xm:sqref>F328:F340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243"/>
  <sheetViews>
    <sheetView zoomScale="85" zoomScaleNormal="85" workbookViewId="0">
      <pane ySplit="1" topLeftCell="A347" activePane="bottomLeft" state="frozen"/>
      <selection pane="bottomLeft" activeCell="D4" sqref="D4:D211"/>
    </sheetView>
  </sheetViews>
  <sheetFormatPr defaultColWidth="14.42578125" defaultRowHeight="15" customHeight="1" x14ac:dyDescent="0.25"/>
  <cols>
    <col min="1" max="1" width="11.85546875" customWidth="1"/>
    <col min="2" max="2" width="11.7109375" customWidth="1"/>
    <col min="3" max="3" width="22.140625" bestFit="1" customWidth="1"/>
    <col min="4" max="5" width="13" bestFit="1" customWidth="1"/>
    <col min="6" max="6" width="32.5703125" style="73" bestFit="1" customWidth="1"/>
    <col min="7" max="9" width="16" customWidth="1"/>
    <col min="10" max="10" width="16" style="230" customWidth="1"/>
    <col min="11" max="11" width="25.85546875" customWidth="1"/>
    <col min="12" max="12" width="12.140625" customWidth="1"/>
    <col min="13" max="13" width="19.7109375" bestFit="1" customWidth="1"/>
    <col min="14" max="14" width="8.7109375" customWidth="1"/>
    <col min="15" max="15" width="19" customWidth="1"/>
    <col min="16" max="16" width="12.28515625" bestFit="1" customWidth="1"/>
    <col min="17" max="17" width="16" customWidth="1"/>
    <col min="18" max="18" width="5.42578125" customWidth="1"/>
    <col min="19" max="19" width="29.42578125" bestFit="1" customWidth="1"/>
    <col min="20" max="20" width="14.5703125" customWidth="1"/>
    <col min="21" max="21" width="15.28515625" customWidth="1"/>
    <col min="22" max="22" width="17.85546875" customWidth="1"/>
    <col min="23" max="24" width="8.5703125" customWidth="1"/>
    <col min="25" max="25" width="10.7109375" customWidth="1"/>
    <col min="26" max="26" width="4.5703125" customWidth="1"/>
    <col min="27" max="27" width="16.5703125" customWidth="1"/>
    <col min="28" max="28" width="7.28515625" customWidth="1"/>
    <col min="29" max="29" width="11.28515625" customWidth="1"/>
    <col min="30" max="30" width="10.140625" customWidth="1"/>
    <col min="31" max="31" width="6.5703125" customWidth="1"/>
    <col min="32" max="32" width="16.140625" customWidth="1"/>
    <col min="33" max="33" width="11.5703125" customWidth="1"/>
    <col min="34" max="34" width="14" customWidth="1"/>
    <col min="35" max="35" width="30.7109375" customWidth="1"/>
    <col min="36" max="36" width="20.5703125" customWidth="1"/>
    <col min="37" max="37" width="8" customWidth="1"/>
    <col min="38" max="38" width="12.7109375" customWidth="1"/>
    <col min="39" max="39" width="5.42578125" customWidth="1"/>
    <col min="40" max="40" width="12.140625" customWidth="1"/>
    <col min="41" max="41" width="18.28515625" customWidth="1"/>
    <col min="42" max="42" width="13.85546875" customWidth="1"/>
    <col min="43" max="43" width="11.7109375" customWidth="1"/>
    <col min="44" max="44" width="12.140625" customWidth="1"/>
    <col min="45" max="45" width="15.140625" customWidth="1"/>
    <col min="46" max="46" width="12.42578125" customWidth="1"/>
    <col min="47" max="47" width="26" customWidth="1"/>
    <col min="48" max="48" width="15.7109375" customWidth="1"/>
    <col min="49" max="49" width="6.42578125" customWidth="1"/>
    <col min="50" max="50" width="10.28515625" customWidth="1"/>
    <col min="51" max="60" width="5" customWidth="1"/>
    <col min="61" max="61" width="6" customWidth="1"/>
    <col min="62" max="62" width="7.28515625" customWidth="1"/>
    <col min="63" max="63" width="11.28515625" customWidth="1"/>
  </cols>
  <sheetData>
    <row r="1" spans="1:13" x14ac:dyDescent="0.25">
      <c r="A1" s="275" t="s">
        <v>1</v>
      </c>
      <c r="B1" s="276" t="s">
        <v>61</v>
      </c>
      <c r="C1" s="276" t="s">
        <v>2</v>
      </c>
      <c r="D1" s="276" t="s">
        <v>32</v>
      </c>
      <c r="E1" s="276" t="s">
        <v>33</v>
      </c>
      <c r="F1" s="277" t="s">
        <v>605</v>
      </c>
      <c r="G1" s="276" t="s">
        <v>616</v>
      </c>
      <c r="H1" s="276" t="s">
        <v>5</v>
      </c>
      <c r="I1" s="276" t="s">
        <v>668</v>
      </c>
      <c r="J1" s="278" t="s">
        <v>617</v>
      </c>
      <c r="K1" s="276" t="s">
        <v>3</v>
      </c>
      <c r="L1" s="276" t="s">
        <v>34</v>
      </c>
      <c r="M1" s="279" t="s">
        <v>8</v>
      </c>
    </row>
    <row r="2" spans="1:13" x14ac:dyDescent="0.25">
      <c r="A2" s="313"/>
      <c r="B2" s="314"/>
      <c r="C2" s="314" t="s">
        <v>62</v>
      </c>
      <c r="D2" s="315">
        <v>0</v>
      </c>
      <c r="E2" s="314"/>
      <c r="F2" s="316"/>
      <c r="G2" s="36"/>
      <c r="H2" s="36"/>
      <c r="I2" s="36"/>
      <c r="J2" s="223"/>
      <c r="K2" s="36"/>
      <c r="L2" s="36"/>
      <c r="M2" s="273"/>
    </row>
    <row r="3" spans="1:13" x14ac:dyDescent="0.25">
      <c r="A3" s="302">
        <v>45931</v>
      </c>
      <c r="B3" s="314"/>
      <c r="C3" s="314" t="s">
        <v>145</v>
      </c>
      <c r="D3" s="317"/>
      <c r="E3" s="318">
        <v>3700</v>
      </c>
      <c r="F3" s="319"/>
      <c r="G3" s="78" t="s">
        <v>619</v>
      </c>
      <c r="H3" s="78">
        <v>74</v>
      </c>
      <c r="I3" s="78"/>
      <c r="J3" s="224">
        <v>50</v>
      </c>
      <c r="K3" s="78" t="s">
        <v>19</v>
      </c>
      <c r="L3" s="36"/>
      <c r="M3" s="273"/>
    </row>
    <row r="4" spans="1:13" x14ac:dyDescent="0.25">
      <c r="A4" s="302">
        <v>45931</v>
      </c>
      <c r="B4" s="320" t="s">
        <v>1015</v>
      </c>
      <c r="C4" s="314" t="s">
        <v>32</v>
      </c>
      <c r="D4" s="317">
        <v>510</v>
      </c>
      <c r="E4" s="318"/>
      <c r="F4" s="319" t="s">
        <v>1016</v>
      </c>
      <c r="G4" s="78"/>
      <c r="H4" s="78"/>
      <c r="I4" s="78"/>
      <c r="J4" s="224"/>
      <c r="K4" s="78"/>
      <c r="L4" s="36"/>
      <c r="M4" s="273"/>
    </row>
    <row r="5" spans="1:13" x14ac:dyDescent="0.25">
      <c r="A5" s="302">
        <v>45931</v>
      </c>
      <c r="B5" s="320" t="s">
        <v>1017</v>
      </c>
      <c r="C5" s="314" t="s">
        <v>32</v>
      </c>
      <c r="D5" s="317">
        <v>240</v>
      </c>
      <c r="E5" s="321"/>
      <c r="F5" s="322" t="s">
        <v>707</v>
      </c>
      <c r="G5" s="70"/>
      <c r="H5" s="70"/>
      <c r="I5" s="70"/>
      <c r="J5" s="223"/>
      <c r="K5" s="70"/>
      <c r="L5" s="36"/>
      <c r="M5" s="273"/>
    </row>
    <row r="6" spans="1:13" x14ac:dyDescent="0.25">
      <c r="A6" s="302">
        <v>45931</v>
      </c>
      <c r="B6" s="320" t="s">
        <v>1018</v>
      </c>
      <c r="C6" s="314" t="s">
        <v>32</v>
      </c>
      <c r="D6" s="317">
        <v>170</v>
      </c>
      <c r="E6" s="321"/>
      <c r="F6" s="322" t="s">
        <v>521</v>
      </c>
      <c r="G6" s="70"/>
      <c r="H6" s="70"/>
      <c r="I6" s="70"/>
      <c r="J6" s="223"/>
      <c r="K6" s="70"/>
      <c r="L6" s="36"/>
      <c r="M6" s="273"/>
    </row>
    <row r="7" spans="1:13" x14ac:dyDescent="0.25">
      <c r="A7" s="302">
        <v>45931</v>
      </c>
      <c r="B7" s="320" t="s">
        <v>1019</v>
      </c>
      <c r="C7" s="314" t="s">
        <v>32</v>
      </c>
      <c r="D7" s="317">
        <v>320</v>
      </c>
      <c r="E7" s="321"/>
      <c r="F7" s="322" t="s">
        <v>1020</v>
      </c>
      <c r="G7" s="70"/>
      <c r="H7" s="70"/>
      <c r="I7" s="70"/>
      <c r="J7" s="223"/>
      <c r="K7" s="70"/>
      <c r="L7" s="36"/>
      <c r="M7" s="273"/>
    </row>
    <row r="8" spans="1:13" x14ac:dyDescent="0.25">
      <c r="A8" s="302">
        <v>45931</v>
      </c>
      <c r="B8" s="320" t="s">
        <v>1021</v>
      </c>
      <c r="C8" s="314" t="s">
        <v>32</v>
      </c>
      <c r="D8" s="317">
        <v>340</v>
      </c>
      <c r="E8" s="318"/>
      <c r="F8" s="319" t="s">
        <v>1016</v>
      </c>
      <c r="G8" s="78"/>
      <c r="H8" s="78"/>
      <c r="I8" s="78"/>
      <c r="J8" s="224"/>
      <c r="K8" s="78"/>
      <c r="L8" s="36"/>
      <c r="M8" s="273"/>
    </row>
    <row r="9" spans="1:13" x14ac:dyDescent="0.25">
      <c r="A9" s="302">
        <v>45931</v>
      </c>
      <c r="B9" s="320" t="s">
        <v>1022</v>
      </c>
      <c r="C9" s="314" t="s">
        <v>32</v>
      </c>
      <c r="D9" s="317">
        <v>240</v>
      </c>
      <c r="E9" s="321"/>
      <c r="F9" s="322" t="s">
        <v>731</v>
      </c>
      <c r="G9" s="70"/>
      <c r="H9" s="70"/>
      <c r="I9" s="70"/>
      <c r="J9" s="223"/>
      <c r="K9" s="70"/>
      <c r="L9" s="36"/>
      <c r="M9" s="273"/>
    </row>
    <row r="10" spans="1:13" x14ac:dyDescent="0.25">
      <c r="A10" s="302">
        <v>45931</v>
      </c>
      <c r="B10" s="320" t="s">
        <v>1023</v>
      </c>
      <c r="C10" s="314" t="s">
        <v>32</v>
      </c>
      <c r="D10" s="317">
        <v>320</v>
      </c>
      <c r="E10" s="323"/>
      <c r="F10" s="324" t="s">
        <v>1024</v>
      </c>
      <c r="G10" s="129"/>
      <c r="H10" s="129"/>
      <c r="I10" s="129"/>
      <c r="J10" s="225"/>
      <c r="K10" s="129"/>
      <c r="L10" s="36"/>
      <c r="M10" s="273"/>
    </row>
    <row r="11" spans="1:13" x14ac:dyDescent="0.25">
      <c r="A11" s="302">
        <v>45931</v>
      </c>
      <c r="B11" s="320" t="s">
        <v>1025</v>
      </c>
      <c r="C11" s="314" t="s">
        <v>32</v>
      </c>
      <c r="D11" s="317">
        <v>750</v>
      </c>
      <c r="E11" s="323"/>
      <c r="F11" s="324" t="s">
        <v>1026</v>
      </c>
      <c r="G11" s="129"/>
      <c r="H11" s="129"/>
      <c r="I11" s="129"/>
      <c r="J11" s="225"/>
      <c r="K11" s="129"/>
      <c r="L11" s="36"/>
      <c r="M11" s="273"/>
    </row>
    <row r="12" spans="1:13" x14ac:dyDescent="0.25">
      <c r="A12" s="302">
        <v>45931</v>
      </c>
      <c r="B12" s="320" t="s">
        <v>1027</v>
      </c>
      <c r="C12" s="314" t="s">
        <v>32</v>
      </c>
      <c r="D12" s="317">
        <v>320</v>
      </c>
      <c r="E12" s="318"/>
      <c r="F12" s="319" t="s">
        <v>1016</v>
      </c>
      <c r="G12" s="78"/>
      <c r="H12" s="78"/>
      <c r="I12" s="78"/>
      <c r="J12" s="224"/>
      <c r="K12" s="78"/>
      <c r="L12" s="36"/>
      <c r="M12" s="273"/>
    </row>
    <row r="13" spans="1:13" x14ac:dyDescent="0.25">
      <c r="A13" s="302">
        <v>45931</v>
      </c>
      <c r="B13" s="320"/>
      <c r="C13" s="314" t="s">
        <v>33</v>
      </c>
      <c r="D13" s="317"/>
      <c r="E13" s="323">
        <v>50</v>
      </c>
      <c r="F13" s="324"/>
      <c r="G13" s="129"/>
      <c r="H13" s="129"/>
      <c r="I13" s="129"/>
      <c r="J13" s="225"/>
      <c r="K13" s="129"/>
      <c r="L13" s="36"/>
      <c r="M13" s="273"/>
    </row>
    <row r="14" spans="1:13" x14ac:dyDescent="0.25">
      <c r="A14" s="302">
        <v>45931</v>
      </c>
      <c r="B14" s="314"/>
      <c r="C14" s="314" t="s">
        <v>682</v>
      </c>
      <c r="D14" s="317"/>
      <c r="E14" s="323">
        <v>80</v>
      </c>
      <c r="F14" s="324"/>
      <c r="G14" s="129"/>
      <c r="H14" s="129"/>
      <c r="I14" s="129"/>
      <c r="J14" s="225"/>
      <c r="K14" s="129"/>
      <c r="L14" s="36"/>
      <c r="M14" s="273"/>
    </row>
    <row r="15" spans="1:13" x14ac:dyDescent="0.25">
      <c r="A15" s="302">
        <v>45931</v>
      </c>
      <c r="B15" s="320"/>
      <c r="C15" s="314" t="s">
        <v>207</v>
      </c>
      <c r="D15" s="317"/>
      <c r="E15" s="323">
        <v>5400</v>
      </c>
      <c r="F15" s="324"/>
      <c r="G15" s="129"/>
      <c r="H15" s="129"/>
      <c r="I15" s="129"/>
      <c r="J15" s="225"/>
      <c r="K15" s="129"/>
      <c r="L15" s="36"/>
      <c r="M15" s="274"/>
    </row>
    <row r="16" spans="1:13" x14ac:dyDescent="0.25">
      <c r="A16" s="302">
        <v>45932</v>
      </c>
      <c r="B16" s="320" t="s">
        <v>1028</v>
      </c>
      <c r="C16" s="314" t="s">
        <v>32</v>
      </c>
      <c r="D16" s="317">
        <v>510</v>
      </c>
      <c r="E16" s="323"/>
      <c r="F16" s="324" t="s">
        <v>1016</v>
      </c>
      <c r="G16" s="129"/>
      <c r="H16" s="129"/>
      <c r="I16" s="129"/>
      <c r="J16" s="225"/>
      <c r="K16" s="129"/>
      <c r="L16" s="36"/>
      <c r="M16" s="273"/>
    </row>
    <row r="17" spans="1:17" x14ac:dyDescent="0.25">
      <c r="A17" s="302">
        <v>45932</v>
      </c>
      <c r="B17" s="314" t="s">
        <v>1029</v>
      </c>
      <c r="C17" s="314" t="s">
        <v>32</v>
      </c>
      <c r="D17" s="317">
        <v>480</v>
      </c>
      <c r="E17" s="323"/>
      <c r="F17" s="324" t="s">
        <v>1020</v>
      </c>
      <c r="G17" s="129"/>
      <c r="H17" s="129"/>
      <c r="I17" s="129"/>
      <c r="J17" s="225"/>
      <c r="K17" s="129"/>
      <c r="L17" s="36"/>
      <c r="M17" s="273"/>
    </row>
    <row r="18" spans="1:17" x14ac:dyDescent="0.25">
      <c r="A18" s="302">
        <v>45932</v>
      </c>
      <c r="B18" s="320" t="s">
        <v>1030</v>
      </c>
      <c r="C18" s="314" t="s">
        <v>32</v>
      </c>
      <c r="D18" s="317">
        <v>170</v>
      </c>
      <c r="E18" s="317"/>
      <c r="F18" s="325" t="s">
        <v>521</v>
      </c>
      <c r="G18" s="37"/>
      <c r="H18" s="37"/>
      <c r="I18" s="37"/>
      <c r="J18" s="223"/>
      <c r="K18" s="37"/>
      <c r="L18" s="36"/>
      <c r="M18" s="273"/>
      <c r="O18" s="73"/>
      <c r="P18" s="79"/>
      <c r="Q18" s="79"/>
    </row>
    <row r="19" spans="1:17" x14ac:dyDescent="0.25">
      <c r="A19" s="302">
        <v>45932</v>
      </c>
      <c r="B19" s="314" t="s">
        <v>1031</v>
      </c>
      <c r="C19" s="326" t="s">
        <v>32</v>
      </c>
      <c r="D19" s="317">
        <v>320</v>
      </c>
      <c r="E19" s="318"/>
      <c r="F19" s="319" t="s">
        <v>1032</v>
      </c>
      <c r="G19" s="78"/>
      <c r="H19" s="78"/>
      <c r="I19" s="78"/>
      <c r="J19" s="224"/>
      <c r="K19" s="78"/>
      <c r="L19" s="36"/>
      <c r="M19" s="273"/>
      <c r="O19" s="73"/>
      <c r="P19" s="79"/>
      <c r="Q19" s="79"/>
    </row>
    <row r="20" spans="1:17" x14ac:dyDescent="0.25">
      <c r="A20" s="302">
        <v>45932</v>
      </c>
      <c r="B20" s="320" t="s">
        <v>1033</v>
      </c>
      <c r="C20" s="326" t="s">
        <v>32</v>
      </c>
      <c r="D20" s="317">
        <v>3000</v>
      </c>
      <c r="E20" s="323"/>
      <c r="F20" s="324" t="s">
        <v>1034</v>
      </c>
      <c r="G20" s="129"/>
      <c r="H20" s="129"/>
      <c r="I20" s="129"/>
      <c r="J20" s="225"/>
      <c r="K20" s="129"/>
      <c r="L20" s="36"/>
      <c r="M20" s="273"/>
      <c r="O20" s="73"/>
      <c r="P20" s="79"/>
      <c r="Q20" s="79"/>
    </row>
    <row r="21" spans="1:17" x14ac:dyDescent="0.25">
      <c r="A21" s="302">
        <v>45932</v>
      </c>
      <c r="B21" s="314" t="s">
        <v>1035</v>
      </c>
      <c r="C21" s="314" t="s">
        <v>32</v>
      </c>
      <c r="D21" s="317">
        <v>160</v>
      </c>
      <c r="E21" s="318"/>
      <c r="F21" s="319" t="s">
        <v>1024</v>
      </c>
      <c r="G21" s="78"/>
      <c r="H21" s="78"/>
      <c r="I21" s="78"/>
      <c r="J21" s="224"/>
      <c r="K21" s="78"/>
      <c r="L21" s="36"/>
      <c r="M21" s="273"/>
      <c r="O21" s="73"/>
      <c r="P21" s="79"/>
      <c r="Q21" s="79"/>
    </row>
    <row r="22" spans="1:17" x14ac:dyDescent="0.25">
      <c r="A22" s="302">
        <v>45932</v>
      </c>
      <c r="B22" s="320"/>
      <c r="C22" s="314" t="s">
        <v>33</v>
      </c>
      <c r="D22" s="317"/>
      <c r="E22" s="323">
        <v>50</v>
      </c>
      <c r="F22" s="324"/>
      <c r="G22" s="129"/>
      <c r="H22" s="129"/>
      <c r="I22" s="129"/>
      <c r="J22" s="225"/>
      <c r="K22" s="129"/>
      <c r="L22" s="36"/>
      <c r="M22" s="273"/>
      <c r="O22" s="73"/>
      <c r="P22" s="79"/>
      <c r="Q22" s="79"/>
    </row>
    <row r="23" spans="1:17" x14ac:dyDescent="0.25">
      <c r="A23" s="302">
        <v>45932</v>
      </c>
      <c r="B23" s="320"/>
      <c r="C23" s="326" t="s">
        <v>546</v>
      </c>
      <c r="D23" s="317"/>
      <c r="E23" s="323">
        <v>100</v>
      </c>
      <c r="F23" s="324"/>
      <c r="G23" s="129"/>
      <c r="H23" s="129"/>
      <c r="I23" s="129"/>
      <c r="J23" s="225"/>
      <c r="K23" s="129"/>
      <c r="L23" s="36"/>
      <c r="M23" s="273"/>
      <c r="O23" s="73"/>
      <c r="P23" s="79"/>
      <c r="Q23" s="79"/>
    </row>
    <row r="24" spans="1:17" x14ac:dyDescent="0.25">
      <c r="A24" s="302">
        <v>45933</v>
      </c>
      <c r="B24" s="314" t="s">
        <v>1036</v>
      </c>
      <c r="C24" s="314" t="s">
        <v>32</v>
      </c>
      <c r="D24" s="317">
        <v>320</v>
      </c>
      <c r="E24" s="323"/>
      <c r="F24" s="324" t="s">
        <v>1024</v>
      </c>
      <c r="G24" s="129"/>
      <c r="H24" s="129"/>
      <c r="I24" s="129"/>
      <c r="J24" s="225"/>
      <c r="K24" s="129"/>
      <c r="L24" s="36"/>
      <c r="M24" s="273"/>
      <c r="O24" s="73"/>
      <c r="P24" s="79"/>
      <c r="Q24" s="79"/>
    </row>
    <row r="25" spans="1:17" ht="26.25" x14ac:dyDescent="0.25">
      <c r="A25" s="302">
        <v>45933</v>
      </c>
      <c r="B25" s="320" t="s">
        <v>1037</v>
      </c>
      <c r="C25" s="314" t="s">
        <v>32</v>
      </c>
      <c r="D25" s="317">
        <v>1500</v>
      </c>
      <c r="E25" s="323"/>
      <c r="F25" s="324" t="s">
        <v>740</v>
      </c>
      <c r="G25" s="129"/>
      <c r="H25" s="129"/>
      <c r="I25" s="129"/>
      <c r="J25" s="225"/>
      <c r="K25" s="129"/>
      <c r="L25" s="36"/>
      <c r="M25" s="273"/>
      <c r="O25" s="73"/>
      <c r="P25" s="79"/>
      <c r="Q25" s="79"/>
    </row>
    <row r="26" spans="1:17" x14ac:dyDescent="0.25">
      <c r="A26" s="302">
        <v>45933</v>
      </c>
      <c r="B26" s="314" t="s">
        <v>1038</v>
      </c>
      <c r="C26" s="36" t="s">
        <v>32</v>
      </c>
      <c r="D26" s="37">
        <v>170</v>
      </c>
      <c r="E26" s="129"/>
      <c r="F26" s="253" t="s">
        <v>1016</v>
      </c>
      <c r="G26" s="129"/>
      <c r="H26" s="129"/>
      <c r="I26" s="129"/>
      <c r="J26" s="225"/>
      <c r="K26" s="129"/>
      <c r="L26" s="36"/>
      <c r="M26" s="273"/>
      <c r="O26" s="73"/>
      <c r="P26" s="79"/>
      <c r="Q26" s="79"/>
    </row>
    <row r="27" spans="1:17" x14ac:dyDescent="0.25">
      <c r="A27" s="302">
        <v>45933</v>
      </c>
      <c r="B27" s="320" t="s">
        <v>1039</v>
      </c>
      <c r="C27" s="36" t="s">
        <v>32</v>
      </c>
      <c r="D27" s="37">
        <v>600</v>
      </c>
      <c r="E27" s="129"/>
      <c r="F27" s="253" t="s">
        <v>624</v>
      </c>
      <c r="G27" s="129"/>
      <c r="H27" s="129"/>
      <c r="I27" s="129"/>
      <c r="J27" s="225"/>
      <c r="K27" s="129"/>
      <c r="L27" s="36"/>
      <c r="M27" s="273"/>
      <c r="O27" s="73"/>
      <c r="P27" s="79"/>
      <c r="Q27" s="79"/>
    </row>
    <row r="28" spans="1:17" x14ac:dyDescent="0.25">
      <c r="A28" s="302">
        <v>45933</v>
      </c>
      <c r="B28" s="314" t="s">
        <v>1040</v>
      </c>
      <c r="C28" s="290" t="s">
        <v>32</v>
      </c>
      <c r="D28" s="37">
        <v>480</v>
      </c>
      <c r="E28" s="78"/>
      <c r="F28" s="312" t="s">
        <v>1020</v>
      </c>
      <c r="G28" s="78"/>
      <c r="H28" s="78"/>
      <c r="I28" s="78"/>
      <c r="J28" s="224"/>
      <c r="K28" s="78"/>
      <c r="L28" s="36"/>
      <c r="M28" s="273"/>
      <c r="O28" s="197" t="s">
        <v>163</v>
      </c>
      <c r="P28" s="83" t="s">
        <v>165</v>
      </c>
      <c r="Q28" s="83" t="s">
        <v>164</v>
      </c>
    </row>
    <row r="29" spans="1:17" x14ac:dyDescent="0.25">
      <c r="A29" s="302">
        <v>45933</v>
      </c>
      <c r="B29" s="320" t="s">
        <v>1041</v>
      </c>
      <c r="C29" s="290" t="s">
        <v>32</v>
      </c>
      <c r="D29" s="37">
        <v>750</v>
      </c>
      <c r="E29" s="129"/>
      <c r="F29" s="253" t="s">
        <v>1044</v>
      </c>
      <c r="G29" s="129"/>
      <c r="H29" s="129"/>
      <c r="I29" s="129"/>
      <c r="J29" s="225"/>
      <c r="K29" s="129"/>
      <c r="L29" s="36"/>
      <c r="M29" s="273"/>
      <c r="O29" s="198" t="s">
        <v>62</v>
      </c>
      <c r="P29" s="124">
        <v>0</v>
      </c>
      <c r="Q29" s="124"/>
    </row>
    <row r="30" spans="1:17" x14ac:dyDescent="0.25">
      <c r="A30" s="302">
        <v>45933</v>
      </c>
      <c r="B30" s="314" t="s">
        <v>1042</v>
      </c>
      <c r="C30" s="290" t="s">
        <v>32</v>
      </c>
      <c r="D30" s="37">
        <v>440</v>
      </c>
      <c r="E30" s="129"/>
      <c r="F30" s="253" t="s">
        <v>707</v>
      </c>
      <c r="G30" s="129"/>
      <c r="H30" s="129"/>
      <c r="I30" s="129"/>
      <c r="J30" s="225"/>
      <c r="K30" s="129"/>
      <c r="L30" s="36"/>
      <c r="M30" s="273"/>
      <c r="O30" s="198" t="s">
        <v>145</v>
      </c>
      <c r="P30" s="124"/>
      <c r="Q30" s="124">
        <v>28820</v>
      </c>
    </row>
    <row r="31" spans="1:17" x14ac:dyDescent="0.25">
      <c r="A31" s="302">
        <v>45933</v>
      </c>
      <c r="B31" s="320" t="s">
        <v>1043</v>
      </c>
      <c r="C31" s="36" t="s">
        <v>32</v>
      </c>
      <c r="D31" s="37">
        <v>600</v>
      </c>
      <c r="E31" s="129"/>
      <c r="F31" s="253" t="s">
        <v>1045</v>
      </c>
      <c r="G31" s="129"/>
      <c r="H31" s="129"/>
      <c r="I31" s="129"/>
      <c r="J31" s="225"/>
      <c r="K31" s="129"/>
      <c r="L31" s="36"/>
      <c r="M31" s="273"/>
      <c r="O31" s="198" t="s">
        <v>32</v>
      </c>
      <c r="P31" s="124">
        <v>171155</v>
      </c>
      <c r="Q31" s="124">
        <v>0</v>
      </c>
    </row>
    <row r="32" spans="1:17" x14ac:dyDescent="0.25">
      <c r="A32" s="302">
        <v>45933</v>
      </c>
      <c r="B32" s="314" t="s">
        <v>1046</v>
      </c>
      <c r="C32" s="36" t="s">
        <v>32</v>
      </c>
      <c r="D32" s="37">
        <v>240</v>
      </c>
      <c r="E32" s="129"/>
      <c r="F32" s="253" t="s">
        <v>1050</v>
      </c>
      <c r="G32" s="129"/>
      <c r="H32" s="129"/>
      <c r="I32" s="129"/>
      <c r="J32" s="225"/>
      <c r="K32" s="129"/>
      <c r="L32" s="36"/>
      <c r="M32" s="273"/>
      <c r="O32" s="198" t="s">
        <v>33</v>
      </c>
      <c r="P32" s="124"/>
      <c r="Q32" s="124">
        <v>1445</v>
      </c>
    </row>
    <row r="33" spans="1:17" x14ac:dyDescent="0.25">
      <c r="A33" s="302">
        <v>45933</v>
      </c>
      <c r="B33" s="320" t="s">
        <v>1047</v>
      </c>
      <c r="C33" s="36" t="s">
        <v>32</v>
      </c>
      <c r="D33" s="37">
        <v>260</v>
      </c>
      <c r="E33" s="129"/>
      <c r="F33" s="253" t="s">
        <v>521</v>
      </c>
      <c r="G33" s="129"/>
      <c r="H33" s="129"/>
      <c r="I33" s="129"/>
      <c r="J33" s="225"/>
      <c r="K33" s="129"/>
      <c r="L33" s="36"/>
      <c r="M33" s="273"/>
      <c r="O33" s="198" t="s">
        <v>682</v>
      </c>
      <c r="P33" s="124"/>
      <c r="Q33" s="124">
        <v>2350</v>
      </c>
    </row>
    <row r="34" spans="1:17" x14ac:dyDescent="0.25">
      <c r="A34" s="302">
        <v>45933</v>
      </c>
      <c r="B34" s="314" t="s">
        <v>1048</v>
      </c>
      <c r="C34" s="36" t="s">
        <v>32</v>
      </c>
      <c r="D34" s="37">
        <v>2250</v>
      </c>
      <c r="E34" s="136"/>
      <c r="F34" s="252" t="s">
        <v>1034</v>
      </c>
      <c r="G34" s="136"/>
      <c r="H34" s="136"/>
      <c r="I34" s="136"/>
      <c r="J34" s="226"/>
      <c r="K34" s="136"/>
      <c r="L34" s="36"/>
      <c r="M34" s="273"/>
      <c r="O34" s="198" t="s">
        <v>207</v>
      </c>
      <c r="P34" s="124"/>
      <c r="Q34" s="124">
        <v>5900</v>
      </c>
    </row>
    <row r="35" spans="1:17" x14ac:dyDescent="0.25">
      <c r="A35" s="302">
        <v>45933</v>
      </c>
      <c r="B35" s="320" t="s">
        <v>1049</v>
      </c>
      <c r="C35" s="36" t="s">
        <v>32</v>
      </c>
      <c r="D35" s="37">
        <v>510</v>
      </c>
      <c r="E35" s="129"/>
      <c r="F35" s="253" t="s">
        <v>1016</v>
      </c>
      <c r="G35" s="129"/>
      <c r="H35" s="129"/>
      <c r="I35" s="129"/>
      <c r="J35" s="225"/>
      <c r="K35" s="129"/>
      <c r="L35" s="36"/>
      <c r="M35" s="273"/>
      <c r="O35" s="198" t="s">
        <v>546</v>
      </c>
      <c r="P35" s="124"/>
      <c r="Q35" s="124">
        <v>350</v>
      </c>
    </row>
    <row r="36" spans="1:17" x14ac:dyDescent="0.25">
      <c r="A36" s="302">
        <v>45933</v>
      </c>
      <c r="B36" s="36"/>
      <c r="C36" s="69" t="s">
        <v>33</v>
      </c>
      <c r="D36" s="37"/>
      <c r="E36" s="78">
        <v>50</v>
      </c>
      <c r="F36" s="251"/>
      <c r="G36" s="78"/>
      <c r="H36" s="78"/>
      <c r="I36" s="78"/>
      <c r="J36" s="224"/>
      <c r="K36" s="78"/>
      <c r="L36" s="36"/>
      <c r="M36" s="273"/>
      <c r="O36" s="198" t="s">
        <v>161</v>
      </c>
      <c r="P36" s="124"/>
      <c r="Q36" s="124">
        <v>19650</v>
      </c>
    </row>
    <row r="37" spans="1:17" x14ac:dyDescent="0.25">
      <c r="A37" s="302">
        <v>45934</v>
      </c>
      <c r="B37" s="36" t="s">
        <v>1051</v>
      </c>
      <c r="C37" s="36" t="s">
        <v>32</v>
      </c>
      <c r="D37" s="37">
        <v>480</v>
      </c>
      <c r="E37" s="129"/>
      <c r="F37" s="253" t="s">
        <v>1061</v>
      </c>
      <c r="G37" s="129"/>
      <c r="H37" s="129"/>
      <c r="I37" s="129"/>
      <c r="J37" s="225"/>
      <c r="K37" s="129"/>
      <c r="L37" s="36"/>
      <c r="M37" s="273"/>
      <c r="O37" s="198" t="s">
        <v>618</v>
      </c>
      <c r="P37" s="124"/>
      <c r="Q37" s="124">
        <v>480</v>
      </c>
    </row>
    <row r="38" spans="1:17" x14ac:dyDescent="0.25">
      <c r="A38" s="302">
        <v>45934</v>
      </c>
      <c r="B38" s="36" t="s">
        <v>1052</v>
      </c>
      <c r="C38" s="36" t="s">
        <v>32</v>
      </c>
      <c r="D38" s="37">
        <v>770</v>
      </c>
      <c r="E38" s="129"/>
      <c r="F38" s="253" t="s">
        <v>521</v>
      </c>
      <c r="G38" s="129"/>
      <c r="H38" s="129"/>
      <c r="I38" s="129"/>
      <c r="J38" s="225"/>
      <c r="K38" s="129"/>
      <c r="L38" s="36"/>
      <c r="M38" s="273"/>
      <c r="O38" s="198" t="s">
        <v>109</v>
      </c>
      <c r="P38" s="124"/>
      <c r="Q38" s="124">
        <v>1980</v>
      </c>
    </row>
    <row r="39" spans="1:17" ht="26.25" x14ac:dyDescent="0.25">
      <c r="A39" s="302">
        <v>45934</v>
      </c>
      <c r="B39" s="36" t="s">
        <v>1053</v>
      </c>
      <c r="C39" s="36" t="s">
        <v>32</v>
      </c>
      <c r="D39" s="37">
        <v>1500</v>
      </c>
      <c r="E39" s="129"/>
      <c r="F39" s="253" t="s">
        <v>740</v>
      </c>
      <c r="G39" s="129"/>
      <c r="H39" s="129"/>
      <c r="I39" s="129"/>
      <c r="J39" s="225"/>
      <c r="K39" s="129"/>
      <c r="L39" s="36"/>
      <c r="M39" s="273"/>
      <c r="O39" s="198" t="s">
        <v>77</v>
      </c>
      <c r="P39" s="124"/>
      <c r="Q39" s="124">
        <v>9000</v>
      </c>
    </row>
    <row r="40" spans="1:17" x14ac:dyDescent="0.25">
      <c r="A40" s="302">
        <v>45934</v>
      </c>
      <c r="B40" s="36" t="s">
        <v>1054</v>
      </c>
      <c r="C40" s="36" t="s">
        <v>32</v>
      </c>
      <c r="D40" s="37">
        <v>4200</v>
      </c>
      <c r="E40" s="129"/>
      <c r="F40" s="253" t="s">
        <v>1044</v>
      </c>
      <c r="G40" s="129"/>
      <c r="H40" s="129"/>
      <c r="I40" s="129"/>
      <c r="J40" s="225"/>
      <c r="K40" s="129"/>
      <c r="L40" s="36"/>
      <c r="M40" s="273"/>
      <c r="O40" s="198" t="s">
        <v>818</v>
      </c>
      <c r="P40" s="124"/>
      <c r="Q40" s="124">
        <v>1687</v>
      </c>
    </row>
    <row r="41" spans="1:17" x14ac:dyDescent="0.25">
      <c r="A41" s="302">
        <v>45934</v>
      </c>
      <c r="B41" s="36" t="s">
        <v>1055</v>
      </c>
      <c r="C41" s="36" t="s">
        <v>32</v>
      </c>
      <c r="D41" s="37">
        <v>640</v>
      </c>
      <c r="E41" s="129"/>
      <c r="F41" s="253" t="s">
        <v>707</v>
      </c>
      <c r="G41" s="129"/>
      <c r="H41" s="129"/>
      <c r="I41" s="129"/>
      <c r="J41" s="225"/>
      <c r="K41" s="129"/>
      <c r="L41" s="36"/>
      <c r="M41" s="273"/>
      <c r="O41" s="198" t="s">
        <v>147</v>
      </c>
      <c r="P41" s="124"/>
      <c r="Q41" s="124">
        <v>42752</v>
      </c>
    </row>
    <row r="42" spans="1:17" x14ac:dyDescent="0.25">
      <c r="A42" s="302">
        <v>45934</v>
      </c>
      <c r="B42" s="36" t="s">
        <v>1056</v>
      </c>
      <c r="C42" s="36" t="s">
        <v>32</v>
      </c>
      <c r="D42" s="37">
        <v>160</v>
      </c>
      <c r="E42" s="129"/>
      <c r="F42" s="253" t="s">
        <v>1034</v>
      </c>
      <c r="G42" s="129"/>
      <c r="H42" s="129"/>
      <c r="I42" s="129"/>
      <c r="J42" s="225"/>
      <c r="K42" s="129"/>
      <c r="L42" s="36"/>
      <c r="M42" s="273"/>
      <c r="O42" s="198" t="s">
        <v>16</v>
      </c>
      <c r="P42" s="124">
        <v>171155</v>
      </c>
      <c r="Q42" s="124">
        <v>114414</v>
      </c>
    </row>
    <row r="43" spans="1:17" x14ac:dyDescent="0.25">
      <c r="A43" s="302">
        <v>45934</v>
      </c>
      <c r="B43" s="36" t="s">
        <v>1057</v>
      </c>
      <c r="C43" s="36" t="s">
        <v>32</v>
      </c>
      <c r="D43" s="37">
        <v>320</v>
      </c>
      <c r="E43" s="129"/>
      <c r="F43" s="253" t="s">
        <v>875</v>
      </c>
      <c r="G43" s="129"/>
      <c r="H43" s="129"/>
      <c r="I43" s="129"/>
      <c r="J43" s="225"/>
      <c r="K43" s="129"/>
      <c r="L43" s="36"/>
      <c r="M43" s="273"/>
    </row>
    <row r="44" spans="1:17" x14ac:dyDescent="0.25">
      <c r="A44" s="302">
        <v>45934</v>
      </c>
      <c r="B44" s="36" t="s">
        <v>1058</v>
      </c>
      <c r="C44" s="36" t="s">
        <v>32</v>
      </c>
      <c r="D44" s="37">
        <v>480</v>
      </c>
      <c r="E44" s="129"/>
      <c r="F44" s="253" t="s">
        <v>1020</v>
      </c>
      <c r="G44" s="129"/>
      <c r="H44" s="129"/>
      <c r="I44" s="129"/>
      <c r="J44" s="225"/>
      <c r="K44" s="129"/>
      <c r="L44" s="36"/>
      <c r="M44" s="273"/>
    </row>
    <row r="45" spans="1:17" x14ac:dyDescent="0.25">
      <c r="A45" s="302">
        <v>45934</v>
      </c>
      <c r="B45" s="36" t="s">
        <v>1059</v>
      </c>
      <c r="C45" s="36" t="s">
        <v>32</v>
      </c>
      <c r="D45" s="37">
        <v>300</v>
      </c>
      <c r="E45" s="129"/>
      <c r="F45" s="253" t="s">
        <v>1026</v>
      </c>
      <c r="G45" s="129"/>
      <c r="H45" s="129"/>
      <c r="I45" s="129"/>
      <c r="J45" s="225"/>
      <c r="K45" s="129"/>
      <c r="L45" s="36"/>
      <c r="M45" s="273"/>
      <c r="O45" s="73"/>
      <c r="P45" s="79"/>
      <c r="Q45" s="79"/>
    </row>
    <row r="46" spans="1:17" x14ac:dyDescent="0.25">
      <c r="A46" s="302">
        <v>45934</v>
      </c>
      <c r="B46" s="36" t="s">
        <v>1060</v>
      </c>
      <c r="C46" s="36" t="s">
        <v>32</v>
      </c>
      <c r="D46" s="37">
        <v>460</v>
      </c>
      <c r="E46" s="129"/>
      <c r="F46" s="253" t="s">
        <v>951</v>
      </c>
      <c r="G46" s="129"/>
      <c r="H46" s="129"/>
      <c r="I46" s="129"/>
      <c r="J46" s="225"/>
      <c r="K46" s="129"/>
      <c r="L46" s="36"/>
      <c r="M46" s="273"/>
      <c r="O46" s="73"/>
      <c r="P46" s="79"/>
      <c r="Q46" s="79"/>
    </row>
    <row r="47" spans="1:17" x14ac:dyDescent="0.25">
      <c r="A47" s="302">
        <v>45934</v>
      </c>
      <c r="B47" s="289"/>
      <c r="C47" s="36" t="s">
        <v>161</v>
      </c>
      <c r="D47" s="37"/>
      <c r="E47" s="129">
        <v>200</v>
      </c>
      <c r="F47" s="253"/>
      <c r="G47" s="129"/>
      <c r="H47" s="129"/>
      <c r="I47" s="129"/>
      <c r="J47" s="225"/>
      <c r="K47" s="129"/>
      <c r="L47" s="36"/>
      <c r="M47" s="273"/>
      <c r="O47" s="73"/>
      <c r="P47" s="79"/>
      <c r="Q47" s="79"/>
    </row>
    <row r="48" spans="1:17" x14ac:dyDescent="0.25">
      <c r="A48" s="302">
        <v>45934</v>
      </c>
      <c r="B48" s="36"/>
      <c r="C48" s="36" t="s">
        <v>618</v>
      </c>
      <c r="D48" s="37"/>
      <c r="E48" s="129">
        <v>160</v>
      </c>
      <c r="F48" s="253"/>
      <c r="G48" s="129"/>
      <c r="H48" s="129"/>
      <c r="I48" s="129"/>
      <c r="J48" s="225"/>
      <c r="K48" s="129"/>
      <c r="L48" s="36"/>
      <c r="M48" s="273"/>
      <c r="O48" s="73"/>
      <c r="P48" s="79"/>
      <c r="Q48" s="79"/>
    </row>
    <row r="49" spans="1:20" x14ac:dyDescent="0.25">
      <c r="A49" s="302">
        <v>45934</v>
      </c>
      <c r="B49" s="289"/>
      <c r="C49" s="36" t="s">
        <v>109</v>
      </c>
      <c r="D49" s="37"/>
      <c r="E49" s="129">
        <v>400</v>
      </c>
      <c r="F49" s="253"/>
      <c r="G49" s="129"/>
      <c r="H49" s="129"/>
      <c r="I49" s="129"/>
      <c r="J49" s="225"/>
      <c r="K49" s="129"/>
      <c r="L49" s="36"/>
      <c r="M49" s="273"/>
      <c r="O49" s="73"/>
      <c r="P49" s="79"/>
      <c r="Q49" s="79"/>
    </row>
    <row r="50" spans="1:20" x14ac:dyDescent="0.25">
      <c r="A50" s="302">
        <v>45934</v>
      </c>
      <c r="B50" s="36"/>
      <c r="C50" s="36" t="s">
        <v>33</v>
      </c>
      <c r="D50" s="37"/>
      <c r="E50" s="129">
        <v>50</v>
      </c>
      <c r="F50" s="253"/>
      <c r="G50" s="129"/>
      <c r="H50" s="129"/>
      <c r="I50" s="129"/>
      <c r="J50" s="225"/>
      <c r="K50" s="129"/>
      <c r="L50" s="36"/>
      <c r="M50" s="273"/>
      <c r="O50" s="73"/>
      <c r="P50" s="79"/>
      <c r="Q50" s="79"/>
    </row>
    <row r="51" spans="1:20" x14ac:dyDescent="0.25">
      <c r="A51" s="302">
        <v>45935</v>
      </c>
      <c r="B51" s="289" t="s">
        <v>1062</v>
      </c>
      <c r="C51" s="36" t="s">
        <v>32</v>
      </c>
      <c r="D51" s="37">
        <v>120</v>
      </c>
      <c r="E51" s="129"/>
      <c r="F51" s="253" t="s">
        <v>1016</v>
      </c>
      <c r="G51" s="129"/>
      <c r="H51" s="129"/>
      <c r="I51" s="129"/>
      <c r="J51" s="225"/>
      <c r="K51" s="129"/>
      <c r="L51" s="36"/>
      <c r="M51" s="273"/>
      <c r="O51" s="73"/>
      <c r="P51" s="79"/>
      <c r="Q51" s="79"/>
    </row>
    <row r="52" spans="1:20" x14ac:dyDescent="0.25">
      <c r="A52" s="302">
        <v>45935</v>
      </c>
      <c r="B52" s="36" t="s">
        <v>1063</v>
      </c>
      <c r="C52" s="36" t="s">
        <v>32</v>
      </c>
      <c r="D52" s="37">
        <v>320</v>
      </c>
      <c r="E52" s="129"/>
      <c r="F52" s="253" t="s">
        <v>521</v>
      </c>
      <c r="G52" s="129"/>
      <c r="H52" s="129"/>
      <c r="I52" s="129"/>
      <c r="J52" s="225"/>
      <c r="K52" s="129"/>
      <c r="L52" s="36"/>
      <c r="M52" s="273"/>
      <c r="O52" s="197" t="s">
        <v>163</v>
      </c>
      <c r="P52" s="124" t="s">
        <v>165</v>
      </c>
      <c r="R52" s="366" t="s">
        <v>1343</v>
      </c>
      <c r="S52" s="366" t="s">
        <v>1342</v>
      </c>
      <c r="T52" s="367" t="s">
        <v>165</v>
      </c>
    </row>
    <row r="53" spans="1:20" x14ac:dyDescent="0.25">
      <c r="A53" s="302">
        <v>45935</v>
      </c>
      <c r="B53" s="289" t="s">
        <v>1064</v>
      </c>
      <c r="C53" s="36" t="s">
        <v>32</v>
      </c>
      <c r="D53" s="37">
        <v>240</v>
      </c>
      <c r="E53" s="129"/>
      <c r="F53" s="253" t="s">
        <v>1061</v>
      </c>
      <c r="G53" s="129"/>
      <c r="H53" s="129"/>
      <c r="I53" s="129"/>
      <c r="J53" s="225"/>
      <c r="K53" s="129"/>
      <c r="L53" s="36"/>
      <c r="M53" s="273"/>
      <c r="O53" s="198" t="s">
        <v>234</v>
      </c>
      <c r="P53" s="124">
        <v>480</v>
      </c>
      <c r="R53" s="83">
        <v>1</v>
      </c>
      <c r="S53" s="198" t="s">
        <v>1034</v>
      </c>
      <c r="T53" s="124">
        <v>32300</v>
      </c>
    </row>
    <row r="54" spans="1:20" x14ac:dyDescent="0.25">
      <c r="A54" s="302">
        <v>45935</v>
      </c>
      <c r="B54" s="36" t="s">
        <v>1065</v>
      </c>
      <c r="C54" s="36" t="s">
        <v>32</v>
      </c>
      <c r="D54" s="37">
        <v>3450</v>
      </c>
      <c r="E54" s="78"/>
      <c r="F54" s="312" t="s">
        <v>1067</v>
      </c>
      <c r="G54" s="78"/>
      <c r="H54" s="78"/>
      <c r="I54" s="78"/>
      <c r="J54" s="224"/>
      <c r="K54" s="78"/>
      <c r="L54" s="36"/>
      <c r="M54" s="273"/>
      <c r="O54" s="198" t="s">
        <v>1016</v>
      </c>
      <c r="P54" s="124">
        <v>12840</v>
      </c>
      <c r="R54" s="83">
        <v>2</v>
      </c>
      <c r="S54" s="198" t="s">
        <v>740</v>
      </c>
      <c r="T54" s="124">
        <v>20700</v>
      </c>
    </row>
    <row r="55" spans="1:20" ht="26.25" x14ac:dyDescent="0.25">
      <c r="A55" s="302">
        <v>45935</v>
      </c>
      <c r="B55" s="289" t="s">
        <v>1066</v>
      </c>
      <c r="C55" s="36" t="s">
        <v>32</v>
      </c>
      <c r="D55" s="37">
        <v>1500</v>
      </c>
      <c r="E55" s="129"/>
      <c r="F55" s="253" t="s">
        <v>740</v>
      </c>
      <c r="G55" s="129"/>
      <c r="H55" s="129"/>
      <c r="I55" s="129"/>
      <c r="J55" s="225"/>
      <c r="K55" s="129"/>
      <c r="L55" s="36"/>
      <c r="M55" s="273"/>
      <c r="O55" s="198" t="s">
        <v>707</v>
      </c>
      <c r="P55" s="124">
        <v>7880</v>
      </c>
      <c r="R55" s="83">
        <v>3</v>
      </c>
      <c r="S55" s="198" t="s">
        <v>1044</v>
      </c>
      <c r="T55" s="124">
        <v>17920</v>
      </c>
    </row>
    <row r="56" spans="1:20" x14ac:dyDescent="0.25">
      <c r="A56" s="302">
        <v>45935</v>
      </c>
      <c r="B56" s="36"/>
      <c r="C56" s="69" t="s">
        <v>77</v>
      </c>
      <c r="D56" s="37"/>
      <c r="E56" s="129">
        <v>9000</v>
      </c>
      <c r="F56" s="253"/>
      <c r="G56" s="129"/>
      <c r="H56" s="129"/>
      <c r="I56" s="129"/>
      <c r="J56" s="225"/>
      <c r="K56" s="129"/>
      <c r="L56" s="36"/>
      <c r="M56" s="273"/>
      <c r="O56" s="198" t="s">
        <v>521</v>
      </c>
      <c r="P56" s="124">
        <v>7100</v>
      </c>
      <c r="R56" s="83">
        <v>4</v>
      </c>
      <c r="S56" s="198" t="s">
        <v>1016</v>
      </c>
      <c r="T56" s="124">
        <v>12840</v>
      </c>
    </row>
    <row r="57" spans="1:20" x14ac:dyDescent="0.25">
      <c r="A57" s="302">
        <v>45936</v>
      </c>
      <c r="B57" s="289" t="s">
        <v>1071</v>
      </c>
      <c r="C57" s="36" t="s">
        <v>32</v>
      </c>
      <c r="D57" s="37">
        <v>240</v>
      </c>
      <c r="E57" s="129"/>
      <c r="F57" s="253" t="s">
        <v>707</v>
      </c>
      <c r="G57" s="129"/>
      <c r="H57" s="129"/>
      <c r="I57" s="129"/>
      <c r="J57" s="225"/>
      <c r="K57" s="129"/>
      <c r="L57" s="36"/>
      <c r="M57" s="273"/>
      <c r="O57" s="198" t="s">
        <v>1020</v>
      </c>
      <c r="P57" s="124">
        <v>9600</v>
      </c>
      <c r="R57" s="83">
        <v>5</v>
      </c>
      <c r="S57" s="198" t="s">
        <v>1020</v>
      </c>
      <c r="T57" s="124">
        <v>9600</v>
      </c>
    </row>
    <row r="58" spans="1:20" x14ac:dyDescent="0.25">
      <c r="A58" s="302">
        <v>45936</v>
      </c>
      <c r="B58" s="36" t="s">
        <v>1072</v>
      </c>
      <c r="C58" s="36" t="s">
        <v>32</v>
      </c>
      <c r="D58" s="37">
        <v>260</v>
      </c>
      <c r="E58" s="129"/>
      <c r="F58" s="253" t="s">
        <v>521</v>
      </c>
      <c r="G58" s="129"/>
      <c r="H58" s="129"/>
      <c r="I58" s="129"/>
      <c r="J58" s="225"/>
      <c r="K58" s="129"/>
      <c r="L58" s="36"/>
      <c r="M58" s="273"/>
      <c r="O58" s="198" t="s">
        <v>731</v>
      </c>
      <c r="P58" s="124">
        <v>1200</v>
      </c>
      <c r="R58" s="83">
        <v>6</v>
      </c>
      <c r="S58" s="198" t="s">
        <v>624</v>
      </c>
      <c r="T58" s="124">
        <v>9180</v>
      </c>
    </row>
    <row r="59" spans="1:20" x14ac:dyDescent="0.25">
      <c r="A59" s="302">
        <v>45936</v>
      </c>
      <c r="B59" s="289" t="s">
        <v>1073</v>
      </c>
      <c r="C59" s="36" t="s">
        <v>32</v>
      </c>
      <c r="D59" s="37">
        <v>320</v>
      </c>
      <c r="E59" s="129"/>
      <c r="F59" s="253" t="s">
        <v>1061</v>
      </c>
      <c r="G59" s="129"/>
      <c r="H59" s="129"/>
      <c r="I59" s="129"/>
      <c r="J59" s="225"/>
      <c r="K59" s="129"/>
      <c r="L59" s="36"/>
      <c r="M59" s="273"/>
      <c r="O59" s="198" t="s">
        <v>1024</v>
      </c>
      <c r="P59" s="124">
        <v>3600</v>
      </c>
      <c r="R59" s="83">
        <v>7</v>
      </c>
      <c r="S59" s="198" t="s">
        <v>707</v>
      </c>
      <c r="T59" s="124">
        <v>7880</v>
      </c>
    </row>
    <row r="60" spans="1:20" x14ac:dyDescent="0.25">
      <c r="A60" s="302">
        <v>45936</v>
      </c>
      <c r="B60" s="36" t="s">
        <v>1074</v>
      </c>
      <c r="C60" s="330" t="s">
        <v>32</v>
      </c>
      <c r="D60" s="331">
        <v>320</v>
      </c>
      <c r="E60" s="332"/>
      <c r="F60" s="333" t="s">
        <v>1020</v>
      </c>
      <c r="G60" s="332"/>
      <c r="H60" s="332"/>
      <c r="I60" s="332"/>
      <c r="J60" s="334"/>
      <c r="K60" s="332"/>
      <c r="L60" s="330"/>
      <c r="M60" s="335"/>
      <c r="O60" s="198" t="s">
        <v>1026</v>
      </c>
      <c r="P60" s="124">
        <v>2265</v>
      </c>
      <c r="R60" s="83">
        <v>8</v>
      </c>
      <c r="S60" s="198" t="s">
        <v>521</v>
      </c>
      <c r="T60" s="124">
        <v>7100</v>
      </c>
    </row>
    <row r="61" spans="1:20" x14ac:dyDescent="0.25">
      <c r="A61" s="302">
        <v>45936</v>
      </c>
      <c r="B61" s="289" t="s">
        <v>1075</v>
      </c>
      <c r="C61" s="330" t="s">
        <v>32</v>
      </c>
      <c r="D61" s="331">
        <v>240</v>
      </c>
      <c r="E61" s="332"/>
      <c r="F61" s="333" t="s">
        <v>731</v>
      </c>
      <c r="G61" s="332"/>
      <c r="H61" s="332"/>
      <c r="I61" s="332"/>
      <c r="J61" s="334"/>
      <c r="K61" s="332"/>
      <c r="L61" s="330"/>
      <c r="M61" s="335"/>
      <c r="O61" s="198" t="s">
        <v>1032</v>
      </c>
      <c r="P61" s="124">
        <v>2240</v>
      </c>
      <c r="R61" s="83">
        <v>9</v>
      </c>
      <c r="S61" s="198" t="s">
        <v>1101</v>
      </c>
      <c r="T61" s="124">
        <v>5250</v>
      </c>
    </row>
    <row r="62" spans="1:20" x14ac:dyDescent="0.25">
      <c r="A62" s="302">
        <v>45936</v>
      </c>
      <c r="B62" s="36" t="s">
        <v>1076</v>
      </c>
      <c r="C62" s="330" t="s">
        <v>32</v>
      </c>
      <c r="D62" s="331">
        <v>90</v>
      </c>
      <c r="E62" s="332"/>
      <c r="F62" s="333" t="s">
        <v>1016</v>
      </c>
      <c r="G62" s="332"/>
      <c r="H62" s="332"/>
      <c r="I62" s="332"/>
      <c r="J62" s="334"/>
      <c r="K62" s="332"/>
      <c r="L62" s="330"/>
      <c r="M62" s="335"/>
      <c r="O62" s="198" t="s">
        <v>1034</v>
      </c>
      <c r="P62" s="124">
        <v>32300</v>
      </c>
      <c r="R62" s="83">
        <v>10</v>
      </c>
      <c r="S62" s="198" t="s">
        <v>1284</v>
      </c>
      <c r="T62" s="124">
        <v>4980</v>
      </c>
    </row>
    <row r="63" spans="1:20" x14ac:dyDescent="0.25">
      <c r="A63" s="302">
        <v>45936</v>
      </c>
      <c r="B63" s="289" t="s">
        <v>1077</v>
      </c>
      <c r="C63" s="330" t="s">
        <v>32</v>
      </c>
      <c r="D63" s="331">
        <v>480</v>
      </c>
      <c r="E63" s="332"/>
      <c r="F63" s="333" t="s">
        <v>1024</v>
      </c>
      <c r="G63" s="332"/>
      <c r="H63" s="332"/>
      <c r="I63" s="332"/>
      <c r="J63" s="334"/>
      <c r="K63" s="332"/>
      <c r="L63" s="330"/>
      <c r="M63" s="335"/>
      <c r="O63" s="198" t="s">
        <v>740</v>
      </c>
      <c r="P63" s="124">
        <v>20700</v>
      </c>
      <c r="R63" s="83">
        <v>11</v>
      </c>
      <c r="S63" s="198" t="s">
        <v>751</v>
      </c>
      <c r="T63" s="124">
        <v>4800</v>
      </c>
    </row>
    <row r="64" spans="1:20" x14ac:dyDescent="0.25">
      <c r="A64" s="336">
        <v>45936</v>
      </c>
      <c r="B64" s="36"/>
      <c r="C64" s="330" t="s">
        <v>145</v>
      </c>
      <c r="D64" s="331"/>
      <c r="E64" s="332">
        <v>5200</v>
      </c>
      <c r="F64" s="333"/>
      <c r="G64" s="332" t="s">
        <v>619</v>
      </c>
      <c r="H64" s="332">
        <v>104</v>
      </c>
      <c r="I64" s="332"/>
      <c r="J64" s="334">
        <v>50</v>
      </c>
      <c r="K64" s="332" t="s">
        <v>19</v>
      </c>
      <c r="L64" s="330"/>
      <c r="M64" s="335"/>
      <c r="O64" s="198" t="s">
        <v>624</v>
      </c>
      <c r="P64" s="124">
        <v>9180</v>
      </c>
      <c r="R64" s="83">
        <v>12</v>
      </c>
      <c r="S64" s="198" t="s">
        <v>1172</v>
      </c>
      <c r="T64" s="124">
        <v>4480</v>
      </c>
    </row>
    <row r="65" spans="1:20" x14ac:dyDescent="0.25">
      <c r="A65" s="302">
        <v>45936</v>
      </c>
      <c r="B65" s="329"/>
      <c r="C65" s="330" t="s">
        <v>33</v>
      </c>
      <c r="D65" s="331"/>
      <c r="E65" s="332">
        <v>56</v>
      </c>
      <c r="F65" s="333"/>
      <c r="G65" s="332"/>
      <c r="H65" s="332"/>
      <c r="I65" s="332"/>
      <c r="J65" s="334"/>
      <c r="K65" s="332"/>
      <c r="L65" s="330"/>
      <c r="M65" s="335"/>
      <c r="O65" s="198" t="s">
        <v>1044</v>
      </c>
      <c r="P65" s="124">
        <v>17920</v>
      </c>
      <c r="R65" s="83">
        <v>13</v>
      </c>
      <c r="S65" s="198" t="s">
        <v>1270</v>
      </c>
      <c r="T65" s="124">
        <v>3750</v>
      </c>
    </row>
    <row r="66" spans="1:20" x14ac:dyDescent="0.25">
      <c r="A66" s="302">
        <v>45937</v>
      </c>
      <c r="B66" s="329"/>
      <c r="C66" s="330" t="s">
        <v>145</v>
      </c>
      <c r="D66" s="331"/>
      <c r="E66" s="332">
        <v>3300</v>
      </c>
      <c r="F66" s="333"/>
      <c r="G66" s="332" t="s">
        <v>619</v>
      </c>
      <c r="H66" s="332">
        <v>66</v>
      </c>
      <c r="I66" s="332"/>
      <c r="J66" s="334">
        <v>50</v>
      </c>
      <c r="K66" s="332" t="s">
        <v>19</v>
      </c>
      <c r="L66" s="330"/>
      <c r="M66" s="335"/>
      <c r="O66" s="198" t="s">
        <v>1045</v>
      </c>
      <c r="P66" s="124">
        <v>1320</v>
      </c>
      <c r="R66" s="83">
        <v>14</v>
      </c>
      <c r="S66" s="198" t="s">
        <v>1067</v>
      </c>
      <c r="T66" s="124">
        <v>3610</v>
      </c>
    </row>
    <row r="67" spans="1:20" x14ac:dyDescent="0.25">
      <c r="A67" s="302">
        <v>45937</v>
      </c>
      <c r="B67" s="329" t="s">
        <v>1078</v>
      </c>
      <c r="C67" s="330" t="s">
        <v>32</v>
      </c>
      <c r="D67" s="331">
        <v>3000</v>
      </c>
      <c r="E67" s="332"/>
      <c r="F67" s="333" t="s">
        <v>1034</v>
      </c>
      <c r="G67" s="332"/>
      <c r="H67" s="332"/>
      <c r="I67" s="332"/>
      <c r="J67" s="334"/>
      <c r="K67" s="332"/>
      <c r="L67" s="330"/>
      <c r="M67" s="335"/>
      <c r="O67" s="198" t="s">
        <v>1050</v>
      </c>
      <c r="P67" s="124">
        <v>1200</v>
      </c>
      <c r="R67" s="83">
        <v>15</v>
      </c>
      <c r="S67" s="198" t="s">
        <v>1024</v>
      </c>
      <c r="T67" s="124">
        <v>3600</v>
      </c>
    </row>
    <row r="68" spans="1:20" x14ac:dyDescent="0.25">
      <c r="A68" s="302">
        <v>45937</v>
      </c>
      <c r="B68" s="329" t="s">
        <v>1079</v>
      </c>
      <c r="C68" s="330" t="s">
        <v>32</v>
      </c>
      <c r="D68" s="331">
        <v>90</v>
      </c>
      <c r="E68" s="332"/>
      <c r="F68" s="333" t="s">
        <v>1016</v>
      </c>
      <c r="G68" s="332"/>
      <c r="H68" s="332"/>
      <c r="I68" s="332"/>
      <c r="J68" s="334"/>
      <c r="K68" s="332"/>
      <c r="L68" s="330"/>
      <c r="M68" s="335"/>
      <c r="O68" s="198" t="s">
        <v>1061</v>
      </c>
      <c r="P68" s="124">
        <v>1880</v>
      </c>
      <c r="R68" s="83">
        <v>16</v>
      </c>
      <c r="S68" s="198" t="s">
        <v>1176</v>
      </c>
      <c r="T68" s="124">
        <v>2700</v>
      </c>
    </row>
    <row r="69" spans="1:20" x14ac:dyDescent="0.25">
      <c r="A69" s="302">
        <v>45937</v>
      </c>
      <c r="B69" s="329" t="s">
        <v>1080</v>
      </c>
      <c r="C69" s="330" t="s">
        <v>32</v>
      </c>
      <c r="D69" s="331">
        <v>270</v>
      </c>
      <c r="E69" s="332"/>
      <c r="F69" s="333" t="s">
        <v>521</v>
      </c>
      <c r="G69" s="332"/>
      <c r="H69" s="332"/>
      <c r="I69" s="332"/>
      <c r="J69" s="334"/>
      <c r="K69" s="332"/>
      <c r="L69" s="330"/>
      <c r="M69" s="335"/>
      <c r="O69" s="198" t="s">
        <v>875</v>
      </c>
      <c r="P69" s="124">
        <v>1040</v>
      </c>
      <c r="R69" s="83">
        <v>17</v>
      </c>
      <c r="S69" s="198" t="s">
        <v>1026</v>
      </c>
      <c r="T69" s="124">
        <v>2265</v>
      </c>
    </row>
    <row r="70" spans="1:20" x14ac:dyDescent="0.25">
      <c r="A70" s="302">
        <v>45937</v>
      </c>
      <c r="B70" s="329" t="s">
        <v>1081</v>
      </c>
      <c r="C70" s="330" t="s">
        <v>32</v>
      </c>
      <c r="D70" s="331">
        <v>170</v>
      </c>
      <c r="E70" s="332"/>
      <c r="F70" s="333" t="s">
        <v>709</v>
      </c>
      <c r="G70" s="332"/>
      <c r="H70" s="332"/>
      <c r="I70" s="332"/>
      <c r="J70" s="334"/>
      <c r="K70" s="332"/>
      <c r="L70" s="330"/>
      <c r="M70" s="335"/>
      <c r="O70" s="198" t="s">
        <v>951</v>
      </c>
      <c r="P70" s="124">
        <v>1180</v>
      </c>
      <c r="Q70" s="79"/>
      <c r="R70" s="83">
        <v>18</v>
      </c>
      <c r="S70" s="198" t="s">
        <v>1032</v>
      </c>
      <c r="T70" s="124">
        <v>2240</v>
      </c>
    </row>
    <row r="71" spans="1:20" x14ac:dyDescent="0.25">
      <c r="A71" s="302">
        <v>45937</v>
      </c>
      <c r="B71" s="329" t="s">
        <v>1082</v>
      </c>
      <c r="C71" s="330" t="s">
        <v>32</v>
      </c>
      <c r="D71" s="331">
        <v>160</v>
      </c>
      <c r="E71" s="332"/>
      <c r="F71" s="333" t="s">
        <v>707</v>
      </c>
      <c r="G71" s="332"/>
      <c r="H71" s="332"/>
      <c r="I71" s="332"/>
      <c r="J71" s="334"/>
      <c r="K71" s="332"/>
      <c r="L71" s="330"/>
      <c r="M71" s="335"/>
      <c r="O71" s="198" t="s">
        <v>1067</v>
      </c>
      <c r="P71" s="124">
        <v>3610</v>
      </c>
      <c r="Q71" s="79"/>
      <c r="R71" s="83">
        <v>19</v>
      </c>
      <c r="S71" s="198" t="s">
        <v>1061</v>
      </c>
      <c r="T71" s="124">
        <v>1880</v>
      </c>
    </row>
    <row r="72" spans="1:20" x14ac:dyDescent="0.25">
      <c r="A72" s="302">
        <v>45937</v>
      </c>
      <c r="B72" s="329" t="s">
        <v>1083</v>
      </c>
      <c r="C72" s="330" t="s">
        <v>32</v>
      </c>
      <c r="D72" s="331">
        <v>320</v>
      </c>
      <c r="E72" s="332"/>
      <c r="F72" s="333" t="s">
        <v>1024</v>
      </c>
      <c r="G72" s="332"/>
      <c r="H72" s="332"/>
      <c r="I72" s="332"/>
      <c r="J72" s="334"/>
      <c r="K72" s="332"/>
      <c r="L72" s="330"/>
      <c r="M72" s="335"/>
      <c r="O72" s="198" t="s">
        <v>709</v>
      </c>
      <c r="P72" s="124">
        <v>490</v>
      </c>
      <c r="Q72" s="79"/>
      <c r="R72" s="83">
        <v>20</v>
      </c>
      <c r="S72" s="198" t="s">
        <v>1187</v>
      </c>
      <c r="T72" s="124">
        <v>1710</v>
      </c>
    </row>
    <row r="73" spans="1:20" x14ac:dyDescent="0.25">
      <c r="A73" s="302">
        <v>45937</v>
      </c>
      <c r="B73" s="329"/>
      <c r="C73" s="330" t="s">
        <v>33</v>
      </c>
      <c r="D73" s="331"/>
      <c r="E73" s="332">
        <v>50</v>
      </c>
      <c r="F73" s="333"/>
      <c r="G73" s="332"/>
      <c r="H73" s="332"/>
      <c r="I73" s="332"/>
      <c r="J73" s="334"/>
      <c r="K73" s="332"/>
      <c r="L73" s="330"/>
      <c r="M73" s="335"/>
      <c r="O73" s="198" t="s">
        <v>607</v>
      </c>
      <c r="P73" s="124">
        <v>240</v>
      </c>
      <c r="R73" s="83">
        <v>21</v>
      </c>
      <c r="S73" s="198" t="s">
        <v>1186</v>
      </c>
      <c r="T73" s="124">
        <v>1440</v>
      </c>
    </row>
    <row r="74" spans="1:20" x14ac:dyDescent="0.25">
      <c r="A74" s="302">
        <v>45938</v>
      </c>
      <c r="B74" s="329" t="s">
        <v>1084</v>
      </c>
      <c r="C74" s="330" t="s">
        <v>32</v>
      </c>
      <c r="D74" s="331">
        <v>430</v>
      </c>
      <c r="E74" s="332"/>
      <c r="F74" s="333" t="s">
        <v>1016</v>
      </c>
      <c r="G74" s="332"/>
      <c r="H74" s="332"/>
      <c r="I74" s="332"/>
      <c r="J74" s="334"/>
      <c r="K74" s="332"/>
      <c r="L74" s="330"/>
      <c r="M74" s="335"/>
      <c r="O74" s="198" t="s">
        <v>1092</v>
      </c>
      <c r="P74" s="124">
        <v>480</v>
      </c>
      <c r="R74" s="83">
        <v>22</v>
      </c>
      <c r="S74" s="198" t="s">
        <v>1045</v>
      </c>
      <c r="T74" s="124">
        <v>1320</v>
      </c>
    </row>
    <row r="75" spans="1:20" x14ac:dyDescent="0.25">
      <c r="A75" s="336">
        <v>45938</v>
      </c>
      <c r="B75" s="329" t="s">
        <v>1085</v>
      </c>
      <c r="C75" s="330" t="s">
        <v>32</v>
      </c>
      <c r="D75" s="331">
        <v>240</v>
      </c>
      <c r="E75" s="332"/>
      <c r="F75" s="333" t="s">
        <v>607</v>
      </c>
      <c r="G75" s="332"/>
      <c r="H75" s="332"/>
      <c r="I75" s="332"/>
      <c r="J75" s="334"/>
      <c r="K75" s="332"/>
      <c r="L75" s="330"/>
      <c r="M75" s="335"/>
      <c r="O75" s="198" t="s">
        <v>1101</v>
      </c>
      <c r="P75" s="124">
        <v>5250</v>
      </c>
      <c r="R75" s="83">
        <v>23</v>
      </c>
      <c r="S75" s="198" t="s">
        <v>731</v>
      </c>
      <c r="T75" s="124">
        <v>1200</v>
      </c>
    </row>
    <row r="76" spans="1:20" ht="15.75" customHeight="1" x14ac:dyDescent="0.25">
      <c r="A76" s="302">
        <v>45938</v>
      </c>
      <c r="B76" s="329" t="s">
        <v>1086</v>
      </c>
      <c r="C76" s="330" t="s">
        <v>32</v>
      </c>
      <c r="D76" s="331">
        <v>90</v>
      </c>
      <c r="E76" s="332"/>
      <c r="F76" s="256" t="s">
        <v>521</v>
      </c>
      <c r="G76" s="332"/>
      <c r="H76" s="332"/>
      <c r="I76" s="332"/>
      <c r="J76" s="334"/>
      <c r="K76" s="332"/>
      <c r="L76" s="330"/>
      <c r="M76" s="335"/>
      <c r="O76" s="198" t="s">
        <v>1102</v>
      </c>
      <c r="P76" s="124">
        <v>300</v>
      </c>
      <c r="R76" s="83">
        <v>24</v>
      </c>
      <c r="S76" s="198" t="s">
        <v>1050</v>
      </c>
      <c r="T76" s="124">
        <v>1200</v>
      </c>
    </row>
    <row r="77" spans="1:20" ht="15.75" customHeight="1" x14ac:dyDescent="0.25">
      <c r="A77" s="302">
        <v>45938</v>
      </c>
      <c r="B77" s="329" t="s">
        <v>1087</v>
      </c>
      <c r="C77" s="36" t="s">
        <v>32</v>
      </c>
      <c r="D77" s="331">
        <v>80</v>
      </c>
      <c r="E77" s="332"/>
      <c r="F77" s="256" t="s">
        <v>707</v>
      </c>
      <c r="G77" s="332"/>
      <c r="H77" s="332"/>
      <c r="I77" s="332"/>
      <c r="J77" s="334"/>
      <c r="K77" s="332"/>
      <c r="L77" s="330"/>
      <c r="M77" s="335"/>
      <c r="O77" s="198" t="s">
        <v>750</v>
      </c>
      <c r="P77" s="124">
        <v>320</v>
      </c>
      <c r="R77" s="83">
        <v>25</v>
      </c>
      <c r="S77" s="198" t="s">
        <v>951</v>
      </c>
      <c r="T77" s="124">
        <v>1180</v>
      </c>
    </row>
    <row r="78" spans="1:20" ht="15.75" customHeight="1" x14ac:dyDescent="0.25">
      <c r="A78" s="302">
        <v>45938</v>
      </c>
      <c r="B78" s="329" t="s">
        <v>1088</v>
      </c>
      <c r="C78" s="36" t="s">
        <v>32</v>
      </c>
      <c r="D78" s="331">
        <v>320</v>
      </c>
      <c r="E78" s="332"/>
      <c r="F78" s="256" t="s">
        <v>1032</v>
      </c>
      <c r="G78" s="332"/>
      <c r="H78" s="332"/>
      <c r="I78" s="332"/>
      <c r="J78" s="334"/>
      <c r="K78" s="332"/>
      <c r="L78" s="330"/>
      <c r="M78" s="335"/>
      <c r="O78" s="198" t="s">
        <v>142</v>
      </c>
      <c r="P78" s="124">
        <v>700</v>
      </c>
      <c r="R78" s="83">
        <v>26</v>
      </c>
      <c r="S78" s="198" t="s">
        <v>875</v>
      </c>
      <c r="T78" s="124">
        <v>1040</v>
      </c>
    </row>
    <row r="79" spans="1:20" ht="15.75" customHeight="1" x14ac:dyDescent="0.25">
      <c r="A79" s="302">
        <v>45938</v>
      </c>
      <c r="B79" s="329" t="s">
        <v>1089</v>
      </c>
      <c r="C79" s="36" t="s">
        <v>32</v>
      </c>
      <c r="D79" s="331">
        <v>320</v>
      </c>
      <c r="E79" s="332"/>
      <c r="F79" s="256" t="s">
        <v>1020</v>
      </c>
      <c r="G79" s="332"/>
      <c r="H79" s="332"/>
      <c r="I79" s="332"/>
      <c r="J79" s="334"/>
      <c r="K79" s="332"/>
      <c r="L79" s="330"/>
      <c r="M79" s="335"/>
      <c r="O79" s="198" t="s">
        <v>1143</v>
      </c>
      <c r="P79" s="124">
        <v>560</v>
      </c>
      <c r="R79" s="83">
        <v>27</v>
      </c>
      <c r="S79" s="198" t="s">
        <v>142</v>
      </c>
      <c r="T79" s="124">
        <v>700</v>
      </c>
    </row>
    <row r="80" spans="1:20" ht="15.75" customHeight="1" x14ac:dyDescent="0.25">
      <c r="A80" s="302">
        <v>45938</v>
      </c>
      <c r="B80" s="329" t="s">
        <v>1090</v>
      </c>
      <c r="C80" s="36" t="s">
        <v>32</v>
      </c>
      <c r="D80" s="331">
        <v>480</v>
      </c>
      <c r="E80" s="332"/>
      <c r="F80" s="333" t="s">
        <v>1092</v>
      </c>
      <c r="G80" s="332"/>
      <c r="H80" s="332"/>
      <c r="I80" s="332"/>
      <c r="J80" s="334"/>
      <c r="K80" s="332"/>
      <c r="L80" s="330"/>
      <c r="M80" s="335"/>
      <c r="O80" s="198" t="s">
        <v>1151</v>
      </c>
      <c r="P80" s="124">
        <v>340</v>
      </c>
      <c r="R80" s="83">
        <v>28</v>
      </c>
      <c r="S80" s="198" t="s">
        <v>1143</v>
      </c>
      <c r="T80" s="124">
        <v>560</v>
      </c>
    </row>
    <row r="81" spans="1:20" ht="15.75" customHeight="1" x14ac:dyDescent="0.25">
      <c r="A81" s="302">
        <v>45938</v>
      </c>
      <c r="B81" s="289" t="s">
        <v>1091</v>
      </c>
      <c r="C81" s="36" t="s">
        <v>32</v>
      </c>
      <c r="D81" s="331">
        <v>1500</v>
      </c>
      <c r="E81" s="332"/>
      <c r="F81" s="256" t="s">
        <v>740</v>
      </c>
      <c r="G81" s="332"/>
      <c r="H81" s="332"/>
      <c r="I81" s="332"/>
      <c r="J81" s="334"/>
      <c r="K81" s="332"/>
      <c r="L81" s="330"/>
      <c r="M81" s="335"/>
      <c r="O81" s="198" t="s">
        <v>1169</v>
      </c>
      <c r="P81" s="124">
        <v>500</v>
      </c>
      <c r="R81" s="83">
        <v>29</v>
      </c>
      <c r="S81" s="198" t="s">
        <v>1169</v>
      </c>
      <c r="T81" s="124">
        <v>500</v>
      </c>
    </row>
    <row r="82" spans="1:20" ht="15.75" customHeight="1" x14ac:dyDescent="0.25">
      <c r="A82" s="302">
        <v>45938</v>
      </c>
      <c r="B82" s="329"/>
      <c r="C82" s="330" t="s">
        <v>109</v>
      </c>
      <c r="D82" s="331"/>
      <c r="E82" s="332">
        <v>380</v>
      </c>
      <c r="F82" s="333"/>
      <c r="G82" s="332"/>
      <c r="H82" s="332"/>
      <c r="I82" s="332"/>
      <c r="J82" s="334"/>
      <c r="K82" s="332"/>
      <c r="L82" s="330"/>
      <c r="M82" s="335"/>
      <c r="O82" s="198" t="s">
        <v>1172</v>
      </c>
      <c r="P82" s="124">
        <v>4480</v>
      </c>
      <c r="R82" s="83">
        <v>30</v>
      </c>
      <c r="S82" s="198" t="s">
        <v>709</v>
      </c>
      <c r="T82" s="124">
        <v>490</v>
      </c>
    </row>
    <row r="83" spans="1:20" ht="15.75" customHeight="1" x14ac:dyDescent="0.25">
      <c r="A83" s="302">
        <v>45938</v>
      </c>
      <c r="B83" s="329"/>
      <c r="C83" s="330" t="s">
        <v>33</v>
      </c>
      <c r="D83" s="331"/>
      <c r="E83" s="332">
        <v>50</v>
      </c>
      <c r="F83" s="333"/>
      <c r="G83" s="332"/>
      <c r="H83" s="332"/>
      <c r="I83" s="332"/>
      <c r="J83" s="334"/>
      <c r="K83" s="332"/>
      <c r="L83" s="330"/>
      <c r="M83" s="335"/>
      <c r="O83" s="198" t="s">
        <v>1176</v>
      </c>
      <c r="P83" s="124">
        <v>2700</v>
      </c>
      <c r="R83" s="83">
        <v>31</v>
      </c>
      <c r="S83" s="198" t="s">
        <v>234</v>
      </c>
      <c r="T83" s="124">
        <v>480</v>
      </c>
    </row>
    <row r="84" spans="1:20" ht="15.75" customHeight="1" x14ac:dyDescent="0.25">
      <c r="A84" s="302">
        <v>45939</v>
      </c>
      <c r="B84" s="289" t="s">
        <v>1093</v>
      </c>
      <c r="C84" s="36" t="s">
        <v>32</v>
      </c>
      <c r="D84" s="331">
        <v>160</v>
      </c>
      <c r="E84" s="332"/>
      <c r="F84" s="256" t="s">
        <v>707</v>
      </c>
      <c r="G84" s="332"/>
      <c r="H84" s="332"/>
      <c r="I84" s="332"/>
      <c r="J84" s="334"/>
      <c r="K84" s="332"/>
      <c r="L84" s="330"/>
      <c r="M84" s="335"/>
      <c r="O84" s="198" t="s">
        <v>1186</v>
      </c>
      <c r="P84" s="124">
        <v>1440</v>
      </c>
      <c r="R84" s="83">
        <v>32</v>
      </c>
      <c r="S84" s="198" t="s">
        <v>1092</v>
      </c>
      <c r="T84" s="124">
        <v>480</v>
      </c>
    </row>
    <row r="85" spans="1:20" ht="15.75" customHeight="1" x14ac:dyDescent="0.25">
      <c r="A85" s="302">
        <v>45939</v>
      </c>
      <c r="B85" s="289" t="s">
        <v>1094</v>
      </c>
      <c r="C85" s="36" t="s">
        <v>32</v>
      </c>
      <c r="D85" s="331">
        <v>480</v>
      </c>
      <c r="E85" s="332"/>
      <c r="F85" s="256" t="s">
        <v>1020</v>
      </c>
      <c r="G85" s="332"/>
      <c r="H85" s="332"/>
      <c r="I85" s="332"/>
      <c r="J85" s="334"/>
      <c r="K85" s="332"/>
      <c r="L85" s="330"/>
      <c r="M85" s="335"/>
      <c r="O85" s="198" t="s">
        <v>1187</v>
      </c>
      <c r="P85" s="124">
        <v>1710</v>
      </c>
      <c r="R85" s="83">
        <v>33</v>
      </c>
      <c r="S85" s="198" t="s">
        <v>1151</v>
      </c>
      <c r="T85" s="124">
        <v>340</v>
      </c>
    </row>
    <row r="86" spans="1:20" ht="15.75" customHeight="1" x14ac:dyDescent="0.25">
      <c r="A86" s="302">
        <v>45939</v>
      </c>
      <c r="B86" s="289" t="s">
        <v>1095</v>
      </c>
      <c r="C86" s="36" t="s">
        <v>32</v>
      </c>
      <c r="D86" s="331">
        <v>170</v>
      </c>
      <c r="E86" s="122" t="s">
        <v>128</v>
      </c>
      <c r="F86" s="256" t="s">
        <v>521</v>
      </c>
      <c r="G86" s="332"/>
      <c r="H86" s="332"/>
      <c r="I86" s="332"/>
      <c r="J86" s="334"/>
      <c r="K86" s="332"/>
      <c r="L86" s="330"/>
      <c r="M86" s="335"/>
      <c r="O86" s="198" t="s">
        <v>751</v>
      </c>
      <c r="P86" s="124">
        <v>4800</v>
      </c>
      <c r="R86" s="83">
        <v>34</v>
      </c>
      <c r="S86" s="198" t="s">
        <v>750</v>
      </c>
      <c r="T86" s="124">
        <v>320</v>
      </c>
    </row>
    <row r="87" spans="1:20" ht="15.75" customHeight="1" x14ac:dyDescent="0.25">
      <c r="A87" s="302">
        <v>45939</v>
      </c>
      <c r="B87" s="289" t="s">
        <v>1096</v>
      </c>
      <c r="C87" s="36" t="s">
        <v>32</v>
      </c>
      <c r="D87" s="331">
        <v>160</v>
      </c>
      <c r="E87" s="332"/>
      <c r="F87" s="256" t="s">
        <v>875</v>
      </c>
      <c r="G87" s="332"/>
      <c r="H87" s="332"/>
      <c r="I87" s="332"/>
      <c r="J87" s="334"/>
      <c r="K87" s="332"/>
      <c r="L87" s="330"/>
      <c r="M87" s="335"/>
      <c r="O87" s="198" t="s">
        <v>1270</v>
      </c>
      <c r="P87" s="124">
        <v>3750</v>
      </c>
      <c r="R87" s="83">
        <v>35</v>
      </c>
      <c r="S87" s="198" t="s">
        <v>1271</v>
      </c>
      <c r="T87" s="124">
        <v>320</v>
      </c>
    </row>
    <row r="88" spans="1:20" ht="15.75" customHeight="1" x14ac:dyDescent="0.25">
      <c r="A88" s="302">
        <v>45939</v>
      </c>
      <c r="B88" s="289" t="s">
        <v>1097</v>
      </c>
      <c r="C88" s="36" t="s">
        <v>32</v>
      </c>
      <c r="D88" s="37">
        <v>3000</v>
      </c>
      <c r="E88" s="129"/>
      <c r="F88" s="253" t="s">
        <v>624</v>
      </c>
      <c r="G88" s="129"/>
      <c r="H88" s="129"/>
      <c r="I88" s="129"/>
      <c r="J88" s="225"/>
      <c r="K88" s="129"/>
      <c r="L88" s="36"/>
      <c r="M88" s="273"/>
      <c r="O88" s="198" t="s">
        <v>1271</v>
      </c>
      <c r="P88" s="124">
        <v>320</v>
      </c>
      <c r="R88" s="83">
        <v>36</v>
      </c>
      <c r="S88" s="198" t="s">
        <v>1102</v>
      </c>
      <c r="T88" s="124">
        <v>300</v>
      </c>
    </row>
    <row r="89" spans="1:20" ht="15.75" customHeight="1" x14ac:dyDescent="0.25">
      <c r="A89" s="302">
        <v>45939</v>
      </c>
      <c r="B89" s="289" t="s">
        <v>1098</v>
      </c>
      <c r="C89" s="36" t="s">
        <v>32</v>
      </c>
      <c r="D89" s="37">
        <v>750</v>
      </c>
      <c r="E89" s="129"/>
      <c r="F89" s="253" t="s">
        <v>1101</v>
      </c>
      <c r="G89" s="129"/>
      <c r="H89" s="129"/>
      <c r="I89" s="129"/>
      <c r="J89" s="225"/>
      <c r="K89" s="129"/>
      <c r="L89" s="36"/>
      <c r="M89" s="273"/>
      <c r="O89" s="198" t="s">
        <v>1272</v>
      </c>
      <c r="P89" s="124">
        <v>160</v>
      </c>
      <c r="R89" s="83">
        <v>37</v>
      </c>
      <c r="S89" s="198" t="s">
        <v>607</v>
      </c>
      <c r="T89" s="124">
        <v>240</v>
      </c>
    </row>
    <row r="90" spans="1:20" ht="15.75" customHeight="1" x14ac:dyDescent="0.25">
      <c r="A90" s="302">
        <v>45939</v>
      </c>
      <c r="B90" s="289" t="s">
        <v>1099</v>
      </c>
      <c r="C90" s="36" t="s">
        <v>32</v>
      </c>
      <c r="D90" s="37">
        <v>450</v>
      </c>
      <c r="E90" s="122"/>
      <c r="F90" s="256" t="s">
        <v>1044</v>
      </c>
      <c r="G90" s="122"/>
      <c r="H90" s="122"/>
      <c r="I90" s="122"/>
      <c r="J90" s="227"/>
      <c r="K90" s="122"/>
      <c r="L90" s="36"/>
      <c r="M90" s="273"/>
      <c r="O90" s="198" t="s">
        <v>1284</v>
      </c>
      <c r="P90" s="124">
        <v>4980</v>
      </c>
      <c r="R90" s="83">
        <v>38</v>
      </c>
      <c r="S90" s="198" t="s">
        <v>1272</v>
      </c>
      <c r="T90" s="124">
        <v>160</v>
      </c>
    </row>
    <row r="91" spans="1:20" ht="15.75" customHeight="1" x14ac:dyDescent="0.25">
      <c r="A91" s="302">
        <v>45939</v>
      </c>
      <c r="B91" s="289" t="s">
        <v>1100</v>
      </c>
      <c r="C91" s="36" t="s">
        <v>32</v>
      </c>
      <c r="D91" s="37">
        <v>300</v>
      </c>
      <c r="E91" s="122"/>
      <c r="F91" s="256" t="s">
        <v>1102</v>
      </c>
      <c r="G91" s="122"/>
      <c r="H91" s="122"/>
      <c r="I91" s="122"/>
      <c r="J91" s="227"/>
      <c r="K91" s="122"/>
      <c r="L91" s="36"/>
      <c r="M91" s="273"/>
      <c r="O91" s="198" t="s">
        <v>1339</v>
      </c>
      <c r="P91" s="124">
        <v>100</v>
      </c>
      <c r="R91" s="83">
        <v>39</v>
      </c>
      <c r="S91" s="198" t="s">
        <v>1339</v>
      </c>
      <c r="T91" s="124">
        <v>100</v>
      </c>
    </row>
    <row r="92" spans="1:20" ht="15.75" customHeight="1" x14ac:dyDescent="0.25">
      <c r="A92" s="302">
        <v>45939</v>
      </c>
      <c r="B92" s="289" t="s">
        <v>1104</v>
      </c>
      <c r="C92" s="36" t="s">
        <v>32</v>
      </c>
      <c r="D92" s="37">
        <v>3000</v>
      </c>
      <c r="E92" s="122"/>
      <c r="F92" s="256" t="s">
        <v>1034</v>
      </c>
      <c r="G92" s="122"/>
      <c r="H92" s="122"/>
      <c r="I92" s="122"/>
      <c r="J92" s="227"/>
      <c r="K92" s="122"/>
      <c r="L92" s="36"/>
      <c r="M92" s="273"/>
      <c r="O92" s="198" t="s">
        <v>16</v>
      </c>
      <c r="P92" s="124">
        <v>171155</v>
      </c>
      <c r="R92" s="368"/>
      <c r="S92" s="369" t="s">
        <v>16</v>
      </c>
      <c r="T92" s="367">
        <v>171155</v>
      </c>
    </row>
    <row r="93" spans="1:20" ht="15.75" customHeight="1" x14ac:dyDescent="0.25">
      <c r="A93" s="302">
        <v>45939</v>
      </c>
      <c r="B93" s="289"/>
      <c r="C93" s="36" t="s">
        <v>207</v>
      </c>
      <c r="D93" s="37"/>
      <c r="E93" s="122">
        <v>500</v>
      </c>
      <c r="F93" s="256"/>
      <c r="G93" s="122"/>
      <c r="H93" s="122"/>
      <c r="I93" s="122"/>
      <c r="J93" s="227"/>
      <c r="K93" s="122"/>
      <c r="L93" s="36"/>
      <c r="M93" s="273" t="s">
        <v>1135</v>
      </c>
    </row>
    <row r="94" spans="1:20" ht="15.75" customHeight="1" x14ac:dyDescent="0.25">
      <c r="A94" s="302">
        <v>45939</v>
      </c>
      <c r="B94" s="289"/>
      <c r="C94" s="36" t="s">
        <v>818</v>
      </c>
      <c r="D94" s="37"/>
      <c r="E94" s="122">
        <v>620</v>
      </c>
      <c r="F94" s="256"/>
      <c r="G94" s="122"/>
      <c r="H94" s="122"/>
      <c r="I94" s="122"/>
      <c r="J94" s="227"/>
      <c r="K94" s="122"/>
      <c r="L94" s="36"/>
      <c r="M94" s="273" t="s">
        <v>1136</v>
      </c>
    </row>
    <row r="95" spans="1:20" ht="15.75" customHeight="1" x14ac:dyDescent="0.25">
      <c r="A95" s="302">
        <v>45939</v>
      </c>
      <c r="B95" s="289"/>
      <c r="C95" s="36" t="s">
        <v>33</v>
      </c>
      <c r="D95" s="37"/>
      <c r="E95" s="122">
        <v>50</v>
      </c>
      <c r="F95" s="256"/>
      <c r="G95" s="122"/>
      <c r="H95" s="122"/>
      <c r="I95" s="122"/>
      <c r="J95" s="227"/>
      <c r="K95" s="122"/>
      <c r="L95" s="36"/>
      <c r="M95" s="273"/>
    </row>
    <row r="96" spans="1:20" ht="15.75" customHeight="1" x14ac:dyDescent="0.25">
      <c r="A96" s="302">
        <v>45940</v>
      </c>
      <c r="B96" s="329"/>
      <c r="C96" s="330" t="s">
        <v>147</v>
      </c>
      <c r="D96" s="331"/>
      <c r="E96" s="332">
        <v>17431</v>
      </c>
      <c r="F96" s="333"/>
      <c r="G96" s="332" t="s">
        <v>623</v>
      </c>
      <c r="H96" s="332">
        <v>60</v>
      </c>
      <c r="I96" s="332">
        <v>1051</v>
      </c>
      <c r="J96" s="334">
        <v>273</v>
      </c>
      <c r="K96" s="332" t="s">
        <v>667</v>
      </c>
      <c r="L96" s="330"/>
      <c r="M96" s="335"/>
    </row>
    <row r="97" spans="1:13" ht="15.75" customHeight="1" x14ac:dyDescent="0.25">
      <c r="A97" s="302">
        <v>45940</v>
      </c>
      <c r="B97" s="329" t="s">
        <v>1120</v>
      </c>
      <c r="C97" s="330" t="s">
        <v>32</v>
      </c>
      <c r="D97" s="331">
        <v>1500</v>
      </c>
      <c r="E97" s="332"/>
      <c r="F97" s="333" t="s">
        <v>1034</v>
      </c>
      <c r="G97" s="332"/>
      <c r="H97" s="332"/>
      <c r="I97" s="332"/>
      <c r="J97" s="334"/>
      <c r="K97" s="332"/>
      <c r="L97" s="330"/>
      <c r="M97" s="335"/>
    </row>
    <row r="98" spans="1:13" ht="15.75" customHeight="1" x14ac:dyDescent="0.25">
      <c r="A98" s="302">
        <v>45940</v>
      </c>
      <c r="B98" s="329" t="s">
        <v>1121</v>
      </c>
      <c r="C98" s="330" t="s">
        <v>32</v>
      </c>
      <c r="D98" s="331">
        <v>320</v>
      </c>
      <c r="E98" s="332"/>
      <c r="F98" s="333" t="s">
        <v>750</v>
      </c>
      <c r="G98" s="332"/>
      <c r="H98" s="332"/>
      <c r="I98" s="332"/>
      <c r="J98" s="334"/>
      <c r="K98" s="332"/>
      <c r="L98" s="330"/>
      <c r="M98" s="335"/>
    </row>
    <row r="99" spans="1:13" ht="15.75" customHeight="1" x14ac:dyDescent="0.25">
      <c r="A99" s="302">
        <v>45940</v>
      </c>
      <c r="B99" s="329" t="s">
        <v>1122</v>
      </c>
      <c r="C99" s="330" t="s">
        <v>32</v>
      </c>
      <c r="D99" s="331">
        <v>160</v>
      </c>
      <c r="E99" s="332"/>
      <c r="F99" s="333" t="s">
        <v>707</v>
      </c>
      <c r="G99" s="332"/>
      <c r="H99" s="332"/>
      <c r="I99" s="332"/>
      <c r="J99" s="334"/>
      <c r="K99" s="332"/>
      <c r="L99" s="330"/>
      <c r="M99" s="335"/>
    </row>
    <row r="100" spans="1:13" ht="15.75" customHeight="1" x14ac:dyDescent="0.25">
      <c r="A100" s="302">
        <v>45940</v>
      </c>
      <c r="B100" s="329" t="s">
        <v>1123</v>
      </c>
      <c r="C100" s="330" t="s">
        <v>32</v>
      </c>
      <c r="D100" s="331">
        <v>480</v>
      </c>
      <c r="E100" s="332"/>
      <c r="F100" s="333" t="s">
        <v>1020</v>
      </c>
      <c r="G100" s="332"/>
      <c r="H100" s="332"/>
      <c r="I100" s="332"/>
      <c r="J100" s="334"/>
      <c r="K100" s="332"/>
      <c r="L100" s="330"/>
      <c r="M100" s="335"/>
    </row>
    <row r="101" spans="1:13" ht="15.75" customHeight="1" x14ac:dyDescent="0.25">
      <c r="A101" s="302">
        <v>45940</v>
      </c>
      <c r="B101" s="329" t="s">
        <v>1124</v>
      </c>
      <c r="C101" s="330" t="s">
        <v>32</v>
      </c>
      <c r="D101" s="331">
        <v>1500</v>
      </c>
      <c r="E101" s="332"/>
      <c r="F101" s="333" t="s">
        <v>740</v>
      </c>
      <c r="G101" s="332"/>
      <c r="H101" s="332"/>
      <c r="I101" s="332"/>
      <c r="J101" s="334"/>
      <c r="K101" s="332"/>
      <c r="L101" s="330"/>
      <c r="M101" s="335"/>
    </row>
    <row r="102" spans="1:13" ht="15.75" customHeight="1" x14ac:dyDescent="0.25">
      <c r="A102" s="302">
        <v>45940</v>
      </c>
      <c r="B102" s="329" t="s">
        <v>1125</v>
      </c>
      <c r="C102" s="330" t="s">
        <v>32</v>
      </c>
      <c r="D102" s="331">
        <v>160</v>
      </c>
      <c r="E102" s="332"/>
      <c r="F102" s="333" t="s">
        <v>1061</v>
      </c>
      <c r="G102" s="332"/>
      <c r="H102" s="332"/>
      <c r="I102" s="332"/>
      <c r="J102" s="334"/>
      <c r="K102" s="332"/>
      <c r="L102" s="330"/>
      <c r="M102" s="335"/>
    </row>
    <row r="103" spans="1:13" ht="15.75" customHeight="1" x14ac:dyDescent="0.25">
      <c r="A103" s="302">
        <v>45940</v>
      </c>
      <c r="B103" s="329" t="s">
        <v>1126</v>
      </c>
      <c r="C103" s="330" t="s">
        <v>32</v>
      </c>
      <c r="D103" s="331">
        <v>750</v>
      </c>
      <c r="E103" s="332"/>
      <c r="F103" s="333" t="s">
        <v>1034</v>
      </c>
      <c r="G103" s="332"/>
      <c r="H103" s="332"/>
      <c r="I103" s="332"/>
      <c r="J103" s="334"/>
      <c r="K103" s="332"/>
      <c r="L103" s="330"/>
      <c r="M103" s="335"/>
    </row>
    <row r="104" spans="1:13" ht="15.75" customHeight="1" x14ac:dyDescent="0.25">
      <c r="A104" s="302">
        <v>45940</v>
      </c>
      <c r="B104" s="329"/>
      <c r="C104" s="330" t="s">
        <v>33</v>
      </c>
      <c r="D104" s="331"/>
      <c r="E104" s="332">
        <v>50</v>
      </c>
      <c r="F104" s="333"/>
      <c r="G104" s="332"/>
      <c r="H104" s="332"/>
      <c r="I104" s="332"/>
      <c r="J104" s="334"/>
      <c r="K104" s="332"/>
      <c r="L104" s="330"/>
      <c r="M104" s="335"/>
    </row>
    <row r="105" spans="1:13" ht="15.75" customHeight="1" x14ac:dyDescent="0.25">
      <c r="A105" s="302">
        <v>45941</v>
      </c>
      <c r="B105" s="329"/>
      <c r="C105" s="330" t="s">
        <v>145</v>
      </c>
      <c r="D105" s="331"/>
      <c r="E105" s="332">
        <v>1600</v>
      </c>
      <c r="F105" s="333"/>
      <c r="G105" s="332" t="s">
        <v>619</v>
      </c>
      <c r="H105" s="332">
        <v>64</v>
      </c>
      <c r="I105" s="332"/>
      <c r="J105" s="334">
        <v>25</v>
      </c>
      <c r="K105" s="332" t="s">
        <v>19</v>
      </c>
      <c r="L105" s="330"/>
      <c r="M105" s="335"/>
    </row>
    <row r="106" spans="1:13" ht="15.75" customHeight="1" x14ac:dyDescent="0.25">
      <c r="A106" s="302">
        <v>45941</v>
      </c>
      <c r="B106" s="289" t="s">
        <v>1127</v>
      </c>
      <c r="C106" s="36" t="s">
        <v>32</v>
      </c>
      <c r="D106" s="331">
        <v>480</v>
      </c>
      <c r="E106" s="332"/>
      <c r="F106" s="256" t="s">
        <v>1024</v>
      </c>
      <c r="G106" s="332"/>
      <c r="H106" s="332"/>
      <c r="I106" s="332"/>
      <c r="J106" s="334"/>
      <c r="K106" s="332"/>
      <c r="L106" s="330"/>
      <c r="M106" s="335"/>
    </row>
    <row r="107" spans="1:13" ht="15.75" customHeight="1" x14ac:dyDescent="0.25">
      <c r="A107" s="302">
        <v>45941</v>
      </c>
      <c r="B107" s="289" t="s">
        <v>1128</v>
      </c>
      <c r="C107" s="36" t="s">
        <v>32</v>
      </c>
      <c r="D107" s="331">
        <v>560</v>
      </c>
      <c r="E107" s="332"/>
      <c r="F107" s="256" t="s">
        <v>707</v>
      </c>
      <c r="G107" s="332"/>
      <c r="H107" s="332"/>
      <c r="I107" s="332"/>
      <c r="J107" s="334"/>
      <c r="K107" s="332"/>
      <c r="L107" s="330"/>
      <c r="M107" s="335"/>
    </row>
    <row r="108" spans="1:13" ht="15.75" customHeight="1" x14ac:dyDescent="0.25">
      <c r="A108" s="302">
        <v>45941</v>
      </c>
      <c r="B108" s="289" t="s">
        <v>1129</v>
      </c>
      <c r="C108" s="36" t="s">
        <v>32</v>
      </c>
      <c r="D108" s="331">
        <v>480</v>
      </c>
      <c r="E108" s="332"/>
      <c r="F108" s="256" t="s">
        <v>1020</v>
      </c>
      <c r="G108" s="332"/>
      <c r="H108" s="332"/>
      <c r="I108" s="332"/>
      <c r="J108" s="334"/>
      <c r="K108" s="332"/>
      <c r="L108" s="330"/>
      <c r="M108" s="335"/>
    </row>
    <row r="109" spans="1:13" ht="15.75" customHeight="1" x14ac:dyDescent="0.25">
      <c r="A109" s="302">
        <v>45941</v>
      </c>
      <c r="B109" s="289" t="s">
        <v>1130</v>
      </c>
      <c r="C109" s="36" t="s">
        <v>32</v>
      </c>
      <c r="D109" s="331">
        <v>3000</v>
      </c>
      <c r="E109" s="332"/>
      <c r="F109" s="256" t="s">
        <v>1044</v>
      </c>
      <c r="G109" s="332"/>
      <c r="H109" s="332"/>
      <c r="I109" s="332"/>
      <c r="J109" s="334"/>
      <c r="K109" s="332"/>
      <c r="L109" s="330"/>
      <c r="M109" s="335"/>
    </row>
    <row r="110" spans="1:13" ht="15.75" customHeight="1" x14ac:dyDescent="0.25">
      <c r="A110" s="302">
        <v>45941</v>
      </c>
      <c r="B110" s="289"/>
      <c r="C110" s="330" t="s">
        <v>682</v>
      </c>
      <c r="D110" s="331"/>
      <c r="E110" s="332">
        <v>800</v>
      </c>
      <c r="F110" s="333"/>
      <c r="G110" s="332"/>
      <c r="H110" s="332"/>
      <c r="I110" s="332"/>
      <c r="J110" s="334"/>
      <c r="K110" s="332"/>
      <c r="L110" s="330"/>
      <c r="M110" s="273" t="s">
        <v>1133</v>
      </c>
    </row>
    <row r="111" spans="1:13" ht="15.75" customHeight="1" x14ac:dyDescent="0.25">
      <c r="A111" s="302">
        <v>45941</v>
      </c>
      <c r="B111" s="289"/>
      <c r="C111" s="36" t="s">
        <v>33</v>
      </c>
      <c r="D111" s="331"/>
      <c r="E111" s="332">
        <v>50</v>
      </c>
      <c r="F111" s="333"/>
      <c r="G111" s="332"/>
      <c r="H111" s="332"/>
      <c r="I111" s="332"/>
      <c r="J111" s="334"/>
      <c r="K111" s="332"/>
      <c r="L111" s="330"/>
      <c r="M111" s="335"/>
    </row>
    <row r="112" spans="1:13" ht="15.75" customHeight="1" x14ac:dyDescent="0.25">
      <c r="A112" s="302">
        <v>45941</v>
      </c>
      <c r="B112" s="329"/>
      <c r="C112" s="330" t="s">
        <v>546</v>
      </c>
      <c r="D112" s="331"/>
      <c r="E112" s="332">
        <v>250</v>
      </c>
      <c r="F112" s="333"/>
      <c r="G112" s="332"/>
      <c r="H112" s="332"/>
      <c r="I112" s="332"/>
      <c r="J112" s="334"/>
      <c r="K112" s="332"/>
      <c r="L112" s="330"/>
      <c r="M112" s="335"/>
    </row>
    <row r="113" spans="1:13" ht="15.75" customHeight="1" x14ac:dyDescent="0.25">
      <c r="A113" s="302">
        <v>45941</v>
      </c>
      <c r="B113" s="329"/>
      <c r="C113" s="330" t="s">
        <v>682</v>
      </c>
      <c r="D113" s="331"/>
      <c r="E113" s="332">
        <v>430</v>
      </c>
      <c r="F113" s="333"/>
      <c r="G113" s="332"/>
      <c r="H113" s="332"/>
      <c r="I113" s="332"/>
      <c r="J113" s="334"/>
      <c r="K113" s="332"/>
      <c r="L113" s="330"/>
      <c r="M113" s="273" t="s">
        <v>1134</v>
      </c>
    </row>
    <row r="114" spans="1:13" ht="15.75" customHeight="1" x14ac:dyDescent="0.25">
      <c r="A114" s="302">
        <v>45941</v>
      </c>
      <c r="B114" s="329" t="s">
        <v>1131</v>
      </c>
      <c r="C114" s="330" t="s">
        <v>32</v>
      </c>
      <c r="D114" s="331">
        <v>500</v>
      </c>
      <c r="E114" s="332"/>
      <c r="F114" s="333" t="s">
        <v>1016</v>
      </c>
      <c r="G114" s="332"/>
      <c r="H114" s="332"/>
      <c r="I114" s="332"/>
      <c r="J114" s="334"/>
      <c r="K114" s="332"/>
      <c r="L114" s="330"/>
      <c r="M114" s="335"/>
    </row>
    <row r="115" spans="1:13" ht="15.75" customHeight="1" x14ac:dyDescent="0.25">
      <c r="A115" s="302">
        <v>45941</v>
      </c>
      <c r="B115" s="329" t="s">
        <v>1132</v>
      </c>
      <c r="C115" s="330" t="s">
        <v>32</v>
      </c>
      <c r="D115" s="331">
        <v>340</v>
      </c>
      <c r="E115" s="332"/>
      <c r="F115" s="333" t="s">
        <v>1151</v>
      </c>
      <c r="G115" s="332"/>
      <c r="H115" s="332"/>
      <c r="I115" s="332"/>
      <c r="J115" s="334"/>
      <c r="K115" s="332"/>
      <c r="L115" s="330"/>
      <c r="M115" s="335"/>
    </row>
    <row r="116" spans="1:13" ht="15.75" customHeight="1" x14ac:dyDescent="0.25">
      <c r="A116" s="328">
        <v>45942</v>
      </c>
      <c r="B116" s="329" t="s">
        <v>1137</v>
      </c>
      <c r="C116" s="330" t="s">
        <v>32</v>
      </c>
      <c r="D116" s="331">
        <v>350</v>
      </c>
      <c r="E116" s="332"/>
      <c r="F116" s="333" t="s">
        <v>1016</v>
      </c>
      <c r="G116" s="332"/>
      <c r="H116" s="332"/>
      <c r="I116" s="332"/>
      <c r="J116" s="334"/>
      <c r="K116" s="332"/>
      <c r="L116" s="330"/>
      <c r="M116" s="335"/>
    </row>
    <row r="117" spans="1:13" ht="15.75" customHeight="1" x14ac:dyDescent="0.25">
      <c r="A117" s="328">
        <v>45942</v>
      </c>
      <c r="B117" s="329" t="s">
        <v>1138</v>
      </c>
      <c r="C117" s="330" t="s">
        <v>32</v>
      </c>
      <c r="D117" s="331">
        <v>320</v>
      </c>
      <c r="E117" s="332"/>
      <c r="F117" s="333" t="s">
        <v>1032</v>
      </c>
      <c r="G117" s="332"/>
      <c r="H117" s="332"/>
      <c r="I117" s="332"/>
      <c r="J117" s="334"/>
      <c r="K117" s="332"/>
      <c r="L117" s="330"/>
      <c r="M117" s="335"/>
    </row>
    <row r="118" spans="1:13" ht="15.75" customHeight="1" x14ac:dyDescent="0.25">
      <c r="A118" s="328">
        <v>45942</v>
      </c>
      <c r="B118" s="329" t="s">
        <v>1139</v>
      </c>
      <c r="C118" s="330" t="s">
        <v>32</v>
      </c>
      <c r="D118" s="331">
        <v>160</v>
      </c>
      <c r="E118" s="332"/>
      <c r="F118" s="333" t="s">
        <v>1061</v>
      </c>
      <c r="G118" s="332"/>
      <c r="H118" s="332"/>
      <c r="I118" s="332"/>
      <c r="J118" s="334"/>
      <c r="K118" s="332"/>
      <c r="L118" s="330"/>
      <c r="M118" s="335"/>
    </row>
    <row r="119" spans="1:13" ht="15.75" customHeight="1" x14ac:dyDescent="0.25">
      <c r="A119" s="328">
        <v>45943</v>
      </c>
      <c r="B119" s="329" t="s">
        <v>1140</v>
      </c>
      <c r="C119" s="330" t="s">
        <v>32</v>
      </c>
      <c r="D119" s="331">
        <v>750</v>
      </c>
      <c r="E119" s="332"/>
      <c r="F119" s="333" t="s">
        <v>1034</v>
      </c>
      <c r="G119" s="332"/>
      <c r="H119" s="332"/>
      <c r="I119" s="332"/>
      <c r="J119" s="334"/>
      <c r="K119" s="332"/>
      <c r="L119" s="330"/>
      <c r="M119" s="335"/>
    </row>
    <row r="120" spans="1:13" ht="15.75" customHeight="1" x14ac:dyDescent="0.25">
      <c r="A120" s="328">
        <v>45943</v>
      </c>
      <c r="B120" s="329" t="s">
        <v>1141</v>
      </c>
      <c r="C120" s="330" t="s">
        <v>32</v>
      </c>
      <c r="D120" s="331">
        <v>100</v>
      </c>
      <c r="E120" s="332"/>
      <c r="F120" s="333" t="s">
        <v>142</v>
      </c>
      <c r="G120" s="332"/>
      <c r="H120" s="332"/>
      <c r="I120" s="332"/>
      <c r="J120" s="334"/>
      <c r="K120" s="332"/>
      <c r="L120" s="330"/>
      <c r="M120" s="335"/>
    </row>
    <row r="121" spans="1:13" ht="15.75" customHeight="1" x14ac:dyDescent="0.25">
      <c r="A121" s="328">
        <v>45943</v>
      </c>
      <c r="B121" s="329" t="s">
        <v>1142</v>
      </c>
      <c r="C121" s="330" t="s">
        <v>32</v>
      </c>
      <c r="D121" s="331">
        <v>160</v>
      </c>
      <c r="E121" s="332"/>
      <c r="F121" s="333" t="s">
        <v>1143</v>
      </c>
      <c r="G121" s="332"/>
      <c r="H121" s="332"/>
      <c r="I121" s="332"/>
      <c r="J121" s="334"/>
      <c r="K121" s="332"/>
      <c r="L121" s="330"/>
      <c r="M121" s="335"/>
    </row>
    <row r="122" spans="1:13" ht="15.75" customHeight="1" x14ac:dyDescent="0.25">
      <c r="A122" s="328">
        <v>45943</v>
      </c>
      <c r="B122" s="329" t="s">
        <v>1144</v>
      </c>
      <c r="C122" s="330" t="s">
        <v>32</v>
      </c>
      <c r="D122" s="331">
        <v>160</v>
      </c>
      <c r="E122" s="332"/>
      <c r="F122" s="333" t="s">
        <v>707</v>
      </c>
      <c r="G122" s="332"/>
      <c r="H122" s="332"/>
      <c r="I122" s="332"/>
      <c r="J122" s="334"/>
      <c r="K122" s="332"/>
      <c r="L122" s="330"/>
      <c r="M122" s="335"/>
    </row>
    <row r="123" spans="1:13" ht="15.75" customHeight="1" x14ac:dyDescent="0.25">
      <c r="A123" s="328">
        <v>45943</v>
      </c>
      <c r="B123" s="329" t="s">
        <v>1145</v>
      </c>
      <c r="C123" s="330" t="s">
        <v>32</v>
      </c>
      <c r="D123" s="331">
        <v>320</v>
      </c>
      <c r="E123" s="332"/>
      <c r="F123" s="333" t="s">
        <v>1020</v>
      </c>
      <c r="G123" s="332"/>
      <c r="H123" s="332"/>
      <c r="I123" s="332"/>
      <c r="J123" s="334"/>
      <c r="K123" s="332"/>
      <c r="L123" s="330"/>
      <c r="M123" s="335"/>
    </row>
    <row r="124" spans="1:13" ht="15.75" customHeight="1" x14ac:dyDescent="0.25">
      <c r="A124" s="328">
        <v>45943</v>
      </c>
      <c r="B124" s="329" t="s">
        <v>1146</v>
      </c>
      <c r="C124" s="330" t="s">
        <v>32</v>
      </c>
      <c r="D124" s="331">
        <v>240</v>
      </c>
      <c r="E124" s="332"/>
      <c r="F124" s="333" t="s">
        <v>731</v>
      </c>
      <c r="G124" s="332"/>
      <c r="H124" s="332"/>
      <c r="I124" s="332"/>
      <c r="J124" s="334"/>
      <c r="K124" s="332"/>
      <c r="L124" s="330"/>
      <c r="M124" s="335"/>
    </row>
    <row r="125" spans="1:13" ht="15.75" customHeight="1" x14ac:dyDescent="0.25">
      <c r="A125" s="328">
        <v>45943</v>
      </c>
      <c r="B125" s="329" t="s">
        <v>1147</v>
      </c>
      <c r="C125" s="330" t="s">
        <v>32</v>
      </c>
      <c r="D125" s="331">
        <v>320</v>
      </c>
      <c r="E125" s="332"/>
      <c r="F125" s="333" t="s">
        <v>1050</v>
      </c>
      <c r="G125" s="332"/>
      <c r="H125" s="332"/>
      <c r="I125" s="332"/>
      <c r="J125" s="334"/>
      <c r="K125" s="332"/>
      <c r="L125" s="330"/>
      <c r="M125" s="335"/>
    </row>
    <row r="126" spans="1:13" ht="15.75" customHeight="1" x14ac:dyDescent="0.25">
      <c r="A126" s="328">
        <v>45943</v>
      </c>
      <c r="B126" s="329" t="s">
        <v>1148</v>
      </c>
      <c r="C126" s="330" t="s">
        <v>32</v>
      </c>
      <c r="D126" s="331">
        <v>1500</v>
      </c>
      <c r="E126" s="332"/>
      <c r="F126" s="333" t="s">
        <v>740</v>
      </c>
      <c r="G126" s="332"/>
      <c r="H126" s="332"/>
      <c r="I126" s="332"/>
      <c r="J126" s="334"/>
      <c r="K126" s="332"/>
      <c r="L126" s="330"/>
      <c r="M126" s="335"/>
    </row>
    <row r="127" spans="1:13" ht="15.75" customHeight="1" x14ac:dyDescent="0.25">
      <c r="A127" s="328">
        <v>45943</v>
      </c>
      <c r="B127" s="329" t="s">
        <v>1149</v>
      </c>
      <c r="C127" s="330" t="s">
        <v>32</v>
      </c>
      <c r="D127" s="331">
        <v>60</v>
      </c>
      <c r="E127" s="332"/>
      <c r="F127" s="333" t="s">
        <v>521</v>
      </c>
      <c r="G127" s="332"/>
      <c r="H127" s="332"/>
      <c r="I127" s="332"/>
      <c r="J127" s="334"/>
      <c r="K127" s="332"/>
      <c r="L127" s="330"/>
      <c r="M127" s="335"/>
    </row>
    <row r="128" spans="1:13" ht="15.75" customHeight="1" x14ac:dyDescent="0.25">
      <c r="A128" s="328">
        <v>45943</v>
      </c>
      <c r="B128" s="329" t="s">
        <v>1150</v>
      </c>
      <c r="C128" s="330" t="s">
        <v>32</v>
      </c>
      <c r="D128" s="331">
        <v>160</v>
      </c>
      <c r="E128" s="332"/>
      <c r="F128" s="333" t="s">
        <v>951</v>
      </c>
      <c r="G128" s="332"/>
      <c r="H128" s="332"/>
      <c r="I128" s="332"/>
      <c r="J128" s="334"/>
      <c r="K128" s="332"/>
      <c r="L128" s="330"/>
      <c r="M128" s="335"/>
    </row>
    <row r="129" spans="1:13" ht="15.75" customHeight="1" x14ac:dyDescent="0.25">
      <c r="A129" s="328">
        <v>45943</v>
      </c>
      <c r="B129" s="329"/>
      <c r="C129" s="330" t="s">
        <v>33</v>
      </c>
      <c r="D129" s="331"/>
      <c r="E129" s="332">
        <v>50</v>
      </c>
      <c r="F129" s="333"/>
      <c r="G129" s="332"/>
      <c r="H129" s="332"/>
      <c r="I129" s="332"/>
      <c r="J129" s="334"/>
      <c r="K129" s="332"/>
      <c r="L129" s="330"/>
      <c r="M129" s="335"/>
    </row>
    <row r="130" spans="1:13" ht="15.75" customHeight="1" x14ac:dyDescent="0.25">
      <c r="A130" s="328">
        <v>45944</v>
      </c>
      <c r="B130" s="329"/>
      <c r="C130" s="330" t="s">
        <v>145</v>
      </c>
      <c r="D130" s="331"/>
      <c r="E130" s="332">
        <v>2500</v>
      </c>
      <c r="F130" s="333"/>
      <c r="G130" s="332" t="s">
        <v>619</v>
      </c>
      <c r="H130" s="332">
        <v>62.5</v>
      </c>
      <c r="I130" s="332"/>
      <c r="J130" s="334">
        <v>40</v>
      </c>
      <c r="K130" s="332" t="s">
        <v>19</v>
      </c>
      <c r="L130" s="330"/>
      <c r="M130" s="335"/>
    </row>
    <row r="131" spans="1:13" ht="15.75" customHeight="1" x14ac:dyDescent="0.25">
      <c r="A131" s="328">
        <v>45944</v>
      </c>
      <c r="B131" s="329" t="s">
        <v>1152</v>
      </c>
      <c r="C131" s="330" t="s">
        <v>32</v>
      </c>
      <c r="D131" s="331">
        <v>1500</v>
      </c>
      <c r="E131" s="332"/>
      <c r="F131" s="333" t="s">
        <v>1034</v>
      </c>
      <c r="G131" s="332"/>
      <c r="H131" s="332"/>
      <c r="I131" s="332"/>
      <c r="J131" s="334"/>
      <c r="K131" s="332"/>
      <c r="L131" s="330"/>
      <c r="M131" s="335"/>
    </row>
    <row r="132" spans="1:13" ht="15.75" customHeight="1" x14ac:dyDescent="0.25">
      <c r="A132" s="328">
        <v>45944</v>
      </c>
      <c r="B132" s="329" t="s">
        <v>1153</v>
      </c>
      <c r="C132" s="330" t="s">
        <v>32</v>
      </c>
      <c r="D132" s="331">
        <v>160</v>
      </c>
      <c r="E132" s="332"/>
      <c r="F132" s="333" t="s">
        <v>1024</v>
      </c>
      <c r="G132" s="332"/>
      <c r="H132" s="332"/>
      <c r="I132" s="332"/>
      <c r="J132" s="334"/>
      <c r="K132" s="332"/>
      <c r="L132" s="330"/>
      <c r="M132" s="335"/>
    </row>
    <row r="133" spans="1:13" ht="15.75" customHeight="1" x14ac:dyDescent="0.25">
      <c r="A133" s="328">
        <v>45944</v>
      </c>
      <c r="B133" s="329" t="s">
        <v>1154</v>
      </c>
      <c r="C133" s="330" t="s">
        <v>32</v>
      </c>
      <c r="D133" s="331">
        <v>240</v>
      </c>
      <c r="E133" s="332"/>
      <c r="F133" s="333" t="s">
        <v>707</v>
      </c>
      <c r="G133" s="332"/>
      <c r="H133" s="332"/>
      <c r="I133" s="332"/>
      <c r="J133" s="334"/>
      <c r="K133" s="332"/>
      <c r="L133" s="330"/>
      <c r="M133" s="335"/>
    </row>
    <row r="134" spans="1:13" ht="15.75" customHeight="1" x14ac:dyDescent="0.25">
      <c r="A134" s="328">
        <v>45944</v>
      </c>
      <c r="B134" s="329" t="s">
        <v>1155</v>
      </c>
      <c r="C134" s="330" t="s">
        <v>32</v>
      </c>
      <c r="D134" s="331">
        <v>320</v>
      </c>
      <c r="E134" s="332"/>
      <c r="F134" s="333" t="s">
        <v>1020</v>
      </c>
      <c r="G134" s="332"/>
      <c r="H134" s="332"/>
      <c r="I134" s="332"/>
      <c r="J134" s="334"/>
      <c r="K134" s="332"/>
      <c r="L134" s="330"/>
      <c r="M134" s="335"/>
    </row>
    <row r="135" spans="1:13" ht="15.4" customHeight="1" x14ac:dyDescent="0.25">
      <c r="A135" s="328">
        <v>45944</v>
      </c>
      <c r="B135" s="329" t="s">
        <v>1156</v>
      </c>
      <c r="C135" s="330" t="s">
        <v>32</v>
      </c>
      <c r="D135" s="331">
        <v>510</v>
      </c>
      <c r="E135" s="332"/>
      <c r="F135" s="333" t="s">
        <v>1016</v>
      </c>
      <c r="G135" s="332"/>
      <c r="H135" s="332"/>
      <c r="I135" s="332"/>
      <c r="J135" s="334"/>
      <c r="K135" s="332"/>
      <c r="L135" s="330"/>
      <c r="M135" s="335"/>
    </row>
    <row r="136" spans="1:13" ht="15.75" customHeight="1" x14ac:dyDescent="0.25">
      <c r="A136" s="328">
        <v>45944</v>
      </c>
      <c r="B136" s="329"/>
      <c r="C136" s="330" t="s">
        <v>33</v>
      </c>
      <c r="D136" s="331"/>
      <c r="E136" s="332">
        <v>50</v>
      </c>
      <c r="F136" s="333"/>
      <c r="G136" s="332"/>
      <c r="H136" s="332"/>
      <c r="I136" s="332"/>
      <c r="J136" s="334"/>
      <c r="K136" s="332"/>
      <c r="L136" s="330"/>
      <c r="M136" s="335"/>
    </row>
    <row r="137" spans="1:13" ht="15.75" customHeight="1" x14ac:dyDescent="0.25">
      <c r="A137" s="328">
        <v>45944</v>
      </c>
      <c r="B137" s="329"/>
      <c r="C137" s="330" t="s">
        <v>618</v>
      </c>
      <c r="D137" s="331"/>
      <c r="E137" s="332">
        <v>160</v>
      </c>
      <c r="F137" s="333"/>
      <c r="G137" s="332"/>
      <c r="H137" s="332"/>
      <c r="I137" s="332"/>
      <c r="J137" s="334"/>
      <c r="K137" s="332"/>
      <c r="L137" s="330"/>
      <c r="M137" s="335"/>
    </row>
    <row r="138" spans="1:13" ht="15.75" customHeight="1" x14ac:dyDescent="0.25">
      <c r="A138" s="328">
        <v>45945</v>
      </c>
      <c r="B138" s="329" t="s">
        <v>1157</v>
      </c>
      <c r="C138" s="330" t="s">
        <v>32</v>
      </c>
      <c r="D138" s="331">
        <v>750</v>
      </c>
      <c r="E138" s="332"/>
      <c r="F138" s="333" t="s">
        <v>1101</v>
      </c>
      <c r="G138" s="332"/>
      <c r="H138" s="332"/>
      <c r="I138" s="332"/>
      <c r="J138" s="334"/>
      <c r="K138" s="332"/>
      <c r="L138" s="330"/>
      <c r="M138" s="335"/>
    </row>
    <row r="139" spans="1:13" ht="15.75" customHeight="1" x14ac:dyDescent="0.25">
      <c r="A139" s="328">
        <v>45945</v>
      </c>
      <c r="B139" s="329" t="s">
        <v>1158</v>
      </c>
      <c r="C139" s="330" t="s">
        <v>32</v>
      </c>
      <c r="D139" s="331">
        <v>300</v>
      </c>
      <c r="E139" s="332"/>
      <c r="F139" s="333" t="s">
        <v>1169</v>
      </c>
      <c r="G139" s="332"/>
      <c r="H139" s="332"/>
      <c r="I139" s="332"/>
      <c r="J139" s="334"/>
      <c r="K139" s="332"/>
      <c r="L139" s="330"/>
      <c r="M139" s="335"/>
    </row>
    <row r="140" spans="1:13" ht="15.75" customHeight="1" x14ac:dyDescent="0.25">
      <c r="A140" s="328">
        <v>45945</v>
      </c>
      <c r="B140" s="329" t="s">
        <v>1159</v>
      </c>
      <c r="C140" s="330" t="s">
        <v>32</v>
      </c>
      <c r="D140" s="331">
        <v>320</v>
      </c>
      <c r="E140" s="332"/>
      <c r="F140" s="333" t="s">
        <v>1044</v>
      </c>
      <c r="G140" s="332"/>
      <c r="H140" s="332"/>
      <c r="I140" s="332"/>
      <c r="J140" s="334"/>
      <c r="K140" s="332"/>
      <c r="L140" s="330"/>
      <c r="M140" s="335"/>
    </row>
    <row r="141" spans="1:13" ht="15.75" customHeight="1" x14ac:dyDescent="0.25">
      <c r="A141" s="328">
        <v>45945</v>
      </c>
      <c r="B141" s="329" t="s">
        <v>1160</v>
      </c>
      <c r="C141" s="330" t="s">
        <v>32</v>
      </c>
      <c r="D141" s="331">
        <v>160</v>
      </c>
      <c r="E141" s="332"/>
      <c r="F141" s="333" t="s">
        <v>1067</v>
      </c>
      <c r="G141" s="332"/>
      <c r="H141" s="332"/>
      <c r="I141" s="332"/>
      <c r="J141" s="334"/>
      <c r="K141" s="332"/>
      <c r="L141" s="330"/>
      <c r="M141" s="335"/>
    </row>
    <row r="142" spans="1:13" ht="15.75" customHeight="1" x14ac:dyDescent="0.25">
      <c r="A142" s="328">
        <v>45945</v>
      </c>
      <c r="B142" s="329" t="s">
        <v>1161</v>
      </c>
      <c r="C142" s="330" t="s">
        <v>32</v>
      </c>
      <c r="D142" s="331">
        <v>600</v>
      </c>
      <c r="E142" s="332"/>
      <c r="F142" s="333" t="s">
        <v>1016</v>
      </c>
      <c r="G142" s="332"/>
      <c r="H142" s="332"/>
      <c r="I142" s="332"/>
      <c r="J142" s="334"/>
      <c r="K142" s="332"/>
      <c r="L142" s="330"/>
      <c r="M142" s="335"/>
    </row>
    <row r="143" spans="1:13" ht="15.75" customHeight="1" x14ac:dyDescent="0.25">
      <c r="A143" s="328">
        <v>45945</v>
      </c>
      <c r="B143" s="329" t="s">
        <v>1162</v>
      </c>
      <c r="C143" s="330" t="s">
        <v>32</v>
      </c>
      <c r="D143" s="331">
        <v>240</v>
      </c>
      <c r="E143" s="332"/>
      <c r="F143" s="333" t="s">
        <v>707</v>
      </c>
      <c r="G143" s="332"/>
      <c r="H143" s="332"/>
      <c r="I143" s="332"/>
      <c r="J143" s="334"/>
      <c r="K143" s="332"/>
      <c r="L143" s="330"/>
      <c r="M143" s="335"/>
    </row>
    <row r="144" spans="1:13" ht="15.75" customHeight="1" x14ac:dyDescent="0.25">
      <c r="A144" s="328">
        <v>45945</v>
      </c>
      <c r="B144" s="329" t="s">
        <v>1163</v>
      </c>
      <c r="C144" s="330" t="s">
        <v>32</v>
      </c>
      <c r="D144" s="331">
        <v>320</v>
      </c>
      <c r="E144" s="332"/>
      <c r="F144" s="333" t="s">
        <v>1020</v>
      </c>
      <c r="G144" s="332"/>
      <c r="H144" s="332"/>
      <c r="I144" s="332"/>
      <c r="J144" s="334"/>
      <c r="K144" s="332"/>
      <c r="L144" s="330"/>
      <c r="M144" s="335"/>
    </row>
    <row r="145" spans="1:13" ht="15.75" customHeight="1" x14ac:dyDescent="0.25">
      <c r="A145" s="328">
        <v>45945</v>
      </c>
      <c r="B145" s="329" t="s">
        <v>1164</v>
      </c>
      <c r="C145" s="330" t="s">
        <v>32</v>
      </c>
      <c r="D145" s="331">
        <v>90</v>
      </c>
      <c r="E145" s="332"/>
      <c r="F145" s="333" t="s">
        <v>1170</v>
      </c>
      <c r="G145" s="332"/>
      <c r="H145" s="332"/>
      <c r="I145" s="332"/>
      <c r="J145" s="334"/>
      <c r="K145" s="332"/>
      <c r="L145" s="330"/>
      <c r="M145" s="335"/>
    </row>
    <row r="146" spans="1:13" ht="15.75" customHeight="1" x14ac:dyDescent="0.25">
      <c r="A146" s="328">
        <v>45945</v>
      </c>
      <c r="B146" s="329" t="s">
        <v>1165</v>
      </c>
      <c r="C146" s="330" t="s">
        <v>32</v>
      </c>
      <c r="D146" s="331">
        <v>640</v>
      </c>
      <c r="E146" s="332"/>
      <c r="F146" s="333" t="s">
        <v>1024</v>
      </c>
      <c r="G146" s="332"/>
      <c r="H146" s="332"/>
      <c r="I146" s="332"/>
      <c r="J146" s="334"/>
      <c r="K146" s="332"/>
      <c r="L146" s="330"/>
      <c r="M146" s="335"/>
    </row>
    <row r="147" spans="1:13" ht="15.75" customHeight="1" x14ac:dyDescent="0.25">
      <c r="A147" s="328">
        <v>45945</v>
      </c>
      <c r="B147" s="329" t="s">
        <v>1166</v>
      </c>
      <c r="C147" s="330" t="s">
        <v>32</v>
      </c>
      <c r="D147" s="331">
        <v>1800</v>
      </c>
      <c r="E147" s="332"/>
      <c r="F147" s="333" t="s">
        <v>1044</v>
      </c>
      <c r="G147" s="332"/>
      <c r="H147" s="332"/>
      <c r="I147" s="332"/>
      <c r="J147" s="334"/>
      <c r="K147" s="332"/>
      <c r="L147" s="330"/>
      <c r="M147" s="335"/>
    </row>
    <row r="148" spans="1:13" ht="15.75" customHeight="1" x14ac:dyDescent="0.25">
      <c r="A148" s="328">
        <v>45945</v>
      </c>
      <c r="B148" s="329"/>
      <c r="C148" s="330" t="s">
        <v>109</v>
      </c>
      <c r="D148" s="331"/>
      <c r="E148" s="332">
        <v>400</v>
      </c>
      <c r="F148" s="333"/>
      <c r="G148" s="332"/>
      <c r="H148" s="332"/>
      <c r="I148" s="332"/>
      <c r="J148" s="334"/>
      <c r="K148" s="332"/>
      <c r="L148" s="330"/>
      <c r="M148" s="335"/>
    </row>
    <row r="149" spans="1:13" ht="15.75" customHeight="1" x14ac:dyDescent="0.25">
      <c r="A149" s="328">
        <v>45945</v>
      </c>
      <c r="B149" s="329"/>
      <c r="C149" s="330" t="s">
        <v>818</v>
      </c>
      <c r="D149" s="331"/>
      <c r="E149" s="332">
        <v>80</v>
      </c>
      <c r="F149" s="333"/>
      <c r="G149" s="332"/>
      <c r="H149" s="332"/>
      <c r="I149" s="332"/>
      <c r="J149" s="334"/>
      <c r="K149" s="332"/>
      <c r="L149" s="330"/>
      <c r="M149" s="335"/>
    </row>
    <row r="150" spans="1:13" ht="15.75" customHeight="1" x14ac:dyDescent="0.25">
      <c r="A150" s="328">
        <v>45945</v>
      </c>
      <c r="B150" s="329"/>
      <c r="C150" s="330" t="s">
        <v>33</v>
      </c>
      <c r="D150" s="331"/>
      <c r="E150" s="332">
        <v>50</v>
      </c>
      <c r="F150" s="333"/>
      <c r="G150" s="332"/>
      <c r="H150" s="332"/>
      <c r="I150" s="332"/>
      <c r="J150" s="334"/>
      <c r="K150" s="332"/>
      <c r="L150" s="330"/>
      <c r="M150" s="335"/>
    </row>
    <row r="151" spans="1:13" ht="15.75" customHeight="1" x14ac:dyDescent="0.25">
      <c r="A151" s="328">
        <v>45946</v>
      </c>
      <c r="B151" s="329" t="s">
        <v>1167</v>
      </c>
      <c r="C151" s="330" t="s">
        <v>32</v>
      </c>
      <c r="D151" s="331">
        <v>420</v>
      </c>
      <c r="E151" s="332"/>
      <c r="F151" s="333" t="s">
        <v>1016</v>
      </c>
      <c r="G151" s="332"/>
      <c r="H151" s="332"/>
      <c r="I151" s="332"/>
      <c r="J151" s="334"/>
      <c r="K151" s="332"/>
      <c r="L151" s="330"/>
      <c r="M151" s="335"/>
    </row>
    <row r="152" spans="1:13" ht="15.75" customHeight="1" x14ac:dyDescent="0.25">
      <c r="A152" s="328">
        <v>45946</v>
      </c>
      <c r="B152" s="329" t="s">
        <v>1168</v>
      </c>
      <c r="C152" s="330" t="s">
        <v>32</v>
      </c>
      <c r="D152" s="331">
        <v>320</v>
      </c>
      <c r="E152" s="332"/>
      <c r="F152" s="333" t="s">
        <v>1172</v>
      </c>
      <c r="G152" s="332"/>
      <c r="H152" s="332"/>
      <c r="I152" s="332"/>
      <c r="J152" s="334"/>
      <c r="K152" s="332"/>
      <c r="L152" s="330"/>
      <c r="M152" s="335"/>
    </row>
    <row r="153" spans="1:13" ht="15.75" customHeight="1" x14ac:dyDescent="0.25">
      <c r="A153" s="328">
        <v>45946</v>
      </c>
      <c r="B153" s="329" t="s">
        <v>1173</v>
      </c>
      <c r="C153" s="330" t="s">
        <v>32</v>
      </c>
      <c r="D153" s="331">
        <v>480</v>
      </c>
      <c r="E153" s="332"/>
      <c r="F153" s="333" t="s">
        <v>1020</v>
      </c>
      <c r="G153" s="332"/>
      <c r="H153" s="332"/>
      <c r="I153" s="332"/>
      <c r="J153" s="334"/>
      <c r="K153" s="332"/>
      <c r="L153" s="330"/>
      <c r="M153" s="335"/>
    </row>
    <row r="154" spans="1:13" ht="15.75" customHeight="1" x14ac:dyDescent="0.25">
      <c r="A154" s="328">
        <v>45946</v>
      </c>
      <c r="B154" s="329" t="s">
        <v>1174</v>
      </c>
      <c r="C154" s="330" t="s">
        <v>32</v>
      </c>
      <c r="D154" s="331">
        <v>2250</v>
      </c>
      <c r="E154" s="332"/>
      <c r="F154" s="333" t="s">
        <v>1034</v>
      </c>
      <c r="G154" s="332"/>
      <c r="H154" s="332"/>
      <c r="I154" s="332"/>
      <c r="J154" s="334"/>
      <c r="K154" s="332"/>
      <c r="L154" s="330"/>
      <c r="M154" s="335"/>
    </row>
    <row r="155" spans="1:13" ht="15.75" customHeight="1" x14ac:dyDescent="0.25">
      <c r="A155" s="328">
        <v>45946</v>
      </c>
      <c r="B155" s="329" t="s">
        <v>1175</v>
      </c>
      <c r="C155" s="330" t="s">
        <v>32</v>
      </c>
      <c r="D155" s="331">
        <v>750</v>
      </c>
      <c r="E155" s="332" t="s">
        <v>128</v>
      </c>
      <c r="F155" s="333" t="s">
        <v>1176</v>
      </c>
      <c r="G155" s="332"/>
      <c r="H155" s="332"/>
      <c r="I155" s="332"/>
      <c r="J155" s="334"/>
      <c r="K155" s="332"/>
      <c r="L155" s="330"/>
      <c r="M155" s="335"/>
    </row>
    <row r="156" spans="1:13" ht="15.75" customHeight="1" x14ac:dyDescent="0.25">
      <c r="A156" s="328">
        <v>45946</v>
      </c>
      <c r="B156" s="329"/>
      <c r="C156" s="330" t="s">
        <v>33</v>
      </c>
      <c r="D156" s="331"/>
      <c r="E156" s="332">
        <v>65</v>
      </c>
      <c r="F156" s="333"/>
      <c r="G156" s="332"/>
      <c r="H156" s="332"/>
      <c r="I156" s="332"/>
      <c r="J156" s="334"/>
      <c r="K156" s="332"/>
      <c r="L156" s="330"/>
      <c r="M156" s="335"/>
    </row>
    <row r="157" spans="1:13" ht="15.75" customHeight="1" x14ac:dyDescent="0.25">
      <c r="A157" s="328">
        <v>45947</v>
      </c>
      <c r="B157" s="329" t="s">
        <v>1177</v>
      </c>
      <c r="C157" s="330" t="s">
        <v>32</v>
      </c>
      <c r="D157" s="331">
        <v>305</v>
      </c>
      <c r="E157" s="332"/>
      <c r="F157" s="333" t="s">
        <v>1026</v>
      </c>
      <c r="G157" s="332"/>
      <c r="H157" s="332"/>
      <c r="I157" s="332"/>
      <c r="J157" s="334"/>
      <c r="K157" s="332"/>
      <c r="L157" s="330"/>
      <c r="M157" s="335"/>
    </row>
    <row r="158" spans="1:13" ht="15.75" customHeight="1" x14ac:dyDescent="0.25">
      <c r="A158" s="328">
        <v>45947</v>
      </c>
      <c r="B158" s="329" t="s">
        <v>1178</v>
      </c>
      <c r="C158" s="330" t="s">
        <v>32</v>
      </c>
      <c r="D158" s="331">
        <v>640</v>
      </c>
      <c r="E158" s="332"/>
      <c r="F158" s="333" t="s">
        <v>1186</v>
      </c>
      <c r="G158" s="332"/>
      <c r="H158" s="332"/>
      <c r="I158" s="332"/>
      <c r="J158" s="334"/>
      <c r="K158" s="332"/>
      <c r="L158" s="330"/>
      <c r="M158" s="335"/>
    </row>
    <row r="159" spans="1:13" ht="15.75" customHeight="1" x14ac:dyDescent="0.25">
      <c r="A159" s="328">
        <v>45947</v>
      </c>
      <c r="B159" s="329" t="s">
        <v>1179</v>
      </c>
      <c r="C159" s="330" t="s">
        <v>32</v>
      </c>
      <c r="D159" s="331">
        <v>320</v>
      </c>
      <c r="E159" s="332"/>
      <c r="F159" s="333" t="s">
        <v>709</v>
      </c>
      <c r="G159" s="332"/>
      <c r="H159" s="332"/>
      <c r="I159" s="332"/>
      <c r="J159" s="334"/>
      <c r="K159" s="332"/>
      <c r="L159" s="330"/>
      <c r="M159" s="335"/>
    </row>
    <row r="160" spans="1:13" ht="15.75" customHeight="1" x14ac:dyDescent="0.25">
      <c r="A160" s="328">
        <v>45947</v>
      </c>
      <c r="B160" s="329" t="s">
        <v>1180</v>
      </c>
      <c r="C160" s="330" t="s">
        <v>32</v>
      </c>
      <c r="D160" s="331">
        <v>300</v>
      </c>
      <c r="E160" s="332"/>
      <c r="F160" s="333" t="s">
        <v>1187</v>
      </c>
      <c r="G160" s="332"/>
      <c r="H160" s="332"/>
      <c r="I160" s="332"/>
      <c r="J160" s="334"/>
      <c r="K160" s="332"/>
      <c r="L160" s="330"/>
      <c r="M160" s="335"/>
    </row>
    <row r="161" spans="1:13" ht="15.75" customHeight="1" x14ac:dyDescent="0.25">
      <c r="A161" s="328">
        <v>45947</v>
      </c>
      <c r="B161" s="329" t="s">
        <v>1181</v>
      </c>
      <c r="C161" s="330" t="s">
        <v>32</v>
      </c>
      <c r="D161" s="331">
        <v>640</v>
      </c>
      <c r="E161" s="332"/>
      <c r="F161" s="333" t="s">
        <v>707</v>
      </c>
      <c r="G161" s="332"/>
      <c r="H161" s="332"/>
      <c r="I161" s="332"/>
      <c r="J161" s="334"/>
      <c r="K161" s="332"/>
      <c r="L161" s="330"/>
      <c r="M161" s="335"/>
    </row>
    <row r="162" spans="1:13" ht="15.75" customHeight="1" x14ac:dyDescent="0.25">
      <c r="A162" s="328">
        <v>45947</v>
      </c>
      <c r="B162" s="329" t="s">
        <v>1182</v>
      </c>
      <c r="C162" s="330" t="s">
        <v>32</v>
      </c>
      <c r="D162" s="331">
        <v>160</v>
      </c>
      <c r="E162" s="332"/>
      <c r="F162" s="333" t="s">
        <v>1172</v>
      </c>
      <c r="G162" s="332"/>
      <c r="H162" s="332"/>
      <c r="I162" s="332"/>
      <c r="J162" s="334"/>
      <c r="K162" s="332"/>
      <c r="L162" s="330"/>
      <c r="M162" s="335"/>
    </row>
    <row r="163" spans="1:13" ht="15.75" customHeight="1" x14ac:dyDescent="0.25">
      <c r="A163" s="328">
        <v>45947</v>
      </c>
      <c r="B163" s="329" t="s">
        <v>1183</v>
      </c>
      <c r="C163" s="330" t="s">
        <v>32</v>
      </c>
      <c r="D163" s="331">
        <v>400</v>
      </c>
      <c r="E163" s="332"/>
      <c r="F163" s="333" t="s">
        <v>142</v>
      </c>
      <c r="G163" s="332"/>
      <c r="H163" s="332"/>
      <c r="I163" s="332"/>
      <c r="J163" s="334"/>
      <c r="K163" s="332"/>
      <c r="L163" s="330"/>
      <c r="M163" s="335"/>
    </row>
    <row r="164" spans="1:13" ht="15.75" customHeight="1" x14ac:dyDescent="0.25">
      <c r="A164" s="328">
        <v>45947</v>
      </c>
      <c r="B164" s="329" t="s">
        <v>1184</v>
      </c>
      <c r="C164" s="330" t="s">
        <v>32</v>
      </c>
      <c r="D164" s="331">
        <v>1500</v>
      </c>
      <c r="E164" s="332"/>
      <c r="F164" s="333" t="s">
        <v>740</v>
      </c>
      <c r="G164" s="332"/>
      <c r="H164" s="332"/>
      <c r="I164" s="332"/>
      <c r="J164" s="334"/>
      <c r="K164" s="332"/>
      <c r="L164" s="330"/>
      <c r="M164" s="335"/>
    </row>
    <row r="165" spans="1:13" ht="15.75" customHeight="1" x14ac:dyDescent="0.25">
      <c r="A165" s="328">
        <v>45947</v>
      </c>
      <c r="B165" s="329" t="s">
        <v>1185</v>
      </c>
      <c r="C165" s="330" t="s">
        <v>32</v>
      </c>
      <c r="D165" s="331">
        <v>3750</v>
      </c>
      <c r="E165" s="332"/>
      <c r="F165" s="333" t="s">
        <v>1034</v>
      </c>
      <c r="G165" s="332"/>
      <c r="H165" s="332"/>
      <c r="I165" s="332"/>
      <c r="J165" s="334"/>
      <c r="K165" s="332"/>
      <c r="L165" s="330"/>
      <c r="M165" s="335"/>
    </row>
    <row r="166" spans="1:13" ht="15.75" customHeight="1" x14ac:dyDescent="0.25">
      <c r="A166" s="328">
        <v>45947</v>
      </c>
      <c r="B166" s="329" t="s">
        <v>1189</v>
      </c>
      <c r="C166" s="330" t="s">
        <v>32</v>
      </c>
      <c r="D166" s="331">
        <v>320</v>
      </c>
      <c r="E166" s="332"/>
      <c r="F166" s="333" t="s">
        <v>1176</v>
      </c>
      <c r="G166" s="332"/>
      <c r="H166" s="332"/>
      <c r="I166" s="332"/>
      <c r="J166" s="334"/>
      <c r="K166" s="332"/>
      <c r="L166" s="330"/>
      <c r="M166" s="335"/>
    </row>
    <row r="167" spans="1:13" ht="15.75" customHeight="1" x14ac:dyDescent="0.25">
      <c r="A167" s="328">
        <v>45947</v>
      </c>
      <c r="B167" s="329"/>
      <c r="C167" s="330" t="s">
        <v>161</v>
      </c>
      <c r="D167" s="331"/>
      <c r="E167" s="332">
        <v>2000</v>
      </c>
      <c r="F167" s="333"/>
      <c r="G167" s="332"/>
      <c r="H167" s="332"/>
      <c r="I167" s="332"/>
      <c r="J167" s="334"/>
      <c r="K167" s="332"/>
      <c r="L167" s="330"/>
      <c r="M167" s="335" t="s">
        <v>1190</v>
      </c>
    </row>
    <row r="168" spans="1:13" ht="15.75" customHeight="1" x14ac:dyDescent="0.25">
      <c r="A168" s="328">
        <v>45947</v>
      </c>
      <c r="B168" s="329"/>
      <c r="C168" s="330" t="s">
        <v>168</v>
      </c>
      <c r="D168" s="331"/>
      <c r="E168" s="332">
        <v>550</v>
      </c>
      <c r="F168" s="333"/>
      <c r="G168" s="332"/>
      <c r="H168" s="332"/>
      <c r="I168" s="332"/>
      <c r="J168" s="334"/>
      <c r="K168" s="332"/>
      <c r="L168" s="330"/>
      <c r="M168" s="335"/>
    </row>
    <row r="169" spans="1:13" ht="15.75" customHeight="1" x14ac:dyDescent="0.25">
      <c r="A169" s="328">
        <v>45947</v>
      </c>
      <c r="B169" s="329"/>
      <c r="C169" s="330" t="s">
        <v>33</v>
      </c>
      <c r="D169" s="331"/>
      <c r="E169" s="332">
        <v>50</v>
      </c>
      <c r="F169" s="333"/>
      <c r="G169" s="332"/>
      <c r="H169" s="332"/>
      <c r="I169" s="332"/>
      <c r="J169" s="334"/>
      <c r="K169" s="332"/>
      <c r="L169" s="330"/>
      <c r="M169" s="335"/>
    </row>
    <row r="170" spans="1:13" ht="15.75" customHeight="1" x14ac:dyDescent="0.25">
      <c r="A170" s="328">
        <v>45948</v>
      </c>
      <c r="B170" s="329"/>
      <c r="C170" s="330" t="s">
        <v>145</v>
      </c>
      <c r="D170" s="331"/>
      <c r="E170" s="332">
        <v>3350</v>
      </c>
      <c r="F170" s="333"/>
      <c r="G170" s="332" t="s">
        <v>619</v>
      </c>
      <c r="H170" s="332">
        <v>67</v>
      </c>
      <c r="I170" s="332"/>
      <c r="J170" s="334">
        <v>50</v>
      </c>
      <c r="K170" s="332" t="s">
        <v>19</v>
      </c>
      <c r="L170" s="330"/>
      <c r="M170" s="335"/>
    </row>
    <row r="171" spans="1:13" ht="15.75" customHeight="1" x14ac:dyDescent="0.25">
      <c r="A171" s="328">
        <v>45948</v>
      </c>
      <c r="B171" s="329" t="s">
        <v>1191</v>
      </c>
      <c r="C171" s="330" t="s">
        <v>32</v>
      </c>
      <c r="D171" s="331">
        <v>900</v>
      </c>
      <c r="E171" s="332"/>
      <c r="F171" s="333" t="s">
        <v>1044</v>
      </c>
      <c r="G171" s="332"/>
      <c r="H171" s="332"/>
      <c r="I171" s="332"/>
      <c r="J171" s="334"/>
      <c r="K171" s="332"/>
      <c r="L171" s="330"/>
      <c r="M171" s="335"/>
    </row>
    <row r="172" spans="1:13" ht="15.75" customHeight="1" x14ac:dyDescent="0.25">
      <c r="A172" s="328">
        <v>45948</v>
      </c>
      <c r="B172" s="329" t="s">
        <v>1192</v>
      </c>
      <c r="C172" s="330" t="s">
        <v>32</v>
      </c>
      <c r="D172" s="331">
        <v>640</v>
      </c>
      <c r="E172" s="332"/>
      <c r="F172" s="333" t="s">
        <v>1034</v>
      </c>
      <c r="G172" s="332"/>
      <c r="H172" s="332"/>
      <c r="I172" s="332"/>
      <c r="J172" s="334"/>
      <c r="K172" s="332"/>
      <c r="L172" s="330"/>
      <c r="M172" s="335"/>
    </row>
    <row r="173" spans="1:13" ht="15.75" customHeight="1" x14ac:dyDescent="0.25">
      <c r="A173" s="328">
        <v>45948</v>
      </c>
      <c r="B173" s="329" t="s">
        <v>1193</v>
      </c>
      <c r="C173" s="330" t="s">
        <v>32</v>
      </c>
      <c r="D173" s="331">
        <v>320</v>
      </c>
      <c r="E173" s="332"/>
      <c r="F173" s="333" t="s">
        <v>1172</v>
      </c>
      <c r="G173" s="332"/>
      <c r="H173" s="332"/>
      <c r="I173" s="332"/>
      <c r="J173" s="334"/>
      <c r="K173" s="332"/>
      <c r="L173" s="330"/>
      <c r="M173" s="335"/>
    </row>
    <row r="174" spans="1:13" ht="15.75" customHeight="1" x14ac:dyDescent="0.25">
      <c r="A174" s="328">
        <v>45948</v>
      </c>
      <c r="B174" s="329" t="s">
        <v>1194</v>
      </c>
      <c r="C174" s="330" t="s">
        <v>32</v>
      </c>
      <c r="D174" s="331">
        <v>90</v>
      </c>
      <c r="E174" s="332"/>
      <c r="F174" s="333" t="s">
        <v>521</v>
      </c>
      <c r="G174" s="332"/>
      <c r="H174" s="332"/>
      <c r="I174" s="332"/>
      <c r="J174" s="334"/>
      <c r="K174" s="332"/>
      <c r="L174" s="330"/>
      <c r="M174" s="335"/>
    </row>
    <row r="175" spans="1:13" ht="15.75" customHeight="1" x14ac:dyDescent="0.25">
      <c r="A175" s="328">
        <v>45948</v>
      </c>
      <c r="B175" s="329" t="s">
        <v>1195</v>
      </c>
      <c r="C175" s="330" t="s">
        <v>32</v>
      </c>
      <c r="D175" s="331">
        <v>320</v>
      </c>
      <c r="E175" s="332"/>
      <c r="F175" s="333" t="s">
        <v>1016</v>
      </c>
      <c r="G175" s="332"/>
      <c r="H175" s="332"/>
      <c r="I175" s="332"/>
      <c r="J175" s="334"/>
      <c r="K175" s="332"/>
      <c r="L175" s="330"/>
      <c r="M175" s="335"/>
    </row>
    <row r="176" spans="1:13" ht="15.75" customHeight="1" x14ac:dyDescent="0.25">
      <c r="A176" s="328">
        <v>45948</v>
      </c>
      <c r="B176" s="329" t="s">
        <v>1196</v>
      </c>
      <c r="C176" s="330" t="s">
        <v>32</v>
      </c>
      <c r="D176" s="331">
        <v>320</v>
      </c>
      <c r="E176" s="332"/>
      <c r="F176" s="333" t="s">
        <v>1020</v>
      </c>
      <c r="G176" s="332"/>
      <c r="H176" s="332"/>
      <c r="I176" s="332"/>
      <c r="J176" s="334"/>
      <c r="K176" s="332"/>
      <c r="L176" s="330"/>
      <c r="M176" s="335"/>
    </row>
    <row r="177" spans="1:13" ht="15.75" customHeight="1" x14ac:dyDescent="0.25">
      <c r="A177" s="328">
        <v>45948</v>
      </c>
      <c r="B177" s="329" t="s">
        <v>1197</v>
      </c>
      <c r="C177" s="330" t="s">
        <v>32</v>
      </c>
      <c r="D177" s="331">
        <v>320</v>
      </c>
      <c r="E177" s="332"/>
      <c r="F177" s="333" t="s">
        <v>1032</v>
      </c>
      <c r="G177" s="332"/>
      <c r="H177" s="332"/>
      <c r="I177" s="332"/>
      <c r="J177" s="334"/>
      <c r="K177" s="332"/>
      <c r="L177" s="330"/>
      <c r="M177" s="335"/>
    </row>
    <row r="178" spans="1:13" ht="15.75" customHeight="1" x14ac:dyDescent="0.25">
      <c r="A178" s="328">
        <v>45948</v>
      </c>
      <c r="B178" s="329" t="s">
        <v>1198</v>
      </c>
      <c r="C178" s="330" t="s">
        <v>32</v>
      </c>
      <c r="D178" s="331">
        <v>160</v>
      </c>
      <c r="E178" s="332"/>
      <c r="F178" s="333" t="s">
        <v>951</v>
      </c>
      <c r="G178" s="332"/>
      <c r="H178" s="332"/>
      <c r="I178" s="332"/>
      <c r="J178" s="334"/>
      <c r="K178" s="332"/>
      <c r="L178" s="330"/>
      <c r="M178" s="335"/>
    </row>
    <row r="179" spans="1:13" ht="15.75" customHeight="1" x14ac:dyDescent="0.25">
      <c r="A179" s="328">
        <v>45948</v>
      </c>
      <c r="B179" s="329" t="s">
        <v>1199</v>
      </c>
      <c r="C179" s="330" t="s">
        <v>32</v>
      </c>
      <c r="D179" s="331">
        <v>900</v>
      </c>
      <c r="E179" s="332"/>
      <c r="F179" s="333" t="s">
        <v>624</v>
      </c>
      <c r="G179" s="332"/>
      <c r="H179" s="332"/>
      <c r="I179" s="332"/>
      <c r="J179" s="334"/>
      <c r="K179" s="332"/>
      <c r="L179" s="330"/>
      <c r="M179" s="335"/>
    </row>
    <row r="180" spans="1:13" ht="15.75" customHeight="1" x14ac:dyDescent="0.25">
      <c r="A180" s="328">
        <v>45948</v>
      </c>
      <c r="B180" s="329" t="s">
        <v>1200</v>
      </c>
      <c r="C180" s="330" t="s">
        <v>32</v>
      </c>
      <c r="D180" s="331">
        <v>320</v>
      </c>
      <c r="E180" s="332"/>
      <c r="F180" s="333" t="s">
        <v>1176</v>
      </c>
      <c r="G180" s="332"/>
      <c r="H180" s="332"/>
      <c r="I180" s="332"/>
      <c r="J180" s="334"/>
      <c r="K180" s="332"/>
      <c r="L180" s="330"/>
      <c r="M180" s="335"/>
    </row>
    <row r="181" spans="1:13" ht="15.75" customHeight="1" x14ac:dyDescent="0.25">
      <c r="A181" s="328">
        <v>45948</v>
      </c>
      <c r="B181" s="329" t="s">
        <v>1201</v>
      </c>
      <c r="C181" s="330" t="s">
        <v>32</v>
      </c>
      <c r="D181" s="331">
        <v>160</v>
      </c>
      <c r="E181" s="332"/>
      <c r="F181" s="333" t="s">
        <v>1050</v>
      </c>
      <c r="G181" s="332"/>
      <c r="H181" s="332"/>
      <c r="I181" s="332"/>
      <c r="J181" s="334"/>
      <c r="K181" s="332"/>
      <c r="L181" s="330"/>
      <c r="M181" s="335"/>
    </row>
    <row r="182" spans="1:13" ht="15.75" customHeight="1" x14ac:dyDescent="0.25">
      <c r="A182" s="328">
        <v>45948</v>
      </c>
      <c r="B182" s="329" t="s">
        <v>1202</v>
      </c>
      <c r="C182" s="330" t="s">
        <v>32</v>
      </c>
      <c r="D182" s="331">
        <v>2700</v>
      </c>
      <c r="E182" s="332"/>
      <c r="F182" s="333" t="s">
        <v>740</v>
      </c>
      <c r="G182" s="332"/>
      <c r="H182" s="332"/>
      <c r="I182" s="332"/>
      <c r="J182" s="334"/>
      <c r="K182" s="332"/>
      <c r="L182" s="330"/>
      <c r="M182" s="335"/>
    </row>
    <row r="183" spans="1:13" ht="15.75" customHeight="1" x14ac:dyDescent="0.25">
      <c r="A183" s="328">
        <v>45948</v>
      </c>
      <c r="B183" s="329"/>
      <c r="C183" s="330" t="s">
        <v>818</v>
      </c>
      <c r="D183" s="331"/>
      <c r="E183" s="332">
        <v>207</v>
      </c>
      <c r="F183" s="333"/>
      <c r="G183" s="332"/>
      <c r="H183" s="332"/>
      <c r="I183" s="332"/>
      <c r="J183" s="334"/>
      <c r="K183" s="332"/>
      <c r="L183" s="330"/>
      <c r="M183" s="335"/>
    </row>
    <row r="184" spans="1:13" ht="15.75" customHeight="1" x14ac:dyDescent="0.25">
      <c r="A184" s="328">
        <v>45948</v>
      </c>
      <c r="B184" s="329"/>
      <c r="C184" s="330" t="s">
        <v>33</v>
      </c>
      <c r="D184" s="331"/>
      <c r="E184" s="332">
        <v>50</v>
      </c>
      <c r="F184" s="333"/>
      <c r="G184" s="332"/>
      <c r="H184" s="332"/>
      <c r="I184" s="332"/>
      <c r="J184" s="334"/>
      <c r="K184" s="332"/>
      <c r="L184" s="330"/>
      <c r="M184" s="335"/>
    </row>
    <row r="185" spans="1:13" ht="15.75" customHeight="1" x14ac:dyDescent="0.25">
      <c r="A185" s="328">
        <v>45949</v>
      </c>
      <c r="B185" s="329" t="s">
        <v>1203</v>
      </c>
      <c r="C185" s="330" t="s">
        <v>32</v>
      </c>
      <c r="D185" s="331">
        <v>1500</v>
      </c>
      <c r="E185" s="332"/>
      <c r="F185" s="333" t="s">
        <v>1101</v>
      </c>
      <c r="G185" s="332"/>
      <c r="H185" s="332"/>
      <c r="I185" s="332"/>
      <c r="J185" s="334"/>
      <c r="K185" s="332"/>
      <c r="L185" s="330"/>
      <c r="M185" s="335"/>
    </row>
    <row r="186" spans="1:13" ht="15.75" customHeight="1" x14ac:dyDescent="0.25">
      <c r="A186" s="328">
        <v>45949</v>
      </c>
      <c r="B186" s="329" t="s">
        <v>1204</v>
      </c>
      <c r="C186" s="330" t="s">
        <v>32</v>
      </c>
      <c r="D186" s="331">
        <v>640</v>
      </c>
      <c r="E186" s="332"/>
      <c r="F186" s="333" t="s">
        <v>1020</v>
      </c>
      <c r="G186" s="332"/>
      <c r="H186" s="332"/>
      <c r="I186" s="332"/>
      <c r="J186" s="334"/>
      <c r="K186" s="332"/>
      <c r="L186" s="330"/>
      <c r="M186" s="335"/>
    </row>
    <row r="187" spans="1:13" ht="15.75" customHeight="1" x14ac:dyDescent="0.25">
      <c r="A187" s="328">
        <v>45949</v>
      </c>
      <c r="B187" s="329" t="s">
        <v>1205</v>
      </c>
      <c r="C187" s="330" t="s">
        <v>32</v>
      </c>
      <c r="D187" s="331">
        <v>480</v>
      </c>
      <c r="E187" s="332"/>
      <c r="F187" s="333" t="s">
        <v>1172</v>
      </c>
      <c r="G187" s="332"/>
      <c r="H187" s="332"/>
      <c r="I187" s="332"/>
      <c r="J187" s="334"/>
      <c r="K187" s="332"/>
      <c r="L187" s="330"/>
      <c r="M187" s="335"/>
    </row>
    <row r="188" spans="1:13" ht="15.75" customHeight="1" x14ac:dyDescent="0.25">
      <c r="A188" s="328">
        <v>45949</v>
      </c>
      <c r="B188" s="329" t="s">
        <v>1206</v>
      </c>
      <c r="C188" s="330" t="s">
        <v>32</v>
      </c>
      <c r="D188" s="331">
        <v>320</v>
      </c>
      <c r="E188" s="332"/>
      <c r="F188" s="333" t="s">
        <v>707</v>
      </c>
      <c r="G188" s="332"/>
      <c r="H188" s="332"/>
      <c r="I188" s="332"/>
      <c r="J188" s="334"/>
      <c r="K188" s="332"/>
      <c r="L188" s="330"/>
      <c r="M188" s="335"/>
    </row>
    <row r="189" spans="1:13" ht="15.75" customHeight="1" x14ac:dyDescent="0.25">
      <c r="A189" s="328">
        <v>45949</v>
      </c>
      <c r="B189" s="329" t="s">
        <v>1207</v>
      </c>
      <c r="C189" s="330" t="s">
        <v>32</v>
      </c>
      <c r="D189" s="331">
        <v>200</v>
      </c>
      <c r="E189" s="332"/>
      <c r="F189" s="333" t="s">
        <v>521</v>
      </c>
      <c r="G189" s="332"/>
      <c r="H189" s="332"/>
      <c r="I189" s="332"/>
      <c r="J189" s="334"/>
      <c r="K189" s="332"/>
      <c r="L189" s="330"/>
      <c r="M189" s="335"/>
    </row>
    <row r="190" spans="1:13" ht="15.75" customHeight="1" x14ac:dyDescent="0.25">
      <c r="A190" s="328">
        <v>45949</v>
      </c>
      <c r="B190" s="329"/>
      <c r="C190" s="330" t="s">
        <v>33</v>
      </c>
      <c r="D190" s="331"/>
      <c r="E190" s="332">
        <v>50</v>
      </c>
      <c r="F190" s="333"/>
      <c r="G190" s="332"/>
      <c r="H190" s="332"/>
      <c r="I190" s="332"/>
      <c r="J190" s="334"/>
      <c r="K190" s="332"/>
      <c r="L190" s="330"/>
      <c r="M190" s="335"/>
    </row>
    <row r="191" spans="1:13" ht="15.75" customHeight="1" x14ac:dyDescent="0.25">
      <c r="A191" s="328">
        <v>45950</v>
      </c>
      <c r="B191" s="329" t="s">
        <v>1208</v>
      </c>
      <c r="C191" s="330" t="s">
        <v>32</v>
      </c>
      <c r="D191" s="331">
        <v>1500</v>
      </c>
      <c r="E191" s="332"/>
      <c r="F191" s="333" t="s">
        <v>740</v>
      </c>
      <c r="G191" s="332"/>
      <c r="H191" s="332"/>
      <c r="I191" s="332"/>
      <c r="J191" s="334"/>
      <c r="K191" s="332"/>
      <c r="L191" s="330"/>
      <c r="M191" s="335"/>
    </row>
    <row r="192" spans="1:13" ht="15.75" customHeight="1" x14ac:dyDescent="0.25">
      <c r="A192" s="328">
        <v>45950</v>
      </c>
      <c r="B192" s="329" t="s">
        <v>1209</v>
      </c>
      <c r="C192" s="330" t="s">
        <v>32</v>
      </c>
      <c r="D192" s="331">
        <v>2250</v>
      </c>
      <c r="E192" s="332"/>
      <c r="F192" s="333" t="s">
        <v>1034</v>
      </c>
      <c r="G192" s="332"/>
      <c r="H192" s="332"/>
      <c r="I192" s="332"/>
      <c r="J192" s="334"/>
      <c r="K192" s="332"/>
      <c r="L192" s="330"/>
      <c r="M192" s="335"/>
    </row>
    <row r="193" spans="1:13" ht="15.75" customHeight="1" x14ac:dyDescent="0.25">
      <c r="A193" s="328">
        <v>45950</v>
      </c>
      <c r="B193" s="329" t="s">
        <v>1210</v>
      </c>
      <c r="C193" s="330" t="s">
        <v>32</v>
      </c>
      <c r="D193" s="331">
        <v>800</v>
      </c>
      <c r="E193" s="332"/>
      <c r="F193" s="333" t="s">
        <v>707</v>
      </c>
      <c r="G193" s="332"/>
      <c r="H193" s="332"/>
      <c r="I193" s="332"/>
      <c r="J193" s="334"/>
      <c r="K193" s="332"/>
      <c r="L193" s="330"/>
      <c r="M193" s="335"/>
    </row>
    <row r="194" spans="1:13" ht="15.75" customHeight="1" x14ac:dyDescent="0.25">
      <c r="A194" s="328">
        <v>45950</v>
      </c>
      <c r="B194" s="329" t="s">
        <v>1211</v>
      </c>
      <c r="C194" s="330" t="s">
        <v>32</v>
      </c>
      <c r="D194" s="331">
        <v>400</v>
      </c>
      <c r="E194" s="332"/>
      <c r="F194" s="333" t="s">
        <v>1024</v>
      </c>
      <c r="G194" s="332"/>
      <c r="H194" s="332"/>
      <c r="I194" s="332"/>
      <c r="J194" s="334"/>
      <c r="K194" s="332"/>
      <c r="L194" s="330"/>
      <c r="M194" s="335"/>
    </row>
    <row r="195" spans="1:13" ht="15.75" customHeight="1" x14ac:dyDescent="0.25">
      <c r="A195" s="328">
        <v>45950</v>
      </c>
      <c r="B195" s="329" t="s">
        <v>1212</v>
      </c>
      <c r="C195" s="330" t="s">
        <v>32</v>
      </c>
      <c r="D195" s="331">
        <v>750</v>
      </c>
      <c r="E195" s="332"/>
      <c r="F195" s="333" t="s">
        <v>521</v>
      </c>
      <c r="G195" s="332"/>
      <c r="H195" s="332"/>
      <c r="I195" s="332"/>
      <c r="J195" s="334"/>
      <c r="K195" s="332"/>
      <c r="L195" s="330"/>
      <c r="M195" s="335"/>
    </row>
    <row r="196" spans="1:13" ht="15.75" customHeight="1" x14ac:dyDescent="0.25">
      <c r="A196" s="328">
        <v>45950</v>
      </c>
      <c r="B196" s="329" t="s">
        <v>1213</v>
      </c>
      <c r="C196" s="330" t="s">
        <v>32</v>
      </c>
      <c r="D196" s="331">
        <v>320</v>
      </c>
      <c r="E196" s="332"/>
      <c r="F196" s="333" t="s">
        <v>1032</v>
      </c>
      <c r="G196" s="332"/>
      <c r="H196" s="332"/>
      <c r="I196" s="332"/>
      <c r="J196" s="334"/>
      <c r="K196" s="332"/>
      <c r="L196" s="330"/>
      <c r="M196" s="335"/>
    </row>
    <row r="197" spans="1:13" ht="15.75" customHeight="1" x14ac:dyDescent="0.25">
      <c r="A197" s="328">
        <v>45950</v>
      </c>
      <c r="B197" s="329" t="s">
        <v>1214</v>
      </c>
      <c r="C197" s="330" t="s">
        <v>32</v>
      </c>
      <c r="D197" s="331">
        <v>1370</v>
      </c>
      <c r="E197" s="332"/>
      <c r="F197" s="333" t="s">
        <v>1016</v>
      </c>
      <c r="G197" s="332"/>
      <c r="H197" s="332"/>
      <c r="I197" s="332"/>
      <c r="J197" s="334"/>
      <c r="K197" s="332"/>
      <c r="L197" s="330"/>
      <c r="M197" s="335"/>
    </row>
    <row r="198" spans="1:13" ht="15.75" customHeight="1" x14ac:dyDescent="0.25">
      <c r="A198" s="328">
        <v>45950</v>
      </c>
      <c r="B198" s="329" t="s">
        <v>1215</v>
      </c>
      <c r="C198" s="330" t="s">
        <v>32</v>
      </c>
      <c r="D198" s="331">
        <v>240</v>
      </c>
      <c r="E198" s="332"/>
      <c r="F198" s="333" t="s">
        <v>731</v>
      </c>
      <c r="G198" s="332"/>
      <c r="H198" s="332"/>
      <c r="I198" s="332"/>
      <c r="J198" s="334"/>
      <c r="K198" s="332"/>
      <c r="L198" s="330"/>
      <c r="M198" s="335"/>
    </row>
    <row r="199" spans="1:13" ht="15.75" customHeight="1" x14ac:dyDescent="0.25">
      <c r="A199" s="328">
        <v>45950</v>
      </c>
      <c r="B199" s="329" t="s">
        <v>1216</v>
      </c>
      <c r="C199" s="330" t="s">
        <v>32</v>
      </c>
      <c r="D199" s="331">
        <v>160</v>
      </c>
      <c r="E199" s="332"/>
      <c r="F199" s="333" t="s">
        <v>1187</v>
      </c>
      <c r="G199" s="332"/>
      <c r="H199" s="332"/>
      <c r="I199" s="332"/>
      <c r="J199" s="334"/>
      <c r="K199" s="332"/>
      <c r="L199" s="330"/>
      <c r="M199" s="335"/>
    </row>
    <row r="200" spans="1:13" ht="15.75" customHeight="1" x14ac:dyDescent="0.25">
      <c r="A200" s="328">
        <v>45950</v>
      </c>
      <c r="B200" s="329" t="s">
        <v>1217</v>
      </c>
      <c r="C200" s="330" t="s">
        <v>32</v>
      </c>
      <c r="D200" s="331">
        <v>160</v>
      </c>
      <c r="E200" s="332"/>
      <c r="F200" s="333" t="s">
        <v>1172</v>
      </c>
      <c r="G200" s="332"/>
      <c r="H200" s="332"/>
      <c r="I200" s="332"/>
      <c r="J200" s="334"/>
      <c r="K200" s="332"/>
      <c r="L200" s="330"/>
      <c r="M200" s="335"/>
    </row>
    <row r="201" spans="1:13" ht="15.75" customHeight="1" x14ac:dyDescent="0.25">
      <c r="A201" s="328">
        <v>45950</v>
      </c>
      <c r="B201" s="329" t="s">
        <v>1218</v>
      </c>
      <c r="C201" s="330" t="s">
        <v>32</v>
      </c>
      <c r="D201" s="331">
        <v>80</v>
      </c>
      <c r="E201" s="332"/>
      <c r="F201" s="333" t="s">
        <v>1061</v>
      </c>
      <c r="G201" s="332"/>
      <c r="H201" s="332"/>
      <c r="I201" s="332"/>
      <c r="J201" s="334"/>
      <c r="K201" s="332"/>
      <c r="L201" s="330"/>
      <c r="M201" s="335"/>
    </row>
    <row r="202" spans="1:13" ht="15.75" customHeight="1" x14ac:dyDescent="0.25">
      <c r="A202" s="328">
        <v>45950</v>
      </c>
      <c r="B202" s="329" t="s">
        <v>1219</v>
      </c>
      <c r="C202" s="330" t="s">
        <v>32</v>
      </c>
      <c r="D202" s="331">
        <v>80</v>
      </c>
      <c r="E202" s="332"/>
      <c r="F202" s="333" t="s">
        <v>1143</v>
      </c>
      <c r="G202" s="332"/>
      <c r="H202" s="332"/>
      <c r="I202" s="332"/>
      <c r="J202" s="334"/>
      <c r="K202" s="332"/>
      <c r="L202" s="330"/>
      <c r="M202" s="335"/>
    </row>
    <row r="203" spans="1:13" ht="15.75" customHeight="1" x14ac:dyDescent="0.25">
      <c r="A203" s="328">
        <v>45950</v>
      </c>
      <c r="B203" s="329"/>
      <c r="C203" s="330" t="s">
        <v>818</v>
      </c>
      <c r="D203" s="331"/>
      <c r="E203" s="332">
        <v>100</v>
      </c>
      <c r="F203" s="333"/>
      <c r="G203" s="332"/>
      <c r="H203" s="332"/>
      <c r="I203" s="332"/>
      <c r="J203" s="334"/>
      <c r="K203" s="332"/>
      <c r="L203" s="330"/>
      <c r="M203" s="335"/>
    </row>
    <row r="204" spans="1:13" ht="15.75" customHeight="1" x14ac:dyDescent="0.25">
      <c r="A204" s="328">
        <v>45951</v>
      </c>
      <c r="B204" s="329" t="s">
        <v>1220</v>
      </c>
      <c r="C204" s="330" t="s">
        <v>32</v>
      </c>
      <c r="D204" s="331">
        <v>160</v>
      </c>
      <c r="E204" s="332"/>
      <c r="F204" s="333" t="s">
        <v>1187</v>
      </c>
      <c r="G204" s="332"/>
      <c r="H204" s="332"/>
      <c r="I204" s="332"/>
      <c r="J204" s="334"/>
      <c r="K204" s="332"/>
      <c r="L204" s="330"/>
      <c r="M204" s="335"/>
    </row>
    <row r="205" spans="1:13" ht="15.75" customHeight="1" x14ac:dyDescent="0.25">
      <c r="A205" s="328">
        <v>45951</v>
      </c>
      <c r="B205" s="329" t="s">
        <v>1221</v>
      </c>
      <c r="C205" s="330" t="s">
        <v>32</v>
      </c>
      <c r="D205" s="331">
        <v>320</v>
      </c>
      <c r="E205" s="332"/>
      <c r="F205" s="333" t="s">
        <v>1172</v>
      </c>
      <c r="G205" s="332"/>
      <c r="H205" s="332"/>
      <c r="I205" s="332"/>
      <c r="J205" s="334"/>
      <c r="K205" s="332"/>
      <c r="L205" s="330"/>
      <c r="M205" s="335"/>
    </row>
    <row r="206" spans="1:13" ht="15.75" customHeight="1" x14ac:dyDescent="0.25">
      <c r="A206" s="328">
        <v>45951</v>
      </c>
      <c r="B206" s="329" t="s">
        <v>1222</v>
      </c>
      <c r="C206" s="330" t="s">
        <v>32</v>
      </c>
      <c r="D206" s="331">
        <v>480</v>
      </c>
      <c r="E206" s="332"/>
      <c r="F206" s="333" t="s">
        <v>1016</v>
      </c>
      <c r="G206" s="332"/>
      <c r="H206" s="332"/>
      <c r="I206" s="332"/>
      <c r="J206" s="334"/>
      <c r="K206" s="332"/>
      <c r="L206" s="330"/>
      <c r="M206" s="335"/>
    </row>
    <row r="207" spans="1:13" ht="15.75" customHeight="1" x14ac:dyDescent="0.25">
      <c r="A207" s="328">
        <v>45951</v>
      </c>
      <c r="B207" s="329" t="s">
        <v>1223</v>
      </c>
      <c r="C207" s="330" t="s">
        <v>32</v>
      </c>
      <c r="D207" s="331">
        <v>450</v>
      </c>
      <c r="E207" s="332"/>
      <c r="F207" s="333" t="s">
        <v>1044</v>
      </c>
      <c r="G207" s="332"/>
      <c r="H207" s="332"/>
      <c r="I207" s="332"/>
      <c r="J207" s="334"/>
      <c r="K207" s="332"/>
      <c r="L207" s="330"/>
      <c r="M207" s="335"/>
    </row>
    <row r="208" spans="1:13" ht="15.75" customHeight="1" x14ac:dyDescent="0.25">
      <c r="A208" s="328">
        <v>45951</v>
      </c>
      <c r="B208" s="329" t="s">
        <v>1224</v>
      </c>
      <c r="C208" s="330" t="s">
        <v>32</v>
      </c>
      <c r="D208" s="331">
        <v>160</v>
      </c>
      <c r="E208" s="332"/>
      <c r="F208" s="333" t="s">
        <v>951</v>
      </c>
      <c r="G208" s="332"/>
      <c r="H208" s="332"/>
      <c r="I208" s="332"/>
      <c r="J208" s="334"/>
      <c r="K208" s="332"/>
      <c r="L208" s="330"/>
      <c r="M208" s="335"/>
    </row>
    <row r="209" spans="1:13" ht="15.75" customHeight="1" x14ac:dyDescent="0.25">
      <c r="A209" s="328">
        <v>45951</v>
      </c>
      <c r="B209" s="329" t="s">
        <v>1225</v>
      </c>
      <c r="C209" s="330" t="s">
        <v>32</v>
      </c>
      <c r="D209" s="331">
        <v>160</v>
      </c>
      <c r="E209" s="332"/>
      <c r="F209" s="333" t="s">
        <v>1050</v>
      </c>
      <c r="G209" s="332"/>
      <c r="H209" s="332"/>
      <c r="I209" s="332"/>
      <c r="J209" s="334"/>
      <c r="K209" s="332"/>
      <c r="L209" s="330"/>
      <c r="M209" s="335"/>
    </row>
    <row r="210" spans="1:13" ht="15.75" customHeight="1" x14ac:dyDescent="0.25">
      <c r="A210" s="328">
        <v>45951</v>
      </c>
      <c r="B210" s="329"/>
      <c r="C210" s="330" t="s">
        <v>168</v>
      </c>
      <c r="D210" s="331"/>
      <c r="E210" s="332">
        <v>15572</v>
      </c>
      <c r="F210" s="333"/>
      <c r="G210" s="332"/>
      <c r="H210" s="332"/>
      <c r="I210" s="332"/>
      <c r="J210" s="334"/>
      <c r="K210" s="332"/>
      <c r="L210" s="330"/>
      <c r="M210" s="335"/>
    </row>
    <row r="211" spans="1:13" ht="15.75" customHeight="1" x14ac:dyDescent="0.25">
      <c r="A211" s="328">
        <v>45951</v>
      </c>
      <c r="B211" s="329"/>
      <c r="C211" s="330" t="s">
        <v>33</v>
      </c>
      <c r="D211" s="331"/>
      <c r="E211" s="332">
        <v>22</v>
      </c>
      <c r="F211" s="333"/>
      <c r="G211" s="332"/>
      <c r="H211" s="332"/>
      <c r="I211" s="332"/>
      <c r="J211" s="334"/>
      <c r="K211" s="332"/>
      <c r="L211" s="330"/>
      <c r="M211" s="335"/>
    </row>
    <row r="212" spans="1:13" ht="15.75" customHeight="1" x14ac:dyDescent="0.25">
      <c r="A212" s="328">
        <v>45952</v>
      </c>
      <c r="B212" s="329" t="s">
        <v>1226</v>
      </c>
      <c r="C212" s="330" t="s">
        <v>32</v>
      </c>
      <c r="D212" s="331">
        <v>400</v>
      </c>
      <c r="E212" s="332"/>
      <c r="F212" s="333" t="s">
        <v>1172</v>
      </c>
      <c r="G212" s="332"/>
      <c r="H212" s="332"/>
      <c r="I212" s="332"/>
      <c r="J212" s="334"/>
      <c r="K212" s="332"/>
      <c r="L212" s="330"/>
      <c r="M212" s="335"/>
    </row>
    <row r="213" spans="1:13" ht="15.75" customHeight="1" x14ac:dyDescent="0.25">
      <c r="A213" s="328">
        <v>45952</v>
      </c>
      <c r="B213" s="329" t="s">
        <v>1227</v>
      </c>
      <c r="C213" s="330" t="s">
        <v>32</v>
      </c>
      <c r="D213" s="331">
        <v>160</v>
      </c>
      <c r="E213" s="332"/>
      <c r="F213" s="333" t="s">
        <v>1187</v>
      </c>
      <c r="G213" s="332"/>
      <c r="H213" s="332"/>
      <c r="I213" s="332"/>
      <c r="J213" s="334"/>
      <c r="K213" s="332"/>
      <c r="L213" s="330"/>
      <c r="M213" s="335"/>
    </row>
    <row r="214" spans="1:13" ht="15.75" customHeight="1" x14ac:dyDescent="0.25">
      <c r="A214" s="328">
        <v>45952</v>
      </c>
      <c r="B214" s="329" t="s">
        <v>1228</v>
      </c>
      <c r="C214" s="330" t="s">
        <v>32</v>
      </c>
      <c r="D214" s="331">
        <v>320</v>
      </c>
      <c r="E214" s="332"/>
      <c r="F214" s="333" t="s">
        <v>1044</v>
      </c>
      <c r="G214" s="332"/>
      <c r="H214" s="332"/>
      <c r="I214" s="332"/>
      <c r="J214" s="334"/>
      <c r="K214" s="332"/>
      <c r="L214" s="330"/>
      <c r="M214" s="335"/>
    </row>
    <row r="215" spans="1:13" ht="15.75" customHeight="1" x14ac:dyDescent="0.25">
      <c r="A215" s="328">
        <v>45952</v>
      </c>
      <c r="B215" s="329" t="s">
        <v>1229</v>
      </c>
      <c r="C215" s="330" t="s">
        <v>32</v>
      </c>
      <c r="D215" s="331">
        <v>240</v>
      </c>
      <c r="E215" s="332"/>
      <c r="F215" s="333" t="s">
        <v>707</v>
      </c>
      <c r="G215" s="332"/>
      <c r="H215" s="332"/>
      <c r="I215" s="332"/>
      <c r="J215" s="334"/>
      <c r="K215" s="332"/>
      <c r="L215" s="330"/>
      <c r="M215" s="335"/>
    </row>
    <row r="216" spans="1:13" ht="15.75" customHeight="1" x14ac:dyDescent="0.25">
      <c r="A216" s="328">
        <v>45952</v>
      </c>
      <c r="B216" s="329" t="s">
        <v>1230</v>
      </c>
      <c r="C216" s="330" t="s">
        <v>32</v>
      </c>
      <c r="D216" s="331">
        <v>170</v>
      </c>
      <c r="E216" s="332"/>
      <c r="F216" s="333" t="s">
        <v>521</v>
      </c>
      <c r="G216" s="332"/>
      <c r="H216" s="332"/>
      <c r="I216" s="332"/>
      <c r="J216" s="334"/>
      <c r="K216" s="332"/>
      <c r="L216" s="330"/>
      <c r="M216" s="335"/>
    </row>
    <row r="217" spans="1:13" ht="15.75" customHeight="1" x14ac:dyDescent="0.25">
      <c r="A217" s="328">
        <v>45952</v>
      </c>
      <c r="B217" s="329" t="s">
        <v>1231</v>
      </c>
      <c r="C217" s="330" t="s">
        <v>32</v>
      </c>
      <c r="D217" s="331">
        <v>170</v>
      </c>
      <c r="E217" s="332"/>
      <c r="F217" s="333" t="s">
        <v>1016</v>
      </c>
      <c r="G217" s="332"/>
      <c r="H217" s="332"/>
      <c r="I217" s="332"/>
      <c r="J217" s="334"/>
      <c r="K217" s="332"/>
      <c r="L217" s="330"/>
      <c r="M217" s="335"/>
    </row>
    <row r="218" spans="1:13" ht="15.75" customHeight="1" x14ac:dyDescent="0.25">
      <c r="A218" s="328">
        <v>45952</v>
      </c>
      <c r="B218" s="329" t="s">
        <v>1232</v>
      </c>
      <c r="C218" s="330" t="s">
        <v>32</v>
      </c>
      <c r="D218" s="331">
        <v>900</v>
      </c>
      <c r="E218" s="332"/>
      <c r="F218" s="333" t="s">
        <v>624</v>
      </c>
      <c r="G218" s="332"/>
      <c r="H218" s="332"/>
      <c r="I218" s="332"/>
      <c r="J218" s="334"/>
      <c r="K218" s="332"/>
      <c r="L218" s="330"/>
      <c r="M218" s="335"/>
    </row>
    <row r="219" spans="1:13" ht="15.75" customHeight="1" x14ac:dyDescent="0.25">
      <c r="A219" s="328">
        <v>45952</v>
      </c>
      <c r="B219" s="329" t="s">
        <v>1233</v>
      </c>
      <c r="C219" s="330" t="s">
        <v>32</v>
      </c>
      <c r="D219" s="331">
        <v>320</v>
      </c>
      <c r="E219" s="332"/>
      <c r="F219" s="333" t="s">
        <v>1020</v>
      </c>
      <c r="G219" s="332"/>
      <c r="H219" s="332"/>
      <c r="I219" s="332"/>
      <c r="J219" s="334"/>
      <c r="K219" s="332"/>
      <c r="L219" s="330"/>
      <c r="M219" s="335"/>
    </row>
    <row r="220" spans="1:13" ht="15.75" customHeight="1" x14ac:dyDescent="0.25">
      <c r="A220" s="328">
        <v>45952</v>
      </c>
      <c r="B220" s="329" t="s">
        <v>1234</v>
      </c>
      <c r="C220" s="330" t="s">
        <v>32</v>
      </c>
      <c r="D220" s="331">
        <v>750</v>
      </c>
      <c r="E220" s="332"/>
      <c r="F220" s="333" t="s">
        <v>1101</v>
      </c>
      <c r="G220" s="332"/>
      <c r="H220" s="332"/>
      <c r="I220" s="332"/>
      <c r="J220" s="334"/>
      <c r="K220" s="332"/>
      <c r="L220" s="330"/>
      <c r="M220" s="335"/>
    </row>
    <row r="221" spans="1:13" ht="15.75" customHeight="1" x14ac:dyDescent="0.25">
      <c r="A221" s="328">
        <v>45952</v>
      </c>
      <c r="B221" s="329" t="s">
        <v>1235</v>
      </c>
      <c r="C221" s="330" t="s">
        <v>32</v>
      </c>
      <c r="D221" s="331">
        <v>200</v>
      </c>
      <c r="E221" s="332"/>
      <c r="F221" s="333" t="s">
        <v>1169</v>
      </c>
      <c r="G221" s="332"/>
      <c r="H221" s="332"/>
      <c r="I221" s="332"/>
      <c r="J221" s="334"/>
      <c r="K221" s="332"/>
      <c r="L221" s="330"/>
      <c r="M221" s="335"/>
    </row>
    <row r="222" spans="1:13" ht="15.75" customHeight="1" x14ac:dyDescent="0.25">
      <c r="A222" s="328">
        <v>45952</v>
      </c>
      <c r="B222" s="329" t="s">
        <v>1236</v>
      </c>
      <c r="C222" s="330" t="s">
        <v>32</v>
      </c>
      <c r="D222" s="331">
        <v>1500</v>
      </c>
      <c r="E222" s="332"/>
      <c r="F222" s="333" t="s">
        <v>1034</v>
      </c>
      <c r="G222" s="332"/>
      <c r="H222" s="332"/>
      <c r="I222" s="332"/>
      <c r="J222" s="334"/>
      <c r="K222" s="332"/>
      <c r="L222" s="330"/>
      <c r="M222" s="335"/>
    </row>
    <row r="223" spans="1:13" ht="15.75" customHeight="1" x14ac:dyDescent="0.25">
      <c r="A223" s="328">
        <v>45952</v>
      </c>
      <c r="B223" s="329" t="s">
        <v>1237</v>
      </c>
      <c r="C223" s="330" t="s">
        <v>32</v>
      </c>
      <c r="D223" s="331">
        <v>480</v>
      </c>
      <c r="E223" s="332"/>
      <c r="F223" s="333"/>
      <c r="G223" s="332"/>
      <c r="H223" s="332"/>
      <c r="I223" s="332"/>
      <c r="J223" s="334"/>
      <c r="K223" s="332"/>
      <c r="L223" s="330"/>
      <c r="M223" s="335"/>
    </row>
    <row r="224" spans="1:13" ht="15.75" customHeight="1" x14ac:dyDescent="0.25">
      <c r="A224" s="328">
        <v>45952</v>
      </c>
      <c r="B224" s="329"/>
      <c r="C224" s="330" t="s">
        <v>109</v>
      </c>
      <c r="D224" s="331"/>
      <c r="E224" s="332">
        <v>400</v>
      </c>
      <c r="F224" s="333"/>
      <c r="G224" s="332"/>
      <c r="H224" s="332"/>
      <c r="I224" s="332"/>
      <c r="J224" s="334"/>
      <c r="K224" s="332"/>
      <c r="L224" s="330"/>
      <c r="M224" s="335"/>
    </row>
    <row r="225" spans="1:13" ht="15.75" customHeight="1" x14ac:dyDescent="0.25">
      <c r="A225" s="328">
        <v>45952</v>
      </c>
      <c r="B225" s="329"/>
      <c r="C225" s="330" t="s">
        <v>33</v>
      </c>
      <c r="D225" s="331"/>
      <c r="E225" s="332">
        <v>75</v>
      </c>
      <c r="F225" s="333"/>
      <c r="G225" s="332"/>
      <c r="H225" s="332"/>
      <c r="I225" s="332"/>
      <c r="J225" s="334"/>
      <c r="K225" s="332"/>
      <c r="L225" s="330"/>
      <c r="M225" s="335"/>
    </row>
    <row r="226" spans="1:13" ht="15.75" customHeight="1" x14ac:dyDescent="0.25">
      <c r="A226" s="328">
        <v>45953</v>
      </c>
      <c r="B226" s="329"/>
      <c r="C226" s="330" t="s">
        <v>145</v>
      </c>
      <c r="D226" s="331"/>
      <c r="E226" s="332">
        <v>3700</v>
      </c>
      <c r="F226" s="333"/>
      <c r="G226" s="332" t="s">
        <v>619</v>
      </c>
      <c r="H226" s="332">
        <v>74</v>
      </c>
      <c r="I226" s="332"/>
      <c r="J226" s="334">
        <v>50</v>
      </c>
      <c r="K226" s="332" t="s">
        <v>19</v>
      </c>
      <c r="L226" s="330"/>
      <c r="M226" s="335"/>
    </row>
    <row r="227" spans="1:13" ht="15.75" customHeight="1" x14ac:dyDescent="0.25">
      <c r="A227" s="328">
        <v>45953</v>
      </c>
      <c r="B227" s="329" t="s">
        <v>1238</v>
      </c>
      <c r="C227" s="330" t="s">
        <v>32</v>
      </c>
      <c r="D227" s="331">
        <v>300</v>
      </c>
      <c r="E227" s="332"/>
      <c r="F227" s="333" t="s">
        <v>1026</v>
      </c>
      <c r="G227" s="332"/>
      <c r="H227" s="332"/>
      <c r="I227" s="332"/>
      <c r="J227" s="334"/>
      <c r="K227" s="332"/>
      <c r="L227" s="330"/>
      <c r="M227" s="335"/>
    </row>
    <row r="228" spans="1:13" ht="15.75" customHeight="1" x14ac:dyDescent="0.25">
      <c r="A228" s="328">
        <v>45953</v>
      </c>
      <c r="B228" s="329" t="s">
        <v>1239</v>
      </c>
      <c r="C228" s="330" t="s">
        <v>32</v>
      </c>
      <c r="D228" s="331">
        <v>320</v>
      </c>
      <c r="E228" s="332"/>
      <c r="F228" s="333" t="s">
        <v>707</v>
      </c>
      <c r="G228" s="332"/>
      <c r="H228" s="332"/>
      <c r="I228" s="332"/>
      <c r="J228" s="334"/>
      <c r="K228" s="332"/>
      <c r="L228" s="330"/>
      <c r="M228" s="335"/>
    </row>
    <row r="229" spans="1:13" ht="15.75" customHeight="1" x14ac:dyDescent="0.25">
      <c r="A229" s="328">
        <v>45953</v>
      </c>
      <c r="B229" s="329" t="s">
        <v>1240</v>
      </c>
      <c r="C229" s="330" t="s">
        <v>32</v>
      </c>
      <c r="D229" s="331">
        <v>320</v>
      </c>
      <c r="E229" s="332"/>
      <c r="F229" s="333" t="s">
        <v>1020</v>
      </c>
      <c r="G229" s="332"/>
      <c r="H229" s="332"/>
      <c r="I229" s="332"/>
      <c r="J229" s="334"/>
      <c r="K229" s="332"/>
      <c r="L229" s="330"/>
      <c r="M229" s="335"/>
    </row>
    <row r="230" spans="1:13" ht="15.75" customHeight="1" x14ac:dyDescent="0.25">
      <c r="A230" s="328">
        <v>45953</v>
      </c>
      <c r="B230" s="329" t="s">
        <v>1241</v>
      </c>
      <c r="C230" s="330" t="s">
        <v>32</v>
      </c>
      <c r="D230" s="331">
        <v>60</v>
      </c>
      <c r="E230" s="332"/>
      <c r="F230" s="333" t="s">
        <v>1170</v>
      </c>
      <c r="G230" s="332"/>
      <c r="H230" s="332"/>
      <c r="I230" s="332"/>
      <c r="J230" s="334"/>
      <c r="K230" s="332"/>
      <c r="L230" s="330"/>
      <c r="M230" s="335"/>
    </row>
    <row r="231" spans="1:13" ht="15.75" customHeight="1" x14ac:dyDescent="0.25">
      <c r="A231" s="328">
        <v>45953</v>
      </c>
      <c r="B231" s="329" t="s">
        <v>1242</v>
      </c>
      <c r="C231" s="330" t="s">
        <v>32</v>
      </c>
      <c r="D231" s="331">
        <v>160</v>
      </c>
      <c r="E231" s="332"/>
      <c r="F231" s="333" t="s">
        <v>1172</v>
      </c>
      <c r="G231" s="332"/>
      <c r="H231" s="332"/>
      <c r="I231" s="332"/>
      <c r="J231" s="334"/>
      <c r="K231" s="332"/>
      <c r="L231" s="330"/>
      <c r="M231" s="335"/>
    </row>
    <row r="232" spans="1:13" ht="15.75" customHeight="1" x14ac:dyDescent="0.25">
      <c r="A232" s="328">
        <v>45953</v>
      </c>
      <c r="B232" s="329" t="s">
        <v>1243</v>
      </c>
      <c r="C232" s="330" t="s">
        <v>32</v>
      </c>
      <c r="D232" s="331">
        <v>4800</v>
      </c>
      <c r="E232" s="332"/>
      <c r="F232" s="333" t="s">
        <v>751</v>
      </c>
      <c r="G232" s="332"/>
      <c r="H232" s="332"/>
      <c r="I232" s="332"/>
      <c r="J232" s="334"/>
      <c r="K232" s="332"/>
      <c r="L232" s="330"/>
      <c r="M232" s="335"/>
    </row>
    <row r="233" spans="1:13" ht="15.75" customHeight="1" x14ac:dyDescent="0.25">
      <c r="A233" s="328">
        <v>45953</v>
      </c>
      <c r="B233" s="329" t="s">
        <v>1244</v>
      </c>
      <c r="C233" s="330" t="s">
        <v>32</v>
      </c>
      <c r="D233" s="331">
        <v>1500</v>
      </c>
      <c r="E233" s="332"/>
      <c r="F233" s="333" t="s">
        <v>1034</v>
      </c>
      <c r="G233" s="332"/>
      <c r="H233" s="332"/>
      <c r="I233" s="332"/>
      <c r="J233" s="334"/>
      <c r="K233" s="332"/>
      <c r="L233" s="330"/>
      <c r="M233" s="335"/>
    </row>
    <row r="234" spans="1:13" ht="15.75" customHeight="1" x14ac:dyDescent="0.25">
      <c r="A234" s="328">
        <v>45953</v>
      </c>
      <c r="B234" s="329" t="s">
        <v>1245</v>
      </c>
      <c r="C234" s="330" t="s">
        <v>32</v>
      </c>
      <c r="D234" s="331">
        <v>750</v>
      </c>
      <c r="E234" s="332"/>
      <c r="F234" s="333" t="s">
        <v>1101</v>
      </c>
      <c r="G234" s="332"/>
      <c r="H234" s="332"/>
      <c r="I234" s="332"/>
      <c r="J234" s="334"/>
      <c r="K234" s="332"/>
      <c r="L234" s="330"/>
      <c r="M234" s="335"/>
    </row>
    <row r="235" spans="1:13" ht="15.75" customHeight="1" x14ac:dyDescent="0.25">
      <c r="A235" s="328">
        <v>45953</v>
      </c>
      <c r="B235" s="329"/>
      <c r="C235" s="330" t="s">
        <v>618</v>
      </c>
      <c r="D235" s="331"/>
      <c r="E235" s="331">
        <v>160</v>
      </c>
      <c r="F235" s="333"/>
      <c r="G235" s="332"/>
      <c r="H235" s="332"/>
      <c r="I235" s="332"/>
      <c r="J235" s="334"/>
      <c r="K235" s="332"/>
      <c r="L235" s="330"/>
      <c r="M235" s="335"/>
    </row>
    <row r="236" spans="1:13" ht="15.75" customHeight="1" x14ac:dyDescent="0.25">
      <c r="A236" s="328">
        <v>45953</v>
      </c>
      <c r="B236" s="329"/>
      <c r="C236" s="330" t="s">
        <v>682</v>
      </c>
      <c r="D236" s="331"/>
      <c r="E236" s="331">
        <v>860</v>
      </c>
      <c r="F236" s="333"/>
      <c r="G236" s="332"/>
      <c r="H236" s="332"/>
      <c r="I236" s="332"/>
      <c r="J236" s="334"/>
      <c r="K236" s="332"/>
      <c r="L236" s="330"/>
      <c r="M236" s="335"/>
    </row>
    <row r="237" spans="1:13" ht="15.75" customHeight="1" x14ac:dyDescent="0.25">
      <c r="A237" s="328">
        <v>45953</v>
      </c>
      <c r="B237" s="329"/>
      <c r="C237" s="330" t="s">
        <v>33</v>
      </c>
      <c r="D237" s="331"/>
      <c r="E237" s="331">
        <v>145</v>
      </c>
      <c r="F237" s="333"/>
      <c r="G237" s="332"/>
      <c r="H237" s="332"/>
      <c r="I237" s="332"/>
      <c r="J237" s="334"/>
      <c r="K237" s="332"/>
      <c r="L237" s="330"/>
      <c r="M237" s="335"/>
    </row>
    <row r="238" spans="1:13" ht="15.75" customHeight="1" x14ac:dyDescent="0.25">
      <c r="A238" s="328">
        <v>45954</v>
      </c>
      <c r="B238" s="329"/>
      <c r="C238" s="330" t="s">
        <v>147</v>
      </c>
      <c r="D238" s="331"/>
      <c r="E238" s="332">
        <v>25321</v>
      </c>
      <c r="F238" s="333"/>
      <c r="G238" s="332" t="s">
        <v>623</v>
      </c>
      <c r="H238" s="332">
        <v>60</v>
      </c>
      <c r="I238" s="332">
        <v>1501</v>
      </c>
      <c r="J238" s="334">
        <v>397</v>
      </c>
      <c r="K238" s="332" t="s">
        <v>548</v>
      </c>
      <c r="L238" s="330"/>
      <c r="M238" s="335"/>
    </row>
    <row r="239" spans="1:13" ht="15.75" customHeight="1" x14ac:dyDescent="0.25">
      <c r="A239" s="328">
        <v>45954</v>
      </c>
      <c r="B239" s="329" t="s">
        <v>1246</v>
      </c>
      <c r="C239" s="330" t="s">
        <v>32</v>
      </c>
      <c r="D239" s="331">
        <v>180</v>
      </c>
      <c r="E239" s="332"/>
      <c r="F239" s="333" t="s">
        <v>521</v>
      </c>
      <c r="G239" s="332"/>
      <c r="H239" s="332"/>
      <c r="I239" s="332"/>
      <c r="J239" s="334"/>
      <c r="K239" s="332"/>
      <c r="L239" s="330"/>
      <c r="M239" s="335"/>
    </row>
    <row r="240" spans="1:13" ht="15.75" customHeight="1" x14ac:dyDescent="0.25">
      <c r="A240" s="328">
        <v>45954</v>
      </c>
      <c r="B240" s="329" t="s">
        <v>1247</v>
      </c>
      <c r="C240" s="330" t="s">
        <v>32</v>
      </c>
      <c r="D240" s="331">
        <v>350</v>
      </c>
      <c r="E240" s="332"/>
      <c r="F240" s="333" t="s">
        <v>1016</v>
      </c>
      <c r="G240" s="332"/>
      <c r="H240" s="332"/>
      <c r="I240" s="332"/>
      <c r="J240" s="334"/>
      <c r="K240" s="332"/>
      <c r="L240" s="330"/>
      <c r="M240" s="335"/>
    </row>
    <row r="241" spans="1:13" ht="15.75" customHeight="1" x14ac:dyDescent="0.25">
      <c r="A241" s="328">
        <v>45954</v>
      </c>
      <c r="B241" s="329" t="s">
        <v>1248</v>
      </c>
      <c r="C241" s="330" t="s">
        <v>32</v>
      </c>
      <c r="D241" s="331">
        <v>320</v>
      </c>
      <c r="E241" s="332"/>
      <c r="F241" s="333" t="s">
        <v>707</v>
      </c>
      <c r="G241" s="332"/>
      <c r="H241" s="332"/>
      <c r="I241" s="332"/>
      <c r="J241" s="334"/>
      <c r="K241" s="332"/>
      <c r="L241" s="330"/>
      <c r="M241" s="335"/>
    </row>
    <row r="242" spans="1:13" ht="15.75" customHeight="1" x14ac:dyDescent="0.25">
      <c r="A242" s="328">
        <v>45954</v>
      </c>
      <c r="B242" s="329" t="s">
        <v>1249</v>
      </c>
      <c r="C242" s="330" t="s">
        <v>32</v>
      </c>
      <c r="D242" s="331">
        <v>40</v>
      </c>
      <c r="E242" s="332"/>
      <c r="F242" s="333" t="s">
        <v>1061</v>
      </c>
      <c r="G242" s="332"/>
      <c r="H242" s="332"/>
      <c r="I242" s="332"/>
      <c r="J242" s="334"/>
      <c r="K242" s="332"/>
      <c r="L242" s="330"/>
      <c r="M242" s="335"/>
    </row>
    <row r="243" spans="1:13" ht="15.75" customHeight="1" x14ac:dyDescent="0.25">
      <c r="A243" s="328">
        <v>45954</v>
      </c>
      <c r="B243" s="329" t="s">
        <v>1250</v>
      </c>
      <c r="C243" s="330" t="s">
        <v>32</v>
      </c>
      <c r="D243" s="331">
        <v>480</v>
      </c>
      <c r="E243" s="332"/>
      <c r="F243" s="333" t="s">
        <v>1020</v>
      </c>
      <c r="G243" s="332"/>
      <c r="H243" s="332"/>
      <c r="I243" s="332"/>
      <c r="J243" s="334"/>
      <c r="K243" s="332"/>
      <c r="L243" s="330"/>
      <c r="M243" s="335"/>
    </row>
    <row r="244" spans="1:13" ht="15.75" customHeight="1" x14ac:dyDescent="0.25">
      <c r="A244" s="328">
        <v>45954</v>
      </c>
      <c r="B244" s="329" t="s">
        <v>1251</v>
      </c>
      <c r="C244" s="330" t="s">
        <v>32</v>
      </c>
      <c r="D244" s="331">
        <v>320</v>
      </c>
      <c r="E244" s="332"/>
      <c r="F244" s="333" t="s">
        <v>1172</v>
      </c>
      <c r="G244" s="332"/>
      <c r="H244" s="332"/>
      <c r="I244" s="332"/>
      <c r="J244" s="334"/>
      <c r="K244" s="332"/>
      <c r="L244" s="330"/>
      <c r="M244" s="335"/>
    </row>
    <row r="245" spans="1:13" ht="15.75" customHeight="1" x14ac:dyDescent="0.25">
      <c r="A245" s="328">
        <v>45954</v>
      </c>
      <c r="B245" s="329" t="s">
        <v>1252</v>
      </c>
      <c r="C245" s="330" t="s">
        <v>32</v>
      </c>
      <c r="D245" s="331">
        <v>2380</v>
      </c>
      <c r="E245" s="332"/>
      <c r="F245" s="333" t="s">
        <v>1016</v>
      </c>
      <c r="G245" s="332"/>
      <c r="H245" s="332"/>
      <c r="I245" s="332"/>
      <c r="J245" s="334"/>
      <c r="K245" s="332"/>
      <c r="L245" s="330"/>
      <c r="M245" s="335"/>
    </row>
    <row r="246" spans="1:13" ht="15.75" customHeight="1" x14ac:dyDescent="0.25">
      <c r="A246" s="328">
        <v>45954</v>
      </c>
      <c r="B246" s="329" t="s">
        <v>1253</v>
      </c>
      <c r="C246" s="330" t="s">
        <v>32</v>
      </c>
      <c r="D246" s="331">
        <v>560</v>
      </c>
      <c r="E246" s="332"/>
      <c r="F246" s="333" t="s">
        <v>875</v>
      </c>
      <c r="G246" s="332"/>
      <c r="H246" s="332"/>
      <c r="I246" s="332"/>
      <c r="J246" s="334"/>
      <c r="K246" s="332"/>
      <c r="L246" s="330"/>
      <c r="M246" s="335"/>
    </row>
    <row r="247" spans="1:13" ht="15.75" customHeight="1" x14ac:dyDescent="0.25">
      <c r="A247" s="328">
        <v>45954</v>
      </c>
      <c r="B247" s="329" t="s">
        <v>1254</v>
      </c>
      <c r="C247" s="330" t="s">
        <v>32</v>
      </c>
      <c r="D247" s="331">
        <v>3000</v>
      </c>
      <c r="E247" s="332"/>
      <c r="F247" s="333" t="s">
        <v>740</v>
      </c>
      <c r="G247" s="332"/>
      <c r="H247" s="332"/>
      <c r="I247" s="332"/>
      <c r="J247" s="334"/>
      <c r="K247" s="332"/>
      <c r="L247" s="330"/>
      <c r="M247" s="335"/>
    </row>
    <row r="248" spans="1:13" ht="15.75" customHeight="1" x14ac:dyDescent="0.25">
      <c r="A248" s="328">
        <v>45954</v>
      </c>
      <c r="B248" s="329"/>
      <c r="C248" s="330" t="s">
        <v>33</v>
      </c>
      <c r="D248" s="331"/>
      <c r="E248" s="332">
        <v>25</v>
      </c>
      <c r="F248" s="333"/>
      <c r="G248" s="332"/>
      <c r="H248" s="332"/>
      <c r="I248" s="332"/>
      <c r="J248" s="334"/>
      <c r="K248" s="332"/>
      <c r="L248" s="330"/>
      <c r="M248" s="335"/>
    </row>
    <row r="249" spans="1:13" ht="15.75" customHeight="1" x14ac:dyDescent="0.25">
      <c r="A249" s="328">
        <v>45954</v>
      </c>
      <c r="B249" s="329"/>
      <c r="C249" s="330" t="s">
        <v>161</v>
      </c>
      <c r="D249" s="331"/>
      <c r="E249" s="332">
        <v>200</v>
      </c>
      <c r="F249" s="333"/>
      <c r="G249" s="332"/>
      <c r="H249" s="332"/>
      <c r="I249" s="332"/>
      <c r="J249" s="334"/>
      <c r="K249" s="332"/>
      <c r="L249" s="330"/>
      <c r="M249" s="335"/>
    </row>
    <row r="250" spans="1:13" ht="15.75" customHeight="1" x14ac:dyDescent="0.25">
      <c r="A250" s="328">
        <v>45955</v>
      </c>
      <c r="B250" s="329" t="s">
        <v>1255</v>
      </c>
      <c r="C250" s="330" t="s">
        <v>32</v>
      </c>
      <c r="D250" s="331">
        <v>300</v>
      </c>
      <c r="E250" s="332"/>
      <c r="F250" s="333" t="s">
        <v>1026</v>
      </c>
      <c r="G250" s="332"/>
      <c r="H250" s="332"/>
      <c r="I250" s="332"/>
      <c r="J250" s="334"/>
      <c r="K250" s="332"/>
      <c r="L250" s="330"/>
      <c r="M250" s="335"/>
    </row>
    <row r="251" spans="1:13" ht="15.75" customHeight="1" x14ac:dyDescent="0.25">
      <c r="A251" s="328">
        <v>45955</v>
      </c>
      <c r="B251" s="329" t="s">
        <v>1256</v>
      </c>
      <c r="C251" s="330" t="s">
        <v>32</v>
      </c>
      <c r="D251" s="331">
        <v>640</v>
      </c>
      <c r="E251" s="332"/>
      <c r="F251" s="333" t="s">
        <v>1172</v>
      </c>
      <c r="G251" s="332"/>
      <c r="H251" s="332"/>
      <c r="I251" s="332"/>
      <c r="J251" s="334"/>
      <c r="K251" s="332"/>
      <c r="L251" s="330"/>
      <c r="M251" s="335"/>
    </row>
    <row r="252" spans="1:13" ht="15.75" customHeight="1" x14ac:dyDescent="0.25">
      <c r="A252" s="328">
        <v>45955</v>
      </c>
      <c r="B252" s="329" t="s">
        <v>1257</v>
      </c>
      <c r="C252" s="330" t="s">
        <v>32</v>
      </c>
      <c r="D252" s="331">
        <v>480</v>
      </c>
      <c r="E252" s="332"/>
      <c r="F252" s="333" t="s">
        <v>1020</v>
      </c>
      <c r="G252" s="332"/>
      <c r="H252" s="332"/>
      <c r="I252" s="332"/>
      <c r="J252" s="334"/>
      <c r="K252" s="332"/>
      <c r="L252" s="330"/>
      <c r="M252" s="335"/>
    </row>
    <row r="253" spans="1:13" ht="15.75" customHeight="1" x14ac:dyDescent="0.25">
      <c r="A253" s="328">
        <v>45955</v>
      </c>
      <c r="B253" s="329" t="s">
        <v>1258</v>
      </c>
      <c r="C253" s="330" t="s">
        <v>32</v>
      </c>
      <c r="D253" s="331">
        <v>750</v>
      </c>
      <c r="E253" s="332"/>
      <c r="F253" s="333" t="s">
        <v>1101</v>
      </c>
      <c r="G253" s="332"/>
      <c r="H253" s="332"/>
      <c r="I253" s="332"/>
      <c r="J253" s="334"/>
      <c r="K253" s="332"/>
      <c r="L253" s="330"/>
      <c r="M253" s="335"/>
    </row>
    <row r="254" spans="1:13" ht="15.75" customHeight="1" x14ac:dyDescent="0.25">
      <c r="A254" s="328">
        <v>45955</v>
      </c>
      <c r="B254" s="329" t="s">
        <v>1259</v>
      </c>
      <c r="C254" s="330" t="s">
        <v>32</v>
      </c>
      <c r="D254" s="331">
        <v>800</v>
      </c>
      <c r="E254" s="332"/>
      <c r="F254" s="333" t="s">
        <v>1186</v>
      </c>
      <c r="G254" s="332"/>
      <c r="H254" s="332"/>
      <c r="I254" s="332"/>
      <c r="J254" s="334"/>
      <c r="K254" s="332"/>
      <c r="L254" s="330"/>
      <c r="M254" s="335"/>
    </row>
    <row r="255" spans="1:13" ht="15.75" customHeight="1" x14ac:dyDescent="0.25">
      <c r="A255" s="328">
        <v>45955</v>
      </c>
      <c r="B255" s="329" t="s">
        <v>1260</v>
      </c>
      <c r="C255" s="330" t="s">
        <v>32</v>
      </c>
      <c r="D255" s="331">
        <v>800</v>
      </c>
      <c r="E255" s="332"/>
      <c r="F255" s="333" t="s">
        <v>707</v>
      </c>
      <c r="G255" s="332"/>
      <c r="H255" s="332"/>
      <c r="I255" s="332"/>
      <c r="J255" s="334"/>
      <c r="K255" s="332"/>
      <c r="L255" s="330"/>
      <c r="M255" s="335"/>
    </row>
    <row r="256" spans="1:13" ht="15.75" customHeight="1" x14ac:dyDescent="0.25">
      <c r="A256" s="328">
        <v>45955</v>
      </c>
      <c r="B256" s="329" t="s">
        <v>1261</v>
      </c>
      <c r="C256" s="330" t="s">
        <v>32</v>
      </c>
      <c r="D256" s="331">
        <v>150</v>
      </c>
      <c r="E256" s="332"/>
      <c r="F256" s="333" t="s">
        <v>1187</v>
      </c>
      <c r="G256" s="332"/>
      <c r="H256" s="332"/>
      <c r="I256" s="332"/>
      <c r="J256" s="334"/>
      <c r="K256" s="332"/>
      <c r="L256" s="330"/>
      <c r="M256" s="335"/>
    </row>
    <row r="257" spans="1:13" ht="15.75" customHeight="1" x14ac:dyDescent="0.25">
      <c r="A257" s="328">
        <v>45955</v>
      </c>
      <c r="B257" s="329" t="s">
        <v>1262</v>
      </c>
      <c r="C257" s="330" t="s">
        <v>32</v>
      </c>
      <c r="D257" s="331">
        <v>1470</v>
      </c>
      <c r="E257" s="332"/>
      <c r="F257" s="333" t="s">
        <v>521</v>
      </c>
      <c r="G257" s="332"/>
      <c r="H257" s="332"/>
      <c r="I257" s="332"/>
      <c r="J257" s="334"/>
      <c r="K257" s="332"/>
      <c r="L257" s="330"/>
      <c r="M257" s="335"/>
    </row>
    <row r="258" spans="1:13" ht="15.75" customHeight="1" x14ac:dyDescent="0.25">
      <c r="A258" s="328">
        <v>45955</v>
      </c>
      <c r="B258" s="329" t="s">
        <v>1263</v>
      </c>
      <c r="C258" s="330" t="s">
        <v>32</v>
      </c>
      <c r="D258" s="331">
        <v>2250</v>
      </c>
      <c r="E258" s="332"/>
      <c r="F258" s="333" t="s">
        <v>1270</v>
      </c>
      <c r="G258" s="332"/>
      <c r="H258" s="332"/>
      <c r="I258" s="332"/>
      <c r="J258" s="334"/>
      <c r="K258" s="332"/>
      <c r="L258" s="330"/>
      <c r="M258" s="335"/>
    </row>
    <row r="259" spans="1:13" ht="15.75" customHeight="1" x14ac:dyDescent="0.25">
      <c r="A259" s="328">
        <v>45955</v>
      </c>
      <c r="B259" s="329" t="s">
        <v>1264</v>
      </c>
      <c r="C259" s="330" t="s">
        <v>32</v>
      </c>
      <c r="D259" s="331">
        <v>320</v>
      </c>
      <c r="E259" s="332"/>
      <c r="F259" s="333" t="s">
        <v>1271</v>
      </c>
      <c r="G259" s="332"/>
      <c r="H259" s="332"/>
      <c r="I259" s="332"/>
      <c r="J259" s="334"/>
      <c r="K259" s="332"/>
      <c r="L259" s="330"/>
      <c r="M259" s="335"/>
    </row>
    <row r="260" spans="1:13" ht="15.75" customHeight="1" x14ac:dyDescent="0.25">
      <c r="A260" s="328">
        <v>45955</v>
      </c>
      <c r="B260" s="329" t="s">
        <v>1265</v>
      </c>
      <c r="C260" s="330" t="s">
        <v>32</v>
      </c>
      <c r="D260" s="331">
        <v>160</v>
      </c>
      <c r="E260" s="332"/>
      <c r="F260" s="333" t="s">
        <v>1272</v>
      </c>
      <c r="G260" s="332"/>
      <c r="H260" s="332"/>
      <c r="I260" s="332"/>
      <c r="J260" s="334"/>
      <c r="K260" s="332"/>
      <c r="L260" s="330"/>
      <c r="M260" s="335"/>
    </row>
    <row r="261" spans="1:13" ht="15.75" customHeight="1" x14ac:dyDescent="0.25">
      <c r="A261" s="328">
        <v>45955</v>
      </c>
      <c r="B261" s="329" t="s">
        <v>1266</v>
      </c>
      <c r="C261" s="330" t="s">
        <v>32</v>
      </c>
      <c r="D261" s="331">
        <v>160</v>
      </c>
      <c r="E261" s="332"/>
      <c r="F261" s="333" t="s">
        <v>1050</v>
      </c>
      <c r="G261" s="332"/>
      <c r="H261" s="332"/>
      <c r="I261" s="332"/>
      <c r="J261" s="334"/>
      <c r="K261" s="332"/>
      <c r="L261" s="330"/>
      <c r="M261" s="335"/>
    </row>
    <row r="262" spans="1:13" ht="15.75" customHeight="1" x14ac:dyDescent="0.25">
      <c r="A262" s="328">
        <v>45955</v>
      </c>
      <c r="B262" s="329" t="s">
        <v>1267</v>
      </c>
      <c r="C262" s="330" t="s">
        <v>32</v>
      </c>
      <c r="D262" s="331">
        <v>3180</v>
      </c>
      <c r="E262" s="332"/>
      <c r="F262" s="333" t="s">
        <v>624</v>
      </c>
      <c r="G262" s="332"/>
      <c r="H262" s="332"/>
      <c r="I262" s="332"/>
      <c r="J262" s="334"/>
      <c r="K262" s="332"/>
      <c r="L262" s="330"/>
      <c r="M262" s="335"/>
    </row>
    <row r="263" spans="1:13" ht="15.75" customHeight="1" x14ac:dyDescent="0.25">
      <c r="A263" s="328">
        <v>45955</v>
      </c>
      <c r="B263" s="329" t="s">
        <v>1268</v>
      </c>
      <c r="C263" s="330" t="s">
        <v>32</v>
      </c>
      <c r="D263" s="331">
        <v>240</v>
      </c>
      <c r="E263" s="332"/>
      <c r="F263" s="333" t="s">
        <v>731</v>
      </c>
      <c r="G263" s="332"/>
      <c r="H263" s="332"/>
      <c r="I263" s="332"/>
      <c r="J263" s="334"/>
      <c r="K263" s="332"/>
      <c r="L263" s="330"/>
      <c r="M263" s="335"/>
    </row>
    <row r="264" spans="1:13" ht="15.75" customHeight="1" x14ac:dyDescent="0.25">
      <c r="A264" s="328">
        <v>45955</v>
      </c>
      <c r="B264" s="329" t="s">
        <v>1269</v>
      </c>
      <c r="C264" s="330" t="s">
        <v>32</v>
      </c>
      <c r="D264" s="331">
        <v>840</v>
      </c>
      <c r="E264" s="332"/>
      <c r="F264" s="333" t="s">
        <v>1016</v>
      </c>
      <c r="G264" s="332"/>
      <c r="H264" s="332"/>
      <c r="I264" s="332"/>
      <c r="J264" s="334"/>
      <c r="K264" s="332"/>
      <c r="L264" s="330"/>
      <c r="M264" s="335"/>
    </row>
    <row r="265" spans="1:13" ht="15.75" customHeight="1" x14ac:dyDescent="0.25">
      <c r="A265" s="328">
        <v>45955</v>
      </c>
      <c r="B265" s="329"/>
      <c r="C265" s="330" t="s">
        <v>161</v>
      </c>
      <c r="D265" s="331"/>
      <c r="E265" s="332">
        <v>100</v>
      </c>
      <c r="F265" s="333"/>
      <c r="G265" s="332"/>
      <c r="H265" s="332"/>
      <c r="I265" s="332"/>
      <c r="J265" s="334"/>
      <c r="K265" s="332"/>
      <c r="L265" s="330"/>
      <c r="M265" s="335"/>
    </row>
    <row r="266" spans="1:13" ht="15.75" customHeight="1" x14ac:dyDescent="0.25">
      <c r="A266" s="328">
        <v>45955</v>
      </c>
      <c r="B266" s="329"/>
      <c r="C266" s="330" t="s">
        <v>818</v>
      </c>
      <c r="D266" s="331"/>
      <c r="E266" s="332">
        <v>680</v>
      </c>
      <c r="F266" s="333"/>
      <c r="G266" s="332"/>
      <c r="H266" s="332"/>
      <c r="I266" s="332"/>
      <c r="J266" s="334"/>
      <c r="K266" s="332"/>
      <c r="L266" s="330"/>
      <c r="M266" s="335"/>
    </row>
    <row r="267" spans="1:13" ht="15.75" customHeight="1" x14ac:dyDescent="0.25">
      <c r="A267" s="328">
        <v>45955</v>
      </c>
      <c r="B267" s="329"/>
      <c r="C267" s="330" t="s">
        <v>33</v>
      </c>
      <c r="D267" s="331"/>
      <c r="E267" s="332">
        <v>50</v>
      </c>
      <c r="F267" s="333"/>
      <c r="G267" s="332"/>
      <c r="H267" s="332"/>
      <c r="I267" s="332"/>
      <c r="J267" s="334"/>
      <c r="K267" s="332"/>
      <c r="L267" s="330"/>
      <c r="M267" s="335"/>
    </row>
    <row r="268" spans="1:13" ht="15.75" customHeight="1" x14ac:dyDescent="0.25">
      <c r="A268" s="328">
        <v>45956</v>
      </c>
      <c r="B268" s="329"/>
      <c r="C268" s="330" t="s">
        <v>145</v>
      </c>
      <c r="D268" s="331"/>
      <c r="E268" s="332">
        <v>2170</v>
      </c>
      <c r="F268" s="333"/>
      <c r="G268" s="332" t="s">
        <v>619</v>
      </c>
      <c r="H268" s="332">
        <v>63.8</v>
      </c>
      <c r="I268" s="332"/>
      <c r="J268" s="334">
        <v>34</v>
      </c>
      <c r="K268" s="332" t="s">
        <v>19</v>
      </c>
      <c r="L268" s="330"/>
      <c r="M268" s="335"/>
    </row>
    <row r="269" spans="1:13" ht="15.75" customHeight="1" x14ac:dyDescent="0.25">
      <c r="A269" s="328">
        <v>45955</v>
      </c>
      <c r="B269" s="329" t="s">
        <v>1273</v>
      </c>
      <c r="C269" s="330" t="s">
        <v>32</v>
      </c>
      <c r="D269" s="331">
        <v>1500</v>
      </c>
      <c r="E269" s="332"/>
      <c r="F269" s="333" t="s">
        <v>740</v>
      </c>
      <c r="G269" s="332"/>
      <c r="H269" s="332"/>
      <c r="I269" s="332"/>
      <c r="J269" s="334"/>
      <c r="K269" s="332"/>
      <c r="L269" s="330"/>
      <c r="M269" s="335"/>
    </row>
    <row r="270" spans="1:13" ht="15.75" customHeight="1" x14ac:dyDescent="0.25">
      <c r="A270" s="328">
        <v>45956</v>
      </c>
      <c r="B270" s="329" t="s">
        <v>1274</v>
      </c>
      <c r="C270" s="330" t="s">
        <v>32</v>
      </c>
      <c r="D270" s="331">
        <v>750</v>
      </c>
      <c r="E270" s="332"/>
      <c r="F270" s="333" t="s">
        <v>1176</v>
      </c>
      <c r="G270" s="332"/>
      <c r="H270" s="332"/>
      <c r="I270" s="332"/>
      <c r="J270" s="334"/>
      <c r="K270" s="332"/>
      <c r="L270" s="330"/>
      <c r="M270" s="335"/>
    </row>
    <row r="271" spans="1:13" ht="15.75" customHeight="1" x14ac:dyDescent="0.25">
      <c r="A271" s="328">
        <v>45956</v>
      </c>
      <c r="B271" s="329" t="s">
        <v>1275</v>
      </c>
      <c r="C271" s="330" t="s">
        <v>32</v>
      </c>
      <c r="D271" s="331">
        <v>480</v>
      </c>
      <c r="E271" s="332"/>
      <c r="F271" s="333" t="s">
        <v>1044</v>
      </c>
      <c r="G271" s="332"/>
      <c r="H271" s="332"/>
      <c r="I271" s="332"/>
      <c r="J271" s="334"/>
      <c r="K271" s="332"/>
      <c r="L271" s="330"/>
      <c r="M271" s="335"/>
    </row>
    <row r="272" spans="1:13" ht="15.75" customHeight="1" x14ac:dyDescent="0.25">
      <c r="A272" s="328">
        <v>45956</v>
      </c>
      <c r="B272" s="329" t="s">
        <v>1276</v>
      </c>
      <c r="C272" s="330" t="s">
        <v>32</v>
      </c>
      <c r="D272" s="331">
        <v>90</v>
      </c>
      <c r="E272" s="332"/>
      <c r="F272" s="333" t="s">
        <v>1016</v>
      </c>
      <c r="G272" s="332"/>
      <c r="H272" s="332"/>
      <c r="I272" s="332"/>
      <c r="J272" s="334"/>
      <c r="K272" s="332"/>
      <c r="L272" s="330"/>
      <c r="M272" s="335"/>
    </row>
    <row r="273" spans="1:13" ht="15.75" customHeight="1" x14ac:dyDescent="0.25">
      <c r="A273" s="328">
        <v>45956</v>
      </c>
      <c r="B273" s="329" t="s">
        <v>1277</v>
      </c>
      <c r="C273" s="330" t="s">
        <v>32</v>
      </c>
      <c r="D273" s="331">
        <v>300</v>
      </c>
      <c r="E273" s="332"/>
      <c r="F273" s="333" t="s">
        <v>1187</v>
      </c>
      <c r="G273" s="332"/>
      <c r="H273" s="332"/>
      <c r="I273" s="332"/>
      <c r="J273" s="334"/>
      <c r="K273" s="332"/>
      <c r="L273" s="330"/>
      <c r="M273" s="335"/>
    </row>
    <row r="274" spans="1:13" ht="15.75" customHeight="1" x14ac:dyDescent="0.25">
      <c r="A274" s="328">
        <v>45956</v>
      </c>
      <c r="B274" s="329" t="s">
        <v>1278</v>
      </c>
      <c r="C274" s="330" t="s">
        <v>32</v>
      </c>
      <c r="D274" s="331">
        <v>320</v>
      </c>
      <c r="E274" s="332"/>
      <c r="F274" s="333" t="s">
        <v>1020</v>
      </c>
      <c r="G274" s="332"/>
      <c r="H274" s="332"/>
      <c r="I274" s="332"/>
      <c r="J274" s="334"/>
      <c r="K274" s="332"/>
      <c r="L274" s="330"/>
      <c r="M274" s="335"/>
    </row>
    <row r="275" spans="1:13" ht="15.75" customHeight="1" x14ac:dyDescent="0.25">
      <c r="A275" s="328">
        <v>45956</v>
      </c>
      <c r="B275" s="329" t="s">
        <v>1279</v>
      </c>
      <c r="C275" s="330" t="s">
        <v>32</v>
      </c>
      <c r="D275" s="331">
        <v>4500</v>
      </c>
      <c r="E275" s="332"/>
      <c r="F275" s="333" t="s">
        <v>1284</v>
      </c>
      <c r="G275" s="332"/>
      <c r="H275" s="332"/>
      <c r="I275" s="332"/>
      <c r="J275" s="334"/>
      <c r="K275" s="332"/>
      <c r="L275" s="330"/>
      <c r="M275" s="335"/>
    </row>
    <row r="276" spans="1:13" ht="15.75" customHeight="1" x14ac:dyDescent="0.25">
      <c r="A276" s="328">
        <v>45956</v>
      </c>
      <c r="B276" s="329" t="s">
        <v>1280</v>
      </c>
      <c r="C276" s="330" t="s">
        <v>32</v>
      </c>
      <c r="D276" s="331">
        <v>680</v>
      </c>
      <c r="E276" s="332"/>
      <c r="F276" s="333" t="s">
        <v>1016</v>
      </c>
      <c r="G276" s="332"/>
      <c r="H276" s="332"/>
      <c r="I276" s="332"/>
      <c r="J276" s="334"/>
      <c r="K276" s="332"/>
      <c r="L276" s="330"/>
      <c r="M276" s="335"/>
    </row>
    <row r="277" spans="1:13" ht="15.75" customHeight="1" x14ac:dyDescent="0.25">
      <c r="A277" s="328">
        <v>45956</v>
      </c>
      <c r="B277" s="329" t="s">
        <v>1281</v>
      </c>
      <c r="C277" s="330" t="s">
        <v>32</v>
      </c>
      <c r="D277" s="331">
        <v>160</v>
      </c>
      <c r="E277" s="332"/>
      <c r="F277" s="333" t="s">
        <v>1024</v>
      </c>
      <c r="G277" s="332"/>
      <c r="H277" s="332"/>
      <c r="I277" s="332"/>
      <c r="J277" s="334"/>
      <c r="K277" s="332"/>
      <c r="L277" s="330"/>
      <c r="M277" s="335"/>
    </row>
    <row r="278" spans="1:13" ht="15.75" customHeight="1" x14ac:dyDescent="0.25">
      <c r="A278" s="328">
        <v>45956</v>
      </c>
      <c r="B278" s="329" t="s">
        <v>1282</v>
      </c>
      <c r="C278" s="330" t="s">
        <v>32</v>
      </c>
      <c r="D278" s="331">
        <v>1200</v>
      </c>
      <c r="E278" s="332"/>
      <c r="F278" s="333" t="s">
        <v>1044</v>
      </c>
      <c r="G278" s="332"/>
      <c r="H278" s="332"/>
      <c r="I278" s="332"/>
      <c r="J278" s="334"/>
      <c r="K278" s="332"/>
      <c r="L278" s="330"/>
      <c r="M278" s="335"/>
    </row>
    <row r="279" spans="1:13" ht="15.75" customHeight="1" x14ac:dyDescent="0.25">
      <c r="A279" s="328">
        <v>45956</v>
      </c>
      <c r="B279" s="329" t="s">
        <v>1283</v>
      </c>
      <c r="C279" s="330" t="s">
        <v>32</v>
      </c>
      <c r="D279" s="331">
        <v>240</v>
      </c>
      <c r="E279" s="332"/>
      <c r="F279" s="333" t="s">
        <v>1176</v>
      </c>
      <c r="G279" s="332"/>
      <c r="H279" s="332"/>
      <c r="I279" s="332"/>
      <c r="J279" s="334"/>
      <c r="K279" s="332"/>
      <c r="L279" s="330"/>
      <c r="M279" s="335"/>
    </row>
    <row r="280" spans="1:13" ht="15.75" customHeight="1" x14ac:dyDescent="0.25">
      <c r="A280" s="328">
        <v>45956</v>
      </c>
      <c r="B280" s="329" t="s">
        <v>1285</v>
      </c>
      <c r="C280" s="330" t="s">
        <v>32</v>
      </c>
      <c r="D280" s="331">
        <v>3000</v>
      </c>
      <c r="E280" s="332"/>
      <c r="F280" s="333" t="s">
        <v>1034</v>
      </c>
      <c r="G280" s="332"/>
      <c r="H280" s="332"/>
      <c r="I280" s="332"/>
      <c r="J280" s="334"/>
      <c r="K280" s="332"/>
      <c r="L280" s="330"/>
      <c r="M280" s="335"/>
    </row>
    <row r="281" spans="1:13" ht="15.75" customHeight="1" x14ac:dyDescent="0.25">
      <c r="A281" s="328">
        <v>45956</v>
      </c>
      <c r="B281" s="329"/>
      <c r="C281" s="330" t="s">
        <v>33</v>
      </c>
      <c r="D281" s="331"/>
      <c r="E281" s="332">
        <v>10</v>
      </c>
      <c r="F281" s="333"/>
      <c r="G281" s="332"/>
      <c r="H281" s="332"/>
      <c r="I281" s="332"/>
      <c r="J281" s="334"/>
      <c r="K281" s="332"/>
      <c r="L281" s="330"/>
      <c r="M281" s="335"/>
    </row>
    <row r="282" spans="1:13" ht="15.75" customHeight="1" x14ac:dyDescent="0.25">
      <c r="A282" s="328">
        <v>45957</v>
      </c>
      <c r="B282" s="329" t="s">
        <v>1286</v>
      </c>
      <c r="C282" s="330" t="s">
        <v>32</v>
      </c>
      <c r="D282" s="331">
        <v>240</v>
      </c>
      <c r="E282" s="332"/>
      <c r="F282" s="333" t="s">
        <v>1172</v>
      </c>
      <c r="G282" s="332"/>
      <c r="H282" s="332"/>
      <c r="I282" s="332"/>
      <c r="J282" s="334"/>
      <c r="K282" s="332"/>
      <c r="L282" s="330"/>
      <c r="M282" s="335"/>
    </row>
    <row r="283" spans="1:13" ht="15.75" customHeight="1" x14ac:dyDescent="0.25">
      <c r="A283" s="328">
        <v>45957</v>
      </c>
      <c r="B283" s="329" t="s">
        <v>1287</v>
      </c>
      <c r="C283" s="330" t="s">
        <v>32</v>
      </c>
      <c r="D283" s="331">
        <v>720</v>
      </c>
      <c r="E283" s="332"/>
      <c r="F283" s="333" t="s">
        <v>1045</v>
      </c>
      <c r="G283" s="332"/>
      <c r="H283" s="332"/>
      <c r="I283" s="332"/>
      <c r="J283" s="334"/>
      <c r="K283" s="332"/>
      <c r="L283" s="330"/>
      <c r="M283" s="335"/>
    </row>
    <row r="284" spans="1:13" ht="15.75" customHeight="1" x14ac:dyDescent="0.25">
      <c r="A284" s="328">
        <v>45957</v>
      </c>
      <c r="B284" s="329" t="s">
        <v>1288</v>
      </c>
      <c r="C284" s="330" t="s">
        <v>32</v>
      </c>
      <c r="D284" s="331">
        <v>240</v>
      </c>
      <c r="E284" s="332"/>
      <c r="F284" s="333" t="s">
        <v>707</v>
      </c>
      <c r="G284" s="332"/>
      <c r="H284" s="332"/>
      <c r="I284" s="332"/>
      <c r="J284" s="334"/>
      <c r="K284" s="332"/>
      <c r="L284" s="330"/>
      <c r="M284" s="335"/>
    </row>
    <row r="285" spans="1:13" ht="15.75" customHeight="1" x14ac:dyDescent="0.25">
      <c r="A285" s="328">
        <v>45957</v>
      </c>
      <c r="B285" s="329" t="s">
        <v>1289</v>
      </c>
      <c r="C285" s="330" t="s">
        <v>32</v>
      </c>
      <c r="D285" s="331">
        <v>90</v>
      </c>
      <c r="E285" s="332"/>
      <c r="F285" s="333" t="s">
        <v>1016</v>
      </c>
      <c r="G285" s="332"/>
      <c r="H285" s="332"/>
      <c r="I285" s="332"/>
      <c r="J285" s="334"/>
      <c r="K285" s="332"/>
      <c r="L285" s="330"/>
      <c r="M285" s="335"/>
    </row>
    <row r="286" spans="1:13" ht="15.75" customHeight="1" x14ac:dyDescent="0.25">
      <c r="A286" s="328">
        <v>45957</v>
      </c>
      <c r="B286" s="329" t="s">
        <v>1290</v>
      </c>
      <c r="C286" s="330" t="s">
        <v>32</v>
      </c>
      <c r="D286" s="331">
        <v>320</v>
      </c>
      <c r="E286" s="332"/>
      <c r="F286" s="333" t="s">
        <v>1020</v>
      </c>
      <c r="G286" s="332"/>
      <c r="H286" s="332"/>
      <c r="I286" s="332"/>
      <c r="J286" s="334"/>
      <c r="K286" s="332"/>
      <c r="L286" s="330"/>
      <c r="M286" s="335"/>
    </row>
    <row r="287" spans="1:13" ht="15.75" customHeight="1" x14ac:dyDescent="0.25">
      <c r="A287" s="328">
        <v>45957</v>
      </c>
      <c r="B287" s="329" t="s">
        <v>1291</v>
      </c>
      <c r="C287" s="330" t="s">
        <v>32</v>
      </c>
      <c r="D287" s="331">
        <v>160</v>
      </c>
      <c r="E287" s="332"/>
      <c r="F287" s="333" t="s">
        <v>1187</v>
      </c>
      <c r="G287" s="332"/>
      <c r="H287" s="332"/>
      <c r="I287" s="332"/>
      <c r="J287" s="334"/>
      <c r="K287" s="332"/>
      <c r="L287" s="330"/>
      <c r="M287" s="335"/>
    </row>
    <row r="288" spans="1:13" ht="15.75" customHeight="1" x14ac:dyDescent="0.25">
      <c r="A288" s="328">
        <v>45957</v>
      </c>
      <c r="B288" s="329" t="s">
        <v>1292</v>
      </c>
      <c r="C288" s="330" t="s">
        <v>32</v>
      </c>
      <c r="D288" s="331">
        <v>1500</v>
      </c>
      <c r="E288" s="332"/>
      <c r="F288" s="333" t="s">
        <v>1034</v>
      </c>
      <c r="G288" s="332"/>
      <c r="H288" s="332"/>
      <c r="I288" s="332"/>
      <c r="J288" s="334"/>
      <c r="K288" s="332"/>
      <c r="L288" s="330"/>
      <c r="M288" s="335"/>
    </row>
    <row r="289" spans="1:13" ht="15.75" customHeight="1" x14ac:dyDescent="0.25">
      <c r="A289" s="328">
        <v>45957</v>
      </c>
      <c r="B289" s="329" t="s">
        <v>1293</v>
      </c>
      <c r="C289" s="330" t="s">
        <v>32</v>
      </c>
      <c r="D289" s="331">
        <v>60</v>
      </c>
      <c r="E289" s="332"/>
      <c r="F289" s="333" t="s">
        <v>521</v>
      </c>
      <c r="G289" s="332"/>
      <c r="H289" s="332"/>
      <c r="I289" s="332"/>
      <c r="J289" s="334"/>
      <c r="K289" s="332"/>
      <c r="L289" s="330"/>
      <c r="M289" s="335"/>
    </row>
    <row r="290" spans="1:13" ht="15.75" customHeight="1" x14ac:dyDescent="0.25">
      <c r="A290" s="328">
        <v>45957</v>
      </c>
      <c r="B290" s="330"/>
      <c r="C290" s="330" t="s">
        <v>545</v>
      </c>
      <c r="D290" s="331"/>
      <c r="E290" s="332">
        <v>300</v>
      </c>
      <c r="F290" s="333"/>
      <c r="G290" s="332"/>
      <c r="H290" s="332"/>
      <c r="I290" s="332"/>
      <c r="J290" s="334"/>
      <c r="K290" s="332"/>
      <c r="L290" s="330"/>
      <c r="M290" s="335"/>
    </row>
    <row r="291" spans="1:13" ht="15.75" customHeight="1" x14ac:dyDescent="0.25">
      <c r="A291" s="328">
        <v>45957</v>
      </c>
      <c r="B291" s="330"/>
      <c r="C291" s="330" t="s">
        <v>161</v>
      </c>
      <c r="D291" s="331"/>
      <c r="E291" s="332">
        <v>100</v>
      </c>
      <c r="F291" s="333"/>
      <c r="G291" s="332"/>
      <c r="H291" s="332"/>
      <c r="I291" s="332"/>
      <c r="J291" s="334"/>
      <c r="K291" s="332"/>
      <c r="L291" s="330"/>
      <c r="M291" s="335"/>
    </row>
    <row r="292" spans="1:13" ht="15.75" customHeight="1" x14ac:dyDescent="0.25">
      <c r="A292" s="328">
        <v>45957</v>
      </c>
      <c r="B292" s="330"/>
      <c r="C292" s="330" t="s">
        <v>33</v>
      </c>
      <c r="D292" s="331"/>
      <c r="E292" s="332">
        <v>47</v>
      </c>
      <c r="F292" s="333"/>
      <c r="G292" s="332"/>
      <c r="H292" s="332"/>
      <c r="I292" s="332"/>
      <c r="J292" s="334"/>
      <c r="K292" s="332"/>
      <c r="L292" s="330"/>
      <c r="M292" s="335"/>
    </row>
    <row r="293" spans="1:13" ht="15.75" customHeight="1" x14ac:dyDescent="0.25">
      <c r="A293" s="328">
        <v>45957</v>
      </c>
      <c r="B293" s="330"/>
      <c r="C293" s="330" t="s">
        <v>682</v>
      </c>
      <c r="D293" s="331"/>
      <c r="E293" s="332">
        <v>180</v>
      </c>
      <c r="F293" s="333"/>
      <c r="G293" s="332"/>
      <c r="H293" s="332"/>
      <c r="I293" s="332"/>
      <c r="J293" s="334"/>
      <c r="K293" s="332"/>
      <c r="L293" s="330"/>
      <c r="M293" s="335"/>
    </row>
    <row r="294" spans="1:13" ht="15.75" customHeight="1" x14ac:dyDescent="0.25">
      <c r="A294" s="328">
        <v>45957</v>
      </c>
      <c r="B294" s="329"/>
      <c r="C294" s="330" t="s">
        <v>1298</v>
      </c>
      <c r="D294" s="331"/>
      <c r="E294" s="332">
        <v>150</v>
      </c>
      <c r="F294" s="333"/>
      <c r="G294" s="332"/>
      <c r="H294" s="332"/>
      <c r="I294" s="332"/>
      <c r="J294" s="334"/>
      <c r="K294" s="332"/>
      <c r="L294" s="330"/>
      <c r="M294" s="335"/>
    </row>
    <row r="295" spans="1:13" ht="15.75" customHeight="1" x14ac:dyDescent="0.25">
      <c r="A295" s="328">
        <v>45958</v>
      </c>
      <c r="B295" s="330"/>
      <c r="C295" s="330" t="s">
        <v>145</v>
      </c>
      <c r="D295" s="331"/>
      <c r="E295" s="332">
        <v>3300</v>
      </c>
      <c r="F295" s="333"/>
      <c r="G295" s="332" t="s">
        <v>619</v>
      </c>
      <c r="H295" s="332">
        <v>66</v>
      </c>
      <c r="I295" s="332"/>
      <c r="J295" s="334">
        <v>50</v>
      </c>
      <c r="K295" s="332" t="s">
        <v>19</v>
      </c>
      <c r="L295" s="330"/>
      <c r="M295" s="335"/>
    </row>
    <row r="296" spans="1:13" ht="15.75" customHeight="1" x14ac:dyDescent="0.25">
      <c r="A296" s="328">
        <v>45958</v>
      </c>
      <c r="B296" s="329" t="s">
        <v>1294</v>
      </c>
      <c r="C296" s="330" t="s">
        <v>32</v>
      </c>
      <c r="D296" s="331">
        <v>480</v>
      </c>
      <c r="E296" s="332"/>
      <c r="F296" s="333" t="s">
        <v>1284</v>
      </c>
      <c r="G296" s="332"/>
      <c r="H296" s="332"/>
      <c r="I296" s="332"/>
      <c r="J296" s="334"/>
      <c r="K296" s="332"/>
      <c r="L296" s="330"/>
      <c r="M296" s="335"/>
    </row>
    <row r="297" spans="1:13" ht="15.75" customHeight="1" x14ac:dyDescent="0.25">
      <c r="A297" s="328">
        <v>45958</v>
      </c>
      <c r="B297" s="329" t="s">
        <v>1295</v>
      </c>
      <c r="C297" s="330" t="s">
        <v>32</v>
      </c>
      <c r="D297" s="331">
        <v>240</v>
      </c>
      <c r="E297" s="332"/>
      <c r="F297" s="333" t="s">
        <v>707</v>
      </c>
      <c r="G297" s="332"/>
      <c r="H297" s="332"/>
      <c r="I297" s="332"/>
      <c r="J297" s="334"/>
      <c r="K297" s="332"/>
      <c r="L297" s="330"/>
      <c r="M297" s="335"/>
    </row>
    <row r="298" spans="1:13" ht="15.75" customHeight="1" x14ac:dyDescent="0.25">
      <c r="A298" s="328">
        <v>45958</v>
      </c>
      <c r="B298" s="329" t="s">
        <v>1296</v>
      </c>
      <c r="C298" s="330" t="s">
        <v>32</v>
      </c>
      <c r="D298" s="331">
        <v>160</v>
      </c>
      <c r="E298" s="332"/>
      <c r="F298" s="333" t="s">
        <v>1172</v>
      </c>
      <c r="G298" s="332"/>
      <c r="H298" s="332"/>
      <c r="I298" s="332"/>
      <c r="J298" s="334"/>
      <c r="K298" s="332"/>
      <c r="L298" s="330"/>
      <c r="M298" s="335"/>
    </row>
    <row r="299" spans="1:13" ht="15.75" customHeight="1" x14ac:dyDescent="0.25">
      <c r="A299" s="328">
        <v>45958</v>
      </c>
      <c r="B299" s="329" t="s">
        <v>1297</v>
      </c>
      <c r="C299" s="330" t="s">
        <v>32</v>
      </c>
      <c r="D299" s="331">
        <v>320</v>
      </c>
      <c r="E299" s="332"/>
      <c r="F299" s="333" t="s">
        <v>1032</v>
      </c>
      <c r="G299" s="332"/>
      <c r="H299" s="332"/>
      <c r="I299" s="332"/>
      <c r="J299" s="334"/>
      <c r="K299" s="332"/>
      <c r="L299" s="330"/>
      <c r="M299" s="335"/>
    </row>
    <row r="300" spans="1:13" ht="15.75" customHeight="1" x14ac:dyDescent="0.25">
      <c r="A300" s="328">
        <v>45958</v>
      </c>
      <c r="B300" s="329" t="s">
        <v>1299</v>
      </c>
      <c r="C300" s="330" t="s">
        <v>32</v>
      </c>
      <c r="D300" s="331">
        <v>160</v>
      </c>
      <c r="E300" s="332"/>
      <c r="F300" s="333" t="s">
        <v>1187</v>
      </c>
      <c r="G300" s="332"/>
      <c r="H300" s="332"/>
      <c r="I300" s="332"/>
      <c r="J300" s="334"/>
      <c r="K300" s="332"/>
      <c r="L300" s="330"/>
      <c r="M300" s="335"/>
    </row>
    <row r="301" spans="1:13" ht="15.75" customHeight="1" x14ac:dyDescent="0.25">
      <c r="A301" s="328">
        <v>45958</v>
      </c>
      <c r="B301" s="329" t="s">
        <v>1300</v>
      </c>
      <c r="C301" s="330" t="s">
        <v>32</v>
      </c>
      <c r="D301" s="331">
        <v>170</v>
      </c>
      <c r="E301" s="332"/>
      <c r="F301" s="333" t="s">
        <v>1016</v>
      </c>
      <c r="G301" s="332"/>
      <c r="H301" s="332"/>
      <c r="I301" s="332"/>
      <c r="J301" s="334"/>
      <c r="K301" s="332"/>
      <c r="L301" s="330"/>
      <c r="M301" s="335"/>
    </row>
    <row r="302" spans="1:13" ht="15.75" customHeight="1" x14ac:dyDescent="0.25">
      <c r="A302" s="328">
        <v>45958</v>
      </c>
      <c r="B302" s="329" t="s">
        <v>1301</v>
      </c>
      <c r="C302" s="330" t="s">
        <v>32</v>
      </c>
      <c r="D302" s="331">
        <v>1050</v>
      </c>
      <c r="E302" s="332"/>
      <c r="F302" s="333" t="s">
        <v>1044</v>
      </c>
      <c r="G302" s="332"/>
      <c r="H302" s="332"/>
      <c r="I302" s="332"/>
      <c r="J302" s="334"/>
      <c r="K302" s="332"/>
      <c r="L302" s="330"/>
      <c r="M302" s="335"/>
    </row>
    <row r="303" spans="1:13" ht="15.75" customHeight="1" x14ac:dyDescent="0.25">
      <c r="A303" s="328">
        <v>45958</v>
      </c>
      <c r="B303" s="329" t="s">
        <v>1302</v>
      </c>
      <c r="C303" s="330" t="s">
        <v>32</v>
      </c>
      <c r="D303" s="331">
        <v>320</v>
      </c>
      <c r="E303" s="332"/>
      <c r="F303" s="333" t="s">
        <v>1176</v>
      </c>
      <c r="G303" s="332"/>
      <c r="H303" s="332"/>
      <c r="I303" s="332"/>
      <c r="J303" s="334"/>
      <c r="K303" s="332"/>
      <c r="L303" s="330"/>
      <c r="M303" s="335"/>
    </row>
    <row r="304" spans="1:13" ht="15.75" customHeight="1" x14ac:dyDescent="0.25">
      <c r="A304" s="328">
        <v>45958</v>
      </c>
      <c r="B304" s="329" t="s">
        <v>1303</v>
      </c>
      <c r="C304" s="330" t="s">
        <v>32</v>
      </c>
      <c r="D304" s="331">
        <v>160</v>
      </c>
      <c r="E304" s="332"/>
      <c r="F304" s="333" t="s">
        <v>1143</v>
      </c>
      <c r="G304" s="332"/>
      <c r="H304" s="332"/>
      <c r="I304" s="332"/>
      <c r="J304" s="334"/>
      <c r="K304" s="332"/>
      <c r="L304" s="330"/>
      <c r="M304" s="335"/>
    </row>
    <row r="305" spans="1:13" ht="15.75" customHeight="1" x14ac:dyDescent="0.25">
      <c r="A305" s="328">
        <v>45958</v>
      </c>
      <c r="B305" s="329" t="s">
        <v>1304</v>
      </c>
      <c r="C305" s="330" t="s">
        <v>32</v>
      </c>
      <c r="D305" s="331">
        <v>160</v>
      </c>
      <c r="E305" s="332"/>
      <c r="F305" s="333" t="s">
        <v>1061</v>
      </c>
      <c r="G305" s="332"/>
      <c r="H305" s="332"/>
      <c r="I305" s="332"/>
      <c r="J305" s="334"/>
      <c r="K305" s="332"/>
      <c r="L305" s="330"/>
      <c r="M305" s="335"/>
    </row>
    <row r="306" spans="1:13" ht="15.75" customHeight="1" x14ac:dyDescent="0.25">
      <c r="A306" s="328">
        <v>45958</v>
      </c>
      <c r="B306" s="329" t="s">
        <v>1305</v>
      </c>
      <c r="C306" s="330" t="s">
        <v>32</v>
      </c>
      <c r="D306" s="331">
        <v>160</v>
      </c>
      <c r="E306" s="332"/>
      <c r="F306" s="333" t="s">
        <v>1026</v>
      </c>
      <c r="G306" s="332"/>
      <c r="H306" s="332"/>
      <c r="I306" s="332"/>
      <c r="J306" s="334"/>
      <c r="K306" s="332"/>
      <c r="L306" s="330"/>
      <c r="M306" s="335"/>
    </row>
    <row r="307" spans="1:13" ht="15.75" customHeight="1" x14ac:dyDescent="0.25">
      <c r="A307" s="328">
        <v>45958</v>
      </c>
      <c r="B307" s="329"/>
      <c r="C307" s="330" t="s">
        <v>33</v>
      </c>
      <c r="D307" s="331"/>
      <c r="E307" s="332">
        <v>50</v>
      </c>
      <c r="F307" s="333"/>
      <c r="G307" s="332"/>
      <c r="H307" s="332"/>
      <c r="I307" s="332"/>
      <c r="J307" s="334"/>
      <c r="K307" s="332"/>
      <c r="L307" s="330"/>
      <c r="M307" s="335"/>
    </row>
    <row r="308" spans="1:13" ht="15.75" customHeight="1" x14ac:dyDescent="0.25">
      <c r="A308" s="328">
        <v>45959</v>
      </c>
      <c r="B308" s="329" t="s">
        <v>1306</v>
      </c>
      <c r="C308" s="330" t="s">
        <v>32</v>
      </c>
      <c r="D308" s="331">
        <v>240</v>
      </c>
      <c r="E308" s="332"/>
      <c r="F308" s="333" t="s">
        <v>1172</v>
      </c>
      <c r="G308" s="332"/>
      <c r="H308" s="332"/>
      <c r="I308" s="332"/>
      <c r="J308" s="334"/>
      <c r="K308" s="332"/>
      <c r="L308" s="330"/>
      <c r="M308" s="335"/>
    </row>
    <row r="309" spans="1:13" ht="15.75" customHeight="1" x14ac:dyDescent="0.25">
      <c r="A309" s="328">
        <v>45959</v>
      </c>
      <c r="B309" s="329" t="s">
        <v>1307</v>
      </c>
      <c r="C309" s="330" t="s">
        <v>32</v>
      </c>
      <c r="D309" s="331">
        <v>240</v>
      </c>
      <c r="E309" s="332"/>
      <c r="F309" s="333" t="s">
        <v>707</v>
      </c>
      <c r="G309" s="332"/>
      <c r="H309" s="332"/>
      <c r="I309" s="332"/>
      <c r="J309" s="334"/>
      <c r="K309" s="332"/>
      <c r="L309" s="330"/>
      <c r="M309" s="335"/>
    </row>
    <row r="310" spans="1:13" ht="15.75" customHeight="1" x14ac:dyDescent="0.25">
      <c r="A310" s="328">
        <v>45959</v>
      </c>
      <c r="B310" s="329" t="s">
        <v>1308</v>
      </c>
      <c r="C310" s="330" t="s">
        <v>32</v>
      </c>
      <c r="D310" s="331">
        <v>170</v>
      </c>
      <c r="E310" s="332"/>
      <c r="F310" s="333" t="s">
        <v>521</v>
      </c>
      <c r="G310" s="332"/>
      <c r="H310" s="332"/>
      <c r="I310" s="332"/>
      <c r="J310" s="334"/>
      <c r="K310" s="332"/>
      <c r="L310" s="330"/>
      <c r="M310" s="335"/>
    </row>
    <row r="311" spans="1:13" ht="15.75" customHeight="1" x14ac:dyDescent="0.25">
      <c r="A311" s="328">
        <v>45959</v>
      </c>
      <c r="B311" s="329" t="s">
        <v>1309</v>
      </c>
      <c r="C311" s="330" t="s">
        <v>32</v>
      </c>
      <c r="D311" s="331">
        <v>170</v>
      </c>
      <c r="E311" s="332"/>
      <c r="F311" s="333" t="s">
        <v>1016</v>
      </c>
      <c r="G311" s="332"/>
      <c r="H311" s="332"/>
      <c r="I311" s="332"/>
      <c r="J311" s="334"/>
      <c r="K311" s="332"/>
      <c r="L311" s="330"/>
      <c r="M311" s="335"/>
    </row>
    <row r="312" spans="1:13" ht="15.75" customHeight="1" x14ac:dyDescent="0.25">
      <c r="A312" s="328">
        <v>45959</v>
      </c>
      <c r="B312" s="329" t="s">
        <v>1310</v>
      </c>
      <c r="C312" s="330" t="s">
        <v>32</v>
      </c>
      <c r="D312" s="331">
        <v>160</v>
      </c>
      <c r="E312" s="332"/>
      <c r="F312" s="333" t="s">
        <v>1187</v>
      </c>
      <c r="G312" s="332"/>
      <c r="H312" s="332"/>
      <c r="I312" s="332"/>
      <c r="J312" s="334"/>
      <c r="K312" s="332"/>
      <c r="L312" s="330"/>
      <c r="M312" s="335"/>
    </row>
    <row r="313" spans="1:13" ht="15.75" customHeight="1" x14ac:dyDescent="0.25">
      <c r="A313" s="328">
        <v>45959</v>
      </c>
      <c r="B313" s="329" t="s">
        <v>1311</v>
      </c>
      <c r="C313" s="330" t="s">
        <v>32</v>
      </c>
      <c r="D313" s="331">
        <v>320</v>
      </c>
      <c r="E313" s="332"/>
      <c r="F313" s="333" t="s">
        <v>1020</v>
      </c>
      <c r="G313" s="332"/>
      <c r="H313" s="332"/>
      <c r="I313" s="332"/>
      <c r="J313" s="334"/>
      <c r="K313" s="332"/>
      <c r="L313" s="330"/>
      <c r="M313" s="335"/>
    </row>
    <row r="314" spans="1:13" ht="15.75" customHeight="1" x14ac:dyDescent="0.25">
      <c r="A314" s="328">
        <v>45959</v>
      </c>
      <c r="B314" s="329" t="s">
        <v>1312</v>
      </c>
      <c r="C314" s="330" t="s">
        <v>32</v>
      </c>
      <c r="D314" s="331">
        <v>320</v>
      </c>
      <c r="E314" s="332"/>
      <c r="F314" s="333" t="s">
        <v>1032</v>
      </c>
      <c r="G314" s="332"/>
      <c r="H314" s="332"/>
      <c r="I314" s="332"/>
      <c r="J314" s="334"/>
      <c r="K314" s="332"/>
      <c r="L314" s="330"/>
      <c r="M314" s="335"/>
    </row>
    <row r="315" spans="1:13" ht="15.75" customHeight="1" x14ac:dyDescent="0.25">
      <c r="A315" s="328">
        <v>45959</v>
      </c>
      <c r="B315" s="329" t="s">
        <v>1313</v>
      </c>
      <c r="C315" s="330" t="s">
        <v>32</v>
      </c>
      <c r="D315" s="331">
        <v>160</v>
      </c>
      <c r="E315" s="332"/>
      <c r="F315" s="333" t="s">
        <v>1061</v>
      </c>
      <c r="G315" s="332"/>
      <c r="H315" s="332"/>
      <c r="I315" s="332"/>
      <c r="J315" s="334"/>
      <c r="K315" s="332"/>
      <c r="L315" s="330"/>
      <c r="M315" s="335"/>
    </row>
    <row r="316" spans="1:13" ht="15.75" customHeight="1" x14ac:dyDescent="0.25">
      <c r="A316" s="328">
        <v>45959</v>
      </c>
      <c r="B316" s="329" t="s">
        <v>1314</v>
      </c>
      <c r="C316" s="330" t="s">
        <v>32</v>
      </c>
      <c r="D316" s="331">
        <v>75</v>
      </c>
      <c r="E316" s="332"/>
      <c r="F316" s="333" t="s">
        <v>1026</v>
      </c>
      <c r="G316" s="332"/>
      <c r="H316" s="332"/>
      <c r="I316" s="332"/>
      <c r="J316" s="334"/>
      <c r="K316" s="332"/>
      <c r="L316" s="330"/>
      <c r="M316" s="335"/>
    </row>
    <row r="317" spans="1:13" ht="15.75" customHeight="1" x14ac:dyDescent="0.25">
      <c r="A317" s="328">
        <v>45959</v>
      </c>
      <c r="B317" s="329" t="s">
        <v>1315</v>
      </c>
      <c r="C317" s="330" t="s">
        <v>32</v>
      </c>
      <c r="D317" s="331">
        <v>1500</v>
      </c>
      <c r="E317" s="332"/>
      <c r="F317" s="333" t="s">
        <v>740</v>
      </c>
      <c r="G317" s="332"/>
      <c r="H317" s="332"/>
      <c r="I317" s="332"/>
      <c r="J317" s="334"/>
      <c r="K317" s="332"/>
      <c r="L317" s="330"/>
      <c r="M317" s="335"/>
    </row>
    <row r="318" spans="1:13" ht="15.75" customHeight="1" x14ac:dyDescent="0.25">
      <c r="A318" s="328">
        <v>45959</v>
      </c>
      <c r="B318" s="329"/>
      <c r="C318" s="330" t="s">
        <v>109</v>
      </c>
      <c r="D318" s="331"/>
      <c r="E318" s="332">
        <v>400</v>
      </c>
      <c r="F318" s="333"/>
      <c r="G318" s="332"/>
      <c r="H318" s="332"/>
      <c r="I318" s="332"/>
      <c r="J318" s="334"/>
      <c r="K318" s="332"/>
      <c r="L318" s="330"/>
      <c r="M318" s="335"/>
    </row>
    <row r="319" spans="1:13" ht="15.75" customHeight="1" x14ac:dyDescent="0.25">
      <c r="A319" s="328">
        <v>45959</v>
      </c>
      <c r="B319" s="329"/>
      <c r="C319" s="330" t="s">
        <v>33</v>
      </c>
      <c r="D319" s="331"/>
      <c r="E319" s="332">
        <v>50</v>
      </c>
      <c r="F319" s="333"/>
      <c r="G319" s="332"/>
      <c r="H319" s="332"/>
      <c r="I319" s="332"/>
      <c r="J319" s="334"/>
      <c r="K319" s="332"/>
      <c r="L319" s="330"/>
      <c r="M319" s="335"/>
    </row>
    <row r="320" spans="1:13" ht="15.75" customHeight="1" x14ac:dyDescent="0.25">
      <c r="A320" s="328">
        <v>45960</v>
      </c>
      <c r="B320" s="329" t="s">
        <v>1316</v>
      </c>
      <c r="C320" s="330" t="s">
        <v>32</v>
      </c>
      <c r="D320" s="331">
        <v>40</v>
      </c>
      <c r="E320" s="332"/>
      <c r="F320" s="333" t="s">
        <v>521</v>
      </c>
      <c r="G320" s="332"/>
      <c r="H320" s="332"/>
      <c r="I320" s="332"/>
      <c r="J320" s="334"/>
      <c r="K320" s="332"/>
      <c r="L320" s="330"/>
      <c r="M320" s="335"/>
    </row>
    <row r="321" spans="1:13" ht="15.75" customHeight="1" x14ac:dyDescent="0.25">
      <c r="A321" s="328">
        <v>45960</v>
      </c>
      <c r="B321" s="329" t="s">
        <v>1317</v>
      </c>
      <c r="C321" s="330" t="s">
        <v>32</v>
      </c>
      <c r="D321" s="331">
        <v>240</v>
      </c>
      <c r="E321" s="332"/>
      <c r="F321" s="333" t="s">
        <v>707</v>
      </c>
      <c r="G321" s="332"/>
      <c r="H321" s="332"/>
      <c r="I321" s="332"/>
      <c r="J321" s="334"/>
      <c r="K321" s="332"/>
      <c r="L321" s="330"/>
      <c r="M321" s="335"/>
    </row>
    <row r="322" spans="1:13" ht="15.75" customHeight="1" x14ac:dyDescent="0.25">
      <c r="A322" s="328">
        <v>45960</v>
      </c>
      <c r="B322" s="329" t="s">
        <v>1318</v>
      </c>
      <c r="C322" s="330" t="s">
        <v>32</v>
      </c>
      <c r="D322" s="331">
        <v>100</v>
      </c>
      <c r="E322" s="332"/>
      <c r="F322" s="333" t="s">
        <v>142</v>
      </c>
      <c r="G322" s="332"/>
      <c r="H322" s="332"/>
      <c r="I322" s="332"/>
      <c r="J322" s="334"/>
      <c r="K322" s="332"/>
      <c r="L322" s="330"/>
      <c r="M322" s="335"/>
    </row>
    <row r="323" spans="1:13" ht="15.75" customHeight="1" x14ac:dyDescent="0.25">
      <c r="A323" s="328">
        <v>45960</v>
      </c>
      <c r="B323" s="329" t="s">
        <v>1319</v>
      </c>
      <c r="C323" s="330" t="s">
        <v>32</v>
      </c>
      <c r="D323" s="331">
        <v>480</v>
      </c>
      <c r="E323" s="332"/>
      <c r="F323" s="333" t="s">
        <v>1020</v>
      </c>
      <c r="G323" s="332"/>
      <c r="H323" s="332"/>
      <c r="I323" s="332"/>
      <c r="J323" s="334"/>
      <c r="K323" s="332"/>
      <c r="L323" s="330"/>
      <c r="M323" s="335"/>
    </row>
    <row r="324" spans="1:13" ht="15.75" customHeight="1" x14ac:dyDescent="0.25">
      <c r="A324" s="328">
        <v>45960</v>
      </c>
      <c r="B324" s="329" t="s">
        <v>1320</v>
      </c>
      <c r="C324" s="330" t="s">
        <v>32</v>
      </c>
      <c r="D324" s="331">
        <v>80</v>
      </c>
      <c r="E324" s="332"/>
      <c r="F324" s="333" t="s">
        <v>1061</v>
      </c>
      <c r="G324" s="332"/>
      <c r="H324" s="332"/>
      <c r="I324" s="332"/>
      <c r="J324" s="334"/>
      <c r="K324" s="332"/>
      <c r="L324" s="330"/>
      <c r="M324" s="335"/>
    </row>
    <row r="325" spans="1:13" ht="15.75" customHeight="1" x14ac:dyDescent="0.25">
      <c r="A325" s="328">
        <v>45960</v>
      </c>
      <c r="B325" s="329" t="s">
        <v>1321</v>
      </c>
      <c r="C325" s="330" t="s">
        <v>32</v>
      </c>
      <c r="D325" s="331">
        <v>240</v>
      </c>
      <c r="E325" s="332"/>
      <c r="F325" s="333" t="s">
        <v>1172</v>
      </c>
      <c r="G325" s="332"/>
      <c r="H325" s="332"/>
      <c r="I325" s="332"/>
      <c r="J325" s="334"/>
      <c r="K325" s="332"/>
      <c r="L325" s="330"/>
      <c r="M325" s="335"/>
    </row>
    <row r="326" spans="1:13" ht="15.75" customHeight="1" x14ac:dyDescent="0.25">
      <c r="A326" s="328">
        <v>45960</v>
      </c>
      <c r="B326" s="329" t="s">
        <v>1322</v>
      </c>
      <c r="C326" s="330" t="s">
        <v>32</v>
      </c>
      <c r="D326" s="331">
        <v>90</v>
      </c>
      <c r="E326" s="332"/>
      <c r="F326" s="333" t="s">
        <v>1016</v>
      </c>
      <c r="G326" s="332"/>
      <c r="H326" s="332"/>
      <c r="I326" s="332"/>
      <c r="J326" s="334"/>
      <c r="K326" s="332"/>
      <c r="L326" s="330"/>
      <c r="M326" s="335"/>
    </row>
    <row r="327" spans="1:13" ht="15.75" customHeight="1" x14ac:dyDescent="0.25">
      <c r="A327" s="328">
        <v>45960</v>
      </c>
      <c r="B327" s="329" t="s">
        <v>1323</v>
      </c>
      <c r="C327" s="330" t="s">
        <v>32</v>
      </c>
      <c r="D327" s="331">
        <v>3000</v>
      </c>
      <c r="E327" s="332"/>
      <c r="F327" s="333" t="s">
        <v>1044</v>
      </c>
      <c r="G327" s="332"/>
      <c r="H327" s="332"/>
      <c r="I327" s="332"/>
      <c r="J327" s="334"/>
      <c r="K327" s="332"/>
      <c r="L327" s="330"/>
      <c r="M327" s="335"/>
    </row>
    <row r="328" spans="1:13" ht="15.75" customHeight="1" x14ac:dyDescent="0.25">
      <c r="A328" s="328">
        <v>45960</v>
      </c>
      <c r="B328" s="329" t="s">
        <v>1324</v>
      </c>
      <c r="C328" s="330" t="s">
        <v>32</v>
      </c>
      <c r="D328" s="331">
        <v>260</v>
      </c>
      <c r="E328" s="332"/>
      <c r="F328" s="333" t="s">
        <v>521</v>
      </c>
      <c r="G328" s="332"/>
      <c r="H328" s="332"/>
      <c r="I328" s="332"/>
      <c r="J328" s="334"/>
      <c r="K328" s="332"/>
      <c r="L328" s="330"/>
      <c r="M328" s="335"/>
    </row>
    <row r="329" spans="1:13" ht="15.75" customHeight="1" x14ac:dyDescent="0.25">
      <c r="A329" s="328">
        <v>45960</v>
      </c>
      <c r="B329" s="329" t="s">
        <v>1325</v>
      </c>
      <c r="C329" s="330" t="s">
        <v>32</v>
      </c>
      <c r="D329" s="331">
        <v>160</v>
      </c>
      <c r="E329" s="332"/>
      <c r="F329" s="333" t="s">
        <v>1143</v>
      </c>
      <c r="G329" s="332"/>
      <c r="H329" s="332"/>
      <c r="I329" s="332"/>
      <c r="J329" s="334"/>
      <c r="K329" s="332"/>
      <c r="L329" s="330"/>
      <c r="M329" s="335"/>
    </row>
    <row r="330" spans="1:13" ht="15.75" customHeight="1" x14ac:dyDescent="0.25">
      <c r="A330" s="328">
        <v>45960</v>
      </c>
      <c r="B330" s="329" t="s">
        <v>1326</v>
      </c>
      <c r="C330" s="330" t="s">
        <v>32</v>
      </c>
      <c r="D330" s="331">
        <v>600</v>
      </c>
      <c r="E330" s="332"/>
      <c r="F330" s="333" t="s">
        <v>624</v>
      </c>
      <c r="G330" s="332"/>
      <c r="H330" s="332"/>
      <c r="I330" s="332"/>
      <c r="J330" s="334"/>
      <c r="K330" s="332"/>
      <c r="L330" s="330"/>
      <c r="M330" s="335"/>
    </row>
    <row r="331" spans="1:13" ht="15.75" customHeight="1" x14ac:dyDescent="0.25">
      <c r="A331" s="328">
        <v>45960</v>
      </c>
      <c r="B331" s="329" t="s">
        <v>1327</v>
      </c>
      <c r="C331" s="330" t="s">
        <v>32</v>
      </c>
      <c r="D331" s="331">
        <v>75</v>
      </c>
      <c r="E331" s="332"/>
      <c r="F331" s="333" t="s">
        <v>1026</v>
      </c>
      <c r="G331" s="332"/>
      <c r="H331" s="332"/>
      <c r="I331" s="332"/>
      <c r="J331" s="334"/>
      <c r="K331" s="332"/>
      <c r="L331" s="330"/>
      <c r="M331" s="335"/>
    </row>
    <row r="332" spans="1:13" ht="15.75" customHeight="1" x14ac:dyDescent="0.25">
      <c r="A332" s="328">
        <v>45960</v>
      </c>
      <c r="B332" s="329"/>
      <c r="C332" s="330" t="s">
        <v>33</v>
      </c>
      <c r="D332" s="331"/>
      <c r="E332" s="332">
        <v>50</v>
      </c>
      <c r="F332" s="333"/>
      <c r="G332" s="332"/>
      <c r="H332" s="332"/>
      <c r="I332" s="332"/>
      <c r="J332" s="334"/>
      <c r="K332" s="332"/>
      <c r="L332" s="330"/>
      <c r="M332" s="335"/>
    </row>
    <row r="333" spans="1:13" ht="15.75" customHeight="1" x14ac:dyDescent="0.25">
      <c r="A333" s="328">
        <v>45961</v>
      </c>
      <c r="B333" s="329" t="s">
        <v>1328</v>
      </c>
      <c r="C333" s="330" t="s">
        <v>32</v>
      </c>
      <c r="D333" s="331">
        <v>1020</v>
      </c>
      <c r="E333" s="332"/>
      <c r="F333" s="333" t="s">
        <v>521</v>
      </c>
      <c r="G333" s="332"/>
      <c r="H333" s="332"/>
      <c r="I333" s="332"/>
      <c r="J333" s="334"/>
      <c r="K333" s="332"/>
      <c r="L333" s="330"/>
      <c r="M333" s="335"/>
    </row>
    <row r="334" spans="1:13" ht="15.75" customHeight="1" x14ac:dyDescent="0.25">
      <c r="A334" s="328">
        <v>45961</v>
      </c>
      <c r="B334" s="329" t="s">
        <v>1329</v>
      </c>
      <c r="C334" s="330" t="s">
        <v>32</v>
      </c>
      <c r="D334" s="331">
        <v>170</v>
      </c>
      <c r="E334" s="332"/>
      <c r="F334" s="333" t="s">
        <v>1016</v>
      </c>
      <c r="G334" s="332"/>
      <c r="H334" s="332"/>
      <c r="I334" s="332"/>
      <c r="J334" s="334"/>
      <c r="K334" s="332"/>
      <c r="L334" s="330"/>
      <c r="M334" s="335"/>
    </row>
    <row r="335" spans="1:13" ht="15.75" customHeight="1" x14ac:dyDescent="0.25">
      <c r="A335" s="328">
        <v>45961</v>
      </c>
      <c r="B335" s="329" t="s">
        <v>1330</v>
      </c>
      <c r="C335" s="330" t="s">
        <v>32</v>
      </c>
      <c r="D335" s="331">
        <v>320</v>
      </c>
      <c r="E335" s="332"/>
      <c r="F335" s="333" t="s">
        <v>1172</v>
      </c>
      <c r="G335" s="332"/>
      <c r="H335" s="332"/>
      <c r="I335" s="332"/>
      <c r="J335" s="334"/>
      <c r="K335" s="332"/>
      <c r="L335" s="330"/>
      <c r="M335" s="335"/>
    </row>
    <row r="336" spans="1:13" ht="15.75" customHeight="1" x14ac:dyDescent="0.25">
      <c r="A336" s="328">
        <v>45961</v>
      </c>
      <c r="B336" s="329" t="s">
        <v>1331</v>
      </c>
      <c r="C336" s="330" t="s">
        <v>32</v>
      </c>
      <c r="D336" s="331">
        <v>160</v>
      </c>
      <c r="E336" s="332"/>
      <c r="F336" s="333" t="s">
        <v>707</v>
      </c>
      <c r="G336" s="332"/>
      <c r="H336" s="332"/>
      <c r="I336" s="332"/>
      <c r="J336" s="334"/>
      <c r="K336" s="332"/>
      <c r="L336" s="330"/>
      <c r="M336" s="335"/>
    </row>
    <row r="337" spans="1:13" ht="15.75" customHeight="1" x14ac:dyDescent="0.25">
      <c r="A337" s="328">
        <v>45961</v>
      </c>
      <c r="B337" s="329" t="s">
        <v>1332</v>
      </c>
      <c r="C337" s="330" t="s">
        <v>32</v>
      </c>
      <c r="D337" s="331">
        <v>160</v>
      </c>
      <c r="E337" s="332"/>
      <c r="F337" s="333" t="s">
        <v>1024</v>
      </c>
      <c r="G337" s="332"/>
      <c r="H337" s="332"/>
      <c r="I337" s="332"/>
      <c r="J337" s="334"/>
      <c r="K337" s="332"/>
      <c r="L337" s="330"/>
      <c r="M337" s="335"/>
    </row>
    <row r="338" spans="1:13" ht="15.75" customHeight="1" x14ac:dyDescent="0.25">
      <c r="A338" s="328">
        <v>45961</v>
      </c>
      <c r="B338" s="329" t="s">
        <v>1333</v>
      </c>
      <c r="C338" s="330" t="s">
        <v>32</v>
      </c>
      <c r="D338" s="331">
        <v>320</v>
      </c>
      <c r="E338" s="332"/>
      <c r="F338" s="333" t="s">
        <v>1020</v>
      </c>
      <c r="G338" s="332"/>
      <c r="H338" s="332"/>
      <c r="I338" s="332"/>
      <c r="J338" s="334"/>
      <c r="K338" s="332"/>
      <c r="L338" s="330"/>
      <c r="M338" s="335"/>
    </row>
    <row r="339" spans="1:13" ht="15.75" customHeight="1" x14ac:dyDescent="0.25">
      <c r="A339" s="328">
        <v>45961</v>
      </c>
      <c r="B339" s="329" t="s">
        <v>1334</v>
      </c>
      <c r="C339" s="330" t="s">
        <v>32</v>
      </c>
      <c r="D339" s="331">
        <v>1500</v>
      </c>
      <c r="E339" s="332"/>
      <c r="F339" s="333" t="s">
        <v>1270</v>
      </c>
      <c r="G339" s="332"/>
      <c r="H339" s="332"/>
      <c r="I339" s="332"/>
      <c r="J339" s="334"/>
      <c r="K339" s="332"/>
      <c r="L339" s="330"/>
      <c r="M339" s="335"/>
    </row>
    <row r="340" spans="1:13" ht="15.75" customHeight="1" x14ac:dyDescent="0.25">
      <c r="A340" s="328">
        <v>45961</v>
      </c>
      <c r="B340" s="329" t="s">
        <v>1335</v>
      </c>
      <c r="C340" s="330" t="s">
        <v>32</v>
      </c>
      <c r="D340" s="331">
        <v>100</v>
      </c>
      <c r="E340" s="332"/>
      <c r="F340" s="333" t="s">
        <v>1339</v>
      </c>
      <c r="G340" s="332"/>
      <c r="H340" s="332"/>
      <c r="I340" s="332"/>
      <c r="J340" s="334"/>
      <c r="K340" s="332"/>
      <c r="L340" s="330"/>
      <c r="M340" s="335"/>
    </row>
    <row r="341" spans="1:13" ht="15.75" customHeight="1" x14ac:dyDescent="0.25">
      <c r="A341" s="328">
        <v>45961</v>
      </c>
      <c r="B341" s="329" t="s">
        <v>1336</v>
      </c>
      <c r="C341" s="330" t="s">
        <v>32</v>
      </c>
      <c r="D341" s="331">
        <v>240</v>
      </c>
      <c r="E341" s="332"/>
      <c r="F341" s="333" t="s">
        <v>951</v>
      </c>
      <c r="G341" s="332"/>
      <c r="H341" s="332"/>
      <c r="I341" s="332"/>
      <c r="J341" s="334"/>
      <c r="K341" s="332"/>
      <c r="L341" s="330"/>
      <c r="M341" s="335"/>
    </row>
    <row r="342" spans="1:13" ht="15.75" customHeight="1" x14ac:dyDescent="0.25">
      <c r="A342" s="328">
        <v>45961</v>
      </c>
      <c r="B342" s="329" t="s">
        <v>1337</v>
      </c>
      <c r="C342" s="330" t="s">
        <v>32</v>
      </c>
      <c r="D342" s="331">
        <v>100</v>
      </c>
      <c r="E342" s="332"/>
      <c r="F342" s="333" t="s">
        <v>142</v>
      </c>
      <c r="G342" s="332"/>
      <c r="H342" s="332"/>
      <c r="I342" s="332"/>
      <c r="J342" s="334"/>
      <c r="K342" s="332"/>
      <c r="L342" s="330"/>
      <c r="M342" s="335"/>
    </row>
    <row r="343" spans="1:13" ht="15.75" customHeight="1" x14ac:dyDescent="0.25">
      <c r="A343" s="328">
        <v>45961</v>
      </c>
      <c r="B343" s="329" t="s">
        <v>1338</v>
      </c>
      <c r="C343" s="330" t="s">
        <v>32</v>
      </c>
      <c r="D343" s="331">
        <v>160</v>
      </c>
      <c r="E343" s="332"/>
      <c r="F343" s="333" t="s">
        <v>1050</v>
      </c>
      <c r="G343" s="332"/>
      <c r="H343" s="332"/>
      <c r="I343" s="332"/>
      <c r="J343" s="334"/>
      <c r="K343" s="332"/>
      <c r="L343" s="330"/>
      <c r="M343" s="335"/>
    </row>
    <row r="344" spans="1:13" ht="15.75" customHeight="1" x14ac:dyDescent="0.25">
      <c r="A344" s="328">
        <v>45961</v>
      </c>
      <c r="B344" s="329"/>
      <c r="C344" s="330" t="s">
        <v>33</v>
      </c>
      <c r="D344" s="331"/>
      <c r="E344" s="332">
        <v>50</v>
      </c>
      <c r="F344" s="333"/>
      <c r="G344" s="332"/>
      <c r="H344" s="332"/>
      <c r="I344" s="332"/>
      <c r="J344" s="334"/>
      <c r="K344" s="332"/>
      <c r="L344" s="330"/>
      <c r="M344" s="335"/>
    </row>
    <row r="345" spans="1:13" ht="15.75" customHeight="1" x14ac:dyDescent="0.25">
      <c r="A345" s="328">
        <v>45961</v>
      </c>
      <c r="B345" s="329"/>
      <c r="C345" s="330" t="s">
        <v>1340</v>
      </c>
      <c r="D345" s="331"/>
      <c r="E345" s="332">
        <v>1000</v>
      </c>
      <c r="F345" s="333"/>
      <c r="G345" s="332"/>
      <c r="H345" s="332"/>
      <c r="I345" s="332"/>
      <c r="J345" s="334"/>
      <c r="K345" s="332"/>
      <c r="L345" s="330"/>
      <c r="M345" s="335"/>
    </row>
    <row r="346" spans="1:13" ht="15.75" customHeight="1" x14ac:dyDescent="0.25">
      <c r="A346" s="328">
        <v>45961</v>
      </c>
      <c r="B346" s="329"/>
      <c r="C346" s="330" t="s">
        <v>161</v>
      </c>
      <c r="D346" s="331"/>
      <c r="E346" s="332">
        <v>2170</v>
      </c>
      <c r="F346" s="333"/>
      <c r="G346" s="332"/>
      <c r="H346" s="332"/>
      <c r="I346" s="332"/>
      <c r="J346" s="334"/>
      <c r="K346" s="332"/>
      <c r="L346" s="330"/>
      <c r="M346" s="335" t="s">
        <v>714</v>
      </c>
    </row>
    <row r="347" spans="1:13" ht="15.75" customHeight="1" x14ac:dyDescent="0.25">
      <c r="A347" s="328">
        <v>45961</v>
      </c>
      <c r="B347" s="329"/>
      <c r="C347" s="330" t="s">
        <v>161</v>
      </c>
      <c r="D347" s="331"/>
      <c r="E347" s="332">
        <v>4880</v>
      </c>
      <c r="F347" s="333"/>
      <c r="G347" s="332"/>
      <c r="H347" s="332"/>
      <c r="I347" s="332"/>
      <c r="J347" s="334"/>
      <c r="K347" s="332"/>
      <c r="L347" s="330"/>
      <c r="M347" s="335" t="s">
        <v>715</v>
      </c>
    </row>
    <row r="348" spans="1:13" ht="15.75" customHeight="1" x14ac:dyDescent="0.25">
      <c r="A348" s="328">
        <v>45961</v>
      </c>
      <c r="B348" s="329"/>
      <c r="C348" s="330" t="s">
        <v>161</v>
      </c>
      <c r="D348" s="331"/>
      <c r="E348" s="332">
        <v>10000</v>
      </c>
      <c r="F348" s="333"/>
      <c r="G348" s="332"/>
      <c r="H348" s="332"/>
      <c r="I348" s="332"/>
      <c r="J348" s="334"/>
      <c r="K348" s="332"/>
      <c r="L348" s="330"/>
      <c r="M348" s="335" t="s">
        <v>1341</v>
      </c>
    </row>
    <row r="349" spans="1:13" ht="15.75" customHeight="1" x14ac:dyDescent="0.25">
      <c r="A349" s="36"/>
      <c r="B349" s="36"/>
      <c r="C349" s="7" t="s">
        <v>126</v>
      </c>
      <c r="D349" s="9">
        <f>SUM(D3:D348)</f>
        <v>171155</v>
      </c>
      <c r="E349" s="36" t="s">
        <v>706</v>
      </c>
      <c r="F349" s="250" t="s">
        <v>706</v>
      </c>
      <c r="G349" s="36" t="s">
        <v>706</v>
      </c>
      <c r="H349" s="36" t="s">
        <v>706</v>
      </c>
      <c r="I349" s="36" t="s">
        <v>706</v>
      </c>
      <c r="J349" s="223" t="s">
        <v>706</v>
      </c>
      <c r="K349" s="36" t="s">
        <v>706</v>
      </c>
      <c r="L349" s="36" t="s">
        <v>706</v>
      </c>
      <c r="M349" s="36" t="s">
        <v>706</v>
      </c>
    </row>
    <row r="350" spans="1:13" ht="15.75" customHeight="1" x14ac:dyDescent="0.25">
      <c r="A350" s="36"/>
      <c r="B350" s="36"/>
      <c r="C350" s="39" t="s">
        <v>21</v>
      </c>
      <c r="D350" s="40">
        <f>SUM(D349,D2)</f>
        <v>171155</v>
      </c>
      <c r="E350" s="40">
        <f>SUM(E2:E349)</f>
        <v>131986</v>
      </c>
      <c r="F350" s="257"/>
      <c r="G350" s="40"/>
      <c r="H350" s="40"/>
      <c r="I350" s="40"/>
      <c r="J350" s="228"/>
      <c r="K350" s="40"/>
      <c r="L350" s="36"/>
      <c r="M350" s="36"/>
    </row>
    <row r="351" spans="1:13" ht="15.75" customHeight="1" x14ac:dyDescent="0.25">
      <c r="A351" s="10"/>
      <c r="B351" s="10"/>
      <c r="C351" s="10"/>
      <c r="D351" s="10"/>
      <c r="E351" s="10"/>
      <c r="F351" s="258"/>
      <c r="G351" s="10"/>
      <c r="H351" s="10"/>
      <c r="I351" s="10"/>
      <c r="J351" s="229"/>
      <c r="K351" s="10"/>
      <c r="L351" s="10"/>
      <c r="M351" s="10"/>
    </row>
    <row r="352" spans="1:13" ht="15.75" customHeight="1" x14ac:dyDescent="0.25">
      <c r="A352" s="10"/>
      <c r="B352" s="10"/>
      <c r="C352" s="29" t="s">
        <v>127</v>
      </c>
      <c r="D352" s="41">
        <f>D349-E350</f>
        <v>39169</v>
      </c>
      <c r="E352" s="10"/>
      <c r="F352" s="258"/>
      <c r="G352" s="10"/>
      <c r="H352" s="10"/>
      <c r="I352" s="10"/>
      <c r="J352" s="229"/>
      <c r="K352" s="10"/>
      <c r="L352" s="10"/>
      <c r="M352" s="10"/>
    </row>
    <row r="353" spans="1:13" ht="15.75" customHeight="1" x14ac:dyDescent="0.25">
      <c r="A353" s="10"/>
      <c r="B353" s="10"/>
      <c r="C353" s="29" t="s">
        <v>60</v>
      </c>
      <c r="D353" s="30">
        <f>D350-E350</f>
        <v>39169</v>
      </c>
      <c r="E353" s="10"/>
      <c r="F353" s="258"/>
      <c r="G353" s="10"/>
      <c r="H353" s="10"/>
      <c r="I353" s="10"/>
      <c r="J353" s="229"/>
      <c r="K353" s="10"/>
      <c r="L353" s="10"/>
      <c r="M353" s="10"/>
    </row>
    <row r="354" spans="1:13" ht="15.75" customHeight="1" x14ac:dyDescent="0.25"/>
    <row r="355" spans="1:13" ht="15.75" customHeight="1" x14ac:dyDescent="0.25">
      <c r="C355" s="119" t="s">
        <v>196</v>
      </c>
      <c r="D355" s="120">
        <f>D353-D2</f>
        <v>39169</v>
      </c>
    </row>
    <row r="356" spans="1:13" ht="15.75" customHeight="1" x14ac:dyDescent="0.25"/>
    <row r="357" spans="1:13" ht="15.75" customHeight="1" x14ac:dyDescent="0.25"/>
    <row r="358" spans="1:13" ht="15.75" customHeight="1" x14ac:dyDescent="0.25"/>
    <row r="359" spans="1:13" ht="15.75" customHeight="1" x14ac:dyDescent="0.25">
      <c r="F359" s="339" t="s">
        <v>1105</v>
      </c>
      <c r="G359" s="340"/>
      <c r="H359" s="340"/>
      <c r="I359" s="341"/>
    </row>
    <row r="360" spans="1:13" ht="15.75" customHeight="1" x14ac:dyDescent="0.25">
      <c r="F360" s="342" t="s">
        <v>1106</v>
      </c>
      <c r="G360" s="343">
        <v>42928</v>
      </c>
      <c r="H360" s="342"/>
      <c r="I360" s="341"/>
    </row>
    <row r="361" spans="1:13" ht="15.75" customHeight="1" x14ac:dyDescent="0.25">
      <c r="F361" s="344" t="s">
        <v>1107</v>
      </c>
      <c r="G361" s="342"/>
      <c r="H361" s="343">
        <v>4950</v>
      </c>
      <c r="I361" s="341"/>
    </row>
    <row r="362" spans="1:13" ht="15.75" customHeight="1" x14ac:dyDescent="0.25">
      <c r="F362" s="342"/>
      <c r="G362" s="342"/>
      <c r="H362" s="343"/>
      <c r="I362" s="341"/>
    </row>
    <row r="363" spans="1:13" ht="15.75" customHeight="1" x14ac:dyDescent="0.25">
      <c r="F363" s="345" t="s">
        <v>21</v>
      </c>
      <c r="G363" s="346">
        <f>SUM(G360:G362)</f>
        <v>42928</v>
      </c>
      <c r="H363" s="347">
        <f>SUM(H361:H362)</f>
        <v>4950</v>
      </c>
      <c r="I363" s="341"/>
    </row>
    <row r="364" spans="1:13" ht="15.75" customHeight="1" x14ac:dyDescent="0.25">
      <c r="F364" s="342"/>
      <c r="G364" s="342"/>
      <c r="H364" s="342"/>
      <c r="I364" s="341"/>
    </row>
    <row r="365" spans="1:13" ht="15.75" customHeight="1" x14ac:dyDescent="0.25">
      <c r="F365" s="345" t="s">
        <v>1108</v>
      </c>
      <c r="G365" s="346">
        <f>G363-H363</f>
        <v>37978</v>
      </c>
      <c r="H365" s="342"/>
      <c r="I365" s="341"/>
    </row>
    <row r="366" spans="1:13" ht="15.75" customHeight="1" x14ac:dyDescent="0.25">
      <c r="F366" s="348"/>
      <c r="G366" s="349"/>
      <c r="H366" s="338"/>
      <c r="I366" s="341"/>
    </row>
    <row r="367" spans="1:13" ht="15.75" customHeight="1" x14ac:dyDescent="0.25">
      <c r="F367" s="338"/>
      <c r="G367" s="338"/>
      <c r="H367" s="338"/>
      <c r="I367" s="341"/>
    </row>
    <row r="368" spans="1:13" ht="15.75" customHeight="1" x14ac:dyDescent="0.25">
      <c r="F368" s="339" t="s">
        <v>1109</v>
      </c>
      <c r="G368" s="350">
        <v>119575</v>
      </c>
      <c r="H368" s="345"/>
      <c r="I368" s="341"/>
    </row>
    <row r="369" spans="6:9" ht="15.75" customHeight="1" x14ac:dyDescent="0.25">
      <c r="F369" s="351" t="s">
        <v>1110</v>
      </c>
      <c r="G369" s="352"/>
      <c r="H369" s="352">
        <f>G365</f>
        <v>37978</v>
      </c>
      <c r="I369" s="341"/>
    </row>
    <row r="370" spans="6:9" ht="15.75" customHeight="1" x14ac:dyDescent="0.25">
      <c r="F370" s="342"/>
      <c r="G370" s="342"/>
      <c r="H370" s="342"/>
      <c r="I370" s="341"/>
    </row>
    <row r="371" spans="6:9" ht="15.75" customHeight="1" x14ac:dyDescent="0.25">
      <c r="F371" s="353" t="s">
        <v>1111</v>
      </c>
      <c r="G371" s="347">
        <f>G368-H369</f>
        <v>81597</v>
      </c>
      <c r="H371" s="342"/>
      <c r="I371" s="341"/>
    </row>
    <row r="372" spans="6:9" ht="15.75" customHeight="1" x14ac:dyDescent="0.25">
      <c r="F372" s="341"/>
      <c r="G372" s="341"/>
      <c r="H372" s="341"/>
      <c r="I372" s="341"/>
    </row>
    <row r="373" spans="6:9" ht="15.75" customHeight="1" x14ac:dyDescent="0.25">
      <c r="F373" s="342" t="s">
        <v>1112</v>
      </c>
      <c r="G373" s="354">
        <f>G371/2</f>
        <v>40798.5</v>
      </c>
      <c r="H373" s="341"/>
      <c r="I373" s="341"/>
    </row>
    <row r="374" spans="6:9" ht="15.75" customHeight="1" x14ac:dyDescent="0.25">
      <c r="F374" s="342" t="s">
        <v>1113</v>
      </c>
      <c r="G374" s="354">
        <f>G371/4</f>
        <v>20399.25</v>
      </c>
      <c r="H374" s="341"/>
      <c r="I374" s="341"/>
    </row>
    <row r="375" spans="6:9" ht="15.75" customHeight="1" x14ac:dyDescent="0.25">
      <c r="F375" s="342" t="s">
        <v>1114</v>
      </c>
      <c r="G375" s="354">
        <f>G371/4</f>
        <v>20399.25</v>
      </c>
      <c r="H375" s="341"/>
      <c r="I375" s="341"/>
    </row>
    <row r="376" spans="6:9" ht="15.75" customHeight="1" x14ac:dyDescent="0.25">
      <c r="F376" s="341"/>
      <c r="G376" s="341"/>
      <c r="H376" s="341"/>
      <c r="I376" s="341"/>
    </row>
    <row r="377" spans="6:9" ht="15.75" customHeight="1" x14ac:dyDescent="0.25">
      <c r="F377" s="345" t="s">
        <v>1070</v>
      </c>
      <c r="G377" s="355">
        <v>36000</v>
      </c>
      <c r="H377" s="341"/>
      <c r="I377" s="341"/>
    </row>
    <row r="378" spans="6:9" ht="15.75" customHeight="1" x14ac:dyDescent="0.25">
      <c r="F378" s="342" t="s">
        <v>1115</v>
      </c>
      <c r="G378" s="356">
        <v>12000</v>
      </c>
      <c r="H378" s="341"/>
      <c r="I378" s="341"/>
    </row>
    <row r="379" spans="6:9" ht="15.75" customHeight="1" x14ac:dyDescent="0.25">
      <c r="F379" s="344" t="s">
        <v>1116</v>
      </c>
      <c r="G379" s="356">
        <v>5842</v>
      </c>
      <c r="H379" s="341"/>
      <c r="I379" s="341"/>
    </row>
    <row r="380" spans="6:9" ht="15.75" customHeight="1" x14ac:dyDescent="0.25">
      <c r="F380" s="338"/>
      <c r="G380" s="357"/>
      <c r="H380" s="341"/>
      <c r="I380" s="341"/>
    </row>
    <row r="381" spans="6:9" ht="15.75" customHeight="1" x14ac:dyDescent="0.25">
      <c r="F381" s="341"/>
      <c r="G381" s="341"/>
      <c r="H381" s="358" t="s">
        <v>1117</v>
      </c>
      <c r="I381" s="359" t="s">
        <v>143</v>
      </c>
    </row>
    <row r="382" spans="6:9" ht="15.75" customHeight="1" x14ac:dyDescent="0.25">
      <c r="F382" s="342" t="s">
        <v>1118</v>
      </c>
      <c r="G382" s="352">
        <f>SUM(G365,G374,G379)-G378</f>
        <v>52219.25</v>
      </c>
      <c r="H382" s="360">
        <f>28755+7000</f>
        <v>35755</v>
      </c>
      <c r="I382" s="361">
        <f>G382-H382</f>
        <v>16464.25</v>
      </c>
    </row>
    <row r="383" spans="6:9" ht="15.75" customHeight="1" x14ac:dyDescent="0.25">
      <c r="F383" s="362" t="s">
        <v>1119</v>
      </c>
      <c r="G383" s="363">
        <f>G375-G378</f>
        <v>8399.25</v>
      </c>
      <c r="H383" s="360">
        <v>6938</v>
      </c>
      <c r="I383" s="364">
        <f>G383-H383</f>
        <v>1461.25</v>
      </c>
    </row>
    <row r="384" spans="6:9"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row r="1015" ht="15.75" customHeight="1" x14ac:dyDescent="0.25"/>
    <row r="1016" ht="15.75" customHeight="1" x14ac:dyDescent="0.25"/>
    <row r="1017" ht="15.75" customHeight="1" x14ac:dyDescent="0.25"/>
    <row r="1018" ht="15.75" customHeight="1" x14ac:dyDescent="0.25"/>
    <row r="1019" ht="15.75" customHeight="1" x14ac:dyDescent="0.25"/>
    <row r="1020" ht="15.75" customHeight="1" x14ac:dyDescent="0.25"/>
    <row r="1021" ht="15.75" customHeight="1" x14ac:dyDescent="0.25"/>
    <row r="1022" ht="15.75" customHeight="1" x14ac:dyDescent="0.25"/>
    <row r="1023" ht="15.75" customHeight="1" x14ac:dyDescent="0.25"/>
    <row r="1024" ht="15.75" customHeight="1" x14ac:dyDescent="0.25"/>
    <row r="1025" ht="15.75" customHeight="1" x14ac:dyDescent="0.25"/>
    <row r="1026" ht="15.75" customHeight="1" x14ac:dyDescent="0.25"/>
    <row r="1027" ht="15.75" customHeight="1" x14ac:dyDescent="0.25"/>
    <row r="1028" ht="15.75" customHeight="1" x14ac:dyDescent="0.25"/>
    <row r="1029" ht="15.75" customHeight="1" x14ac:dyDescent="0.25"/>
    <row r="1030" ht="15.75" customHeight="1" x14ac:dyDescent="0.25"/>
    <row r="1031" ht="15.75" customHeight="1" x14ac:dyDescent="0.25"/>
    <row r="1032" ht="15.75" customHeight="1" x14ac:dyDescent="0.25"/>
    <row r="1033" ht="15.75" customHeight="1" x14ac:dyDescent="0.25"/>
    <row r="1034" ht="15.75" customHeight="1" x14ac:dyDescent="0.25"/>
    <row r="1035" ht="15.75" customHeight="1" x14ac:dyDescent="0.25"/>
    <row r="1036" ht="15.75" customHeight="1" x14ac:dyDescent="0.25"/>
    <row r="1037" ht="15.75" customHeight="1" x14ac:dyDescent="0.25"/>
    <row r="1038" ht="15.75" customHeight="1" x14ac:dyDescent="0.25"/>
    <row r="1039" ht="15.75" customHeight="1" x14ac:dyDescent="0.25"/>
    <row r="1040" ht="15.75" customHeight="1" x14ac:dyDescent="0.25"/>
    <row r="1041" ht="15.75" customHeight="1" x14ac:dyDescent="0.25"/>
    <row r="1042" ht="15.75" customHeight="1" x14ac:dyDescent="0.25"/>
    <row r="1043" ht="15.75" customHeight="1" x14ac:dyDescent="0.25"/>
    <row r="1044" ht="15.75" customHeight="1" x14ac:dyDescent="0.25"/>
    <row r="1045" ht="15.75" customHeight="1" x14ac:dyDescent="0.25"/>
    <row r="1046" ht="15.75" customHeight="1" x14ac:dyDescent="0.25"/>
    <row r="1047" ht="15.75" customHeight="1" x14ac:dyDescent="0.25"/>
    <row r="1048" ht="15.75" customHeight="1" x14ac:dyDescent="0.25"/>
    <row r="1049" ht="15.75" customHeight="1" x14ac:dyDescent="0.25"/>
    <row r="1050" ht="15.75" customHeight="1" x14ac:dyDescent="0.25"/>
    <row r="1051" ht="15.75" customHeight="1" x14ac:dyDescent="0.25"/>
    <row r="1052" ht="15.75" customHeight="1" x14ac:dyDescent="0.25"/>
    <row r="1053" ht="15.75" customHeight="1" x14ac:dyDescent="0.25"/>
    <row r="1054" ht="15.75" customHeight="1" x14ac:dyDescent="0.25"/>
    <row r="1055" ht="15.75" customHeight="1" x14ac:dyDescent="0.25"/>
    <row r="1056" ht="15.75" customHeight="1" x14ac:dyDescent="0.25"/>
    <row r="1057" ht="15.75" customHeight="1" x14ac:dyDescent="0.25"/>
    <row r="1058" ht="15.75" customHeight="1" x14ac:dyDescent="0.25"/>
    <row r="1059" ht="15.75" customHeight="1" x14ac:dyDescent="0.25"/>
    <row r="1060" ht="15.75" customHeight="1" x14ac:dyDescent="0.25"/>
    <row r="1061" ht="15.75" customHeight="1" x14ac:dyDescent="0.25"/>
    <row r="1062" ht="15.75" customHeight="1" x14ac:dyDescent="0.25"/>
    <row r="1063" ht="15.75" customHeight="1" x14ac:dyDescent="0.25"/>
    <row r="1064" ht="15.75" customHeight="1" x14ac:dyDescent="0.25"/>
    <row r="1065" ht="15.75" customHeight="1" x14ac:dyDescent="0.25"/>
    <row r="1066" ht="15.75" customHeight="1" x14ac:dyDescent="0.25"/>
    <row r="1067" ht="15.75" customHeight="1" x14ac:dyDescent="0.25"/>
    <row r="1068" ht="15.75" customHeight="1" x14ac:dyDescent="0.25"/>
    <row r="1069" ht="15.75" customHeight="1" x14ac:dyDescent="0.25"/>
    <row r="1070" ht="15.75" customHeight="1" x14ac:dyDescent="0.25"/>
    <row r="1071" ht="15.75" customHeight="1" x14ac:dyDescent="0.25"/>
    <row r="1072" ht="15.75" customHeight="1" x14ac:dyDescent="0.25"/>
    <row r="1073" ht="15.75" customHeight="1" x14ac:dyDescent="0.25"/>
    <row r="1074" ht="15.75" customHeight="1" x14ac:dyDescent="0.25"/>
    <row r="1075" ht="15.75" customHeight="1" x14ac:dyDescent="0.25"/>
    <row r="1076" ht="15.75" customHeight="1" x14ac:dyDescent="0.25"/>
    <row r="1077" ht="15.75" customHeight="1" x14ac:dyDescent="0.25"/>
    <row r="1078" ht="15.75" customHeight="1" x14ac:dyDescent="0.25"/>
    <row r="1079" ht="15.75" customHeight="1" x14ac:dyDescent="0.25"/>
    <row r="1080" ht="15.75" customHeight="1" x14ac:dyDescent="0.25"/>
    <row r="1081" ht="15.75" customHeight="1" x14ac:dyDescent="0.25"/>
    <row r="1082" ht="15.75" customHeight="1" x14ac:dyDescent="0.25"/>
    <row r="1083" ht="15.75" customHeight="1" x14ac:dyDescent="0.25"/>
    <row r="1084" ht="15.75" customHeight="1" x14ac:dyDescent="0.25"/>
    <row r="1085" ht="15.75" customHeight="1" x14ac:dyDescent="0.25"/>
    <row r="1086" ht="15.75" customHeight="1" x14ac:dyDescent="0.25"/>
    <row r="1087" ht="15.75" customHeight="1" x14ac:dyDescent="0.25"/>
    <row r="1088" ht="15.75" customHeight="1" x14ac:dyDescent="0.25"/>
    <row r="1089" ht="15.75" customHeight="1" x14ac:dyDescent="0.25"/>
    <row r="1090" ht="15.75" customHeight="1" x14ac:dyDescent="0.25"/>
    <row r="1091" ht="15.75" customHeight="1" x14ac:dyDescent="0.25"/>
    <row r="1092" ht="15.75" customHeight="1" x14ac:dyDescent="0.25"/>
    <row r="1093" ht="15.75" customHeight="1" x14ac:dyDescent="0.25"/>
    <row r="1094" ht="15.75" customHeight="1" x14ac:dyDescent="0.25"/>
    <row r="1095" ht="15.75" customHeight="1" x14ac:dyDescent="0.25"/>
    <row r="1096" ht="15.75" customHeight="1" x14ac:dyDescent="0.25"/>
    <row r="1097" ht="15.75" customHeight="1" x14ac:dyDescent="0.25"/>
    <row r="1098" ht="15.75" customHeight="1" x14ac:dyDescent="0.25"/>
    <row r="1099" ht="15.75" customHeight="1" x14ac:dyDescent="0.25"/>
    <row r="1100" ht="15.75" customHeight="1" x14ac:dyDescent="0.25"/>
    <row r="1101" ht="15.75" customHeight="1" x14ac:dyDescent="0.25"/>
    <row r="1102" ht="15.75" customHeight="1" x14ac:dyDescent="0.25"/>
    <row r="1103" ht="15.75" customHeight="1" x14ac:dyDescent="0.25"/>
    <row r="1104" ht="15.75" customHeight="1" x14ac:dyDescent="0.25"/>
    <row r="1105" ht="15.75" customHeight="1" x14ac:dyDescent="0.25"/>
    <row r="1106" ht="15.75" customHeight="1" x14ac:dyDescent="0.25"/>
    <row r="1107" ht="15.75" customHeight="1" x14ac:dyDescent="0.25"/>
    <row r="1108" ht="15.75" customHeight="1" x14ac:dyDescent="0.25"/>
    <row r="1109" ht="15.75" customHeight="1" x14ac:dyDescent="0.25"/>
    <row r="1110" ht="15.75" customHeight="1" x14ac:dyDescent="0.25"/>
    <row r="1111" ht="15.75" customHeight="1" x14ac:dyDescent="0.25"/>
    <row r="1112" ht="15.75" customHeight="1" x14ac:dyDescent="0.25"/>
    <row r="1113" ht="15.75" customHeight="1" x14ac:dyDescent="0.25"/>
    <row r="1114" ht="15.75" customHeight="1" x14ac:dyDescent="0.25"/>
    <row r="1115" ht="15.75" customHeight="1" x14ac:dyDescent="0.25"/>
    <row r="1116" ht="15.75" customHeight="1" x14ac:dyDescent="0.25"/>
    <row r="1117" ht="15.75" customHeight="1" x14ac:dyDescent="0.25"/>
    <row r="1118" ht="15.75" customHeight="1" x14ac:dyDescent="0.25"/>
    <row r="1119" ht="15.75" customHeight="1" x14ac:dyDescent="0.25"/>
    <row r="1120" ht="15.75" customHeight="1" x14ac:dyDescent="0.25"/>
    <row r="1121" ht="15.75" customHeight="1" x14ac:dyDescent="0.25"/>
    <row r="1122" ht="15.75" customHeight="1" x14ac:dyDescent="0.25"/>
    <row r="1123" ht="15.75" customHeight="1" x14ac:dyDescent="0.25"/>
    <row r="1124" ht="15.75" customHeight="1" x14ac:dyDescent="0.25"/>
    <row r="1125" ht="15.75" customHeight="1" x14ac:dyDescent="0.25"/>
    <row r="1126" ht="15.75" customHeight="1" x14ac:dyDescent="0.25"/>
    <row r="1127" ht="15.75" customHeight="1" x14ac:dyDescent="0.25"/>
    <row r="1128" ht="15.75" customHeight="1" x14ac:dyDescent="0.25"/>
    <row r="1129" ht="15.75" customHeight="1" x14ac:dyDescent="0.25"/>
    <row r="1130" ht="15.75" customHeight="1" x14ac:dyDescent="0.25"/>
    <row r="1131" ht="15.75" customHeight="1" x14ac:dyDescent="0.25"/>
    <row r="1132" ht="15.75" customHeight="1" x14ac:dyDescent="0.25"/>
    <row r="1133" ht="15.75" customHeight="1" x14ac:dyDescent="0.25"/>
    <row r="1134" ht="15.75" customHeight="1" x14ac:dyDescent="0.25"/>
    <row r="1135" ht="15.75" customHeight="1" x14ac:dyDescent="0.25"/>
    <row r="1136" ht="15.75" customHeight="1" x14ac:dyDescent="0.25"/>
    <row r="1137" ht="15.75" customHeight="1" x14ac:dyDescent="0.25"/>
    <row r="1138" ht="15.75" customHeight="1" x14ac:dyDescent="0.25"/>
    <row r="1139" ht="15.75" customHeight="1" x14ac:dyDescent="0.25"/>
    <row r="1140" ht="15.75" customHeight="1" x14ac:dyDescent="0.25"/>
    <row r="1141" ht="15.75" customHeight="1" x14ac:dyDescent="0.25"/>
    <row r="1142" ht="15.75" customHeight="1" x14ac:dyDescent="0.25"/>
    <row r="1143" ht="15.75" customHeight="1" x14ac:dyDescent="0.25"/>
    <row r="1144" ht="15.75" customHeight="1" x14ac:dyDescent="0.25"/>
    <row r="1145" ht="15.75" customHeight="1" x14ac:dyDescent="0.25"/>
    <row r="1146" ht="15.75" customHeight="1" x14ac:dyDescent="0.25"/>
    <row r="1147" ht="15.75" customHeight="1" x14ac:dyDescent="0.25"/>
    <row r="1148" ht="15.75" customHeight="1" x14ac:dyDescent="0.25"/>
    <row r="1149" ht="15.75" customHeight="1" x14ac:dyDescent="0.25"/>
    <row r="1150" ht="15.75" customHeight="1" x14ac:dyDescent="0.25"/>
    <row r="1151" ht="15.75" customHeight="1" x14ac:dyDescent="0.25"/>
    <row r="1152" ht="15.75" customHeight="1" x14ac:dyDescent="0.25"/>
    <row r="1153" ht="15.75" customHeight="1" x14ac:dyDescent="0.25"/>
    <row r="1154" ht="15.75" customHeight="1" x14ac:dyDescent="0.25"/>
    <row r="1155" ht="15.75" customHeight="1" x14ac:dyDescent="0.25"/>
    <row r="1156" ht="15.75" customHeight="1" x14ac:dyDescent="0.25"/>
    <row r="1157" ht="15.75" customHeight="1" x14ac:dyDescent="0.25"/>
    <row r="1158" ht="15.75" customHeight="1" x14ac:dyDescent="0.25"/>
    <row r="1159" ht="15.75" customHeight="1" x14ac:dyDescent="0.25"/>
    <row r="1160" ht="15.75" customHeight="1" x14ac:dyDescent="0.25"/>
    <row r="1161" ht="15.75" customHeight="1" x14ac:dyDescent="0.25"/>
    <row r="1162" ht="15.75" customHeight="1" x14ac:dyDescent="0.25"/>
    <row r="1163" ht="15.75" customHeight="1" x14ac:dyDescent="0.25"/>
    <row r="1164" ht="15.75" customHeight="1" x14ac:dyDescent="0.25"/>
    <row r="1165" ht="15.75" customHeight="1" x14ac:dyDescent="0.25"/>
    <row r="1166" ht="15.75" customHeight="1" x14ac:dyDescent="0.25"/>
    <row r="1167" ht="15.75" customHeight="1" x14ac:dyDescent="0.25"/>
    <row r="1168" ht="15.75" customHeight="1" x14ac:dyDescent="0.25"/>
    <row r="1169" ht="15.75" customHeight="1" x14ac:dyDescent="0.25"/>
    <row r="1170" ht="15.75" customHeight="1" x14ac:dyDescent="0.25"/>
    <row r="1171" ht="15.75" customHeight="1" x14ac:dyDescent="0.25"/>
    <row r="1172" ht="15.75" customHeight="1" x14ac:dyDescent="0.25"/>
    <row r="1173" ht="15.75" customHeight="1" x14ac:dyDescent="0.25"/>
    <row r="1174" ht="15.75" customHeight="1" x14ac:dyDescent="0.25"/>
    <row r="1175" ht="15.75" customHeight="1" x14ac:dyDescent="0.25"/>
    <row r="1176" ht="15.75" customHeight="1" x14ac:dyDescent="0.25"/>
    <row r="1177" ht="15.75" customHeight="1" x14ac:dyDescent="0.25"/>
    <row r="1178" ht="15.75" customHeight="1" x14ac:dyDescent="0.25"/>
    <row r="1179" ht="15.75" customHeight="1" x14ac:dyDescent="0.25"/>
    <row r="1180" ht="15.75" customHeight="1" x14ac:dyDescent="0.25"/>
    <row r="1181" ht="15.75" customHeight="1" x14ac:dyDescent="0.25"/>
    <row r="1182" ht="15.75" customHeight="1" x14ac:dyDescent="0.25"/>
    <row r="1183" ht="15.75" customHeight="1" x14ac:dyDescent="0.25"/>
    <row r="1184" ht="15.75" customHeight="1" x14ac:dyDescent="0.25"/>
    <row r="1185" ht="15.75" customHeight="1" x14ac:dyDescent="0.25"/>
    <row r="1186" ht="15.75" customHeight="1" x14ac:dyDescent="0.25"/>
    <row r="1187" ht="15.75" customHeight="1" x14ac:dyDescent="0.25"/>
    <row r="1188" ht="15.75" customHeight="1" x14ac:dyDescent="0.25"/>
    <row r="1189" ht="15.75" customHeight="1" x14ac:dyDescent="0.25"/>
    <row r="1190" ht="15.75" customHeight="1" x14ac:dyDescent="0.25"/>
    <row r="1191" ht="15.75" customHeight="1" x14ac:dyDescent="0.25"/>
    <row r="1192" ht="15.75" customHeight="1" x14ac:dyDescent="0.25"/>
    <row r="1193" ht="15.75" customHeight="1" x14ac:dyDescent="0.25"/>
    <row r="1194" ht="15.75" customHeight="1" x14ac:dyDescent="0.25"/>
    <row r="1195" ht="15.75" customHeight="1" x14ac:dyDescent="0.25"/>
    <row r="1196" ht="15.75" customHeight="1" x14ac:dyDescent="0.25"/>
    <row r="1197" ht="15.75" customHeight="1" x14ac:dyDescent="0.25"/>
    <row r="1198" ht="15.75" customHeight="1" x14ac:dyDescent="0.25"/>
    <row r="1199" ht="15.75" customHeight="1" x14ac:dyDescent="0.25"/>
    <row r="1200" ht="15.75" customHeight="1" x14ac:dyDescent="0.25"/>
    <row r="1201" ht="15.75" customHeight="1" x14ac:dyDescent="0.25"/>
    <row r="1202" ht="15.75" customHeight="1" x14ac:dyDescent="0.25"/>
    <row r="1203" ht="15.75" customHeight="1" x14ac:dyDescent="0.25"/>
    <row r="1204" ht="15.75" customHeight="1" x14ac:dyDescent="0.25"/>
    <row r="1205" ht="15.75" customHeight="1" x14ac:dyDescent="0.25"/>
    <row r="1206" ht="15.75" customHeight="1" x14ac:dyDescent="0.25"/>
    <row r="1207" ht="15.75" customHeight="1" x14ac:dyDescent="0.25"/>
    <row r="1208" ht="15.75" customHeight="1" x14ac:dyDescent="0.25"/>
    <row r="1209" ht="15.75" customHeight="1" x14ac:dyDescent="0.25"/>
    <row r="1210" ht="15.75" customHeight="1" x14ac:dyDescent="0.25"/>
    <row r="1211" ht="15.75" customHeight="1" x14ac:dyDescent="0.25"/>
    <row r="1212" ht="15.75" customHeight="1" x14ac:dyDescent="0.25"/>
    <row r="1213" ht="15.75" customHeight="1" x14ac:dyDescent="0.25"/>
    <row r="1214" ht="15.75" customHeight="1" x14ac:dyDescent="0.25"/>
    <row r="1215" ht="15.75" customHeight="1" x14ac:dyDescent="0.25"/>
    <row r="1216" ht="15.75" customHeight="1" x14ac:dyDescent="0.25"/>
    <row r="1217" ht="15.75" customHeight="1" x14ac:dyDescent="0.25"/>
    <row r="1218" ht="15.75" customHeight="1" x14ac:dyDescent="0.25"/>
    <row r="1219" ht="15.75" customHeight="1" x14ac:dyDescent="0.25"/>
    <row r="1220" ht="15.75" customHeight="1" x14ac:dyDescent="0.25"/>
    <row r="1221" ht="15.75" customHeight="1" x14ac:dyDescent="0.25"/>
    <row r="1222" ht="15.75" customHeight="1" x14ac:dyDescent="0.25"/>
    <row r="1223" ht="15.75" customHeight="1" x14ac:dyDescent="0.25"/>
    <row r="1224" ht="15.75" customHeight="1" x14ac:dyDescent="0.25"/>
    <row r="1225" ht="15.75" customHeight="1" x14ac:dyDescent="0.25"/>
    <row r="1226" ht="15.75" customHeight="1" x14ac:dyDescent="0.25"/>
    <row r="1227" ht="15.75" customHeight="1" x14ac:dyDescent="0.25"/>
    <row r="1228" ht="15.75" customHeight="1" x14ac:dyDescent="0.25"/>
    <row r="1229" ht="15.75" customHeight="1" x14ac:dyDescent="0.25"/>
    <row r="1230" ht="15.75" customHeight="1" x14ac:dyDescent="0.25"/>
    <row r="1231" ht="15.75" customHeight="1" x14ac:dyDescent="0.25"/>
    <row r="1232" ht="15.75" customHeight="1" x14ac:dyDescent="0.25"/>
    <row r="1233" ht="15.75" customHeight="1" x14ac:dyDescent="0.25"/>
    <row r="1234" ht="15.75" customHeight="1" x14ac:dyDescent="0.25"/>
    <row r="1235" ht="15.75" customHeight="1" x14ac:dyDescent="0.25"/>
    <row r="1236" ht="15.75" customHeight="1" x14ac:dyDescent="0.25"/>
    <row r="1237" ht="15.75" customHeight="1" x14ac:dyDescent="0.25"/>
    <row r="1238" ht="15.75" customHeight="1" x14ac:dyDescent="0.25"/>
    <row r="1239" ht="15.75" customHeight="1" x14ac:dyDescent="0.25"/>
    <row r="1240" ht="15.75" customHeight="1" x14ac:dyDescent="0.25"/>
    <row r="1241" ht="15.75" customHeight="1" x14ac:dyDescent="0.25"/>
    <row r="1242" ht="15.75" customHeight="1" x14ac:dyDescent="0.25"/>
    <row r="1243" ht="15.75" customHeight="1" x14ac:dyDescent="0.25"/>
  </sheetData>
  <sortState ref="S53:T91">
    <sortCondition descending="1" ref="T53:T91"/>
  </sortState>
  <conditionalFormatting sqref="D355">
    <cfRule type="cellIs" dxfId="19431" priority="4846" operator="lessThan">
      <formula>0</formula>
    </cfRule>
    <cfRule type="cellIs" dxfId="19430" priority="4847" operator="greaterThan">
      <formula>0</formula>
    </cfRule>
  </conditionalFormatting>
  <conditionalFormatting sqref="A2:M2 E21:M22 B15:M15 C3:M14 C16:M20 B18 A49:A51 C23:M64 B20:B64 B65:M289 B294:M294 C290:M293 C295:M332 B333:M348 A85:A348">
    <cfRule type="expression" dxfId="19429" priority="4845">
      <formula>$C2="Advance"</formula>
    </cfRule>
  </conditionalFormatting>
  <conditionalFormatting sqref="E21:M22 B2:M2 B15:M15 C3:M14 C16:M20 B18 C23:M64 B20:B64 B65:M289 B294:M294 C290:M293 C295:M332 B333:M348">
    <cfRule type="expression" dxfId="19428" priority="4834">
      <formula>$C2="Delivery charge"</formula>
    </cfRule>
    <cfRule type="expression" dxfId="19427" priority="4837">
      <formula>$C2="Staff Salary"</formula>
    </cfRule>
    <cfRule type="expression" dxfId="19426" priority="4838">
      <formula>$C2="Rent"</formula>
    </cfRule>
    <cfRule type="expression" dxfId="19425" priority="4839">
      <formula>$C2="Petrol"</formula>
    </cfRule>
    <cfRule type="expression" dxfId="19424" priority="4840">
      <formula>$C2="Bills"</formula>
    </cfRule>
    <cfRule type="expression" dxfId="19423" priority="4841">
      <formula>$C2="Sales"</formula>
    </cfRule>
    <cfRule type="expression" dxfId="19422" priority="4842">
      <formula>$C2="Expences"</formula>
    </cfRule>
    <cfRule type="expression" dxfId="19421" priority="4843">
      <formula>$C2="Garlic Purchase"</formula>
    </cfRule>
    <cfRule type="expression" dxfId="19420" priority="4844">
      <formula>$C2="Ginger Purchase"</formula>
    </cfRule>
  </conditionalFormatting>
  <conditionalFormatting sqref="A3">
    <cfRule type="expression" dxfId="19419" priority="4836">
      <formula>$C3="Advance"</formula>
    </cfRule>
  </conditionalFormatting>
  <conditionalFormatting sqref="A9">
    <cfRule type="expression" dxfId="19418" priority="4835">
      <formula>$C9="Advance"</formula>
    </cfRule>
  </conditionalFormatting>
  <conditionalFormatting sqref="C21:D22">
    <cfRule type="expression" dxfId="19417" priority="4833">
      <formula>$C21="Advance"</formula>
    </cfRule>
  </conditionalFormatting>
  <conditionalFormatting sqref="C21:D22">
    <cfRule type="expression" dxfId="19416" priority="4824">
      <formula>$C21="Delivery charge"</formula>
    </cfRule>
    <cfRule type="expression" dxfId="19415" priority="4825">
      <formula>$C21="Staff Salary"</formula>
    </cfRule>
    <cfRule type="expression" dxfId="19414" priority="4826">
      <formula>$C21="Rent"</formula>
    </cfRule>
    <cfRule type="expression" dxfId="19413" priority="4827">
      <formula>$C21="Petrol"</formula>
    </cfRule>
    <cfRule type="expression" dxfId="19412" priority="4828">
      <formula>$C21="Bills"</formula>
    </cfRule>
    <cfRule type="expression" dxfId="19411" priority="4829">
      <formula>$C21="Sales"</formula>
    </cfRule>
    <cfRule type="expression" dxfId="19410" priority="4830">
      <formula>$C21="Expences"</formula>
    </cfRule>
    <cfRule type="expression" dxfId="19409" priority="4831">
      <formula>$C21="Garlic Purchase"</formula>
    </cfRule>
    <cfRule type="expression" dxfId="19408" priority="4832">
      <formula>$C21="Ginger Purchase"</formula>
    </cfRule>
  </conditionalFormatting>
  <conditionalFormatting sqref="B13 B15:B16 B18:B19">
    <cfRule type="expression" dxfId="19407" priority="4119">
      <formula>$C13="Advance"</formula>
    </cfRule>
  </conditionalFormatting>
  <conditionalFormatting sqref="B38 B40 B42 B44 B46">
    <cfRule type="expression" dxfId="19406" priority="2447">
      <formula>$C38="Advance"</formula>
    </cfRule>
  </conditionalFormatting>
  <conditionalFormatting sqref="A4:A8">
    <cfRule type="expression" dxfId="19405" priority="4342">
      <formula>$C4="Advance"</formula>
    </cfRule>
  </conditionalFormatting>
  <conditionalFormatting sqref="B3:B20 B23 B26">
    <cfRule type="expression" dxfId="19404" priority="4341">
      <formula>$C3="Advance"</formula>
    </cfRule>
  </conditionalFormatting>
  <conditionalFormatting sqref="B3:B20 B23 B26">
    <cfRule type="expression" dxfId="19403" priority="4332">
      <formula>$C3="Delivery charge"</formula>
    </cfRule>
    <cfRule type="expression" dxfId="19402" priority="4333">
      <formula>$C3="Staff Salary"</formula>
    </cfRule>
    <cfRule type="expression" dxfId="19401" priority="4334">
      <formula>$C3="Rent"</formula>
    </cfRule>
    <cfRule type="expression" dxfId="19400" priority="4335">
      <formula>$C3="Petrol"</formula>
    </cfRule>
    <cfRule type="expression" dxfId="19399" priority="4336">
      <formula>$C3="Bills"</formula>
    </cfRule>
    <cfRule type="expression" dxfId="19398" priority="4337">
      <formula>$C3="Sales"</formula>
    </cfRule>
    <cfRule type="expression" dxfId="19397" priority="4338">
      <formula>$C3="Expences"</formula>
    </cfRule>
    <cfRule type="expression" dxfId="19396" priority="4339">
      <formula>$C3="Garlic Purchase"</formula>
    </cfRule>
    <cfRule type="expression" dxfId="19395" priority="4340">
      <formula>$C3="Ginger Purchase"</formula>
    </cfRule>
  </conditionalFormatting>
  <conditionalFormatting sqref="B13 B3 B5 B7 B9 B11 B16 B19">
    <cfRule type="expression" dxfId="19394" priority="4322">
      <formula>$C3="Delivery charge"</formula>
    </cfRule>
    <cfRule type="expression" dxfId="19393" priority="4323">
      <formula>$C3="Staff Salary"</formula>
    </cfRule>
    <cfRule type="expression" dxfId="19392" priority="4324">
      <formula>$C3="Rent"</formula>
    </cfRule>
    <cfRule type="expression" dxfId="19391" priority="4325">
      <formula>$C3="Petrol"</formula>
    </cfRule>
    <cfRule type="expression" dxfId="19390" priority="4326">
      <formula>$C3="Bills"</formula>
    </cfRule>
    <cfRule type="expression" dxfId="19389" priority="4327">
      <formula>$C3="Sales"</formula>
    </cfRule>
    <cfRule type="expression" dxfId="19388" priority="4328">
      <formula>$C3="Expences"</formula>
    </cfRule>
    <cfRule type="expression" dxfId="19387" priority="4329">
      <formula>$C3="Garlic Purchase"</formula>
    </cfRule>
    <cfRule type="expression" dxfId="19386" priority="4330">
      <formula>$C3="Ginger Purchase"</formula>
    </cfRule>
  </conditionalFormatting>
  <conditionalFormatting sqref="B13 B3 B5 B7 B9 B11 B16 B19">
    <cfRule type="expression" dxfId="19385" priority="4331">
      <formula>$C3="Advance"</formula>
    </cfRule>
  </conditionalFormatting>
  <conditionalFormatting sqref="B14 B4 B6 B8 B10 B12 B17 B20 B23 B26">
    <cfRule type="expression" dxfId="19384" priority="4312">
      <formula>$C4="Delivery charge"</formula>
    </cfRule>
    <cfRule type="expression" dxfId="19383" priority="4313">
      <formula>$C4="Staff Salary"</formula>
    </cfRule>
    <cfRule type="expression" dxfId="19382" priority="4314">
      <formula>$C4="Rent"</formula>
    </cfRule>
    <cfRule type="expression" dxfId="19381" priority="4315">
      <formula>$C4="Petrol"</formula>
    </cfRule>
    <cfRule type="expression" dxfId="19380" priority="4316">
      <formula>$C4="Bills"</formula>
    </cfRule>
    <cfRule type="expression" dxfId="19379" priority="4317">
      <formula>$C4="Sales"</formula>
    </cfRule>
    <cfRule type="expression" dxfId="19378" priority="4318">
      <formula>$C4="Expences"</formula>
    </cfRule>
    <cfRule type="expression" dxfId="19377" priority="4319">
      <formula>$C4="Garlic Purchase"</formula>
    </cfRule>
    <cfRule type="expression" dxfId="19376" priority="4320">
      <formula>$C4="Ginger Purchase"</formula>
    </cfRule>
  </conditionalFormatting>
  <conditionalFormatting sqref="B14 B4 B6 B8 B10 B12 B17 B20 B23 B26">
    <cfRule type="expression" dxfId="19375" priority="4321">
      <formula>$C4="Advance"</formula>
    </cfRule>
  </conditionalFormatting>
  <conditionalFormatting sqref="B14 B4 B6 B8 B10 B12 B17 B20 B23 B26">
    <cfRule type="expression" dxfId="19374" priority="4302">
      <formula>$C4="Delivery charge"</formula>
    </cfRule>
    <cfRule type="expression" dxfId="19373" priority="4303">
      <formula>$C4="Staff Salary"</formula>
    </cfRule>
    <cfRule type="expression" dxfId="19372" priority="4304">
      <formula>$C4="Rent"</formula>
    </cfRule>
    <cfRule type="expression" dxfId="19371" priority="4305">
      <formula>$C4="Petrol"</formula>
    </cfRule>
    <cfRule type="expression" dxfId="19370" priority="4306">
      <formula>$C4="Bills"</formula>
    </cfRule>
    <cfRule type="expression" dxfId="19369" priority="4307">
      <formula>$C4="Sales"</formula>
    </cfRule>
    <cfRule type="expression" dxfId="19368" priority="4308">
      <formula>$C4="Expences"</formula>
    </cfRule>
    <cfRule type="expression" dxfId="19367" priority="4309">
      <formula>$C4="Garlic Purchase"</formula>
    </cfRule>
    <cfRule type="expression" dxfId="19366" priority="4310">
      <formula>$C4="Ginger Purchase"</formula>
    </cfRule>
  </conditionalFormatting>
  <conditionalFormatting sqref="B14 B4 B6 B8 B10 B12 B17 B20 B23 B26">
    <cfRule type="expression" dxfId="19365" priority="4311">
      <formula>$C4="Advance"</formula>
    </cfRule>
  </conditionalFormatting>
  <conditionalFormatting sqref="B14 B4 B6 B8 B10 B12 B17 B20 B23 B26">
    <cfRule type="expression" dxfId="19364" priority="4292">
      <formula>$C4="Delivery charge"</formula>
    </cfRule>
    <cfRule type="expression" dxfId="19363" priority="4293">
      <formula>$C4="Staff Salary"</formula>
    </cfRule>
    <cfRule type="expression" dxfId="19362" priority="4294">
      <formula>$C4="Rent"</formula>
    </cfRule>
    <cfRule type="expression" dxfId="19361" priority="4295">
      <formula>$C4="Petrol"</formula>
    </cfRule>
    <cfRule type="expression" dxfId="19360" priority="4296">
      <formula>$C4="Bills"</formula>
    </cfRule>
    <cfRule type="expression" dxfId="19359" priority="4297">
      <formula>$C4="Sales"</formula>
    </cfRule>
    <cfRule type="expression" dxfId="19358" priority="4298">
      <formula>$C4="Expences"</formula>
    </cfRule>
    <cfRule type="expression" dxfId="19357" priority="4299">
      <formula>$C4="Garlic Purchase"</formula>
    </cfRule>
    <cfRule type="expression" dxfId="19356" priority="4300">
      <formula>$C4="Ginger Purchase"</formula>
    </cfRule>
  </conditionalFormatting>
  <conditionalFormatting sqref="B14 B4 B6 B8 B10 B12 B17 B20 B23 B26">
    <cfRule type="expression" dxfId="19355" priority="4301">
      <formula>$C4="Advance"</formula>
    </cfRule>
  </conditionalFormatting>
  <conditionalFormatting sqref="B14 B4 B6 B8 B10 B12 B17 B20 B23 B26">
    <cfRule type="expression" dxfId="19354" priority="4282">
      <formula>$C4="Delivery charge"</formula>
    </cfRule>
    <cfRule type="expression" dxfId="19353" priority="4283">
      <formula>$C4="Staff Salary"</formula>
    </cfRule>
    <cfRule type="expression" dxfId="19352" priority="4284">
      <formula>$C4="Rent"</formula>
    </cfRule>
    <cfRule type="expression" dxfId="19351" priority="4285">
      <formula>$C4="Petrol"</formula>
    </cfRule>
    <cfRule type="expression" dxfId="19350" priority="4286">
      <formula>$C4="Bills"</formula>
    </cfRule>
    <cfRule type="expression" dxfId="19349" priority="4287">
      <formula>$C4="Sales"</formula>
    </cfRule>
    <cfRule type="expression" dxfId="19348" priority="4288">
      <formula>$C4="Expences"</formula>
    </cfRule>
    <cfRule type="expression" dxfId="19347" priority="4289">
      <formula>$C4="Garlic Purchase"</formula>
    </cfRule>
    <cfRule type="expression" dxfId="19346" priority="4290">
      <formula>$C4="Ginger Purchase"</formula>
    </cfRule>
  </conditionalFormatting>
  <conditionalFormatting sqref="B14 B4 B6 B8 B10 B12 B17 B20 B23 B26">
    <cfRule type="expression" dxfId="19345" priority="4291">
      <formula>$C4="Advance"</formula>
    </cfRule>
  </conditionalFormatting>
  <conditionalFormatting sqref="B12">
    <cfRule type="expression" dxfId="19344" priority="4272">
      <formula>$C12="Delivery charge"</formula>
    </cfRule>
    <cfRule type="expression" dxfId="19343" priority="4273">
      <formula>$C12="Staff Salary"</formula>
    </cfRule>
    <cfRule type="expression" dxfId="19342" priority="4274">
      <formula>$C12="Rent"</formula>
    </cfRule>
    <cfRule type="expression" dxfId="19341" priority="4275">
      <formula>$C12="Petrol"</formula>
    </cfRule>
    <cfRule type="expression" dxfId="19340" priority="4276">
      <formula>$C12="Bills"</formula>
    </cfRule>
    <cfRule type="expression" dxfId="19339" priority="4277">
      <formula>$C12="Sales"</formula>
    </cfRule>
    <cfRule type="expression" dxfId="19338" priority="4278">
      <formula>$C12="Expences"</formula>
    </cfRule>
    <cfRule type="expression" dxfId="19337" priority="4279">
      <formula>$C12="Garlic Purchase"</formula>
    </cfRule>
    <cfRule type="expression" dxfId="19336" priority="4280">
      <formula>$C12="Ginger Purchase"</formula>
    </cfRule>
  </conditionalFormatting>
  <conditionalFormatting sqref="B12">
    <cfRule type="expression" dxfId="19335" priority="4281">
      <formula>$C12="Advance"</formula>
    </cfRule>
  </conditionalFormatting>
  <conditionalFormatting sqref="B11 B13 B16 B19">
    <cfRule type="expression" dxfId="19334" priority="4262">
      <formula>$C11="Delivery charge"</formula>
    </cfRule>
    <cfRule type="expression" dxfId="19333" priority="4263">
      <formula>$C11="Staff Salary"</formula>
    </cfRule>
    <cfRule type="expression" dxfId="19332" priority="4264">
      <formula>$C11="Rent"</formula>
    </cfRule>
    <cfRule type="expression" dxfId="19331" priority="4265">
      <formula>$C11="Petrol"</formula>
    </cfRule>
    <cfRule type="expression" dxfId="19330" priority="4266">
      <formula>$C11="Bills"</formula>
    </cfRule>
    <cfRule type="expression" dxfId="19329" priority="4267">
      <formula>$C11="Sales"</formula>
    </cfRule>
    <cfRule type="expression" dxfId="19328" priority="4268">
      <formula>$C11="Expences"</formula>
    </cfRule>
    <cfRule type="expression" dxfId="19327" priority="4269">
      <formula>$C11="Garlic Purchase"</formula>
    </cfRule>
    <cfRule type="expression" dxfId="19326" priority="4270">
      <formula>$C11="Ginger Purchase"</formula>
    </cfRule>
  </conditionalFormatting>
  <conditionalFormatting sqref="B11 B13 B16 B19">
    <cfRule type="expression" dxfId="19325" priority="4271">
      <formula>$C11="Advance"</formula>
    </cfRule>
  </conditionalFormatting>
  <conditionalFormatting sqref="B11 B13 B16 B19">
    <cfRule type="expression" dxfId="19324" priority="4252">
      <formula>$C11="Delivery charge"</formula>
    </cfRule>
    <cfRule type="expression" dxfId="19323" priority="4253">
      <formula>$C11="Staff Salary"</formula>
    </cfRule>
    <cfRule type="expression" dxfId="19322" priority="4254">
      <formula>$C11="Rent"</formula>
    </cfRule>
    <cfRule type="expression" dxfId="19321" priority="4255">
      <formula>$C11="Petrol"</formula>
    </cfRule>
    <cfRule type="expression" dxfId="19320" priority="4256">
      <formula>$C11="Bills"</formula>
    </cfRule>
    <cfRule type="expression" dxfId="19319" priority="4257">
      <formula>$C11="Sales"</formula>
    </cfRule>
    <cfRule type="expression" dxfId="19318" priority="4258">
      <formula>$C11="Expences"</formula>
    </cfRule>
    <cfRule type="expression" dxfId="19317" priority="4259">
      <formula>$C11="Garlic Purchase"</formula>
    </cfRule>
    <cfRule type="expression" dxfId="19316" priority="4260">
      <formula>$C11="Ginger Purchase"</formula>
    </cfRule>
  </conditionalFormatting>
  <conditionalFormatting sqref="B11 B13 B16 B19">
    <cfRule type="expression" dxfId="19315" priority="4261">
      <formula>$C11="Advance"</formula>
    </cfRule>
  </conditionalFormatting>
  <conditionalFormatting sqref="B11 B13 B16 B19">
    <cfRule type="expression" dxfId="19314" priority="4242">
      <formula>$C11="Delivery charge"</formula>
    </cfRule>
    <cfRule type="expression" dxfId="19313" priority="4243">
      <formula>$C11="Staff Salary"</formula>
    </cfRule>
    <cfRule type="expression" dxfId="19312" priority="4244">
      <formula>$C11="Rent"</formula>
    </cfRule>
    <cfRule type="expression" dxfId="19311" priority="4245">
      <formula>$C11="Petrol"</formula>
    </cfRule>
    <cfRule type="expression" dxfId="19310" priority="4246">
      <formula>$C11="Bills"</formula>
    </cfRule>
    <cfRule type="expression" dxfId="19309" priority="4247">
      <formula>$C11="Sales"</formula>
    </cfRule>
    <cfRule type="expression" dxfId="19308" priority="4248">
      <formula>$C11="Expences"</formula>
    </cfRule>
    <cfRule type="expression" dxfId="19307" priority="4249">
      <formula>$C11="Garlic Purchase"</formula>
    </cfRule>
    <cfRule type="expression" dxfId="19306" priority="4250">
      <formula>$C11="Ginger Purchase"</formula>
    </cfRule>
  </conditionalFormatting>
  <conditionalFormatting sqref="B11 B13 B16 B19">
    <cfRule type="expression" dxfId="19305" priority="4251">
      <formula>$C11="Advance"</formula>
    </cfRule>
  </conditionalFormatting>
  <conditionalFormatting sqref="B11 B13 B16 B19">
    <cfRule type="expression" dxfId="19304" priority="4232">
      <formula>$C11="Delivery charge"</formula>
    </cfRule>
    <cfRule type="expression" dxfId="19303" priority="4233">
      <formula>$C11="Staff Salary"</formula>
    </cfRule>
    <cfRule type="expression" dxfId="19302" priority="4234">
      <formula>$C11="Rent"</formula>
    </cfRule>
    <cfRule type="expression" dxfId="19301" priority="4235">
      <formula>$C11="Petrol"</formula>
    </cfRule>
    <cfRule type="expression" dxfId="19300" priority="4236">
      <formula>$C11="Bills"</formula>
    </cfRule>
    <cfRule type="expression" dxfId="19299" priority="4237">
      <formula>$C11="Sales"</formula>
    </cfRule>
    <cfRule type="expression" dxfId="19298" priority="4238">
      <formula>$C11="Expences"</formula>
    </cfRule>
    <cfRule type="expression" dxfId="19297" priority="4239">
      <formula>$C11="Garlic Purchase"</formula>
    </cfRule>
    <cfRule type="expression" dxfId="19296" priority="4240">
      <formula>$C11="Ginger Purchase"</formula>
    </cfRule>
  </conditionalFormatting>
  <conditionalFormatting sqref="B11 B13 B16 B19">
    <cfRule type="expression" dxfId="19295" priority="4241">
      <formula>$C11="Advance"</formula>
    </cfRule>
  </conditionalFormatting>
  <conditionalFormatting sqref="A10:A12">
    <cfRule type="expression" dxfId="19294" priority="4231">
      <formula>$C10="Advance"</formula>
    </cfRule>
  </conditionalFormatting>
  <conditionalFormatting sqref="B14 B12 B17 B20 B23 B26">
    <cfRule type="expression" dxfId="19293" priority="4221">
      <formula>$C12="Delivery charge"</formula>
    </cfRule>
    <cfRule type="expression" dxfId="19292" priority="4222">
      <formula>$C12="Staff Salary"</formula>
    </cfRule>
    <cfRule type="expression" dxfId="19291" priority="4223">
      <formula>$C12="Rent"</formula>
    </cfRule>
    <cfRule type="expression" dxfId="19290" priority="4224">
      <formula>$C12="Petrol"</formula>
    </cfRule>
    <cfRule type="expression" dxfId="19289" priority="4225">
      <formula>$C12="Bills"</formula>
    </cfRule>
    <cfRule type="expression" dxfId="19288" priority="4226">
      <formula>$C12="Sales"</formula>
    </cfRule>
    <cfRule type="expression" dxfId="19287" priority="4227">
      <formula>$C12="Expences"</formula>
    </cfRule>
    <cfRule type="expression" dxfId="19286" priority="4228">
      <formula>$C12="Garlic Purchase"</formula>
    </cfRule>
    <cfRule type="expression" dxfId="19285" priority="4229">
      <formula>$C12="Ginger Purchase"</formula>
    </cfRule>
  </conditionalFormatting>
  <conditionalFormatting sqref="B14 B12 B17 B20 B23 B26">
    <cfRule type="expression" dxfId="19284" priority="4230">
      <formula>$C12="Advance"</formula>
    </cfRule>
  </conditionalFormatting>
  <conditionalFormatting sqref="B13 B16 B19">
    <cfRule type="expression" dxfId="19283" priority="4211">
      <formula>$C13="Delivery charge"</formula>
    </cfRule>
    <cfRule type="expression" dxfId="19282" priority="4212">
      <formula>$C13="Staff Salary"</formula>
    </cfRule>
    <cfRule type="expression" dxfId="19281" priority="4213">
      <formula>$C13="Rent"</formula>
    </cfRule>
    <cfRule type="expression" dxfId="19280" priority="4214">
      <formula>$C13="Petrol"</formula>
    </cfRule>
    <cfRule type="expression" dxfId="19279" priority="4215">
      <formula>$C13="Bills"</formula>
    </cfRule>
    <cfRule type="expression" dxfId="19278" priority="4216">
      <formula>$C13="Sales"</formula>
    </cfRule>
    <cfRule type="expression" dxfId="19277" priority="4217">
      <formula>$C13="Expences"</formula>
    </cfRule>
    <cfRule type="expression" dxfId="19276" priority="4218">
      <formula>$C13="Garlic Purchase"</formula>
    </cfRule>
    <cfRule type="expression" dxfId="19275" priority="4219">
      <formula>$C13="Ginger Purchase"</formula>
    </cfRule>
  </conditionalFormatting>
  <conditionalFormatting sqref="B13 B16 B19">
    <cfRule type="expression" dxfId="19274" priority="4220">
      <formula>$C13="Advance"</formula>
    </cfRule>
  </conditionalFormatting>
  <conditionalFormatting sqref="B13 B16 B19">
    <cfRule type="expression" dxfId="19273" priority="4201">
      <formula>$C13="Delivery charge"</formula>
    </cfRule>
    <cfRule type="expression" dxfId="19272" priority="4202">
      <formula>$C13="Staff Salary"</formula>
    </cfRule>
    <cfRule type="expression" dxfId="19271" priority="4203">
      <formula>$C13="Rent"</formula>
    </cfRule>
    <cfRule type="expression" dxfId="19270" priority="4204">
      <formula>$C13="Petrol"</formula>
    </cfRule>
    <cfRule type="expression" dxfId="19269" priority="4205">
      <formula>$C13="Bills"</formula>
    </cfRule>
    <cfRule type="expression" dxfId="19268" priority="4206">
      <formula>$C13="Sales"</formula>
    </cfRule>
    <cfRule type="expression" dxfId="19267" priority="4207">
      <formula>$C13="Expences"</formula>
    </cfRule>
    <cfRule type="expression" dxfId="19266" priority="4208">
      <formula>$C13="Garlic Purchase"</formula>
    </cfRule>
    <cfRule type="expression" dxfId="19265" priority="4209">
      <formula>$C13="Ginger Purchase"</formula>
    </cfRule>
  </conditionalFormatting>
  <conditionalFormatting sqref="B13 B16 B19">
    <cfRule type="expression" dxfId="19264" priority="4210">
      <formula>$C13="Advance"</formula>
    </cfRule>
  </conditionalFormatting>
  <conditionalFormatting sqref="B13 B16 B19">
    <cfRule type="expression" dxfId="19263" priority="4191">
      <formula>$C13="Delivery charge"</formula>
    </cfRule>
    <cfRule type="expression" dxfId="19262" priority="4192">
      <formula>$C13="Staff Salary"</formula>
    </cfRule>
    <cfRule type="expression" dxfId="19261" priority="4193">
      <formula>$C13="Rent"</formula>
    </cfRule>
    <cfRule type="expression" dxfId="19260" priority="4194">
      <formula>$C13="Petrol"</formula>
    </cfRule>
    <cfRule type="expression" dxfId="19259" priority="4195">
      <formula>$C13="Bills"</formula>
    </cfRule>
    <cfRule type="expression" dxfId="19258" priority="4196">
      <formula>$C13="Sales"</formula>
    </cfRule>
    <cfRule type="expression" dxfId="19257" priority="4197">
      <formula>$C13="Expences"</formula>
    </cfRule>
    <cfRule type="expression" dxfId="19256" priority="4198">
      <formula>$C13="Garlic Purchase"</formula>
    </cfRule>
    <cfRule type="expression" dxfId="19255" priority="4199">
      <formula>$C13="Ginger Purchase"</formula>
    </cfRule>
  </conditionalFormatting>
  <conditionalFormatting sqref="B13 B16 B19">
    <cfRule type="expression" dxfId="19254" priority="4200">
      <formula>$C13="Advance"</formula>
    </cfRule>
  </conditionalFormatting>
  <conditionalFormatting sqref="B13 B16 B19">
    <cfRule type="expression" dxfId="19253" priority="4181">
      <formula>$C13="Delivery charge"</formula>
    </cfRule>
    <cfRule type="expression" dxfId="19252" priority="4182">
      <formula>$C13="Staff Salary"</formula>
    </cfRule>
    <cfRule type="expression" dxfId="19251" priority="4183">
      <formula>$C13="Rent"</formula>
    </cfRule>
    <cfRule type="expression" dxfId="19250" priority="4184">
      <formula>$C13="Petrol"</formula>
    </cfRule>
    <cfRule type="expression" dxfId="19249" priority="4185">
      <formula>$C13="Bills"</formula>
    </cfRule>
    <cfRule type="expression" dxfId="19248" priority="4186">
      <formula>$C13="Sales"</formula>
    </cfRule>
    <cfRule type="expression" dxfId="19247" priority="4187">
      <formula>$C13="Expences"</formula>
    </cfRule>
    <cfRule type="expression" dxfId="19246" priority="4188">
      <formula>$C13="Garlic Purchase"</formula>
    </cfRule>
    <cfRule type="expression" dxfId="19245" priority="4189">
      <formula>$C13="Ginger Purchase"</formula>
    </cfRule>
  </conditionalFormatting>
  <conditionalFormatting sqref="B13 B16 B19">
    <cfRule type="expression" dxfId="19244" priority="4190">
      <formula>$C13="Advance"</formula>
    </cfRule>
  </conditionalFormatting>
  <conditionalFormatting sqref="B13 B16 B19">
    <cfRule type="expression" dxfId="19243" priority="4171">
      <formula>$C13="Delivery charge"</formula>
    </cfRule>
    <cfRule type="expression" dxfId="19242" priority="4172">
      <formula>$C13="Staff Salary"</formula>
    </cfRule>
    <cfRule type="expression" dxfId="19241" priority="4173">
      <formula>$C13="Rent"</formula>
    </cfRule>
    <cfRule type="expression" dxfId="19240" priority="4174">
      <formula>$C13="Petrol"</formula>
    </cfRule>
    <cfRule type="expression" dxfId="19239" priority="4175">
      <formula>$C13="Bills"</formula>
    </cfRule>
    <cfRule type="expression" dxfId="19238" priority="4176">
      <formula>$C13="Sales"</formula>
    </cfRule>
    <cfRule type="expression" dxfId="19237" priority="4177">
      <formula>$C13="Expences"</formula>
    </cfRule>
    <cfRule type="expression" dxfId="19236" priority="4178">
      <formula>$C13="Garlic Purchase"</formula>
    </cfRule>
    <cfRule type="expression" dxfId="19235" priority="4179">
      <formula>$C13="Ginger Purchase"</formula>
    </cfRule>
  </conditionalFormatting>
  <conditionalFormatting sqref="B13 B16 B19">
    <cfRule type="expression" dxfId="19234" priority="4180">
      <formula>$C13="Advance"</formula>
    </cfRule>
  </conditionalFormatting>
  <conditionalFormatting sqref="B12 B14 B17 B20 B23 B26">
    <cfRule type="expression" dxfId="19233" priority="4161">
      <formula>$C12="Delivery charge"</formula>
    </cfRule>
    <cfRule type="expression" dxfId="19232" priority="4162">
      <formula>$C12="Staff Salary"</formula>
    </cfRule>
    <cfRule type="expression" dxfId="19231" priority="4163">
      <formula>$C12="Rent"</formula>
    </cfRule>
    <cfRule type="expression" dxfId="19230" priority="4164">
      <formula>$C12="Petrol"</formula>
    </cfRule>
    <cfRule type="expression" dxfId="19229" priority="4165">
      <formula>$C12="Bills"</formula>
    </cfRule>
    <cfRule type="expression" dxfId="19228" priority="4166">
      <formula>$C12="Sales"</formula>
    </cfRule>
    <cfRule type="expression" dxfId="19227" priority="4167">
      <formula>$C12="Expences"</formula>
    </cfRule>
    <cfRule type="expression" dxfId="19226" priority="4168">
      <formula>$C12="Garlic Purchase"</formula>
    </cfRule>
    <cfRule type="expression" dxfId="19225" priority="4169">
      <formula>$C12="Ginger Purchase"</formula>
    </cfRule>
  </conditionalFormatting>
  <conditionalFormatting sqref="B12 B14 B17 B20 B23 B26">
    <cfRule type="expression" dxfId="19224" priority="4170">
      <formula>$C12="Advance"</formula>
    </cfRule>
  </conditionalFormatting>
  <conditionalFormatting sqref="B12 B14 B17 B20 B23 B26">
    <cfRule type="expression" dxfId="19223" priority="4151">
      <formula>$C12="Delivery charge"</formula>
    </cfRule>
    <cfRule type="expression" dxfId="19222" priority="4152">
      <formula>$C12="Staff Salary"</formula>
    </cfRule>
    <cfRule type="expression" dxfId="19221" priority="4153">
      <formula>$C12="Rent"</formula>
    </cfRule>
    <cfRule type="expression" dxfId="19220" priority="4154">
      <formula>$C12="Petrol"</formula>
    </cfRule>
    <cfRule type="expression" dxfId="19219" priority="4155">
      <formula>$C12="Bills"</formula>
    </cfRule>
    <cfRule type="expression" dxfId="19218" priority="4156">
      <formula>$C12="Sales"</formula>
    </cfRule>
    <cfRule type="expression" dxfId="19217" priority="4157">
      <formula>$C12="Expences"</formula>
    </cfRule>
    <cfRule type="expression" dxfId="19216" priority="4158">
      <formula>$C12="Garlic Purchase"</formula>
    </cfRule>
    <cfRule type="expression" dxfId="19215" priority="4159">
      <formula>$C12="Ginger Purchase"</formula>
    </cfRule>
  </conditionalFormatting>
  <conditionalFormatting sqref="B12 B14 B17 B20 B23 B26">
    <cfRule type="expression" dxfId="19214" priority="4160">
      <formula>$C12="Advance"</formula>
    </cfRule>
  </conditionalFormatting>
  <conditionalFormatting sqref="B12 B14 B17 B20 B23 B26">
    <cfRule type="expression" dxfId="19213" priority="4141">
      <formula>$C12="Delivery charge"</formula>
    </cfRule>
    <cfRule type="expression" dxfId="19212" priority="4142">
      <formula>$C12="Staff Salary"</formula>
    </cfRule>
    <cfRule type="expression" dxfId="19211" priority="4143">
      <formula>$C12="Rent"</formula>
    </cfRule>
    <cfRule type="expression" dxfId="19210" priority="4144">
      <formula>$C12="Petrol"</formula>
    </cfRule>
    <cfRule type="expression" dxfId="19209" priority="4145">
      <formula>$C12="Bills"</formula>
    </cfRule>
    <cfRule type="expression" dxfId="19208" priority="4146">
      <formula>$C12="Sales"</formula>
    </cfRule>
    <cfRule type="expression" dxfId="19207" priority="4147">
      <formula>$C12="Expences"</formula>
    </cfRule>
    <cfRule type="expression" dxfId="19206" priority="4148">
      <formula>$C12="Garlic Purchase"</formula>
    </cfRule>
    <cfRule type="expression" dxfId="19205" priority="4149">
      <formula>$C12="Ginger Purchase"</formula>
    </cfRule>
  </conditionalFormatting>
  <conditionalFormatting sqref="B12 B14 B17 B20 B23 B26">
    <cfRule type="expression" dxfId="19204" priority="4150">
      <formula>$C12="Advance"</formula>
    </cfRule>
  </conditionalFormatting>
  <conditionalFormatting sqref="B12 B14 B17 B20 B23 B26">
    <cfRule type="expression" dxfId="19203" priority="4131">
      <formula>$C12="Delivery charge"</formula>
    </cfRule>
    <cfRule type="expression" dxfId="19202" priority="4132">
      <formula>$C12="Staff Salary"</formula>
    </cfRule>
    <cfRule type="expression" dxfId="19201" priority="4133">
      <formula>$C12="Rent"</formula>
    </cfRule>
    <cfRule type="expression" dxfId="19200" priority="4134">
      <formula>$C12="Petrol"</formula>
    </cfRule>
    <cfRule type="expression" dxfId="19199" priority="4135">
      <formula>$C12="Bills"</formula>
    </cfRule>
    <cfRule type="expression" dxfId="19198" priority="4136">
      <formula>$C12="Sales"</formula>
    </cfRule>
    <cfRule type="expression" dxfId="19197" priority="4137">
      <formula>$C12="Expences"</formula>
    </cfRule>
    <cfRule type="expression" dxfId="19196" priority="4138">
      <formula>$C12="Garlic Purchase"</formula>
    </cfRule>
    <cfRule type="expression" dxfId="19195" priority="4139">
      <formula>$C12="Ginger Purchase"</formula>
    </cfRule>
  </conditionalFormatting>
  <conditionalFormatting sqref="B12 B14 B17 B20 B23 B26">
    <cfRule type="expression" dxfId="19194" priority="4140">
      <formula>$C12="Advance"</formula>
    </cfRule>
  </conditionalFormatting>
  <conditionalFormatting sqref="A13:A20">
    <cfRule type="expression" dxfId="19193" priority="4130">
      <formula>$C13="Advance"</formula>
    </cfRule>
  </conditionalFormatting>
  <conditionalFormatting sqref="B14 B17 B20 B23 B26">
    <cfRule type="expression" dxfId="19192" priority="4120">
      <formula>$C14="Delivery charge"</formula>
    </cfRule>
    <cfRule type="expression" dxfId="19191" priority="4121">
      <formula>$C14="Staff Salary"</formula>
    </cfRule>
    <cfRule type="expression" dxfId="19190" priority="4122">
      <formula>$C14="Rent"</formula>
    </cfRule>
    <cfRule type="expression" dxfId="19189" priority="4123">
      <formula>$C14="Petrol"</formula>
    </cfRule>
    <cfRule type="expression" dxfId="19188" priority="4124">
      <formula>$C14="Bills"</formula>
    </cfRule>
    <cfRule type="expression" dxfId="19187" priority="4125">
      <formula>$C14="Sales"</formula>
    </cfRule>
    <cfRule type="expression" dxfId="19186" priority="4126">
      <formula>$C14="Expences"</formula>
    </cfRule>
    <cfRule type="expression" dxfId="19185" priority="4127">
      <formula>$C14="Garlic Purchase"</formula>
    </cfRule>
    <cfRule type="expression" dxfId="19184" priority="4128">
      <formula>$C14="Ginger Purchase"</formula>
    </cfRule>
  </conditionalFormatting>
  <conditionalFormatting sqref="B14 B17 B20 B23 B26">
    <cfRule type="expression" dxfId="19183" priority="4129">
      <formula>$C14="Advance"</formula>
    </cfRule>
  </conditionalFormatting>
  <conditionalFormatting sqref="B13 B15:B16 B18:B19">
    <cfRule type="expression" dxfId="19182" priority="4110">
      <formula>$C13="Delivery charge"</formula>
    </cfRule>
    <cfRule type="expression" dxfId="19181" priority="4111">
      <formula>$C13="Staff Salary"</formula>
    </cfRule>
    <cfRule type="expression" dxfId="19180" priority="4112">
      <formula>$C13="Rent"</formula>
    </cfRule>
    <cfRule type="expression" dxfId="19179" priority="4113">
      <formula>$C13="Petrol"</formula>
    </cfRule>
    <cfRule type="expression" dxfId="19178" priority="4114">
      <formula>$C13="Bills"</formula>
    </cfRule>
    <cfRule type="expression" dxfId="19177" priority="4115">
      <formula>$C13="Sales"</formula>
    </cfRule>
    <cfRule type="expression" dxfId="19176" priority="4116">
      <formula>$C13="Expences"</formula>
    </cfRule>
    <cfRule type="expression" dxfId="19175" priority="4117">
      <formula>$C13="Garlic Purchase"</formula>
    </cfRule>
    <cfRule type="expression" dxfId="19174" priority="4118">
      <formula>$C13="Ginger Purchase"</formula>
    </cfRule>
  </conditionalFormatting>
  <conditionalFormatting sqref="B13 B15:B16 B18:B19">
    <cfRule type="expression" dxfId="19173" priority="4100">
      <formula>$C13="Delivery charge"</formula>
    </cfRule>
    <cfRule type="expression" dxfId="19172" priority="4101">
      <formula>$C13="Staff Salary"</formula>
    </cfRule>
    <cfRule type="expression" dxfId="19171" priority="4102">
      <formula>$C13="Rent"</formula>
    </cfRule>
    <cfRule type="expression" dxfId="19170" priority="4103">
      <formula>$C13="Petrol"</formula>
    </cfRule>
    <cfRule type="expression" dxfId="19169" priority="4104">
      <formula>$C13="Bills"</formula>
    </cfRule>
    <cfRule type="expression" dxfId="19168" priority="4105">
      <formula>$C13="Sales"</formula>
    </cfRule>
    <cfRule type="expression" dxfId="19167" priority="4106">
      <formula>$C13="Expences"</formula>
    </cfRule>
    <cfRule type="expression" dxfId="19166" priority="4107">
      <formula>$C13="Garlic Purchase"</formula>
    </cfRule>
    <cfRule type="expression" dxfId="19165" priority="4108">
      <formula>$C13="Ginger Purchase"</formula>
    </cfRule>
  </conditionalFormatting>
  <conditionalFormatting sqref="B13 B15:B16 B18:B19">
    <cfRule type="expression" dxfId="19164" priority="4109">
      <formula>$C13="Advance"</formula>
    </cfRule>
  </conditionalFormatting>
  <conditionalFormatting sqref="B13 B15:B16 B18:B19">
    <cfRule type="expression" dxfId="19163" priority="4090">
      <formula>$C13="Delivery charge"</formula>
    </cfRule>
    <cfRule type="expression" dxfId="19162" priority="4091">
      <formula>$C13="Staff Salary"</formula>
    </cfRule>
    <cfRule type="expression" dxfId="19161" priority="4092">
      <formula>$C13="Rent"</formula>
    </cfRule>
    <cfRule type="expression" dxfId="19160" priority="4093">
      <formula>$C13="Petrol"</formula>
    </cfRule>
    <cfRule type="expression" dxfId="19159" priority="4094">
      <formula>$C13="Bills"</formula>
    </cfRule>
    <cfRule type="expression" dxfId="19158" priority="4095">
      <formula>$C13="Sales"</formula>
    </cfRule>
    <cfRule type="expression" dxfId="19157" priority="4096">
      <formula>$C13="Expences"</formula>
    </cfRule>
    <cfRule type="expression" dxfId="19156" priority="4097">
      <formula>$C13="Garlic Purchase"</formula>
    </cfRule>
    <cfRule type="expression" dxfId="19155" priority="4098">
      <formula>$C13="Ginger Purchase"</formula>
    </cfRule>
  </conditionalFormatting>
  <conditionalFormatting sqref="B13 B15:B16 B18:B19">
    <cfRule type="expression" dxfId="19154" priority="4099">
      <formula>$C13="Advance"</formula>
    </cfRule>
  </conditionalFormatting>
  <conditionalFormatting sqref="B13 B15:B16 B18:B19">
    <cfRule type="expression" dxfId="19153" priority="4080">
      <formula>$C13="Delivery charge"</formula>
    </cfRule>
    <cfRule type="expression" dxfId="19152" priority="4081">
      <formula>$C13="Staff Salary"</formula>
    </cfRule>
    <cfRule type="expression" dxfId="19151" priority="4082">
      <formula>$C13="Rent"</formula>
    </cfRule>
    <cfRule type="expression" dxfId="19150" priority="4083">
      <formula>$C13="Petrol"</formula>
    </cfRule>
    <cfRule type="expression" dxfId="19149" priority="4084">
      <formula>$C13="Bills"</formula>
    </cfRule>
    <cfRule type="expression" dxfId="19148" priority="4085">
      <formula>$C13="Sales"</formula>
    </cfRule>
    <cfRule type="expression" dxfId="19147" priority="4086">
      <formula>$C13="Expences"</formula>
    </cfRule>
    <cfRule type="expression" dxfId="19146" priority="4087">
      <formula>$C13="Garlic Purchase"</formula>
    </cfRule>
    <cfRule type="expression" dxfId="19145" priority="4088">
      <formula>$C13="Ginger Purchase"</formula>
    </cfRule>
  </conditionalFormatting>
  <conditionalFormatting sqref="B13 B15:B16 B18:B19">
    <cfRule type="expression" dxfId="19144" priority="4089">
      <formula>$C13="Advance"</formula>
    </cfRule>
  </conditionalFormatting>
  <conditionalFormatting sqref="B13 B16 B19">
    <cfRule type="expression" dxfId="19143" priority="4070">
      <formula>$C13="Delivery charge"</formula>
    </cfRule>
    <cfRule type="expression" dxfId="19142" priority="4071">
      <formula>$C13="Staff Salary"</formula>
    </cfRule>
    <cfRule type="expression" dxfId="19141" priority="4072">
      <formula>$C13="Rent"</formula>
    </cfRule>
    <cfRule type="expression" dxfId="19140" priority="4073">
      <formula>$C13="Petrol"</formula>
    </cfRule>
    <cfRule type="expression" dxfId="19139" priority="4074">
      <formula>$C13="Bills"</formula>
    </cfRule>
    <cfRule type="expression" dxfId="19138" priority="4075">
      <formula>$C13="Sales"</formula>
    </cfRule>
    <cfRule type="expression" dxfId="19137" priority="4076">
      <formula>$C13="Expences"</formula>
    </cfRule>
    <cfRule type="expression" dxfId="19136" priority="4077">
      <formula>$C13="Garlic Purchase"</formula>
    </cfRule>
    <cfRule type="expression" dxfId="19135" priority="4078">
      <formula>$C13="Ginger Purchase"</formula>
    </cfRule>
  </conditionalFormatting>
  <conditionalFormatting sqref="B13 B16 B19">
    <cfRule type="expression" dxfId="19134" priority="4079">
      <formula>$C13="Advance"</formula>
    </cfRule>
  </conditionalFormatting>
  <conditionalFormatting sqref="B14 B17 B20 B23 B26">
    <cfRule type="expression" dxfId="19133" priority="4060">
      <formula>$C14="Delivery charge"</formula>
    </cfRule>
    <cfRule type="expression" dxfId="19132" priority="4061">
      <formula>$C14="Staff Salary"</formula>
    </cfRule>
    <cfRule type="expression" dxfId="19131" priority="4062">
      <formula>$C14="Rent"</formula>
    </cfRule>
    <cfRule type="expression" dxfId="19130" priority="4063">
      <formula>$C14="Petrol"</formula>
    </cfRule>
    <cfRule type="expression" dxfId="19129" priority="4064">
      <formula>$C14="Bills"</formula>
    </cfRule>
    <cfRule type="expression" dxfId="19128" priority="4065">
      <formula>$C14="Sales"</formula>
    </cfRule>
    <cfRule type="expression" dxfId="19127" priority="4066">
      <formula>$C14="Expences"</formula>
    </cfRule>
    <cfRule type="expression" dxfId="19126" priority="4067">
      <formula>$C14="Garlic Purchase"</formula>
    </cfRule>
    <cfRule type="expression" dxfId="19125" priority="4068">
      <formula>$C14="Ginger Purchase"</formula>
    </cfRule>
  </conditionalFormatting>
  <conditionalFormatting sqref="B14 B17 B20 B23 B26">
    <cfRule type="expression" dxfId="19124" priority="4069">
      <formula>$C14="Advance"</formula>
    </cfRule>
  </conditionalFormatting>
  <conditionalFormatting sqref="B14 B17 B20 B23 B26">
    <cfRule type="expression" dxfId="19123" priority="4050">
      <formula>$C14="Delivery charge"</formula>
    </cfRule>
    <cfRule type="expression" dxfId="19122" priority="4051">
      <formula>$C14="Staff Salary"</formula>
    </cfRule>
    <cfRule type="expression" dxfId="19121" priority="4052">
      <formula>$C14="Rent"</formula>
    </cfRule>
    <cfRule type="expression" dxfId="19120" priority="4053">
      <formula>$C14="Petrol"</formula>
    </cfRule>
    <cfRule type="expression" dxfId="19119" priority="4054">
      <formula>$C14="Bills"</formula>
    </cfRule>
    <cfRule type="expression" dxfId="19118" priority="4055">
      <formula>$C14="Sales"</formula>
    </cfRule>
    <cfRule type="expression" dxfId="19117" priority="4056">
      <formula>$C14="Expences"</formula>
    </cfRule>
    <cfRule type="expression" dxfId="19116" priority="4057">
      <formula>$C14="Garlic Purchase"</formula>
    </cfRule>
    <cfRule type="expression" dxfId="19115" priority="4058">
      <formula>$C14="Ginger Purchase"</formula>
    </cfRule>
  </conditionalFormatting>
  <conditionalFormatting sqref="B14 B17 B20 B23 B26">
    <cfRule type="expression" dxfId="19114" priority="4059">
      <formula>$C14="Advance"</formula>
    </cfRule>
  </conditionalFormatting>
  <conditionalFormatting sqref="B14 B17 B20 B23 B26">
    <cfRule type="expression" dxfId="19113" priority="4040">
      <formula>$C14="Delivery charge"</formula>
    </cfRule>
    <cfRule type="expression" dxfId="19112" priority="4041">
      <formula>$C14="Staff Salary"</formula>
    </cfRule>
    <cfRule type="expression" dxfId="19111" priority="4042">
      <formula>$C14="Rent"</formula>
    </cfRule>
    <cfRule type="expression" dxfId="19110" priority="4043">
      <formula>$C14="Petrol"</formula>
    </cfRule>
    <cfRule type="expression" dxfId="19109" priority="4044">
      <formula>$C14="Bills"</formula>
    </cfRule>
    <cfRule type="expression" dxfId="19108" priority="4045">
      <formula>$C14="Sales"</formula>
    </cfRule>
    <cfRule type="expression" dxfId="19107" priority="4046">
      <formula>$C14="Expences"</formula>
    </cfRule>
    <cfRule type="expression" dxfId="19106" priority="4047">
      <formula>$C14="Garlic Purchase"</formula>
    </cfRule>
    <cfRule type="expression" dxfId="19105" priority="4048">
      <formula>$C14="Ginger Purchase"</formula>
    </cfRule>
  </conditionalFormatting>
  <conditionalFormatting sqref="B14 B17 B20 B23 B26">
    <cfRule type="expression" dxfId="19104" priority="4049">
      <formula>$C14="Advance"</formula>
    </cfRule>
  </conditionalFormatting>
  <conditionalFormatting sqref="B14 B17 B20 B23 B26">
    <cfRule type="expression" dxfId="19103" priority="4030">
      <formula>$C14="Delivery charge"</formula>
    </cfRule>
    <cfRule type="expression" dxfId="19102" priority="4031">
      <formula>$C14="Staff Salary"</formula>
    </cfRule>
    <cfRule type="expression" dxfId="19101" priority="4032">
      <formula>$C14="Rent"</formula>
    </cfRule>
    <cfRule type="expression" dxfId="19100" priority="4033">
      <formula>$C14="Petrol"</formula>
    </cfRule>
    <cfRule type="expression" dxfId="19099" priority="4034">
      <formula>$C14="Bills"</formula>
    </cfRule>
    <cfRule type="expression" dxfId="19098" priority="4035">
      <formula>$C14="Sales"</formula>
    </cfRule>
    <cfRule type="expression" dxfId="19097" priority="4036">
      <formula>$C14="Expences"</formula>
    </cfRule>
    <cfRule type="expression" dxfId="19096" priority="4037">
      <formula>$C14="Garlic Purchase"</formula>
    </cfRule>
    <cfRule type="expression" dxfId="19095" priority="4038">
      <formula>$C14="Ginger Purchase"</formula>
    </cfRule>
  </conditionalFormatting>
  <conditionalFormatting sqref="B14 B17 B20 B23 B26">
    <cfRule type="expression" dxfId="19094" priority="4039">
      <formula>$C14="Advance"</formula>
    </cfRule>
  </conditionalFormatting>
  <conditionalFormatting sqref="B13 B15:B16 B18:B19">
    <cfRule type="expression" dxfId="19093" priority="4020">
      <formula>$C13="Delivery charge"</formula>
    </cfRule>
    <cfRule type="expression" dxfId="19092" priority="4021">
      <formula>$C13="Staff Salary"</formula>
    </cfRule>
    <cfRule type="expression" dxfId="19091" priority="4022">
      <formula>$C13="Rent"</formula>
    </cfRule>
    <cfRule type="expression" dxfId="19090" priority="4023">
      <formula>$C13="Petrol"</formula>
    </cfRule>
    <cfRule type="expression" dxfId="19089" priority="4024">
      <formula>$C13="Bills"</formula>
    </cfRule>
    <cfRule type="expression" dxfId="19088" priority="4025">
      <formula>$C13="Sales"</formula>
    </cfRule>
    <cfRule type="expression" dxfId="19087" priority="4026">
      <formula>$C13="Expences"</formula>
    </cfRule>
    <cfRule type="expression" dxfId="19086" priority="4027">
      <formula>$C13="Garlic Purchase"</formula>
    </cfRule>
    <cfRule type="expression" dxfId="19085" priority="4028">
      <formula>$C13="Ginger Purchase"</formula>
    </cfRule>
  </conditionalFormatting>
  <conditionalFormatting sqref="B13 B15:B16 B18:B19">
    <cfRule type="expression" dxfId="19084" priority="4029">
      <formula>$C13="Advance"</formula>
    </cfRule>
  </conditionalFormatting>
  <conditionalFormatting sqref="B14 B17 B20 B23 B26">
    <cfRule type="expression" dxfId="19083" priority="4010">
      <formula>$C14="Delivery charge"</formula>
    </cfRule>
    <cfRule type="expression" dxfId="19082" priority="4011">
      <formula>$C14="Staff Salary"</formula>
    </cfRule>
    <cfRule type="expression" dxfId="19081" priority="4012">
      <formula>$C14="Rent"</formula>
    </cfRule>
    <cfRule type="expression" dxfId="19080" priority="4013">
      <formula>$C14="Petrol"</formula>
    </cfRule>
    <cfRule type="expression" dxfId="19079" priority="4014">
      <formula>$C14="Bills"</formula>
    </cfRule>
    <cfRule type="expression" dxfId="19078" priority="4015">
      <formula>$C14="Sales"</formula>
    </cfRule>
    <cfRule type="expression" dxfId="19077" priority="4016">
      <formula>$C14="Expences"</formula>
    </cfRule>
    <cfRule type="expression" dxfId="19076" priority="4017">
      <formula>$C14="Garlic Purchase"</formula>
    </cfRule>
    <cfRule type="expression" dxfId="19075" priority="4018">
      <formula>$C14="Ginger Purchase"</formula>
    </cfRule>
  </conditionalFormatting>
  <conditionalFormatting sqref="B14 B17 B20 B23 B26">
    <cfRule type="expression" dxfId="19074" priority="4019">
      <formula>$C14="Advance"</formula>
    </cfRule>
  </conditionalFormatting>
  <conditionalFormatting sqref="B14 B17 B20 B23 B26">
    <cfRule type="expression" dxfId="19073" priority="4000">
      <formula>$C14="Delivery charge"</formula>
    </cfRule>
    <cfRule type="expression" dxfId="19072" priority="4001">
      <formula>$C14="Staff Salary"</formula>
    </cfRule>
    <cfRule type="expression" dxfId="19071" priority="4002">
      <formula>$C14="Rent"</formula>
    </cfRule>
    <cfRule type="expression" dxfId="19070" priority="4003">
      <formula>$C14="Petrol"</formula>
    </cfRule>
    <cfRule type="expression" dxfId="19069" priority="4004">
      <formula>$C14="Bills"</formula>
    </cfRule>
    <cfRule type="expression" dxfId="19068" priority="4005">
      <formula>$C14="Sales"</formula>
    </cfRule>
    <cfRule type="expression" dxfId="19067" priority="4006">
      <formula>$C14="Expences"</formula>
    </cfRule>
    <cfRule type="expression" dxfId="19066" priority="4007">
      <formula>$C14="Garlic Purchase"</formula>
    </cfRule>
    <cfRule type="expression" dxfId="19065" priority="4008">
      <formula>$C14="Ginger Purchase"</formula>
    </cfRule>
  </conditionalFormatting>
  <conditionalFormatting sqref="B14 B17 B20 B23 B26">
    <cfRule type="expression" dxfId="19064" priority="4009">
      <formula>$C14="Advance"</formula>
    </cfRule>
  </conditionalFormatting>
  <conditionalFormatting sqref="B14 B17 B20 B23 B26">
    <cfRule type="expression" dxfId="19063" priority="3990">
      <formula>$C14="Delivery charge"</formula>
    </cfRule>
    <cfRule type="expression" dxfId="19062" priority="3991">
      <formula>$C14="Staff Salary"</formula>
    </cfRule>
    <cfRule type="expression" dxfId="19061" priority="3992">
      <formula>$C14="Rent"</formula>
    </cfRule>
    <cfRule type="expression" dxfId="19060" priority="3993">
      <formula>$C14="Petrol"</formula>
    </cfRule>
    <cfRule type="expression" dxfId="19059" priority="3994">
      <formula>$C14="Bills"</formula>
    </cfRule>
    <cfRule type="expression" dxfId="19058" priority="3995">
      <formula>$C14="Sales"</formula>
    </cfRule>
    <cfRule type="expression" dxfId="19057" priority="3996">
      <formula>$C14="Expences"</formula>
    </cfRule>
    <cfRule type="expression" dxfId="19056" priority="3997">
      <formula>$C14="Garlic Purchase"</formula>
    </cfRule>
    <cfRule type="expression" dxfId="19055" priority="3998">
      <formula>$C14="Ginger Purchase"</formula>
    </cfRule>
  </conditionalFormatting>
  <conditionalFormatting sqref="B14 B17 B20 B23 B26">
    <cfRule type="expression" dxfId="19054" priority="3999">
      <formula>$C14="Advance"</formula>
    </cfRule>
  </conditionalFormatting>
  <conditionalFormatting sqref="B14 B17 B20 B23 B26">
    <cfRule type="expression" dxfId="19053" priority="3980">
      <formula>$C14="Delivery charge"</formula>
    </cfRule>
    <cfRule type="expression" dxfId="19052" priority="3981">
      <formula>$C14="Staff Salary"</formula>
    </cfRule>
    <cfRule type="expression" dxfId="19051" priority="3982">
      <formula>$C14="Rent"</formula>
    </cfRule>
    <cfRule type="expression" dxfId="19050" priority="3983">
      <formula>$C14="Petrol"</formula>
    </cfRule>
    <cfRule type="expression" dxfId="19049" priority="3984">
      <formula>$C14="Bills"</formula>
    </cfRule>
    <cfRule type="expression" dxfId="19048" priority="3985">
      <formula>$C14="Sales"</formula>
    </cfRule>
    <cfRule type="expression" dxfId="19047" priority="3986">
      <formula>$C14="Expences"</formula>
    </cfRule>
    <cfRule type="expression" dxfId="19046" priority="3987">
      <formula>$C14="Garlic Purchase"</formula>
    </cfRule>
    <cfRule type="expression" dxfId="19045" priority="3988">
      <formula>$C14="Ginger Purchase"</formula>
    </cfRule>
  </conditionalFormatting>
  <conditionalFormatting sqref="B14 B17 B20 B23 B26">
    <cfRule type="expression" dxfId="19044" priority="3989">
      <formula>$C14="Advance"</formula>
    </cfRule>
  </conditionalFormatting>
  <conditionalFormatting sqref="B14 B17 B20 B23 B26">
    <cfRule type="expression" dxfId="19043" priority="3970">
      <formula>$C14="Delivery charge"</formula>
    </cfRule>
    <cfRule type="expression" dxfId="19042" priority="3971">
      <formula>$C14="Staff Salary"</formula>
    </cfRule>
    <cfRule type="expression" dxfId="19041" priority="3972">
      <formula>$C14="Rent"</formula>
    </cfRule>
    <cfRule type="expression" dxfId="19040" priority="3973">
      <formula>$C14="Petrol"</formula>
    </cfRule>
    <cfRule type="expression" dxfId="19039" priority="3974">
      <formula>$C14="Bills"</formula>
    </cfRule>
    <cfRule type="expression" dxfId="19038" priority="3975">
      <formula>$C14="Sales"</formula>
    </cfRule>
    <cfRule type="expression" dxfId="19037" priority="3976">
      <formula>$C14="Expences"</formula>
    </cfRule>
    <cfRule type="expression" dxfId="19036" priority="3977">
      <formula>$C14="Garlic Purchase"</formula>
    </cfRule>
    <cfRule type="expression" dxfId="19035" priority="3978">
      <formula>$C14="Ginger Purchase"</formula>
    </cfRule>
  </conditionalFormatting>
  <conditionalFormatting sqref="B14 B17 B20 B23 B26">
    <cfRule type="expression" dxfId="19034" priority="3979">
      <formula>$C14="Advance"</formula>
    </cfRule>
  </conditionalFormatting>
  <conditionalFormatting sqref="B13 B15:B16 B18:B19">
    <cfRule type="expression" dxfId="19033" priority="3960">
      <formula>$C13="Delivery charge"</formula>
    </cfRule>
    <cfRule type="expression" dxfId="19032" priority="3961">
      <formula>$C13="Staff Salary"</formula>
    </cfRule>
    <cfRule type="expression" dxfId="19031" priority="3962">
      <formula>$C13="Rent"</formula>
    </cfRule>
    <cfRule type="expression" dxfId="19030" priority="3963">
      <formula>$C13="Petrol"</formula>
    </cfRule>
    <cfRule type="expression" dxfId="19029" priority="3964">
      <formula>$C13="Bills"</formula>
    </cfRule>
    <cfRule type="expression" dxfId="19028" priority="3965">
      <formula>$C13="Sales"</formula>
    </cfRule>
    <cfRule type="expression" dxfId="19027" priority="3966">
      <formula>$C13="Expences"</formula>
    </cfRule>
    <cfRule type="expression" dxfId="19026" priority="3967">
      <formula>$C13="Garlic Purchase"</formula>
    </cfRule>
    <cfRule type="expression" dxfId="19025" priority="3968">
      <formula>$C13="Ginger Purchase"</formula>
    </cfRule>
  </conditionalFormatting>
  <conditionalFormatting sqref="B13 B15:B16 B18:B19">
    <cfRule type="expression" dxfId="19024" priority="3969">
      <formula>$C13="Advance"</formula>
    </cfRule>
  </conditionalFormatting>
  <conditionalFormatting sqref="B13 B15:B16 B18:B19">
    <cfRule type="expression" dxfId="19023" priority="3950">
      <formula>$C13="Delivery charge"</formula>
    </cfRule>
    <cfRule type="expression" dxfId="19022" priority="3951">
      <formula>$C13="Staff Salary"</formula>
    </cfRule>
    <cfRule type="expression" dxfId="19021" priority="3952">
      <formula>$C13="Rent"</formula>
    </cfRule>
    <cfRule type="expression" dxfId="19020" priority="3953">
      <formula>$C13="Petrol"</formula>
    </cfRule>
    <cfRule type="expression" dxfId="19019" priority="3954">
      <formula>$C13="Bills"</formula>
    </cfRule>
    <cfRule type="expression" dxfId="19018" priority="3955">
      <formula>$C13="Sales"</formula>
    </cfRule>
    <cfRule type="expression" dxfId="19017" priority="3956">
      <formula>$C13="Expences"</formula>
    </cfRule>
    <cfRule type="expression" dxfId="19016" priority="3957">
      <formula>$C13="Garlic Purchase"</formula>
    </cfRule>
    <cfRule type="expression" dxfId="19015" priority="3958">
      <formula>$C13="Ginger Purchase"</formula>
    </cfRule>
  </conditionalFormatting>
  <conditionalFormatting sqref="B13 B15:B16 B18:B19">
    <cfRule type="expression" dxfId="19014" priority="3959">
      <formula>$C13="Advance"</formula>
    </cfRule>
  </conditionalFormatting>
  <conditionalFormatting sqref="B13 B15:B16 B18:B19">
    <cfRule type="expression" dxfId="19013" priority="3940">
      <formula>$C13="Delivery charge"</formula>
    </cfRule>
    <cfRule type="expression" dxfId="19012" priority="3941">
      <formula>$C13="Staff Salary"</formula>
    </cfRule>
    <cfRule type="expression" dxfId="19011" priority="3942">
      <formula>$C13="Rent"</formula>
    </cfRule>
    <cfRule type="expression" dxfId="19010" priority="3943">
      <formula>$C13="Petrol"</formula>
    </cfRule>
    <cfRule type="expression" dxfId="19009" priority="3944">
      <formula>$C13="Bills"</formula>
    </cfRule>
    <cfRule type="expression" dxfId="19008" priority="3945">
      <formula>$C13="Sales"</formula>
    </cfRule>
    <cfRule type="expression" dxfId="19007" priority="3946">
      <formula>$C13="Expences"</formula>
    </cfRule>
    <cfRule type="expression" dxfId="19006" priority="3947">
      <formula>$C13="Garlic Purchase"</formula>
    </cfRule>
    <cfRule type="expression" dxfId="19005" priority="3948">
      <formula>$C13="Ginger Purchase"</formula>
    </cfRule>
  </conditionalFormatting>
  <conditionalFormatting sqref="B13 B15:B16 B18:B19">
    <cfRule type="expression" dxfId="19004" priority="3949">
      <formula>$C13="Advance"</formula>
    </cfRule>
  </conditionalFormatting>
  <conditionalFormatting sqref="B13 B15:B16 B18:B19">
    <cfRule type="expression" dxfId="19003" priority="3930">
      <formula>$C13="Delivery charge"</formula>
    </cfRule>
    <cfRule type="expression" dxfId="19002" priority="3931">
      <formula>$C13="Staff Salary"</formula>
    </cfRule>
    <cfRule type="expression" dxfId="19001" priority="3932">
      <formula>$C13="Rent"</formula>
    </cfRule>
    <cfRule type="expression" dxfId="19000" priority="3933">
      <formula>$C13="Petrol"</formula>
    </cfRule>
    <cfRule type="expression" dxfId="18999" priority="3934">
      <formula>$C13="Bills"</formula>
    </cfRule>
    <cfRule type="expression" dxfId="18998" priority="3935">
      <formula>$C13="Sales"</formula>
    </cfRule>
    <cfRule type="expression" dxfId="18997" priority="3936">
      <formula>$C13="Expences"</formula>
    </cfRule>
    <cfRule type="expression" dxfId="18996" priority="3937">
      <formula>$C13="Garlic Purchase"</formula>
    </cfRule>
    <cfRule type="expression" dxfId="18995" priority="3938">
      <formula>$C13="Ginger Purchase"</formula>
    </cfRule>
  </conditionalFormatting>
  <conditionalFormatting sqref="B13 B15:B16 B18:B19">
    <cfRule type="expression" dxfId="18994" priority="3939">
      <formula>$C13="Advance"</formula>
    </cfRule>
  </conditionalFormatting>
  <conditionalFormatting sqref="B21 B24 B26:B28 B30 B32 B34">
    <cfRule type="expression" dxfId="18993" priority="3929">
      <formula>$C21="Advance"</formula>
    </cfRule>
  </conditionalFormatting>
  <conditionalFormatting sqref="B21 B24 B26:B28 B30 B32 B34">
    <cfRule type="expression" dxfId="18992" priority="3920">
      <formula>$C21="Delivery charge"</formula>
    </cfRule>
    <cfRule type="expression" dxfId="18991" priority="3921">
      <formula>$C21="Staff Salary"</formula>
    </cfRule>
    <cfRule type="expression" dxfId="18990" priority="3922">
      <formula>$C21="Rent"</formula>
    </cfRule>
    <cfRule type="expression" dxfId="18989" priority="3923">
      <formula>$C21="Petrol"</formula>
    </cfRule>
    <cfRule type="expression" dxfId="18988" priority="3924">
      <formula>$C21="Bills"</formula>
    </cfRule>
    <cfRule type="expression" dxfId="18987" priority="3925">
      <formula>$C21="Sales"</formula>
    </cfRule>
    <cfRule type="expression" dxfId="18986" priority="3926">
      <formula>$C21="Expences"</formula>
    </cfRule>
    <cfRule type="expression" dxfId="18985" priority="3927">
      <formula>$C21="Garlic Purchase"</formula>
    </cfRule>
    <cfRule type="expression" dxfId="18984" priority="3928">
      <formula>$C21="Ginger Purchase"</formula>
    </cfRule>
  </conditionalFormatting>
  <conditionalFormatting sqref="B22 B25 B27:B29 B31 B33 B35">
    <cfRule type="expression" dxfId="18983" priority="3900">
      <formula>$C22="Delivery charge"</formula>
    </cfRule>
    <cfRule type="expression" dxfId="18982" priority="3901">
      <formula>$C22="Staff Salary"</formula>
    </cfRule>
    <cfRule type="expression" dxfId="18981" priority="3902">
      <formula>$C22="Rent"</formula>
    </cfRule>
    <cfRule type="expression" dxfId="18980" priority="3903">
      <formula>$C22="Petrol"</formula>
    </cfRule>
    <cfRule type="expression" dxfId="18979" priority="3904">
      <formula>$C22="Bills"</formula>
    </cfRule>
    <cfRule type="expression" dxfId="18978" priority="3905">
      <formula>$C22="Sales"</formula>
    </cfRule>
    <cfRule type="expression" dxfId="18977" priority="3906">
      <formula>$C22="Expences"</formula>
    </cfRule>
    <cfRule type="expression" dxfId="18976" priority="3907">
      <formula>$C22="Garlic Purchase"</formula>
    </cfRule>
    <cfRule type="expression" dxfId="18975" priority="3908">
      <formula>$C22="Ginger Purchase"</formula>
    </cfRule>
  </conditionalFormatting>
  <conditionalFormatting sqref="B22 B25 B27:B29 B31 B33 B35">
    <cfRule type="expression" dxfId="18974" priority="3909">
      <formula>$C22="Advance"</formula>
    </cfRule>
  </conditionalFormatting>
  <conditionalFormatting sqref="B22 B25 B27:B29 B31 B33 B35">
    <cfRule type="expression" dxfId="18973" priority="3890">
      <formula>$C22="Delivery charge"</formula>
    </cfRule>
    <cfRule type="expression" dxfId="18972" priority="3891">
      <formula>$C22="Staff Salary"</formula>
    </cfRule>
    <cfRule type="expression" dxfId="18971" priority="3892">
      <formula>$C22="Rent"</formula>
    </cfRule>
    <cfRule type="expression" dxfId="18970" priority="3893">
      <formula>$C22="Petrol"</formula>
    </cfRule>
    <cfRule type="expression" dxfId="18969" priority="3894">
      <formula>$C22="Bills"</formula>
    </cfRule>
    <cfRule type="expression" dxfId="18968" priority="3895">
      <formula>$C22="Sales"</formula>
    </cfRule>
    <cfRule type="expression" dxfId="18967" priority="3896">
      <formula>$C22="Expences"</formula>
    </cfRule>
    <cfRule type="expression" dxfId="18966" priority="3897">
      <formula>$C22="Garlic Purchase"</formula>
    </cfRule>
    <cfRule type="expression" dxfId="18965" priority="3898">
      <formula>$C22="Ginger Purchase"</formula>
    </cfRule>
  </conditionalFormatting>
  <conditionalFormatting sqref="B22 B25 B27:B29 B31 B33 B35">
    <cfRule type="expression" dxfId="18964" priority="3899">
      <formula>$C22="Advance"</formula>
    </cfRule>
  </conditionalFormatting>
  <conditionalFormatting sqref="B22 B25 B27:B29 B31 B33 B35">
    <cfRule type="expression" dxfId="18963" priority="3880">
      <formula>$C22="Delivery charge"</formula>
    </cfRule>
    <cfRule type="expression" dxfId="18962" priority="3881">
      <formula>$C22="Staff Salary"</formula>
    </cfRule>
    <cfRule type="expression" dxfId="18961" priority="3882">
      <formula>$C22="Rent"</formula>
    </cfRule>
    <cfRule type="expression" dxfId="18960" priority="3883">
      <formula>$C22="Petrol"</formula>
    </cfRule>
    <cfRule type="expression" dxfId="18959" priority="3884">
      <formula>$C22="Bills"</formula>
    </cfRule>
    <cfRule type="expression" dxfId="18958" priority="3885">
      <formula>$C22="Sales"</formula>
    </cfRule>
    <cfRule type="expression" dxfId="18957" priority="3886">
      <formula>$C22="Expences"</formula>
    </cfRule>
    <cfRule type="expression" dxfId="18956" priority="3887">
      <formula>$C22="Garlic Purchase"</formula>
    </cfRule>
    <cfRule type="expression" dxfId="18955" priority="3888">
      <formula>$C22="Ginger Purchase"</formula>
    </cfRule>
  </conditionalFormatting>
  <conditionalFormatting sqref="B22 B25 B27:B29 B31 B33 B35">
    <cfRule type="expression" dxfId="18954" priority="3889">
      <formula>$C22="Advance"</formula>
    </cfRule>
  </conditionalFormatting>
  <conditionalFormatting sqref="B22 B25 B27:B29 B31 B33 B35">
    <cfRule type="expression" dxfId="18953" priority="3870">
      <formula>$C22="Delivery charge"</formula>
    </cfRule>
    <cfRule type="expression" dxfId="18952" priority="3871">
      <formula>$C22="Staff Salary"</formula>
    </cfRule>
    <cfRule type="expression" dxfId="18951" priority="3872">
      <formula>$C22="Rent"</formula>
    </cfRule>
    <cfRule type="expression" dxfId="18950" priority="3873">
      <formula>$C22="Petrol"</formula>
    </cfRule>
    <cfRule type="expression" dxfId="18949" priority="3874">
      <formula>$C22="Bills"</formula>
    </cfRule>
    <cfRule type="expression" dxfId="18948" priority="3875">
      <formula>$C22="Sales"</formula>
    </cfRule>
    <cfRule type="expression" dxfId="18947" priority="3876">
      <formula>$C22="Expences"</formula>
    </cfRule>
    <cfRule type="expression" dxfId="18946" priority="3877">
      <formula>$C22="Garlic Purchase"</formula>
    </cfRule>
    <cfRule type="expression" dxfId="18945" priority="3878">
      <formula>$C22="Ginger Purchase"</formula>
    </cfRule>
  </conditionalFormatting>
  <conditionalFormatting sqref="B22 B25 B27:B29 B31 B33 B35">
    <cfRule type="expression" dxfId="18944" priority="3879">
      <formula>$C22="Advance"</formula>
    </cfRule>
  </conditionalFormatting>
  <conditionalFormatting sqref="B22 B25 B27:B29 B31 B33 B35">
    <cfRule type="expression" dxfId="18943" priority="3860">
      <formula>$C22="Delivery charge"</formula>
    </cfRule>
    <cfRule type="expression" dxfId="18942" priority="3861">
      <formula>$C22="Staff Salary"</formula>
    </cfRule>
    <cfRule type="expression" dxfId="18941" priority="3862">
      <formula>$C22="Rent"</formula>
    </cfRule>
    <cfRule type="expression" dxfId="18940" priority="3863">
      <formula>$C22="Petrol"</formula>
    </cfRule>
    <cfRule type="expression" dxfId="18939" priority="3864">
      <formula>$C22="Bills"</formula>
    </cfRule>
    <cfRule type="expression" dxfId="18938" priority="3865">
      <formula>$C22="Sales"</formula>
    </cfRule>
    <cfRule type="expression" dxfId="18937" priority="3866">
      <formula>$C22="Expences"</formula>
    </cfRule>
    <cfRule type="expression" dxfId="18936" priority="3867">
      <formula>$C22="Garlic Purchase"</formula>
    </cfRule>
    <cfRule type="expression" dxfId="18935" priority="3868">
      <formula>$C22="Ginger Purchase"</formula>
    </cfRule>
  </conditionalFormatting>
  <conditionalFormatting sqref="B22 B25 B27:B29 B31 B33 B35">
    <cfRule type="expression" dxfId="18934" priority="3869">
      <formula>$C22="Advance"</formula>
    </cfRule>
  </conditionalFormatting>
  <conditionalFormatting sqref="B22 B25 B27:B29 B31 B33 B35">
    <cfRule type="expression" dxfId="18933" priority="3850">
      <formula>$C22="Delivery charge"</formula>
    </cfRule>
    <cfRule type="expression" dxfId="18932" priority="3851">
      <formula>$C22="Staff Salary"</formula>
    </cfRule>
    <cfRule type="expression" dxfId="18931" priority="3852">
      <formula>$C22="Rent"</formula>
    </cfRule>
    <cfRule type="expression" dxfId="18930" priority="3853">
      <formula>$C22="Petrol"</formula>
    </cfRule>
    <cfRule type="expression" dxfId="18929" priority="3854">
      <formula>$C22="Bills"</formula>
    </cfRule>
    <cfRule type="expression" dxfId="18928" priority="3855">
      <formula>$C22="Sales"</formula>
    </cfRule>
    <cfRule type="expression" dxfId="18927" priority="3856">
      <formula>$C22="Expences"</formula>
    </cfRule>
    <cfRule type="expression" dxfId="18926" priority="3857">
      <formula>$C22="Garlic Purchase"</formula>
    </cfRule>
    <cfRule type="expression" dxfId="18925" priority="3858">
      <formula>$C22="Ginger Purchase"</formula>
    </cfRule>
  </conditionalFormatting>
  <conditionalFormatting sqref="B22 B25 B27:B29 B31 B33 B35">
    <cfRule type="expression" dxfId="18924" priority="3859">
      <formula>$C22="Advance"</formula>
    </cfRule>
  </conditionalFormatting>
  <conditionalFormatting sqref="B22 B25 B27:B29 B31 B33 B35">
    <cfRule type="expression" dxfId="18923" priority="3840">
      <formula>$C22="Delivery charge"</formula>
    </cfRule>
    <cfRule type="expression" dxfId="18922" priority="3841">
      <formula>$C22="Staff Salary"</formula>
    </cfRule>
    <cfRule type="expression" dxfId="18921" priority="3842">
      <formula>$C22="Rent"</formula>
    </cfRule>
    <cfRule type="expression" dxfId="18920" priority="3843">
      <formula>$C22="Petrol"</formula>
    </cfRule>
    <cfRule type="expression" dxfId="18919" priority="3844">
      <formula>$C22="Bills"</formula>
    </cfRule>
    <cfRule type="expression" dxfId="18918" priority="3845">
      <formula>$C22="Sales"</formula>
    </cfRule>
    <cfRule type="expression" dxfId="18917" priority="3846">
      <formula>$C22="Expences"</formula>
    </cfRule>
    <cfRule type="expression" dxfId="18916" priority="3847">
      <formula>$C22="Garlic Purchase"</formula>
    </cfRule>
    <cfRule type="expression" dxfId="18915" priority="3848">
      <formula>$C22="Ginger Purchase"</formula>
    </cfRule>
  </conditionalFormatting>
  <conditionalFormatting sqref="B22 B25 B27:B29 B31 B33 B35">
    <cfRule type="expression" dxfId="18914" priority="3849">
      <formula>$C22="Advance"</formula>
    </cfRule>
  </conditionalFormatting>
  <conditionalFormatting sqref="B22 B25 B27:B29 B31 B33 B35">
    <cfRule type="expression" dxfId="18913" priority="3830">
      <formula>$C22="Delivery charge"</formula>
    </cfRule>
    <cfRule type="expression" dxfId="18912" priority="3831">
      <formula>$C22="Staff Salary"</formula>
    </cfRule>
    <cfRule type="expression" dxfId="18911" priority="3832">
      <formula>$C22="Rent"</formula>
    </cfRule>
    <cfRule type="expression" dxfId="18910" priority="3833">
      <formula>$C22="Petrol"</formula>
    </cfRule>
    <cfRule type="expression" dxfId="18909" priority="3834">
      <formula>$C22="Bills"</formula>
    </cfRule>
    <cfRule type="expression" dxfId="18908" priority="3835">
      <formula>$C22="Sales"</formula>
    </cfRule>
    <cfRule type="expression" dxfId="18907" priority="3836">
      <formula>$C22="Expences"</formula>
    </cfRule>
    <cfRule type="expression" dxfId="18906" priority="3837">
      <formula>$C22="Garlic Purchase"</formula>
    </cfRule>
    <cfRule type="expression" dxfId="18905" priority="3838">
      <formula>$C22="Ginger Purchase"</formula>
    </cfRule>
  </conditionalFormatting>
  <conditionalFormatting sqref="B22 B25 B27:B29 B31 B33 B35">
    <cfRule type="expression" dxfId="18904" priority="3839">
      <formula>$C22="Advance"</formula>
    </cfRule>
  </conditionalFormatting>
  <conditionalFormatting sqref="B22 B25 B27:B29 B31 B33 B35">
    <cfRule type="expression" dxfId="18903" priority="3820">
      <formula>$C22="Delivery charge"</formula>
    </cfRule>
    <cfRule type="expression" dxfId="18902" priority="3821">
      <formula>$C22="Staff Salary"</formula>
    </cfRule>
    <cfRule type="expression" dxfId="18901" priority="3822">
      <formula>$C22="Rent"</formula>
    </cfRule>
    <cfRule type="expression" dxfId="18900" priority="3823">
      <formula>$C22="Petrol"</formula>
    </cfRule>
    <cfRule type="expression" dxfId="18899" priority="3824">
      <formula>$C22="Bills"</formula>
    </cfRule>
    <cfRule type="expression" dxfId="18898" priority="3825">
      <formula>$C22="Sales"</formula>
    </cfRule>
    <cfRule type="expression" dxfId="18897" priority="3826">
      <formula>$C22="Expences"</formula>
    </cfRule>
    <cfRule type="expression" dxfId="18896" priority="3827">
      <formula>$C22="Garlic Purchase"</formula>
    </cfRule>
    <cfRule type="expression" dxfId="18895" priority="3828">
      <formula>$C22="Ginger Purchase"</formula>
    </cfRule>
  </conditionalFormatting>
  <conditionalFormatting sqref="B22 B25 B27:B29 B31 B33 B35">
    <cfRule type="expression" dxfId="18894" priority="3829">
      <formula>$C22="Advance"</formula>
    </cfRule>
  </conditionalFormatting>
  <conditionalFormatting sqref="B22 B25 B27:B29 B31 B33 B35">
    <cfRule type="expression" dxfId="18893" priority="3810">
      <formula>$C22="Delivery charge"</formula>
    </cfRule>
    <cfRule type="expression" dxfId="18892" priority="3811">
      <formula>$C22="Staff Salary"</formula>
    </cfRule>
    <cfRule type="expression" dxfId="18891" priority="3812">
      <formula>$C22="Rent"</formula>
    </cfRule>
    <cfRule type="expression" dxfId="18890" priority="3813">
      <formula>$C22="Petrol"</formula>
    </cfRule>
    <cfRule type="expression" dxfId="18889" priority="3814">
      <formula>$C22="Bills"</formula>
    </cfRule>
    <cfRule type="expression" dxfId="18888" priority="3815">
      <formula>$C22="Sales"</formula>
    </cfRule>
    <cfRule type="expression" dxfId="18887" priority="3816">
      <formula>$C22="Expences"</formula>
    </cfRule>
    <cfRule type="expression" dxfId="18886" priority="3817">
      <formula>$C22="Garlic Purchase"</formula>
    </cfRule>
    <cfRule type="expression" dxfId="18885" priority="3818">
      <formula>$C22="Ginger Purchase"</formula>
    </cfRule>
  </conditionalFormatting>
  <conditionalFormatting sqref="B22 B25 B27:B29 B31 B33 B35">
    <cfRule type="expression" dxfId="18884" priority="3819">
      <formula>$C22="Advance"</formula>
    </cfRule>
  </conditionalFormatting>
  <conditionalFormatting sqref="B22 B25 B27:B29 B31 B33 B35">
    <cfRule type="expression" dxfId="18883" priority="3760">
      <formula>$C22="Delivery charge"</formula>
    </cfRule>
    <cfRule type="expression" dxfId="18882" priority="3761">
      <formula>$C22="Staff Salary"</formula>
    </cfRule>
    <cfRule type="expression" dxfId="18881" priority="3762">
      <formula>$C22="Rent"</formula>
    </cfRule>
    <cfRule type="expression" dxfId="18880" priority="3763">
      <formula>$C22="Petrol"</formula>
    </cfRule>
    <cfRule type="expression" dxfId="18879" priority="3764">
      <formula>$C22="Bills"</formula>
    </cfRule>
    <cfRule type="expression" dxfId="18878" priority="3765">
      <formula>$C22="Sales"</formula>
    </cfRule>
    <cfRule type="expression" dxfId="18877" priority="3766">
      <formula>$C22="Expences"</formula>
    </cfRule>
    <cfRule type="expression" dxfId="18876" priority="3767">
      <formula>$C22="Garlic Purchase"</formula>
    </cfRule>
    <cfRule type="expression" dxfId="18875" priority="3768">
      <formula>$C22="Ginger Purchase"</formula>
    </cfRule>
  </conditionalFormatting>
  <conditionalFormatting sqref="B22 B25 B27:B29 B31 B33 B35">
    <cfRule type="expression" dxfId="18874" priority="3769">
      <formula>$C22="Advance"</formula>
    </cfRule>
  </conditionalFormatting>
  <conditionalFormatting sqref="B20 B23 B26">
    <cfRule type="expression" dxfId="18873" priority="3709">
      <formula>$C20="Advance"</formula>
    </cfRule>
  </conditionalFormatting>
  <conditionalFormatting sqref="B20 B23 B26">
    <cfRule type="expression" dxfId="18872" priority="3700">
      <formula>$C20="Delivery charge"</formula>
    </cfRule>
    <cfRule type="expression" dxfId="18871" priority="3701">
      <formula>$C20="Staff Salary"</formula>
    </cfRule>
    <cfRule type="expression" dxfId="18870" priority="3702">
      <formula>$C20="Rent"</formula>
    </cfRule>
    <cfRule type="expression" dxfId="18869" priority="3703">
      <formula>$C20="Petrol"</formula>
    </cfRule>
    <cfRule type="expression" dxfId="18868" priority="3704">
      <formula>$C20="Bills"</formula>
    </cfRule>
    <cfRule type="expression" dxfId="18867" priority="3705">
      <formula>$C20="Sales"</formula>
    </cfRule>
    <cfRule type="expression" dxfId="18866" priority="3706">
      <formula>$C20="Expences"</formula>
    </cfRule>
    <cfRule type="expression" dxfId="18865" priority="3707">
      <formula>$C20="Garlic Purchase"</formula>
    </cfRule>
    <cfRule type="expression" dxfId="18864" priority="3708">
      <formula>$C20="Ginger Purchase"</formula>
    </cfRule>
  </conditionalFormatting>
  <conditionalFormatting sqref="B21 B24 B26:B28 B30 B32 B34">
    <cfRule type="expression" dxfId="18863" priority="3690">
      <formula>$C21="Delivery charge"</formula>
    </cfRule>
    <cfRule type="expression" dxfId="18862" priority="3691">
      <formula>$C21="Staff Salary"</formula>
    </cfRule>
    <cfRule type="expression" dxfId="18861" priority="3692">
      <formula>$C21="Rent"</formula>
    </cfRule>
    <cfRule type="expression" dxfId="18860" priority="3693">
      <formula>$C21="Petrol"</formula>
    </cfRule>
    <cfRule type="expression" dxfId="18859" priority="3694">
      <formula>$C21="Bills"</formula>
    </cfRule>
    <cfRule type="expression" dxfId="18858" priority="3695">
      <formula>$C21="Sales"</formula>
    </cfRule>
    <cfRule type="expression" dxfId="18857" priority="3696">
      <formula>$C21="Expences"</formula>
    </cfRule>
    <cfRule type="expression" dxfId="18856" priority="3697">
      <formula>$C21="Garlic Purchase"</formula>
    </cfRule>
    <cfRule type="expression" dxfId="18855" priority="3698">
      <formula>$C21="Ginger Purchase"</formula>
    </cfRule>
  </conditionalFormatting>
  <conditionalFormatting sqref="B21 B24 B26:B28 B30 B32 B34">
    <cfRule type="expression" dxfId="18854" priority="3699">
      <formula>$C21="Advance"</formula>
    </cfRule>
  </conditionalFormatting>
  <conditionalFormatting sqref="B22 B25 B27:B29 B31 B33 B35">
    <cfRule type="expression" dxfId="18853" priority="3680">
      <formula>$C22="Delivery charge"</formula>
    </cfRule>
    <cfRule type="expression" dxfId="18852" priority="3681">
      <formula>$C22="Staff Salary"</formula>
    </cfRule>
    <cfRule type="expression" dxfId="18851" priority="3682">
      <formula>$C22="Rent"</formula>
    </cfRule>
    <cfRule type="expression" dxfId="18850" priority="3683">
      <formula>$C22="Petrol"</formula>
    </cfRule>
    <cfRule type="expression" dxfId="18849" priority="3684">
      <formula>$C22="Bills"</formula>
    </cfRule>
    <cfRule type="expression" dxfId="18848" priority="3685">
      <formula>$C22="Sales"</formula>
    </cfRule>
    <cfRule type="expression" dxfId="18847" priority="3686">
      <formula>$C22="Expences"</formula>
    </cfRule>
    <cfRule type="expression" dxfId="18846" priority="3687">
      <formula>$C22="Garlic Purchase"</formula>
    </cfRule>
    <cfRule type="expression" dxfId="18845" priority="3688">
      <formula>$C22="Ginger Purchase"</formula>
    </cfRule>
  </conditionalFormatting>
  <conditionalFormatting sqref="B22 B25 B27:B29 B31 B33 B35">
    <cfRule type="expression" dxfId="18844" priority="3689">
      <formula>$C22="Advance"</formula>
    </cfRule>
  </conditionalFormatting>
  <conditionalFormatting sqref="B22 B25 B27:B29 B31 B33 B35">
    <cfRule type="expression" dxfId="18843" priority="3670">
      <formula>$C22="Delivery charge"</formula>
    </cfRule>
    <cfRule type="expression" dxfId="18842" priority="3671">
      <formula>$C22="Staff Salary"</formula>
    </cfRule>
    <cfRule type="expression" dxfId="18841" priority="3672">
      <formula>$C22="Rent"</formula>
    </cfRule>
    <cfRule type="expression" dxfId="18840" priority="3673">
      <formula>$C22="Petrol"</formula>
    </cfRule>
    <cfRule type="expression" dxfId="18839" priority="3674">
      <formula>$C22="Bills"</formula>
    </cfRule>
    <cfRule type="expression" dxfId="18838" priority="3675">
      <formula>$C22="Sales"</formula>
    </cfRule>
    <cfRule type="expression" dxfId="18837" priority="3676">
      <formula>$C22="Expences"</formula>
    </cfRule>
    <cfRule type="expression" dxfId="18836" priority="3677">
      <formula>$C22="Garlic Purchase"</formula>
    </cfRule>
    <cfRule type="expression" dxfId="18835" priority="3678">
      <formula>$C22="Ginger Purchase"</formula>
    </cfRule>
  </conditionalFormatting>
  <conditionalFormatting sqref="B22 B25 B27:B29 B31 B33 B35">
    <cfRule type="expression" dxfId="18834" priority="3679">
      <formula>$C22="Advance"</formula>
    </cfRule>
  </conditionalFormatting>
  <conditionalFormatting sqref="B22 B25 B27:B29 B31 B33 B35">
    <cfRule type="expression" dxfId="18833" priority="3660">
      <formula>$C22="Delivery charge"</formula>
    </cfRule>
    <cfRule type="expression" dxfId="18832" priority="3661">
      <formula>$C22="Staff Salary"</formula>
    </cfRule>
    <cfRule type="expression" dxfId="18831" priority="3662">
      <formula>$C22="Rent"</formula>
    </cfRule>
    <cfRule type="expression" dxfId="18830" priority="3663">
      <formula>$C22="Petrol"</formula>
    </cfRule>
    <cfRule type="expression" dxfId="18829" priority="3664">
      <formula>$C22="Bills"</formula>
    </cfRule>
    <cfRule type="expression" dxfId="18828" priority="3665">
      <formula>$C22="Sales"</formula>
    </cfRule>
    <cfRule type="expression" dxfId="18827" priority="3666">
      <formula>$C22="Expences"</formula>
    </cfRule>
    <cfRule type="expression" dxfId="18826" priority="3667">
      <formula>$C22="Garlic Purchase"</formula>
    </cfRule>
    <cfRule type="expression" dxfId="18825" priority="3668">
      <formula>$C22="Ginger Purchase"</formula>
    </cfRule>
  </conditionalFormatting>
  <conditionalFormatting sqref="B22 B25 B27:B29 B31 B33 B35">
    <cfRule type="expression" dxfId="18824" priority="3669">
      <formula>$C22="Advance"</formula>
    </cfRule>
  </conditionalFormatting>
  <conditionalFormatting sqref="B22 B25 B27:B29 B31 B33 B35">
    <cfRule type="expression" dxfId="18823" priority="3650">
      <formula>$C22="Delivery charge"</formula>
    </cfRule>
    <cfRule type="expression" dxfId="18822" priority="3651">
      <formula>$C22="Staff Salary"</formula>
    </cfRule>
    <cfRule type="expression" dxfId="18821" priority="3652">
      <formula>$C22="Rent"</formula>
    </cfRule>
    <cfRule type="expression" dxfId="18820" priority="3653">
      <formula>$C22="Petrol"</formula>
    </cfRule>
    <cfRule type="expression" dxfId="18819" priority="3654">
      <formula>$C22="Bills"</formula>
    </cfRule>
    <cfRule type="expression" dxfId="18818" priority="3655">
      <formula>$C22="Sales"</formula>
    </cfRule>
    <cfRule type="expression" dxfId="18817" priority="3656">
      <formula>$C22="Expences"</formula>
    </cfRule>
    <cfRule type="expression" dxfId="18816" priority="3657">
      <formula>$C22="Garlic Purchase"</formula>
    </cfRule>
    <cfRule type="expression" dxfId="18815" priority="3658">
      <formula>$C22="Ginger Purchase"</formula>
    </cfRule>
  </conditionalFormatting>
  <conditionalFormatting sqref="B22 B25 B27:B29 B31 B33 B35">
    <cfRule type="expression" dxfId="18814" priority="3659">
      <formula>$C22="Advance"</formula>
    </cfRule>
  </conditionalFormatting>
  <conditionalFormatting sqref="B21 B24 B26:B28 B30 B32 B34">
    <cfRule type="expression" dxfId="18813" priority="3640">
      <formula>$C21="Delivery charge"</formula>
    </cfRule>
    <cfRule type="expression" dxfId="18812" priority="3641">
      <formula>$C21="Staff Salary"</formula>
    </cfRule>
    <cfRule type="expression" dxfId="18811" priority="3642">
      <formula>$C21="Rent"</formula>
    </cfRule>
    <cfRule type="expression" dxfId="18810" priority="3643">
      <formula>$C21="Petrol"</formula>
    </cfRule>
    <cfRule type="expression" dxfId="18809" priority="3644">
      <formula>$C21="Bills"</formula>
    </cfRule>
    <cfRule type="expression" dxfId="18808" priority="3645">
      <formula>$C21="Sales"</formula>
    </cfRule>
    <cfRule type="expression" dxfId="18807" priority="3646">
      <formula>$C21="Expences"</formula>
    </cfRule>
    <cfRule type="expression" dxfId="18806" priority="3647">
      <formula>$C21="Garlic Purchase"</formula>
    </cfRule>
    <cfRule type="expression" dxfId="18805" priority="3648">
      <formula>$C21="Ginger Purchase"</formula>
    </cfRule>
  </conditionalFormatting>
  <conditionalFormatting sqref="B21 B24 B26:B28 B30 B32 B34">
    <cfRule type="expression" dxfId="18804" priority="3649">
      <formula>$C21="Advance"</formula>
    </cfRule>
  </conditionalFormatting>
  <conditionalFormatting sqref="B21 B24 B26:B28 B30 B32 B34">
    <cfRule type="expression" dxfId="18803" priority="3630">
      <formula>$C21="Delivery charge"</formula>
    </cfRule>
    <cfRule type="expression" dxfId="18802" priority="3631">
      <formula>$C21="Staff Salary"</formula>
    </cfRule>
    <cfRule type="expression" dxfId="18801" priority="3632">
      <formula>$C21="Rent"</formula>
    </cfRule>
    <cfRule type="expression" dxfId="18800" priority="3633">
      <formula>$C21="Petrol"</formula>
    </cfRule>
    <cfRule type="expression" dxfId="18799" priority="3634">
      <formula>$C21="Bills"</formula>
    </cfRule>
    <cfRule type="expression" dxfId="18798" priority="3635">
      <formula>$C21="Sales"</formula>
    </cfRule>
    <cfRule type="expression" dxfId="18797" priority="3636">
      <formula>$C21="Expences"</formula>
    </cfRule>
    <cfRule type="expression" dxfId="18796" priority="3637">
      <formula>$C21="Garlic Purchase"</formula>
    </cfRule>
    <cfRule type="expression" dxfId="18795" priority="3638">
      <formula>$C21="Ginger Purchase"</formula>
    </cfRule>
  </conditionalFormatting>
  <conditionalFormatting sqref="B21 B24 B26:B28 B30 B32 B34">
    <cfRule type="expression" dxfId="18794" priority="3639">
      <formula>$C21="Advance"</formula>
    </cfRule>
  </conditionalFormatting>
  <conditionalFormatting sqref="B21 B24 B26:B28 B30 B32 B34">
    <cfRule type="expression" dxfId="18793" priority="3620">
      <formula>$C21="Delivery charge"</formula>
    </cfRule>
    <cfRule type="expression" dxfId="18792" priority="3621">
      <formula>$C21="Staff Salary"</formula>
    </cfRule>
    <cfRule type="expression" dxfId="18791" priority="3622">
      <formula>$C21="Rent"</formula>
    </cfRule>
    <cfRule type="expression" dxfId="18790" priority="3623">
      <formula>$C21="Petrol"</formula>
    </cfRule>
    <cfRule type="expression" dxfId="18789" priority="3624">
      <formula>$C21="Bills"</formula>
    </cfRule>
    <cfRule type="expression" dxfId="18788" priority="3625">
      <formula>$C21="Sales"</formula>
    </cfRule>
    <cfRule type="expression" dxfId="18787" priority="3626">
      <formula>$C21="Expences"</formula>
    </cfRule>
    <cfRule type="expression" dxfId="18786" priority="3627">
      <formula>$C21="Garlic Purchase"</formula>
    </cfRule>
    <cfRule type="expression" dxfId="18785" priority="3628">
      <formula>$C21="Ginger Purchase"</formula>
    </cfRule>
  </conditionalFormatting>
  <conditionalFormatting sqref="B21 B24 B26:B28 B30 B32 B34">
    <cfRule type="expression" dxfId="18784" priority="3629">
      <formula>$C21="Advance"</formula>
    </cfRule>
  </conditionalFormatting>
  <conditionalFormatting sqref="B21 B24 B26:B28 B30 B32 B34">
    <cfRule type="expression" dxfId="18783" priority="3610">
      <formula>$C21="Delivery charge"</formula>
    </cfRule>
    <cfRule type="expression" dxfId="18782" priority="3611">
      <formula>$C21="Staff Salary"</formula>
    </cfRule>
    <cfRule type="expression" dxfId="18781" priority="3612">
      <formula>$C21="Rent"</formula>
    </cfRule>
    <cfRule type="expression" dxfId="18780" priority="3613">
      <formula>$C21="Petrol"</formula>
    </cfRule>
    <cfRule type="expression" dxfId="18779" priority="3614">
      <formula>$C21="Bills"</formula>
    </cfRule>
    <cfRule type="expression" dxfId="18778" priority="3615">
      <formula>$C21="Sales"</formula>
    </cfRule>
    <cfRule type="expression" dxfId="18777" priority="3616">
      <formula>$C21="Expences"</formula>
    </cfRule>
    <cfRule type="expression" dxfId="18776" priority="3617">
      <formula>$C21="Garlic Purchase"</formula>
    </cfRule>
    <cfRule type="expression" dxfId="18775" priority="3618">
      <formula>$C21="Ginger Purchase"</formula>
    </cfRule>
  </conditionalFormatting>
  <conditionalFormatting sqref="B21 B24 B26:B28 B30 B32 B34">
    <cfRule type="expression" dxfId="18774" priority="3619">
      <formula>$C21="Advance"</formula>
    </cfRule>
  </conditionalFormatting>
  <conditionalFormatting sqref="B22 B25 B27:B29 B31 B33 B35">
    <cfRule type="expression" dxfId="18773" priority="3600">
      <formula>$C22="Delivery charge"</formula>
    </cfRule>
    <cfRule type="expression" dxfId="18772" priority="3601">
      <formula>$C22="Staff Salary"</formula>
    </cfRule>
    <cfRule type="expression" dxfId="18771" priority="3602">
      <formula>$C22="Rent"</formula>
    </cfRule>
    <cfRule type="expression" dxfId="18770" priority="3603">
      <formula>$C22="Petrol"</formula>
    </cfRule>
    <cfRule type="expression" dxfId="18769" priority="3604">
      <formula>$C22="Bills"</formula>
    </cfRule>
    <cfRule type="expression" dxfId="18768" priority="3605">
      <formula>$C22="Sales"</formula>
    </cfRule>
    <cfRule type="expression" dxfId="18767" priority="3606">
      <formula>$C22="Expences"</formula>
    </cfRule>
    <cfRule type="expression" dxfId="18766" priority="3607">
      <formula>$C22="Garlic Purchase"</formula>
    </cfRule>
    <cfRule type="expression" dxfId="18765" priority="3608">
      <formula>$C22="Ginger Purchase"</formula>
    </cfRule>
  </conditionalFormatting>
  <conditionalFormatting sqref="B22 B25 B27:B29 B31 B33 B35">
    <cfRule type="expression" dxfId="18764" priority="3609">
      <formula>$C22="Advance"</formula>
    </cfRule>
  </conditionalFormatting>
  <conditionalFormatting sqref="B21 B24 B26:B28 B30 B32 B34">
    <cfRule type="expression" dxfId="18763" priority="3590">
      <formula>$C21="Delivery charge"</formula>
    </cfRule>
    <cfRule type="expression" dxfId="18762" priority="3591">
      <formula>$C21="Staff Salary"</formula>
    </cfRule>
    <cfRule type="expression" dxfId="18761" priority="3592">
      <formula>$C21="Rent"</formula>
    </cfRule>
    <cfRule type="expression" dxfId="18760" priority="3593">
      <formula>$C21="Petrol"</formula>
    </cfRule>
    <cfRule type="expression" dxfId="18759" priority="3594">
      <formula>$C21="Bills"</formula>
    </cfRule>
    <cfRule type="expression" dxfId="18758" priority="3595">
      <formula>$C21="Sales"</formula>
    </cfRule>
    <cfRule type="expression" dxfId="18757" priority="3596">
      <formula>$C21="Expences"</formula>
    </cfRule>
    <cfRule type="expression" dxfId="18756" priority="3597">
      <formula>$C21="Garlic Purchase"</formula>
    </cfRule>
    <cfRule type="expression" dxfId="18755" priority="3598">
      <formula>$C21="Ginger Purchase"</formula>
    </cfRule>
  </conditionalFormatting>
  <conditionalFormatting sqref="B21 B24 B26:B28 B30 B32 B34">
    <cfRule type="expression" dxfId="18754" priority="3599">
      <formula>$C21="Advance"</formula>
    </cfRule>
  </conditionalFormatting>
  <conditionalFormatting sqref="B21 B24 B26:B28 B30 B32 B34">
    <cfRule type="expression" dxfId="18753" priority="3580">
      <formula>$C21="Delivery charge"</formula>
    </cfRule>
    <cfRule type="expression" dxfId="18752" priority="3581">
      <formula>$C21="Staff Salary"</formula>
    </cfRule>
    <cfRule type="expression" dxfId="18751" priority="3582">
      <formula>$C21="Rent"</formula>
    </cfRule>
    <cfRule type="expression" dxfId="18750" priority="3583">
      <formula>$C21="Petrol"</formula>
    </cfRule>
    <cfRule type="expression" dxfId="18749" priority="3584">
      <formula>$C21="Bills"</formula>
    </cfRule>
    <cfRule type="expression" dxfId="18748" priority="3585">
      <formula>$C21="Sales"</formula>
    </cfRule>
    <cfRule type="expression" dxfId="18747" priority="3586">
      <formula>$C21="Expences"</formula>
    </cfRule>
    <cfRule type="expression" dxfId="18746" priority="3587">
      <formula>$C21="Garlic Purchase"</formula>
    </cfRule>
    <cfRule type="expression" dxfId="18745" priority="3588">
      <formula>$C21="Ginger Purchase"</formula>
    </cfRule>
  </conditionalFormatting>
  <conditionalFormatting sqref="B21 B24 B26:B28 B30 B32 B34">
    <cfRule type="expression" dxfId="18744" priority="3589">
      <formula>$C21="Advance"</formula>
    </cfRule>
  </conditionalFormatting>
  <conditionalFormatting sqref="B21 B24 B26:B28 B30 B32 B34">
    <cfRule type="expression" dxfId="18743" priority="3570">
      <formula>$C21="Delivery charge"</formula>
    </cfRule>
    <cfRule type="expression" dxfId="18742" priority="3571">
      <formula>$C21="Staff Salary"</formula>
    </cfRule>
    <cfRule type="expression" dxfId="18741" priority="3572">
      <formula>$C21="Rent"</formula>
    </cfRule>
    <cfRule type="expression" dxfId="18740" priority="3573">
      <formula>$C21="Petrol"</formula>
    </cfRule>
    <cfRule type="expression" dxfId="18739" priority="3574">
      <formula>$C21="Bills"</formula>
    </cfRule>
    <cfRule type="expression" dxfId="18738" priority="3575">
      <formula>$C21="Sales"</formula>
    </cfRule>
    <cfRule type="expression" dxfId="18737" priority="3576">
      <formula>$C21="Expences"</formula>
    </cfRule>
    <cfRule type="expression" dxfId="18736" priority="3577">
      <formula>$C21="Garlic Purchase"</formula>
    </cfRule>
    <cfRule type="expression" dxfId="18735" priority="3578">
      <formula>$C21="Ginger Purchase"</formula>
    </cfRule>
  </conditionalFormatting>
  <conditionalFormatting sqref="B21 B24 B26:B28 B30 B32 B34">
    <cfRule type="expression" dxfId="18734" priority="3579">
      <formula>$C21="Advance"</formula>
    </cfRule>
  </conditionalFormatting>
  <conditionalFormatting sqref="B21 B24 B26:B28 B30 B32 B34">
    <cfRule type="expression" dxfId="18733" priority="3560">
      <formula>$C21="Delivery charge"</formula>
    </cfRule>
    <cfRule type="expression" dxfId="18732" priority="3561">
      <formula>$C21="Staff Salary"</formula>
    </cfRule>
    <cfRule type="expression" dxfId="18731" priority="3562">
      <formula>$C21="Rent"</formula>
    </cfRule>
    <cfRule type="expression" dxfId="18730" priority="3563">
      <formula>$C21="Petrol"</formula>
    </cfRule>
    <cfRule type="expression" dxfId="18729" priority="3564">
      <formula>$C21="Bills"</formula>
    </cfRule>
    <cfRule type="expression" dxfId="18728" priority="3565">
      <formula>$C21="Sales"</formula>
    </cfRule>
    <cfRule type="expression" dxfId="18727" priority="3566">
      <formula>$C21="Expences"</formula>
    </cfRule>
    <cfRule type="expression" dxfId="18726" priority="3567">
      <formula>$C21="Garlic Purchase"</formula>
    </cfRule>
    <cfRule type="expression" dxfId="18725" priority="3568">
      <formula>$C21="Ginger Purchase"</formula>
    </cfRule>
  </conditionalFormatting>
  <conditionalFormatting sqref="B21 B24 B26:B28 B30 B32 B34">
    <cfRule type="expression" dxfId="18724" priority="3569">
      <formula>$C21="Advance"</formula>
    </cfRule>
  </conditionalFormatting>
  <conditionalFormatting sqref="B21 B24 B26:B28 B30 B32 B34">
    <cfRule type="expression" dxfId="18723" priority="3550">
      <formula>$C21="Delivery charge"</formula>
    </cfRule>
    <cfRule type="expression" dxfId="18722" priority="3551">
      <formula>$C21="Staff Salary"</formula>
    </cfRule>
    <cfRule type="expression" dxfId="18721" priority="3552">
      <formula>$C21="Rent"</formula>
    </cfRule>
    <cfRule type="expression" dxfId="18720" priority="3553">
      <formula>$C21="Petrol"</formula>
    </cfRule>
    <cfRule type="expression" dxfId="18719" priority="3554">
      <formula>$C21="Bills"</formula>
    </cfRule>
    <cfRule type="expression" dxfId="18718" priority="3555">
      <formula>$C21="Sales"</formula>
    </cfRule>
    <cfRule type="expression" dxfId="18717" priority="3556">
      <formula>$C21="Expences"</formula>
    </cfRule>
    <cfRule type="expression" dxfId="18716" priority="3557">
      <formula>$C21="Garlic Purchase"</formula>
    </cfRule>
    <cfRule type="expression" dxfId="18715" priority="3558">
      <formula>$C21="Ginger Purchase"</formula>
    </cfRule>
  </conditionalFormatting>
  <conditionalFormatting sqref="B21 B24 B26:B28 B30 B32 B34">
    <cfRule type="expression" dxfId="18714" priority="3559">
      <formula>$C21="Advance"</formula>
    </cfRule>
  </conditionalFormatting>
  <conditionalFormatting sqref="B22 B25 B27:B29 B31 B33 B35">
    <cfRule type="expression" dxfId="18713" priority="3540">
      <formula>$C22="Delivery charge"</formula>
    </cfRule>
    <cfRule type="expression" dxfId="18712" priority="3541">
      <formula>$C22="Staff Salary"</formula>
    </cfRule>
    <cfRule type="expression" dxfId="18711" priority="3542">
      <formula>$C22="Rent"</formula>
    </cfRule>
    <cfRule type="expression" dxfId="18710" priority="3543">
      <formula>$C22="Petrol"</formula>
    </cfRule>
    <cfRule type="expression" dxfId="18709" priority="3544">
      <formula>$C22="Bills"</formula>
    </cfRule>
    <cfRule type="expression" dxfId="18708" priority="3545">
      <formula>$C22="Sales"</formula>
    </cfRule>
    <cfRule type="expression" dxfId="18707" priority="3546">
      <formula>$C22="Expences"</formula>
    </cfRule>
    <cfRule type="expression" dxfId="18706" priority="3547">
      <formula>$C22="Garlic Purchase"</formula>
    </cfRule>
    <cfRule type="expression" dxfId="18705" priority="3548">
      <formula>$C22="Ginger Purchase"</formula>
    </cfRule>
  </conditionalFormatting>
  <conditionalFormatting sqref="B22 B25 B27:B29 B31 B33 B35">
    <cfRule type="expression" dxfId="18704" priority="3549">
      <formula>$C22="Advance"</formula>
    </cfRule>
  </conditionalFormatting>
  <conditionalFormatting sqref="B22 B25 B27:B29 B31 B33 B35">
    <cfRule type="expression" dxfId="18703" priority="3530">
      <formula>$C22="Delivery charge"</formula>
    </cfRule>
    <cfRule type="expression" dxfId="18702" priority="3531">
      <formula>$C22="Staff Salary"</formula>
    </cfRule>
    <cfRule type="expression" dxfId="18701" priority="3532">
      <formula>$C22="Rent"</formula>
    </cfRule>
    <cfRule type="expression" dxfId="18700" priority="3533">
      <formula>$C22="Petrol"</formula>
    </cfRule>
    <cfRule type="expression" dxfId="18699" priority="3534">
      <formula>$C22="Bills"</formula>
    </cfRule>
    <cfRule type="expression" dxfId="18698" priority="3535">
      <formula>$C22="Sales"</formula>
    </cfRule>
    <cfRule type="expression" dxfId="18697" priority="3536">
      <formula>$C22="Expences"</formula>
    </cfRule>
    <cfRule type="expression" dxfId="18696" priority="3537">
      <formula>$C22="Garlic Purchase"</formula>
    </cfRule>
    <cfRule type="expression" dxfId="18695" priority="3538">
      <formula>$C22="Ginger Purchase"</formula>
    </cfRule>
  </conditionalFormatting>
  <conditionalFormatting sqref="B22 B25 B27:B29 B31 B33 B35">
    <cfRule type="expression" dxfId="18694" priority="3539">
      <formula>$C22="Advance"</formula>
    </cfRule>
  </conditionalFormatting>
  <conditionalFormatting sqref="B22 B25 B27:B29 B31 B33 B35">
    <cfRule type="expression" dxfId="18693" priority="3520">
      <formula>$C22="Delivery charge"</formula>
    </cfRule>
    <cfRule type="expression" dxfId="18692" priority="3521">
      <formula>$C22="Staff Salary"</formula>
    </cfRule>
    <cfRule type="expression" dxfId="18691" priority="3522">
      <formula>$C22="Rent"</formula>
    </cfRule>
    <cfRule type="expression" dxfId="18690" priority="3523">
      <formula>$C22="Petrol"</formula>
    </cfRule>
    <cfRule type="expression" dxfId="18689" priority="3524">
      <formula>$C22="Bills"</formula>
    </cfRule>
    <cfRule type="expression" dxfId="18688" priority="3525">
      <formula>$C22="Sales"</formula>
    </cfRule>
    <cfRule type="expression" dxfId="18687" priority="3526">
      <formula>$C22="Expences"</formula>
    </cfRule>
    <cfRule type="expression" dxfId="18686" priority="3527">
      <formula>$C22="Garlic Purchase"</formula>
    </cfRule>
    <cfRule type="expression" dxfId="18685" priority="3528">
      <formula>$C22="Ginger Purchase"</formula>
    </cfRule>
  </conditionalFormatting>
  <conditionalFormatting sqref="B22 B25 B27:B29 B31 B33 B35">
    <cfRule type="expression" dxfId="18684" priority="3529">
      <formula>$C22="Advance"</formula>
    </cfRule>
  </conditionalFormatting>
  <conditionalFormatting sqref="B22 B25 B27:B29 B31 B33 B35">
    <cfRule type="expression" dxfId="18683" priority="3510">
      <formula>$C22="Delivery charge"</formula>
    </cfRule>
    <cfRule type="expression" dxfId="18682" priority="3511">
      <formula>$C22="Staff Salary"</formula>
    </cfRule>
    <cfRule type="expression" dxfId="18681" priority="3512">
      <formula>$C22="Rent"</formula>
    </cfRule>
    <cfRule type="expression" dxfId="18680" priority="3513">
      <formula>$C22="Petrol"</formula>
    </cfRule>
    <cfRule type="expression" dxfId="18679" priority="3514">
      <formula>$C22="Bills"</formula>
    </cfRule>
    <cfRule type="expression" dxfId="18678" priority="3515">
      <formula>$C22="Sales"</formula>
    </cfRule>
    <cfRule type="expression" dxfId="18677" priority="3516">
      <formula>$C22="Expences"</formula>
    </cfRule>
    <cfRule type="expression" dxfId="18676" priority="3517">
      <formula>$C22="Garlic Purchase"</formula>
    </cfRule>
    <cfRule type="expression" dxfId="18675" priority="3518">
      <formula>$C22="Ginger Purchase"</formula>
    </cfRule>
  </conditionalFormatting>
  <conditionalFormatting sqref="B22 B25 B27:B29 B31 B33 B35">
    <cfRule type="expression" dxfId="18674" priority="3519">
      <formula>$C22="Advance"</formula>
    </cfRule>
  </conditionalFormatting>
  <conditionalFormatting sqref="B22 B25 B27:B29 B31 B33 B35">
    <cfRule type="expression" dxfId="18673" priority="3500">
      <formula>$C22="Delivery charge"</formula>
    </cfRule>
    <cfRule type="expression" dxfId="18672" priority="3501">
      <formula>$C22="Staff Salary"</formula>
    </cfRule>
    <cfRule type="expression" dxfId="18671" priority="3502">
      <formula>$C22="Rent"</formula>
    </cfRule>
    <cfRule type="expression" dxfId="18670" priority="3503">
      <formula>$C22="Petrol"</formula>
    </cfRule>
    <cfRule type="expression" dxfId="18669" priority="3504">
      <formula>$C22="Bills"</formula>
    </cfRule>
    <cfRule type="expression" dxfId="18668" priority="3505">
      <formula>$C22="Sales"</formula>
    </cfRule>
    <cfRule type="expression" dxfId="18667" priority="3506">
      <formula>$C22="Expences"</formula>
    </cfRule>
    <cfRule type="expression" dxfId="18666" priority="3507">
      <formula>$C22="Garlic Purchase"</formula>
    </cfRule>
    <cfRule type="expression" dxfId="18665" priority="3508">
      <formula>$C22="Ginger Purchase"</formula>
    </cfRule>
  </conditionalFormatting>
  <conditionalFormatting sqref="B22 B25 B27:B29 B31 B33 B35">
    <cfRule type="expression" dxfId="18664" priority="3509">
      <formula>$C22="Advance"</formula>
    </cfRule>
  </conditionalFormatting>
  <conditionalFormatting sqref="B21 B24 B26:B28 B30 B32 B34">
    <cfRule type="expression" dxfId="18663" priority="3490">
      <formula>$C21="Delivery charge"</formula>
    </cfRule>
    <cfRule type="expression" dxfId="18662" priority="3491">
      <formula>$C21="Staff Salary"</formula>
    </cfRule>
    <cfRule type="expression" dxfId="18661" priority="3492">
      <formula>$C21="Rent"</formula>
    </cfRule>
    <cfRule type="expression" dxfId="18660" priority="3493">
      <formula>$C21="Petrol"</formula>
    </cfRule>
    <cfRule type="expression" dxfId="18659" priority="3494">
      <formula>$C21="Bills"</formula>
    </cfRule>
    <cfRule type="expression" dxfId="18658" priority="3495">
      <formula>$C21="Sales"</formula>
    </cfRule>
    <cfRule type="expression" dxfId="18657" priority="3496">
      <formula>$C21="Expences"</formula>
    </cfRule>
    <cfRule type="expression" dxfId="18656" priority="3497">
      <formula>$C21="Garlic Purchase"</formula>
    </cfRule>
    <cfRule type="expression" dxfId="18655" priority="3498">
      <formula>$C21="Ginger Purchase"</formula>
    </cfRule>
  </conditionalFormatting>
  <conditionalFormatting sqref="B21 B24 B26:B28 B30 B32 B34">
    <cfRule type="expression" dxfId="18654" priority="3499">
      <formula>$C21="Advance"</formula>
    </cfRule>
  </conditionalFormatting>
  <conditionalFormatting sqref="B22 B25 B27:B29 B31 B33 B35">
    <cfRule type="expression" dxfId="18653" priority="3480">
      <formula>$C22="Delivery charge"</formula>
    </cfRule>
    <cfRule type="expression" dxfId="18652" priority="3481">
      <formula>$C22="Staff Salary"</formula>
    </cfRule>
    <cfRule type="expression" dxfId="18651" priority="3482">
      <formula>$C22="Rent"</formula>
    </cfRule>
    <cfRule type="expression" dxfId="18650" priority="3483">
      <formula>$C22="Petrol"</formula>
    </cfRule>
    <cfRule type="expression" dxfId="18649" priority="3484">
      <formula>$C22="Bills"</formula>
    </cfRule>
    <cfRule type="expression" dxfId="18648" priority="3485">
      <formula>$C22="Sales"</formula>
    </cfRule>
    <cfRule type="expression" dxfId="18647" priority="3486">
      <formula>$C22="Expences"</formula>
    </cfRule>
    <cfRule type="expression" dxfId="18646" priority="3487">
      <formula>$C22="Garlic Purchase"</formula>
    </cfRule>
    <cfRule type="expression" dxfId="18645" priority="3488">
      <formula>$C22="Ginger Purchase"</formula>
    </cfRule>
  </conditionalFormatting>
  <conditionalFormatting sqref="B22 B25 B27:B29 B31 B33 B35">
    <cfRule type="expression" dxfId="18644" priority="3489">
      <formula>$C22="Advance"</formula>
    </cfRule>
  </conditionalFormatting>
  <conditionalFormatting sqref="B22 B25 B27:B29 B31 B33 B35">
    <cfRule type="expression" dxfId="18643" priority="3470">
      <formula>$C22="Delivery charge"</formula>
    </cfRule>
    <cfRule type="expression" dxfId="18642" priority="3471">
      <formula>$C22="Staff Salary"</formula>
    </cfRule>
    <cfRule type="expression" dxfId="18641" priority="3472">
      <formula>$C22="Rent"</formula>
    </cfRule>
    <cfRule type="expression" dxfId="18640" priority="3473">
      <formula>$C22="Petrol"</formula>
    </cfRule>
    <cfRule type="expression" dxfId="18639" priority="3474">
      <formula>$C22="Bills"</formula>
    </cfRule>
    <cfRule type="expression" dxfId="18638" priority="3475">
      <formula>$C22="Sales"</formula>
    </cfRule>
    <cfRule type="expression" dxfId="18637" priority="3476">
      <formula>$C22="Expences"</formula>
    </cfRule>
    <cfRule type="expression" dxfId="18636" priority="3477">
      <formula>$C22="Garlic Purchase"</formula>
    </cfRule>
    <cfRule type="expression" dxfId="18635" priority="3478">
      <formula>$C22="Ginger Purchase"</formula>
    </cfRule>
  </conditionalFormatting>
  <conditionalFormatting sqref="B22 B25 B27:B29 B31 B33 B35">
    <cfRule type="expression" dxfId="18634" priority="3479">
      <formula>$C22="Advance"</formula>
    </cfRule>
  </conditionalFormatting>
  <conditionalFormatting sqref="B22 B25 B27:B29 B31 B33 B35">
    <cfRule type="expression" dxfId="18633" priority="3460">
      <formula>$C22="Delivery charge"</formula>
    </cfRule>
    <cfRule type="expression" dxfId="18632" priority="3461">
      <formula>$C22="Staff Salary"</formula>
    </cfRule>
    <cfRule type="expression" dxfId="18631" priority="3462">
      <formula>$C22="Rent"</formula>
    </cfRule>
    <cfRule type="expression" dxfId="18630" priority="3463">
      <formula>$C22="Petrol"</formula>
    </cfRule>
    <cfRule type="expression" dxfId="18629" priority="3464">
      <formula>$C22="Bills"</formula>
    </cfRule>
    <cfRule type="expression" dxfId="18628" priority="3465">
      <formula>$C22="Sales"</formula>
    </cfRule>
    <cfRule type="expression" dxfId="18627" priority="3466">
      <formula>$C22="Expences"</formula>
    </cfRule>
    <cfRule type="expression" dxfId="18626" priority="3467">
      <formula>$C22="Garlic Purchase"</formula>
    </cfRule>
    <cfRule type="expression" dxfId="18625" priority="3468">
      <formula>$C22="Ginger Purchase"</formula>
    </cfRule>
  </conditionalFormatting>
  <conditionalFormatting sqref="B22 B25 B27:B29 B31 B33 B35">
    <cfRule type="expression" dxfId="18624" priority="3469">
      <formula>$C22="Advance"</formula>
    </cfRule>
  </conditionalFormatting>
  <conditionalFormatting sqref="B22 B25 B27:B29 B31 B33 B35">
    <cfRule type="expression" dxfId="18623" priority="3450">
      <formula>$C22="Delivery charge"</formula>
    </cfRule>
    <cfRule type="expression" dxfId="18622" priority="3451">
      <formula>$C22="Staff Salary"</formula>
    </cfRule>
    <cfRule type="expression" dxfId="18621" priority="3452">
      <formula>$C22="Rent"</formula>
    </cfRule>
    <cfRule type="expression" dxfId="18620" priority="3453">
      <formula>$C22="Petrol"</formula>
    </cfRule>
    <cfRule type="expression" dxfId="18619" priority="3454">
      <formula>$C22="Bills"</formula>
    </cfRule>
    <cfRule type="expression" dxfId="18618" priority="3455">
      <formula>$C22="Sales"</formula>
    </cfRule>
    <cfRule type="expression" dxfId="18617" priority="3456">
      <formula>$C22="Expences"</formula>
    </cfRule>
    <cfRule type="expression" dxfId="18616" priority="3457">
      <formula>$C22="Garlic Purchase"</formula>
    </cfRule>
    <cfRule type="expression" dxfId="18615" priority="3458">
      <formula>$C22="Ginger Purchase"</formula>
    </cfRule>
  </conditionalFormatting>
  <conditionalFormatting sqref="B22 B25 B27:B29 B31 B33 B35">
    <cfRule type="expression" dxfId="18614" priority="3459">
      <formula>$C22="Advance"</formula>
    </cfRule>
  </conditionalFormatting>
  <conditionalFormatting sqref="B22 B25 B27:B29 B31 B33 B35">
    <cfRule type="expression" dxfId="18613" priority="3440">
      <formula>$C22="Delivery charge"</formula>
    </cfRule>
    <cfRule type="expression" dxfId="18612" priority="3441">
      <formula>$C22="Staff Salary"</formula>
    </cfRule>
    <cfRule type="expression" dxfId="18611" priority="3442">
      <formula>$C22="Rent"</formula>
    </cfRule>
    <cfRule type="expression" dxfId="18610" priority="3443">
      <formula>$C22="Petrol"</formula>
    </cfRule>
    <cfRule type="expression" dxfId="18609" priority="3444">
      <formula>$C22="Bills"</formula>
    </cfRule>
    <cfRule type="expression" dxfId="18608" priority="3445">
      <formula>$C22="Sales"</formula>
    </cfRule>
    <cfRule type="expression" dxfId="18607" priority="3446">
      <formula>$C22="Expences"</formula>
    </cfRule>
    <cfRule type="expression" dxfId="18606" priority="3447">
      <formula>$C22="Garlic Purchase"</formula>
    </cfRule>
    <cfRule type="expression" dxfId="18605" priority="3448">
      <formula>$C22="Ginger Purchase"</formula>
    </cfRule>
  </conditionalFormatting>
  <conditionalFormatting sqref="B22 B25 B27:B29 B31 B33 B35">
    <cfRule type="expression" dxfId="18604" priority="3449">
      <formula>$C22="Advance"</formula>
    </cfRule>
  </conditionalFormatting>
  <conditionalFormatting sqref="B22 B25 B27:B29 B31 B33 B35">
    <cfRule type="expression" dxfId="18603" priority="3430">
      <formula>$C22="Delivery charge"</formula>
    </cfRule>
    <cfRule type="expression" dxfId="18602" priority="3431">
      <formula>$C22="Staff Salary"</formula>
    </cfRule>
    <cfRule type="expression" dxfId="18601" priority="3432">
      <formula>$C22="Rent"</formula>
    </cfRule>
    <cfRule type="expression" dxfId="18600" priority="3433">
      <formula>$C22="Petrol"</formula>
    </cfRule>
    <cfRule type="expression" dxfId="18599" priority="3434">
      <formula>$C22="Bills"</formula>
    </cfRule>
    <cfRule type="expression" dxfId="18598" priority="3435">
      <formula>$C22="Sales"</formula>
    </cfRule>
    <cfRule type="expression" dxfId="18597" priority="3436">
      <formula>$C22="Expences"</formula>
    </cfRule>
    <cfRule type="expression" dxfId="18596" priority="3437">
      <formula>$C22="Garlic Purchase"</formula>
    </cfRule>
    <cfRule type="expression" dxfId="18595" priority="3438">
      <formula>$C22="Ginger Purchase"</formula>
    </cfRule>
  </conditionalFormatting>
  <conditionalFormatting sqref="B22 B25 B27:B29 B31 B33 B35">
    <cfRule type="expression" dxfId="18594" priority="3439">
      <formula>$C22="Advance"</formula>
    </cfRule>
  </conditionalFormatting>
  <conditionalFormatting sqref="B22 B25 B27:B29 B31 B33 B35">
    <cfRule type="expression" dxfId="18593" priority="3420">
      <formula>$C22="Delivery charge"</formula>
    </cfRule>
    <cfRule type="expression" dxfId="18592" priority="3421">
      <formula>$C22="Staff Salary"</formula>
    </cfRule>
    <cfRule type="expression" dxfId="18591" priority="3422">
      <formula>$C22="Rent"</formula>
    </cfRule>
    <cfRule type="expression" dxfId="18590" priority="3423">
      <formula>$C22="Petrol"</formula>
    </cfRule>
    <cfRule type="expression" dxfId="18589" priority="3424">
      <formula>$C22="Bills"</formula>
    </cfRule>
    <cfRule type="expression" dxfId="18588" priority="3425">
      <formula>$C22="Sales"</formula>
    </cfRule>
    <cfRule type="expression" dxfId="18587" priority="3426">
      <formula>$C22="Expences"</formula>
    </cfRule>
    <cfRule type="expression" dxfId="18586" priority="3427">
      <formula>$C22="Garlic Purchase"</formula>
    </cfRule>
    <cfRule type="expression" dxfId="18585" priority="3428">
      <formula>$C22="Ginger Purchase"</formula>
    </cfRule>
  </conditionalFormatting>
  <conditionalFormatting sqref="B22 B25 B27:B29 B31 B33 B35">
    <cfRule type="expression" dxfId="18584" priority="3429">
      <formula>$C22="Advance"</formula>
    </cfRule>
  </conditionalFormatting>
  <conditionalFormatting sqref="B22 B25 B27:B29 B31 B33 B35">
    <cfRule type="expression" dxfId="18583" priority="3410">
      <formula>$C22="Delivery charge"</formula>
    </cfRule>
    <cfRule type="expression" dxfId="18582" priority="3411">
      <formula>$C22="Staff Salary"</formula>
    </cfRule>
    <cfRule type="expression" dxfId="18581" priority="3412">
      <formula>$C22="Rent"</formula>
    </cfRule>
    <cfRule type="expression" dxfId="18580" priority="3413">
      <formula>$C22="Petrol"</formula>
    </cfRule>
    <cfRule type="expression" dxfId="18579" priority="3414">
      <formula>$C22="Bills"</formula>
    </cfRule>
    <cfRule type="expression" dxfId="18578" priority="3415">
      <formula>$C22="Sales"</formula>
    </cfRule>
    <cfRule type="expression" dxfId="18577" priority="3416">
      <formula>$C22="Expences"</formula>
    </cfRule>
    <cfRule type="expression" dxfId="18576" priority="3417">
      <formula>$C22="Garlic Purchase"</formula>
    </cfRule>
    <cfRule type="expression" dxfId="18575" priority="3418">
      <formula>$C22="Ginger Purchase"</formula>
    </cfRule>
  </conditionalFormatting>
  <conditionalFormatting sqref="B22 B25 B27:B29 B31 B33 B35">
    <cfRule type="expression" dxfId="18574" priority="3419">
      <formula>$C22="Advance"</formula>
    </cfRule>
  </conditionalFormatting>
  <conditionalFormatting sqref="B22 B25 B27:B29 B31 B33 B35">
    <cfRule type="expression" dxfId="18573" priority="3400">
      <formula>$C22="Delivery charge"</formula>
    </cfRule>
    <cfRule type="expression" dxfId="18572" priority="3401">
      <formula>$C22="Staff Salary"</formula>
    </cfRule>
    <cfRule type="expression" dxfId="18571" priority="3402">
      <formula>$C22="Rent"</formula>
    </cfRule>
    <cfRule type="expression" dxfId="18570" priority="3403">
      <formula>$C22="Petrol"</formula>
    </cfRule>
    <cfRule type="expression" dxfId="18569" priority="3404">
      <formula>$C22="Bills"</formula>
    </cfRule>
    <cfRule type="expression" dxfId="18568" priority="3405">
      <formula>$C22="Sales"</formula>
    </cfRule>
    <cfRule type="expression" dxfId="18567" priority="3406">
      <formula>$C22="Expences"</formula>
    </cfRule>
    <cfRule type="expression" dxfId="18566" priority="3407">
      <formula>$C22="Garlic Purchase"</formula>
    </cfRule>
    <cfRule type="expression" dxfId="18565" priority="3408">
      <formula>$C22="Ginger Purchase"</formula>
    </cfRule>
  </conditionalFormatting>
  <conditionalFormatting sqref="B22 B25 B27:B29 B31 B33 B35">
    <cfRule type="expression" dxfId="18564" priority="3409">
      <formula>$C22="Advance"</formula>
    </cfRule>
  </conditionalFormatting>
  <conditionalFormatting sqref="A21:A24">
    <cfRule type="expression" dxfId="18563" priority="3399">
      <formula>$C21="Advance"</formula>
    </cfRule>
  </conditionalFormatting>
  <conditionalFormatting sqref="B25 B27:B29 B31 B33 B35">
    <cfRule type="expression" dxfId="18562" priority="3398">
      <formula>$C25="Advance"</formula>
    </cfRule>
  </conditionalFormatting>
  <conditionalFormatting sqref="B25 B27:B29 B31 B33 B35">
    <cfRule type="expression" dxfId="18561" priority="3389">
      <formula>$C25="Delivery charge"</formula>
    </cfRule>
    <cfRule type="expression" dxfId="18560" priority="3390">
      <formula>$C25="Staff Salary"</formula>
    </cfRule>
    <cfRule type="expression" dxfId="18559" priority="3391">
      <formula>$C25="Rent"</formula>
    </cfRule>
    <cfRule type="expression" dxfId="18558" priority="3392">
      <formula>$C25="Petrol"</formula>
    </cfRule>
    <cfRule type="expression" dxfId="18557" priority="3393">
      <formula>$C25="Bills"</formula>
    </cfRule>
    <cfRule type="expression" dxfId="18556" priority="3394">
      <formula>$C25="Sales"</formula>
    </cfRule>
    <cfRule type="expression" dxfId="18555" priority="3395">
      <formula>$C25="Expences"</formula>
    </cfRule>
    <cfRule type="expression" dxfId="18554" priority="3396">
      <formula>$C25="Garlic Purchase"</formula>
    </cfRule>
    <cfRule type="expression" dxfId="18553" priority="3397">
      <formula>$C25="Ginger Purchase"</formula>
    </cfRule>
  </conditionalFormatting>
  <conditionalFormatting sqref="B25 B27:B29 B31 B33 B35">
    <cfRule type="expression" dxfId="18552" priority="3379">
      <formula>$C25="Delivery charge"</formula>
    </cfRule>
    <cfRule type="expression" dxfId="18551" priority="3380">
      <formula>$C25="Staff Salary"</formula>
    </cfRule>
    <cfRule type="expression" dxfId="18550" priority="3381">
      <formula>$C25="Rent"</formula>
    </cfRule>
    <cfRule type="expression" dxfId="18549" priority="3382">
      <formula>$C25="Petrol"</formula>
    </cfRule>
    <cfRule type="expression" dxfId="18548" priority="3383">
      <formula>$C25="Bills"</formula>
    </cfRule>
    <cfRule type="expression" dxfId="18547" priority="3384">
      <formula>$C25="Sales"</formula>
    </cfRule>
    <cfRule type="expression" dxfId="18546" priority="3385">
      <formula>$C25="Expences"</formula>
    </cfRule>
    <cfRule type="expression" dxfId="18545" priority="3386">
      <formula>$C25="Garlic Purchase"</formula>
    </cfRule>
    <cfRule type="expression" dxfId="18544" priority="3387">
      <formula>$C25="Ginger Purchase"</formula>
    </cfRule>
  </conditionalFormatting>
  <conditionalFormatting sqref="B25 B27:B29 B31 B33 B35">
    <cfRule type="expression" dxfId="18543" priority="3388">
      <formula>$C25="Advance"</formula>
    </cfRule>
  </conditionalFormatting>
  <conditionalFormatting sqref="B25 B27:B29 B31 B33 B35">
    <cfRule type="expression" dxfId="18542" priority="3369">
      <formula>$C25="Delivery charge"</formula>
    </cfRule>
    <cfRule type="expression" dxfId="18541" priority="3370">
      <formula>$C25="Staff Salary"</formula>
    </cfRule>
    <cfRule type="expression" dxfId="18540" priority="3371">
      <formula>$C25="Rent"</formula>
    </cfRule>
    <cfRule type="expression" dxfId="18539" priority="3372">
      <formula>$C25="Petrol"</formula>
    </cfRule>
    <cfRule type="expression" dxfId="18538" priority="3373">
      <formula>$C25="Bills"</formula>
    </cfRule>
    <cfRule type="expression" dxfId="18537" priority="3374">
      <formula>$C25="Sales"</formula>
    </cfRule>
    <cfRule type="expression" dxfId="18536" priority="3375">
      <formula>$C25="Expences"</formula>
    </cfRule>
    <cfRule type="expression" dxfId="18535" priority="3376">
      <formula>$C25="Garlic Purchase"</formula>
    </cfRule>
    <cfRule type="expression" dxfId="18534" priority="3377">
      <formula>$C25="Ginger Purchase"</formula>
    </cfRule>
  </conditionalFormatting>
  <conditionalFormatting sqref="B25 B27:B29 B31 B33 B35">
    <cfRule type="expression" dxfId="18533" priority="3378">
      <formula>$C25="Advance"</formula>
    </cfRule>
  </conditionalFormatting>
  <conditionalFormatting sqref="B25 B27:B29 B31 B33 B35">
    <cfRule type="expression" dxfId="18532" priority="3359">
      <formula>$C25="Delivery charge"</formula>
    </cfRule>
    <cfRule type="expression" dxfId="18531" priority="3360">
      <formula>$C25="Staff Salary"</formula>
    </cfRule>
    <cfRule type="expression" dxfId="18530" priority="3361">
      <formula>$C25="Rent"</formula>
    </cfRule>
    <cfRule type="expression" dxfId="18529" priority="3362">
      <formula>$C25="Petrol"</formula>
    </cfRule>
    <cfRule type="expression" dxfId="18528" priority="3363">
      <formula>$C25="Bills"</formula>
    </cfRule>
    <cfRule type="expression" dxfId="18527" priority="3364">
      <formula>$C25="Sales"</formula>
    </cfRule>
    <cfRule type="expression" dxfId="18526" priority="3365">
      <formula>$C25="Expences"</formula>
    </cfRule>
    <cfRule type="expression" dxfId="18525" priority="3366">
      <formula>$C25="Garlic Purchase"</formula>
    </cfRule>
    <cfRule type="expression" dxfId="18524" priority="3367">
      <formula>$C25="Ginger Purchase"</formula>
    </cfRule>
  </conditionalFormatting>
  <conditionalFormatting sqref="B25 B27:B29 B31 B33 B35">
    <cfRule type="expression" dxfId="18523" priority="3368">
      <formula>$C25="Advance"</formula>
    </cfRule>
  </conditionalFormatting>
  <conditionalFormatting sqref="B25 B27:B29 B31 B33 B35">
    <cfRule type="expression" dxfId="18522" priority="3349">
      <formula>$C25="Delivery charge"</formula>
    </cfRule>
    <cfRule type="expression" dxfId="18521" priority="3350">
      <formula>$C25="Staff Salary"</formula>
    </cfRule>
    <cfRule type="expression" dxfId="18520" priority="3351">
      <formula>$C25="Rent"</formula>
    </cfRule>
    <cfRule type="expression" dxfId="18519" priority="3352">
      <formula>$C25="Petrol"</formula>
    </cfRule>
    <cfRule type="expression" dxfId="18518" priority="3353">
      <formula>$C25="Bills"</formula>
    </cfRule>
    <cfRule type="expression" dxfId="18517" priority="3354">
      <formula>$C25="Sales"</formula>
    </cfRule>
    <cfRule type="expression" dxfId="18516" priority="3355">
      <formula>$C25="Expences"</formula>
    </cfRule>
    <cfRule type="expression" dxfId="18515" priority="3356">
      <formula>$C25="Garlic Purchase"</formula>
    </cfRule>
    <cfRule type="expression" dxfId="18514" priority="3357">
      <formula>$C25="Ginger Purchase"</formula>
    </cfRule>
  </conditionalFormatting>
  <conditionalFormatting sqref="B25 B27:B29 B31 B33 B35">
    <cfRule type="expression" dxfId="18513" priority="3358">
      <formula>$C25="Advance"</formula>
    </cfRule>
  </conditionalFormatting>
  <conditionalFormatting sqref="B25 B27:B29 B31 B33 B35">
    <cfRule type="expression" dxfId="18512" priority="3339">
      <formula>$C25="Delivery charge"</formula>
    </cfRule>
    <cfRule type="expression" dxfId="18511" priority="3340">
      <formula>$C25="Staff Salary"</formula>
    </cfRule>
    <cfRule type="expression" dxfId="18510" priority="3341">
      <formula>$C25="Rent"</formula>
    </cfRule>
    <cfRule type="expression" dxfId="18509" priority="3342">
      <formula>$C25="Petrol"</formula>
    </cfRule>
    <cfRule type="expression" dxfId="18508" priority="3343">
      <formula>$C25="Bills"</formula>
    </cfRule>
    <cfRule type="expression" dxfId="18507" priority="3344">
      <formula>$C25="Sales"</formula>
    </cfRule>
    <cfRule type="expression" dxfId="18506" priority="3345">
      <formula>$C25="Expences"</formula>
    </cfRule>
    <cfRule type="expression" dxfId="18505" priority="3346">
      <formula>$C25="Garlic Purchase"</formula>
    </cfRule>
    <cfRule type="expression" dxfId="18504" priority="3347">
      <formula>$C25="Ginger Purchase"</formula>
    </cfRule>
  </conditionalFormatting>
  <conditionalFormatting sqref="B25 B27:B29 B31 B33 B35">
    <cfRule type="expression" dxfId="18503" priority="3348">
      <formula>$C25="Advance"</formula>
    </cfRule>
  </conditionalFormatting>
  <conditionalFormatting sqref="B25 B27:B29 B31 B33 B35">
    <cfRule type="expression" dxfId="18502" priority="3329">
      <formula>$C25="Delivery charge"</formula>
    </cfRule>
    <cfRule type="expression" dxfId="18501" priority="3330">
      <formula>$C25="Staff Salary"</formula>
    </cfRule>
    <cfRule type="expression" dxfId="18500" priority="3331">
      <formula>$C25="Rent"</formula>
    </cfRule>
    <cfRule type="expression" dxfId="18499" priority="3332">
      <formula>$C25="Petrol"</formula>
    </cfRule>
    <cfRule type="expression" dxfId="18498" priority="3333">
      <formula>$C25="Bills"</formula>
    </cfRule>
    <cfRule type="expression" dxfId="18497" priority="3334">
      <formula>$C25="Sales"</formula>
    </cfRule>
    <cfRule type="expression" dxfId="18496" priority="3335">
      <formula>$C25="Expences"</formula>
    </cfRule>
    <cfRule type="expression" dxfId="18495" priority="3336">
      <formula>$C25="Garlic Purchase"</formula>
    </cfRule>
    <cfRule type="expression" dxfId="18494" priority="3337">
      <formula>$C25="Ginger Purchase"</formula>
    </cfRule>
  </conditionalFormatting>
  <conditionalFormatting sqref="B25 B27:B29 B31 B33 B35">
    <cfRule type="expression" dxfId="18493" priority="3338">
      <formula>$C25="Advance"</formula>
    </cfRule>
  </conditionalFormatting>
  <conditionalFormatting sqref="B25 B27:B29 B31 B33 B35">
    <cfRule type="expression" dxfId="18492" priority="3319">
      <formula>$C25="Delivery charge"</formula>
    </cfRule>
    <cfRule type="expression" dxfId="18491" priority="3320">
      <formula>$C25="Staff Salary"</formula>
    </cfRule>
    <cfRule type="expression" dxfId="18490" priority="3321">
      <formula>$C25="Rent"</formula>
    </cfRule>
    <cfRule type="expression" dxfId="18489" priority="3322">
      <formula>$C25="Petrol"</formula>
    </cfRule>
    <cfRule type="expression" dxfId="18488" priority="3323">
      <formula>$C25="Bills"</formula>
    </cfRule>
    <cfRule type="expression" dxfId="18487" priority="3324">
      <formula>$C25="Sales"</formula>
    </cfRule>
    <cfRule type="expression" dxfId="18486" priority="3325">
      <formula>$C25="Expences"</formula>
    </cfRule>
    <cfRule type="expression" dxfId="18485" priority="3326">
      <formula>$C25="Garlic Purchase"</formula>
    </cfRule>
    <cfRule type="expression" dxfId="18484" priority="3327">
      <formula>$C25="Ginger Purchase"</formula>
    </cfRule>
  </conditionalFormatting>
  <conditionalFormatting sqref="B25 B27:B29 B31 B33 B35">
    <cfRule type="expression" dxfId="18483" priority="3328">
      <formula>$C25="Advance"</formula>
    </cfRule>
  </conditionalFormatting>
  <conditionalFormatting sqref="B25 B27:B29 B31 B33 B35">
    <cfRule type="expression" dxfId="18482" priority="3309">
      <formula>$C25="Delivery charge"</formula>
    </cfRule>
    <cfRule type="expression" dxfId="18481" priority="3310">
      <formula>$C25="Staff Salary"</formula>
    </cfRule>
    <cfRule type="expression" dxfId="18480" priority="3311">
      <formula>$C25="Rent"</formula>
    </cfRule>
    <cfRule type="expression" dxfId="18479" priority="3312">
      <formula>$C25="Petrol"</formula>
    </cfRule>
    <cfRule type="expression" dxfId="18478" priority="3313">
      <formula>$C25="Bills"</formula>
    </cfRule>
    <cfRule type="expression" dxfId="18477" priority="3314">
      <formula>$C25="Sales"</formula>
    </cfRule>
    <cfRule type="expression" dxfId="18476" priority="3315">
      <formula>$C25="Expences"</formula>
    </cfRule>
    <cfRule type="expression" dxfId="18475" priority="3316">
      <formula>$C25="Garlic Purchase"</formula>
    </cfRule>
    <cfRule type="expression" dxfId="18474" priority="3317">
      <formula>$C25="Ginger Purchase"</formula>
    </cfRule>
  </conditionalFormatting>
  <conditionalFormatting sqref="B25 B27:B29 B31 B33 B35">
    <cfRule type="expression" dxfId="18473" priority="3318">
      <formula>$C25="Advance"</formula>
    </cfRule>
  </conditionalFormatting>
  <conditionalFormatting sqref="B25 B27:B29 B31 B33 B35">
    <cfRule type="expression" dxfId="18472" priority="3299">
      <formula>$C25="Delivery charge"</formula>
    </cfRule>
    <cfRule type="expression" dxfId="18471" priority="3300">
      <formula>$C25="Staff Salary"</formula>
    </cfRule>
    <cfRule type="expression" dxfId="18470" priority="3301">
      <formula>$C25="Rent"</formula>
    </cfRule>
    <cfRule type="expression" dxfId="18469" priority="3302">
      <formula>$C25="Petrol"</formula>
    </cfRule>
    <cfRule type="expression" dxfId="18468" priority="3303">
      <formula>$C25="Bills"</formula>
    </cfRule>
    <cfRule type="expression" dxfId="18467" priority="3304">
      <formula>$C25="Sales"</formula>
    </cfRule>
    <cfRule type="expression" dxfId="18466" priority="3305">
      <formula>$C25="Expences"</formula>
    </cfRule>
    <cfRule type="expression" dxfId="18465" priority="3306">
      <formula>$C25="Garlic Purchase"</formula>
    </cfRule>
    <cfRule type="expression" dxfId="18464" priority="3307">
      <formula>$C25="Ginger Purchase"</formula>
    </cfRule>
  </conditionalFormatting>
  <conditionalFormatting sqref="B25 B27:B29 B31 B33 B35">
    <cfRule type="expression" dxfId="18463" priority="3308">
      <formula>$C25="Advance"</formula>
    </cfRule>
  </conditionalFormatting>
  <conditionalFormatting sqref="B25 B27:B29 B31 B33 B35">
    <cfRule type="expression" dxfId="18462" priority="3289">
      <formula>$C25="Delivery charge"</formula>
    </cfRule>
    <cfRule type="expression" dxfId="18461" priority="3290">
      <formula>$C25="Staff Salary"</formula>
    </cfRule>
    <cfRule type="expression" dxfId="18460" priority="3291">
      <formula>$C25="Rent"</formula>
    </cfRule>
    <cfRule type="expression" dxfId="18459" priority="3292">
      <formula>$C25="Petrol"</formula>
    </cfRule>
    <cfRule type="expression" dxfId="18458" priority="3293">
      <formula>$C25="Bills"</formula>
    </cfRule>
    <cfRule type="expression" dxfId="18457" priority="3294">
      <formula>$C25="Sales"</formula>
    </cfRule>
    <cfRule type="expression" dxfId="18456" priority="3295">
      <formula>$C25="Expences"</formula>
    </cfRule>
    <cfRule type="expression" dxfId="18455" priority="3296">
      <formula>$C25="Garlic Purchase"</formula>
    </cfRule>
    <cfRule type="expression" dxfId="18454" priority="3297">
      <formula>$C25="Ginger Purchase"</formula>
    </cfRule>
  </conditionalFormatting>
  <conditionalFormatting sqref="B25 B27:B29 B31 B33 B35">
    <cfRule type="expression" dxfId="18453" priority="3298">
      <formula>$C25="Advance"</formula>
    </cfRule>
  </conditionalFormatting>
  <conditionalFormatting sqref="B25 B27:B29 B31 B33 B35">
    <cfRule type="expression" dxfId="18452" priority="3279">
      <formula>$C25="Delivery charge"</formula>
    </cfRule>
    <cfRule type="expression" dxfId="18451" priority="3280">
      <formula>$C25="Staff Salary"</formula>
    </cfRule>
    <cfRule type="expression" dxfId="18450" priority="3281">
      <formula>$C25="Rent"</formula>
    </cfRule>
    <cfRule type="expression" dxfId="18449" priority="3282">
      <formula>$C25="Petrol"</formula>
    </cfRule>
    <cfRule type="expression" dxfId="18448" priority="3283">
      <formula>$C25="Bills"</formula>
    </cfRule>
    <cfRule type="expression" dxfId="18447" priority="3284">
      <formula>$C25="Sales"</formula>
    </cfRule>
    <cfRule type="expression" dxfId="18446" priority="3285">
      <formula>$C25="Expences"</formula>
    </cfRule>
    <cfRule type="expression" dxfId="18445" priority="3286">
      <formula>$C25="Garlic Purchase"</formula>
    </cfRule>
    <cfRule type="expression" dxfId="18444" priority="3287">
      <formula>$C25="Ginger Purchase"</formula>
    </cfRule>
  </conditionalFormatting>
  <conditionalFormatting sqref="B25 B27:B29 B31 B33 B35">
    <cfRule type="expression" dxfId="18443" priority="3288">
      <formula>$C25="Advance"</formula>
    </cfRule>
  </conditionalFormatting>
  <conditionalFormatting sqref="B25 B27:B29 B31 B33 B35">
    <cfRule type="expression" dxfId="18442" priority="3269">
      <formula>$C25="Delivery charge"</formula>
    </cfRule>
    <cfRule type="expression" dxfId="18441" priority="3270">
      <formula>$C25="Staff Salary"</formula>
    </cfRule>
    <cfRule type="expression" dxfId="18440" priority="3271">
      <formula>$C25="Rent"</formula>
    </cfRule>
    <cfRule type="expression" dxfId="18439" priority="3272">
      <formula>$C25="Petrol"</formula>
    </cfRule>
    <cfRule type="expression" dxfId="18438" priority="3273">
      <formula>$C25="Bills"</formula>
    </cfRule>
    <cfRule type="expression" dxfId="18437" priority="3274">
      <formula>$C25="Sales"</formula>
    </cfRule>
    <cfRule type="expression" dxfId="18436" priority="3275">
      <formula>$C25="Expences"</formula>
    </cfRule>
    <cfRule type="expression" dxfId="18435" priority="3276">
      <formula>$C25="Garlic Purchase"</formula>
    </cfRule>
    <cfRule type="expression" dxfId="18434" priority="3277">
      <formula>$C25="Ginger Purchase"</formula>
    </cfRule>
  </conditionalFormatting>
  <conditionalFormatting sqref="B25 B27:B29 B31 B33 B35">
    <cfRule type="expression" dxfId="18433" priority="3278">
      <formula>$C25="Advance"</formula>
    </cfRule>
  </conditionalFormatting>
  <conditionalFormatting sqref="B25 B27:B29 B31 B33 B35">
    <cfRule type="expression" dxfId="18432" priority="3259">
      <formula>$C25="Delivery charge"</formula>
    </cfRule>
    <cfRule type="expression" dxfId="18431" priority="3260">
      <formula>$C25="Staff Salary"</formula>
    </cfRule>
    <cfRule type="expression" dxfId="18430" priority="3261">
      <formula>$C25="Rent"</formula>
    </cfRule>
    <cfRule type="expression" dxfId="18429" priority="3262">
      <formula>$C25="Petrol"</formula>
    </cfRule>
    <cfRule type="expression" dxfId="18428" priority="3263">
      <formula>$C25="Bills"</formula>
    </cfRule>
    <cfRule type="expression" dxfId="18427" priority="3264">
      <formula>$C25="Sales"</formula>
    </cfRule>
    <cfRule type="expression" dxfId="18426" priority="3265">
      <formula>$C25="Expences"</formula>
    </cfRule>
    <cfRule type="expression" dxfId="18425" priority="3266">
      <formula>$C25="Garlic Purchase"</formula>
    </cfRule>
    <cfRule type="expression" dxfId="18424" priority="3267">
      <formula>$C25="Ginger Purchase"</formula>
    </cfRule>
  </conditionalFormatting>
  <conditionalFormatting sqref="B25 B27:B29 B31 B33 B35">
    <cfRule type="expression" dxfId="18423" priority="3268">
      <formula>$C25="Advance"</formula>
    </cfRule>
  </conditionalFormatting>
  <conditionalFormatting sqref="B25 B27:B29 B31 B33 B35">
    <cfRule type="expression" dxfId="18422" priority="3249">
      <formula>$C25="Delivery charge"</formula>
    </cfRule>
    <cfRule type="expression" dxfId="18421" priority="3250">
      <formula>$C25="Staff Salary"</formula>
    </cfRule>
    <cfRule type="expression" dxfId="18420" priority="3251">
      <formula>$C25="Rent"</formula>
    </cfRule>
    <cfRule type="expression" dxfId="18419" priority="3252">
      <formula>$C25="Petrol"</formula>
    </cfRule>
    <cfRule type="expression" dxfId="18418" priority="3253">
      <formula>$C25="Bills"</formula>
    </cfRule>
    <cfRule type="expression" dxfId="18417" priority="3254">
      <formula>$C25="Sales"</formula>
    </cfRule>
    <cfRule type="expression" dxfId="18416" priority="3255">
      <formula>$C25="Expences"</formula>
    </cfRule>
    <cfRule type="expression" dxfId="18415" priority="3256">
      <formula>$C25="Garlic Purchase"</formula>
    </cfRule>
    <cfRule type="expression" dxfId="18414" priority="3257">
      <formula>$C25="Ginger Purchase"</formula>
    </cfRule>
  </conditionalFormatting>
  <conditionalFormatting sqref="B25 B27:B29 B31 B33 B35">
    <cfRule type="expression" dxfId="18413" priority="3258">
      <formula>$C25="Advance"</formula>
    </cfRule>
  </conditionalFormatting>
  <conditionalFormatting sqref="B25 B27:B29 B31 B33 B35">
    <cfRule type="expression" dxfId="18412" priority="3239">
      <formula>$C25="Delivery charge"</formula>
    </cfRule>
    <cfRule type="expression" dxfId="18411" priority="3240">
      <formula>$C25="Staff Salary"</formula>
    </cfRule>
    <cfRule type="expression" dxfId="18410" priority="3241">
      <formula>$C25="Rent"</formula>
    </cfRule>
    <cfRule type="expression" dxfId="18409" priority="3242">
      <formula>$C25="Petrol"</formula>
    </cfRule>
    <cfRule type="expression" dxfId="18408" priority="3243">
      <formula>$C25="Bills"</formula>
    </cfRule>
    <cfRule type="expression" dxfId="18407" priority="3244">
      <formula>$C25="Sales"</formula>
    </cfRule>
    <cfRule type="expression" dxfId="18406" priority="3245">
      <formula>$C25="Expences"</formula>
    </cfRule>
    <cfRule type="expression" dxfId="18405" priority="3246">
      <formula>$C25="Garlic Purchase"</formula>
    </cfRule>
    <cfRule type="expression" dxfId="18404" priority="3247">
      <formula>$C25="Ginger Purchase"</formula>
    </cfRule>
  </conditionalFormatting>
  <conditionalFormatting sqref="B25 B27:B29 B31 B33 B35">
    <cfRule type="expression" dxfId="18403" priority="3248">
      <formula>$C25="Advance"</formula>
    </cfRule>
  </conditionalFormatting>
  <conditionalFormatting sqref="B25 B27:B29 B31 B33 B35">
    <cfRule type="expression" dxfId="18402" priority="3229">
      <formula>$C25="Delivery charge"</formula>
    </cfRule>
    <cfRule type="expression" dxfId="18401" priority="3230">
      <formula>$C25="Staff Salary"</formula>
    </cfRule>
    <cfRule type="expression" dxfId="18400" priority="3231">
      <formula>$C25="Rent"</formula>
    </cfRule>
    <cfRule type="expression" dxfId="18399" priority="3232">
      <formula>$C25="Petrol"</formula>
    </cfRule>
    <cfRule type="expression" dxfId="18398" priority="3233">
      <formula>$C25="Bills"</formula>
    </cfRule>
    <cfRule type="expression" dxfId="18397" priority="3234">
      <formula>$C25="Sales"</formula>
    </cfRule>
    <cfRule type="expression" dxfId="18396" priority="3235">
      <formula>$C25="Expences"</formula>
    </cfRule>
    <cfRule type="expression" dxfId="18395" priority="3236">
      <formula>$C25="Garlic Purchase"</formula>
    </cfRule>
    <cfRule type="expression" dxfId="18394" priority="3237">
      <formula>$C25="Ginger Purchase"</formula>
    </cfRule>
  </conditionalFormatting>
  <conditionalFormatting sqref="B25 B27:B29 B31 B33 B35">
    <cfRule type="expression" dxfId="18393" priority="3238">
      <formula>$C25="Advance"</formula>
    </cfRule>
  </conditionalFormatting>
  <conditionalFormatting sqref="B25 B27:B29 B31 B33 B35">
    <cfRule type="expression" dxfId="18392" priority="3219">
      <formula>$C25="Delivery charge"</formula>
    </cfRule>
    <cfRule type="expression" dxfId="18391" priority="3220">
      <formula>$C25="Staff Salary"</formula>
    </cfRule>
    <cfRule type="expression" dxfId="18390" priority="3221">
      <formula>$C25="Rent"</formula>
    </cfRule>
    <cfRule type="expression" dxfId="18389" priority="3222">
      <formula>$C25="Petrol"</formula>
    </cfRule>
    <cfRule type="expression" dxfId="18388" priority="3223">
      <formula>$C25="Bills"</formula>
    </cfRule>
    <cfRule type="expression" dxfId="18387" priority="3224">
      <formula>$C25="Sales"</formula>
    </cfRule>
    <cfRule type="expression" dxfId="18386" priority="3225">
      <formula>$C25="Expences"</formula>
    </cfRule>
    <cfRule type="expression" dxfId="18385" priority="3226">
      <formula>$C25="Garlic Purchase"</formula>
    </cfRule>
    <cfRule type="expression" dxfId="18384" priority="3227">
      <formula>$C25="Ginger Purchase"</formula>
    </cfRule>
  </conditionalFormatting>
  <conditionalFormatting sqref="B25 B27:B29 B31 B33 B35">
    <cfRule type="expression" dxfId="18383" priority="3228">
      <formula>$C25="Advance"</formula>
    </cfRule>
  </conditionalFormatting>
  <conditionalFormatting sqref="B25 B27:B29 B31 B33 B35">
    <cfRule type="expression" dxfId="18382" priority="3209">
      <formula>$C25="Delivery charge"</formula>
    </cfRule>
    <cfRule type="expression" dxfId="18381" priority="3210">
      <formula>$C25="Staff Salary"</formula>
    </cfRule>
    <cfRule type="expression" dxfId="18380" priority="3211">
      <formula>$C25="Rent"</formula>
    </cfRule>
    <cfRule type="expression" dxfId="18379" priority="3212">
      <formula>$C25="Petrol"</formula>
    </cfRule>
    <cfRule type="expression" dxfId="18378" priority="3213">
      <formula>$C25="Bills"</formula>
    </cfRule>
    <cfRule type="expression" dxfId="18377" priority="3214">
      <formula>$C25="Sales"</formula>
    </cfRule>
    <cfRule type="expression" dxfId="18376" priority="3215">
      <formula>$C25="Expences"</formula>
    </cfRule>
    <cfRule type="expression" dxfId="18375" priority="3216">
      <formula>$C25="Garlic Purchase"</formula>
    </cfRule>
    <cfRule type="expression" dxfId="18374" priority="3217">
      <formula>$C25="Ginger Purchase"</formula>
    </cfRule>
  </conditionalFormatting>
  <conditionalFormatting sqref="B25 B27:B29 B31 B33 B35">
    <cfRule type="expression" dxfId="18373" priority="3218">
      <formula>$C25="Advance"</formula>
    </cfRule>
  </conditionalFormatting>
  <conditionalFormatting sqref="B25 B27:B29 B31 B33 B35">
    <cfRule type="expression" dxfId="18372" priority="3199">
      <formula>$C25="Delivery charge"</formula>
    </cfRule>
    <cfRule type="expression" dxfId="18371" priority="3200">
      <formula>$C25="Staff Salary"</formula>
    </cfRule>
    <cfRule type="expression" dxfId="18370" priority="3201">
      <formula>$C25="Rent"</formula>
    </cfRule>
    <cfRule type="expression" dxfId="18369" priority="3202">
      <formula>$C25="Petrol"</formula>
    </cfRule>
    <cfRule type="expression" dxfId="18368" priority="3203">
      <formula>$C25="Bills"</formula>
    </cfRule>
    <cfRule type="expression" dxfId="18367" priority="3204">
      <formula>$C25="Sales"</formula>
    </cfRule>
    <cfRule type="expression" dxfId="18366" priority="3205">
      <formula>$C25="Expences"</formula>
    </cfRule>
    <cfRule type="expression" dxfId="18365" priority="3206">
      <formula>$C25="Garlic Purchase"</formula>
    </cfRule>
    <cfRule type="expression" dxfId="18364" priority="3207">
      <formula>$C25="Ginger Purchase"</formula>
    </cfRule>
  </conditionalFormatting>
  <conditionalFormatting sqref="B25 B27:B29 B31 B33 B35">
    <cfRule type="expression" dxfId="18363" priority="3208">
      <formula>$C25="Advance"</formula>
    </cfRule>
  </conditionalFormatting>
  <conditionalFormatting sqref="B23 B26 B29 B31 B37 B33 B35 B39 B41 B43 B45">
    <cfRule type="expression" dxfId="18362" priority="3198">
      <formula>$C23="Advance"</formula>
    </cfRule>
  </conditionalFormatting>
  <conditionalFormatting sqref="B23 B26 B29 B31 B37 B33 B35 B39 B41 B43 B45">
    <cfRule type="expression" dxfId="18361" priority="3189">
      <formula>$C23="Delivery charge"</formula>
    </cfRule>
    <cfRule type="expression" dxfId="18360" priority="3190">
      <formula>$C23="Staff Salary"</formula>
    </cfRule>
    <cfRule type="expression" dxfId="18359" priority="3191">
      <formula>$C23="Rent"</formula>
    </cfRule>
    <cfRule type="expression" dxfId="18358" priority="3192">
      <formula>$C23="Petrol"</formula>
    </cfRule>
    <cfRule type="expression" dxfId="18357" priority="3193">
      <formula>$C23="Bills"</formula>
    </cfRule>
    <cfRule type="expression" dxfId="18356" priority="3194">
      <formula>$C23="Sales"</formula>
    </cfRule>
    <cfRule type="expression" dxfId="18355" priority="3195">
      <formula>$C23="Expences"</formula>
    </cfRule>
    <cfRule type="expression" dxfId="18354" priority="3196">
      <formula>$C23="Garlic Purchase"</formula>
    </cfRule>
    <cfRule type="expression" dxfId="18353" priority="3197">
      <formula>$C23="Ginger Purchase"</formula>
    </cfRule>
  </conditionalFormatting>
  <conditionalFormatting sqref="B24 B36 B38 B26:B28 B30 B32 B34 B40 B42 B44 B46">
    <cfRule type="expression" dxfId="18352" priority="3179">
      <formula>$C24="Delivery charge"</formula>
    </cfRule>
    <cfRule type="expression" dxfId="18351" priority="3180">
      <formula>$C24="Staff Salary"</formula>
    </cfRule>
    <cfRule type="expression" dxfId="18350" priority="3181">
      <formula>$C24="Rent"</formula>
    </cfRule>
    <cfRule type="expression" dxfId="18349" priority="3182">
      <formula>$C24="Petrol"</formula>
    </cfRule>
    <cfRule type="expression" dxfId="18348" priority="3183">
      <formula>$C24="Bills"</formula>
    </cfRule>
    <cfRule type="expression" dxfId="18347" priority="3184">
      <formula>$C24="Sales"</formula>
    </cfRule>
    <cfRule type="expression" dxfId="18346" priority="3185">
      <formula>$C24="Expences"</formula>
    </cfRule>
    <cfRule type="expression" dxfId="18345" priority="3186">
      <formula>$C24="Garlic Purchase"</formula>
    </cfRule>
    <cfRule type="expression" dxfId="18344" priority="3187">
      <formula>$C24="Ginger Purchase"</formula>
    </cfRule>
  </conditionalFormatting>
  <conditionalFormatting sqref="B24 B36 B38 B26:B28 B30 B32 B34 B40 B42 B44 B46">
    <cfRule type="expression" dxfId="18343" priority="3188">
      <formula>$C24="Advance"</formula>
    </cfRule>
  </conditionalFormatting>
  <conditionalFormatting sqref="B24 B36 B38 B26:B28 B30 B32 B34 B40 B42 B44 B46">
    <cfRule type="expression" dxfId="18342" priority="3169">
      <formula>$C24="Delivery charge"</formula>
    </cfRule>
    <cfRule type="expression" dxfId="18341" priority="3170">
      <formula>$C24="Staff Salary"</formula>
    </cfRule>
    <cfRule type="expression" dxfId="18340" priority="3171">
      <formula>$C24="Rent"</formula>
    </cfRule>
    <cfRule type="expression" dxfId="18339" priority="3172">
      <formula>$C24="Petrol"</formula>
    </cfRule>
    <cfRule type="expression" dxfId="18338" priority="3173">
      <formula>$C24="Bills"</formula>
    </cfRule>
    <cfRule type="expression" dxfId="18337" priority="3174">
      <formula>$C24="Sales"</formula>
    </cfRule>
    <cfRule type="expression" dxfId="18336" priority="3175">
      <formula>$C24="Expences"</formula>
    </cfRule>
    <cfRule type="expression" dxfId="18335" priority="3176">
      <formula>$C24="Garlic Purchase"</formula>
    </cfRule>
    <cfRule type="expression" dxfId="18334" priority="3177">
      <formula>$C24="Ginger Purchase"</formula>
    </cfRule>
  </conditionalFormatting>
  <conditionalFormatting sqref="B24 B36 B38 B26:B28 B30 B32 B34 B40 B42 B44 B46">
    <cfRule type="expression" dxfId="18333" priority="3178">
      <formula>$C24="Advance"</formula>
    </cfRule>
  </conditionalFormatting>
  <conditionalFormatting sqref="B24 B36 B38 B26:B28 B30 B32 B34 B40 B42 B44 B46">
    <cfRule type="expression" dxfId="18332" priority="3159">
      <formula>$C24="Delivery charge"</formula>
    </cfRule>
    <cfRule type="expression" dxfId="18331" priority="3160">
      <formula>$C24="Staff Salary"</formula>
    </cfRule>
    <cfRule type="expression" dxfId="18330" priority="3161">
      <formula>$C24="Rent"</formula>
    </cfRule>
    <cfRule type="expression" dxfId="18329" priority="3162">
      <formula>$C24="Petrol"</formula>
    </cfRule>
    <cfRule type="expression" dxfId="18328" priority="3163">
      <formula>$C24="Bills"</formula>
    </cfRule>
    <cfRule type="expression" dxfId="18327" priority="3164">
      <formula>$C24="Sales"</formula>
    </cfRule>
    <cfRule type="expression" dxfId="18326" priority="3165">
      <formula>$C24="Expences"</formula>
    </cfRule>
    <cfRule type="expression" dxfId="18325" priority="3166">
      <formula>$C24="Garlic Purchase"</formula>
    </cfRule>
    <cfRule type="expression" dxfId="18324" priority="3167">
      <formula>$C24="Ginger Purchase"</formula>
    </cfRule>
  </conditionalFormatting>
  <conditionalFormatting sqref="B24 B36 B38 B26:B28 B30 B32 B34 B40 B42 B44 B46">
    <cfRule type="expression" dxfId="18323" priority="3168">
      <formula>$C24="Advance"</formula>
    </cfRule>
  </conditionalFormatting>
  <conditionalFormatting sqref="B24 B36 B38 B26:B28 B30 B32 B34 B40 B42 B44 B46">
    <cfRule type="expression" dxfId="18322" priority="3149">
      <formula>$C24="Delivery charge"</formula>
    </cfRule>
    <cfRule type="expression" dxfId="18321" priority="3150">
      <formula>$C24="Staff Salary"</formula>
    </cfRule>
    <cfRule type="expression" dxfId="18320" priority="3151">
      <formula>$C24="Rent"</formula>
    </cfRule>
    <cfRule type="expression" dxfId="18319" priority="3152">
      <formula>$C24="Petrol"</formula>
    </cfRule>
    <cfRule type="expression" dxfId="18318" priority="3153">
      <formula>$C24="Bills"</formula>
    </cfRule>
    <cfRule type="expression" dxfId="18317" priority="3154">
      <formula>$C24="Sales"</formula>
    </cfRule>
    <cfRule type="expression" dxfId="18316" priority="3155">
      <formula>$C24="Expences"</formula>
    </cfRule>
    <cfRule type="expression" dxfId="18315" priority="3156">
      <formula>$C24="Garlic Purchase"</formula>
    </cfRule>
    <cfRule type="expression" dxfId="18314" priority="3157">
      <formula>$C24="Ginger Purchase"</formula>
    </cfRule>
  </conditionalFormatting>
  <conditionalFormatting sqref="B24 B36 B38 B26:B28 B30 B32 B34 B40 B42 B44 B46">
    <cfRule type="expression" dxfId="18313" priority="3158">
      <formula>$C24="Advance"</formula>
    </cfRule>
  </conditionalFormatting>
  <conditionalFormatting sqref="B24 B36 B38 B26:B28 B30 B32 B34 B40 B42 B44 B46">
    <cfRule type="expression" dxfId="18312" priority="3139">
      <formula>$C24="Delivery charge"</formula>
    </cfRule>
    <cfRule type="expression" dxfId="18311" priority="3140">
      <formula>$C24="Staff Salary"</formula>
    </cfRule>
    <cfRule type="expression" dxfId="18310" priority="3141">
      <formula>$C24="Rent"</formula>
    </cfRule>
    <cfRule type="expression" dxfId="18309" priority="3142">
      <formula>$C24="Petrol"</formula>
    </cfRule>
    <cfRule type="expression" dxfId="18308" priority="3143">
      <formula>$C24="Bills"</formula>
    </cfRule>
    <cfRule type="expression" dxfId="18307" priority="3144">
      <formula>$C24="Sales"</formula>
    </cfRule>
    <cfRule type="expression" dxfId="18306" priority="3145">
      <formula>$C24="Expences"</formula>
    </cfRule>
    <cfRule type="expression" dxfId="18305" priority="3146">
      <formula>$C24="Garlic Purchase"</formula>
    </cfRule>
    <cfRule type="expression" dxfId="18304" priority="3147">
      <formula>$C24="Ginger Purchase"</formula>
    </cfRule>
  </conditionalFormatting>
  <conditionalFormatting sqref="B24 B36 B38 B26:B28 B30 B32 B34 B40 B42 B44 B46">
    <cfRule type="expression" dxfId="18303" priority="3148">
      <formula>$C24="Advance"</formula>
    </cfRule>
  </conditionalFormatting>
  <conditionalFormatting sqref="B24 B36 B38 B26:B28 B30 B32 B34 B40 B42 B44 B46">
    <cfRule type="expression" dxfId="18302" priority="3129">
      <formula>$C24="Delivery charge"</formula>
    </cfRule>
    <cfRule type="expression" dxfId="18301" priority="3130">
      <formula>$C24="Staff Salary"</formula>
    </cfRule>
    <cfRule type="expression" dxfId="18300" priority="3131">
      <formula>$C24="Rent"</formula>
    </cfRule>
    <cfRule type="expression" dxfId="18299" priority="3132">
      <formula>$C24="Petrol"</formula>
    </cfRule>
    <cfRule type="expression" dxfId="18298" priority="3133">
      <formula>$C24="Bills"</formula>
    </cfRule>
    <cfRule type="expression" dxfId="18297" priority="3134">
      <formula>$C24="Sales"</formula>
    </cfRule>
    <cfRule type="expression" dxfId="18296" priority="3135">
      <formula>$C24="Expences"</formula>
    </cfRule>
    <cfRule type="expression" dxfId="18295" priority="3136">
      <formula>$C24="Garlic Purchase"</formula>
    </cfRule>
    <cfRule type="expression" dxfId="18294" priority="3137">
      <formula>$C24="Ginger Purchase"</formula>
    </cfRule>
  </conditionalFormatting>
  <conditionalFormatting sqref="B24 B36 B38 B26:B28 B30 B32 B34 B40 B42 B44 B46">
    <cfRule type="expression" dxfId="18293" priority="3138">
      <formula>$C24="Advance"</formula>
    </cfRule>
  </conditionalFormatting>
  <conditionalFormatting sqref="B24 B36 B38 B26:B28 B30 B32 B34 B40 B42 B44 B46">
    <cfRule type="expression" dxfId="18292" priority="3119">
      <formula>$C24="Delivery charge"</formula>
    </cfRule>
    <cfRule type="expression" dxfId="18291" priority="3120">
      <formula>$C24="Staff Salary"</formula>
    </cfRule>
    <cfRule type="expression" dxfId="18290" priority="3121">
      <formula>$C24="Rent"</formula>
    </cfRule>
    <cfRule type="expression" dxfId="18289" priority="3122">
      <formula>$C24="Petrol"</formula>
    </cfRule>
    <cfRule type="expression" dxfId="18288" priority="3123">
      <formula>$C24="Bills"</formula>
    </cfRule>
    <cfRule type="expression" dxfId="18287" priority="3124">
      <formula>$C24="Sales"</formula>
    </cfRule>
    <cfRule type="expression" dxfId="18286" priority="3125">
      <formula>$C24="Expences"</formula>
    </cfRule>
    <cfRule type="expression" dxfId="18285" priority="3126">
      <formula>$C24="Garlic Purchase"</formula>
    </cfRule>
    <cfRule type="expression" dxfId="18284" priority="3127">
      <formula>$C24="Ginger Purchase"</formula>
    </cfRule>
  </conditionalFormatting>
  <conditionalFormatting sqref="B24 B36 B38 B26:B28 B30 B32 B34 B40 B42 B44 B46">
    <cfRule type="expression" dxfId="18283" priority="3128">
      <formula>$C24="Advance"</formula>
    </cfRule>
  </conditionalFormatting>
  <conditionalFormatting sqref="B24 B36 B38 B26:B28 B30 B32 B34 B40 B42 B44 B46">
    <cfRule type="expression" dxfId="18282" priority="3109">
      <formula>$C24="Delivery charge"</formula>
    </cfRule>
    <cfRule type="expression" dxfId="18281" priority="3110">
      <formula>$C24="Staff Salary"</formula>
    </cfRule>
    <cfRule type="expression" dxfId="18280" priority="3111">
      <formula>$C24="Rent"</formula>
    </cfRule>
    <cfRule type="expression" dxfId="18279" priority="3112">
      <formula>$C24="Petrol"</formula>
    </cfRule>
    <cfRule type="expression" dxfId="18278" priority="3113">
      <formula>$C24="Bills"</formula>
    </cfRule>
    <cfRule type="expression" dxfId="18277" priority="3114">
      <formula>$C24="Sales"</formula>
    </cfRule>
    <cfRule type="expression" dxfId="18276" priority="3115">
      <formula>$C24="Expences"</formula>
    </cfRule>
    <cfRule type="expression" dxfId="18275" priority="3116">
      <formula>$C24="Garlic Purchase"</formula>
    </cfRule>
    <cfRule type="expression" dxfId="18274" priority="3117">
      <formula>$C24="Ginger Purchase"</formula>
    </cfRule>
  </conditionalFormatting>
  <conditionalFormatting sqref="B24 B36 B38 B26:B28 B30 B32 B34 B40 B42 B44 B46">
    <cfRule type="expression" dxfId="18273" priority="3118">
      <formula>$C24="Advance"</formula>
    </cfRule>
  </conditionalFormatting>
  <conditionalFormatting sqref="B24 B36 B38 B26:B28 B30 B32 B34 B40 B42 B44 B46">
    <cfRule type="expression" dxfId="18272" priority="3099">
      <formula>$C24="Delivery charge"</formula>
    </cfRule>
    <cfRule type="expression" dxfId="18271" priority="3100">
      <formula>$C24="Staff Salary"</formula>
    </cfRule>
    <cfRule type="expression" dxfId="18270" priority="3101">
      <formula>$C24="Rent"</formula>
    </cfRule>
    <cfRule type="expression" dxfId="18269" priority="3102">
      <formula>$C24="Petrol"</formula>
    </cfRule>
    <cfRule type="expression" dxfId="18268" priority="3103">
      <formula>$C24="Bills"</formula>
    </cfRule>
    <cfRule type="expression" dxfId="18267" priority="3104">
      <formula>$C24="Sales"</formula>
    </cfRule>
    <cfRule type="expression" dxfId="18266" priority="3105">
      <formula>$C24="Expences"</formula>
    </cfRule>
    <cfRule type="expression" dxfId="18265" priority="3106">
      <formula>$C24="Garlic Purchase"</formula>
    </cfRule>
    <cfRule type="expression" dxfId="18264" priority="3107">
      <formula>$C24="Ginger Purchase"</formula>
    </cfRule>
  </conditionalFormatting>
  <conditionalFormatting sqref="B24 B36 B38 B26:B28 B30 B32 B34 B40 B42 B44 B46">
    <cfRule type="expression" dxfId="18263" priority="3108">
      <formula>$C24="Advance"</formula>
    </cfRule>
  </conditionalFormatting>
  <conditionalFormatting sqref="B24 B36 B38 B26:B28 B30 B32 B34 B40 B42 B44 B46">
    <cfRule type="expression" dxfId="18262" priority="3089">
      <formula>$C24="Delivery charge"</formula>
    </cfRule>
    <cfRule type="expression" dxfId="18261" priority="3090">
      <formula>$C24="Staff Salary"</formula>
    </cfRule>
    <cfRule type="expression" dxfId="18260" priority="3091">
      <formula>$C24="Rent"</formula>
    </cfRule>
    <cfRule type="expression" dxfId="18259" priority="3092">
      <formula>$C24="Petrol"</formula>
    </cfRule>
    <cfRule type="expression" dxfId="18258" priority="3093">
      <formula>$C24="Bills"</formula>
    </cfRule>
    <cfRule type="expression" dxfId="18257" priority="3094">
      <formula>$C24="Sales"</formula>
    </cfRule>
    <cfRule type="expression" dxfId="18256" priority="3095">
      <formula>$C24="Expences"</formula>
    </cfRule>
    <cfRule type="expression" dxfId="18255" priority="3096">
      <formula>$C24="Garlic Purchase"</formula>
    </cfRule>
    <cfRule type="expression" dxfId="18254" priority="3097">
      <formula>$C24="Ginger Purchase"</formula>
    </cfRule>
  </conditionalFormatting>
  <conditionalFormatting sqref="B24 B36 B38 B26:B28 B30 B32 B34 B40 B42 B44 B46">
    <cfRule type="expression" dxfId="18253" priority="3098">
      <formula>$C24="Advance"</formula>
    </cfRule>
  </conditionalFormatting>
  <conditionalFormatting sqref="B24 B36 B38 B26:B28 B30 B32 B34 B40 B42 B44 B46">
    <cfRule type="expression" dxfId="18252" priority="3079">
      <formula>$C24="Delivery charge"</formula>
    </cfRule>
    <cfRule type="expression" dxfId="18251" priority="3080">
      <formula>$C24="Staff Salary"</formula>
    </cfRule>
    <cfRule type="expression" dxfId="18250" priority="3081">
      <formula>$C24="Rent"</formula>
    </cfRule>
    <cfRule type="expression" dxfId="18249" priority="3082">
      <formula>$C24="Petrol"</formula>
    </cfRule>
    <cfRule type="expression" dxfId="18248" priority="3083">
      <formula>$C24="Bills"</formula>
    </cfRule>
    <cfRule type="expression" dxfId="18247" priority="3084">
      <formula>$C24="Sales"</formula>
    </cfRule>
    <cfRule type="expression" dxfId="18246" priority="3085">
      <formula>$C24="Expences"</formula>
    </cfRule>
    <cfRule type="expression" dxfId="18245" priority="3086">
      <formula>$C24="Garlic Purchase"</formula>
    </cfRule>
    <cfRule type="expression" dxfId="18244" priority="3087">
      <formula>$C24="Ginger Purchase"</formula>
    </cfRule>
  </conditionalFormatting>
  <conditionalFormatting sqref="B24 B36 B38 B26:B28 B30 B32 B34 B40 B42 B44 B46">
    <cfRule type="expression" dxfId="18243" priority="3088">
      <formula>$C24="Advance"</formula>
    </cfRule>
  </conditionalFormatting>
  <conditionalFormatting sqref="B25 B27:B29 B31 B33 B35">
    <cfRule type="expression" dxfId="18242" priority="3078">
      <formula>$C25="Advance"</formula>
    </cfRule>
  </conditionalFormatting>
  <conditionalFormatting sqref="B25 B27:B29 B31 B33 B35">
    <cfRule type="expression" dxfId="18241" priority="3069">
      <formula>$C25="Delivery charge"</formula>
    </cfRule>
    <cfRule type="expression" dxfId="18240" priority="3070">
      <formula>$C25="Staff Salary"</formula>
    </cfRule>
    <cfRule type="expression" dxfId="18239" priority="3071">
      <formula>$C25="Rent"</formula>
    </cfRule>
    <cfRule type="expression" dxfId="18238" priority="3072">
      <formula>$C25="Petrol"</formula>
    </cfRule>
    <cfRule type="expression" dxfId="18237" priority="3073">
      <formula>$C25="Bills"</formula>
    </cfRule>
    <cfRule type="expression" dxfId="18236" priority="3074">
      <formula>$C25="Sales"</formula>
    </cfRule>
    <cfRule type="expression" dxfId="18235" priority="3075">
      <formula>$C25="Expences"</formula>
    </cfRule>
    <cfRule type="expression" dxfId="18234" priority="3076">
      <formula>$C25="Garlic Purchase"</formula>
    </cfRule>
    <cfRule type="expression" dxfId="18233" priority="3077">
      <formula>$C25="Ginger Purchase"</formula>
    </cfRule>
  </conditionalFormatting>
  <conditionalFormatting sqref="B23 B26 B29 B31 B37 B33 B35 B39 B41 B43 B45">
    <cfRule type="expression" dxfId="18232" priority="3059">
      <formula>$C23="Delivery charge"</formula>
    </cfRule>
    <cfRule type="expression" dxfId="18231" priority="3060">
      <formula>$C23="Staff Salary"</formula>
    </cfRule>
    <cfRule type="expression" dxfId="18230" priority="3061">
      <formula>$C23="Rent"</formula>
    </cfRule>
    <cfRule type="expression" dxfId="18229" priority="3062">
      <formula>$C23="Petrol"</formula>
    </cfRule>
    <cfRule type="expression" dxfId="18228" priority="3063">
      <formula>$C23="Bills"</formula>
    </cfRule>
    <cfRule type="expression" dxfId="18227" priority="3064">
      <formula>$C23="Sales"</formula>
    </cfRule>
    <cfRule type="expression" dxfId="18226" priority="3065">
      <formula>$C23="Expences"</formula>
    </cfRule>
    <cfRule type="expression" dxfId="18225" priority="3066">
      <formula>$C23="Garlic Purchase"</formula>
    </cfRule>
    <cfRule type="expression" dxfId="18224" priority="3067">
      <formula>$C23="Ginger Purchase"</formula>
    </cfRule>
  </conditionalFormatting>
  <conditionalFormatting sqref="B23 B26 B29 B31 B37 B33 B35 B39 B41 B43 B45">
    <cfRule type="expression" dxfId="18223" priority="3068">
      <formula>$C23="Advance"</formula>
    </cfRule>
  </conditionalFormatting>
  <conditionalFormatting sqref="B24 B36 B38 B26:B28 B30 B32 B34 B40 B42 B44 B46">
    <cfRule type="expression" dxfId="18222" priority="3049">
      <formula>$C24="Delivery charge"</formula>
    </cfRule>
    <cfRule type="expression" dxfId="18221" priority="3050">
      <formula>$C24="Staff Salary"</formula>
    </cfRule>
    <cfRule type="expression" dxfId="18220" priority="3051">
      <formula>$C24="Rent"</formula>
    </cfRule>
    <cfRule type="expression" dxfId="18219" priority="3052">
      <formula>$C24="Petrol"</formula>
    </cfRule>
    <cfRule type="expression" dxfId="18218" priority="3053">
      <formula>$C24="Bills"</formula>
    </cfRule>
    <cfRule type="expression" dxfId="18217" priority="3054">
      <formula>$C24="Sales"</formula>
    </cfRule>
    <cfRule type="expression" dxfId="18216" priority="3055">
      <formula>$C24="Expences"</formula>
    </cfRule>
    <cfRule type="expression" dxfId="18215" priority="3056">
      <formula>$C24="Garlic Purchase"</formula>
    </cfRule>
    <cfRule type="expression" dxfId="18214" priority="3057">
      <formula>$C24="Ginger Purchase"</formula>
    </cfRule>
  </conditionalFormatting>
  <conditionalFormatting sqref="B24 B36 B38 B26:B28 B30 B32 B34 B40 B42 B44 B46">
    <cfRule type="expression" dxfId="18213" priority="3058">
      <formula>$C24="Advance"</formula>
    </cfRule>
  </conditionalFormatting>
  <conditionalFormatting sqref="B24 B36 B38 B26:B28 B30 B32 B34 B40 B42 B44 B46">
    <cfRule type="expression" dxfId="18212" priority="3039">
      <formula>$C24="Delivery charge"</formula>
    </cfRule>
    <cfRule type="expression" dxfId="18211" priority="3040">
      <formula>$C24="Staff Salary"</formula>
    </cfRule>
    <cfRule type="expression" dxfId="18210" priority="3041">
      <formula>$C24="Rent"</formula>
    </cfRule>
    <cfRule type="expression" dxfId="18209" priority="3042">
      <formula>$C24="Petrol"</formula>
    </cfRule>
    <cfRule type="expression" dxfId="18208" priority="3043">
      <formula>$C24="Bills"</formula>
    </cfRule>
    <cfRule type="expression" dxfId="18207" priority="3044">
      <formula>$C24="Sales"</formula>
    </cfRule>
    <cfRule type="expression" dxfId="18206" priority="3045">
      <formula>$C24="Expences"</formula>
    </cfRule>
    <cfRule type="expression" dxfId="18205" priority="3046">
      <formula>$C24="Garlic Purchase"</formula>
    </cfRule>
    <cfRule type="expression" dxfId="18204" priority="3047">
      <formula>$C24="Ginger Purchase"</formula>
    </cfRule>
  </conditionalFormatting>
  <conditionalFormatting sqref="B24 B36 B38 B26:B28 B30 B32 B34 B40 B42 B44 B46">
    <cfRule type="expression" dxfId="18203" priority="3048">
      <formula>$C24="Advance"</formula>
    </cfRule>
  </conditionalFormatting>
  <conditionalFormatting sqref="B24 B36 B38 B26:B28 B30 B32 B34 B40 B42 B44 B46">
    <cfRule type="expression" dxfId="18202" priority="3029">
      <formula>$C24="Delivery charge"</formula>
    </cfRule>
    <cfRule type="expression" dxfId="18201" priority="3030">
      <formula>$C24="Staff Salary"</formula>
    </cfRule>
    <cfRule type="expression" dxfId="18200" priority="3031">
      <formula>$C24="Rent"</formula>
    </cfRule>
    <cfRule type="expression" dxfId="18199" priority="3032">
      <formula>$C24="Petrol"</formula>
    </cfRule>
    <cfRule type="expression" dxfId="18198" priority="3033">
      <formula>$C24="Bills"</formula>
    </cfRule>
    <cfRule type="expression" dxfId="18197" priority="3034">
      <formula>$C24="Sales"</formula>
    </cfRule>
    <cfRule type="expression" dxfId="18196" priority="3035">
      <formula>$C24="Expences"</formula>
    </cfRule>
    <cfRule type="expression" dxfId="18195" priority="3036">
      <formula>$C24="Garlic Purchase"</formula>
    </cfRule>
    <cfRule type="expression" dxfId="18194" priority="3037">
      <formula>$C24="Ginger Purchase"</formula>
    </cfRule>
  </conditionalFormatting>
  <conditionalFormatting sqref="B24 B36 B38 B26:B28 B30 B32 B34 B40 B42 B44 B46">
    <cfRule type="expression" dxfId="18193" priority="3038">
      <formula>$C24="Advance"</formula>
    </cfRule>
  </conditionalFormatting>
  <conditionalFormatting sqref="B24 B36 B38 B26:B28 B30 B32 B34 B40 B42 B44 B46">
    <cfRule type="expression" dxfId="18192" priority="3019">
      <formula>$C24="Delivery charge"</formula>
    </cfRule>
    <cfRule type="expression" dxfId="18191" priority="3020">
      <formula>$C24="Staff Salary"</formula>
    </cfRule>
    <cfRule type="expression" dxfId="18190" priority="3021">
      <formula>$C24="Rent"</formula>
    </cfRule>
    <cfRule type="expression" dxfId="18189" priority="3022">
      <formula>$C24="Petrol"</formula>
    </cfRule>
    <cfRule type="expression" dxfId="18188" priority="3023">
      <formula>$C24="Bills"</formula>
    </cfRule>
    <cfRule type="expression" dxfId="18187" priority="3024">
      <formula>$C24="Sales"</formula>
    </cfRule>
    <cfRule type="expression" dxfId="18186" priority="3025">
      <formula>$C24="Expences"</formula>
    </cfRule>
    <cfRule type="expression" dxfId="18185" priority="3026">
      <formula>$C24="Garlic Purchase"</formula>
    </cfRule>
    <cfRule type="expression" dxfId="18184" priority="3027">
      <formula>$C24="Ginger Purchase"</formula>
    </cfRule>
  </conditionalFormatting>
  <conditionalFormatting sqref="B24 B36 B38 B26:B28 B30 B32 B34 B40 B42 B44 B46">
    <cfRule type="expression" dxfId="18183" priority="3028">
      <formula>$C24="Advance"</formula>
    </cfRule>
  </conditionalFormatting>
  <conditionalFormatting sqref="B23 B26 B29 B31 B37 B33 B35 B39 B41 B43 B45">
    <cfRule type="expression" dxfId="18182" priority="3009">
      <formula>$C23="Delivery charge"</formula>
    </cfRule>
    <cfRule type="expression" dxfId="18181" priority="3010">
      <formula>$C23="Staff Salary"</formula>
    </cfRule>
    <cfRule type="expression" dxfId="18180" priority="3011">
      <formula>$C23="Rent"</formula>
    </cfRule>
    <cfRule type="expression" dxfId="18179" priority="3012">
      <formula>$C23="Petrol"</formula>
    </cfRule>
    <cfRule type="expression" dxfId="18178" priority="3013">
      <formula>$C23="Bills"</formula>
    </cfRule>
    <cfRule type="expression" dxfId="18177" priority="3014">
      <formula>$C23="Sales"</formula>
    </cfRule>
    <cfRule type="expression" dxfId="18176" priority="3015">
      <formula>$C23="Expences"</formula>
    </cfRule>
    <cfRule type="expression" dxfId="18175" priority="3016">
      <formula>$C23="Garlic Purchase"</formula>
    </cfRule>
    <cfRule type="expression" dxfId="18174" priority="3017">
      <formula>$C23="Ginger Purchase"</formula>
    </cfRule>
  </conditionalFormatting>
  <conditionalFormatting sqref="B23 B26 B29 B31 B37 B33 B35 B39 B41 B43 B45">
    <cfRule type="expression" dxfId="18173" priority="3018">
      <formula>$C23="Advance"</formula>
    </cfRule>
  </conditionalFormatting>
  <conditionalFormatting sqref="B23 B26 B29 B31 B37 B33 B35 B39 B41 B43 B45">
    <cfRule type="expression" dxfId="18172" priority="2999">
      <formula>$C23="Delivery charge"</formula>
    </cfRule>
    <cfRule type="expression" dxfId="18171" priority="3000">
      <formula>$C23="Staff Salary"</formula>
    </cfRule>
    <cfRule type="expression" dxfId="18170" priority="3001">
      <formula>$C23="Rent"</formula>
    </cfRule>
    <cfRule type="expression" dxfId="18169" priority="3002">
      <formula>$C23="Petrol"</formula>
    </cfRule>
    <cfRule type="expression" dxfId="18168" priority="3003">
      <formula>$C23="Bills"</formula>
    </cfRule>
    <cfRule type="expression" dxfId="18167" priority="3004">
      <formula>$C23="Sales"</formula>
    </cfRule>
    <cfRule type="expression" dxfId="18166" priority="3005">
      <formula>$C23="Expences"</formula>
    </cfRule>
    <cfRule type="expression" dxfId="18165" priority="3006">
      <formula>$C23="Garlic Purchase"</formula>
    </cfRule>
    <cfRule type="expression" dxfId="18164" priority="3007">
      <formula>$C23="Ginger Purchase"</formula>
    </cfRule>
  </conditionalFormatting>
  <conditionalFormatting sqref="B23 B26 B29 B31 B37 B33 B35 B39 B41 B43 B45">
    <cfRule type="expression" dxfId="18163" priority="3008">
      <formula>$C23="Advance"</formula>
    </cfRule>
  </conditionalFormatting>
  <conditionalFormatting sqref="B23 B26 B29 B31 B37 B33 B35 B39 B41 B43 B45">
    <cfRule type="expression" dxfId="18162" priority="2989">
      <formula>$C23="Delivery charge"</formula>
    </cfRule>
    <cfRule type="expression" dxfId="18161" priority="2990">
      <formula>$C23="Staff Salary"</formula>
    </cfRule>
    <cfRule type="expression" dxfId="18160" priority="2991">
      <formula>$C23="Rent"</formula>
    </cfRule>
    <cfRule type="expression" dxfId="18159" priority="2992">
      <formula>$C23="Petrol"</formula>
    </cfRule>
    <cfRule type="expression" dxfId="18158" priority="2993">
      <formula>$C23="Bills"</formula>
    </cfRule>
    <cfRule type="expression" dxfId="18157" priority="2994">
      <formula>$C23="Sales"</formula>
    </cfRule>
    <cfRule type="expression" dxfId="18156" priority="2995">
      <formula>$C23="Expences"</formula>
    </cfRule>
    <cfRule type="expression" dxfId="18155" priority="2996">
      <formula>$C23="Garlic Purchase"</formula>
    </cfRule>
    <cfRule type="expression" dxfId="18154" priority="2997">
      <formula>$C23="Ginger Purchase"</formula>
    </cfRule>
  </conditionalFormatting>
  <conditionalFormatting sqref="B23 B26 B29 B31 B37 B33 B35 B39 B41 B43 B45">
    <cfRule type="expression" dxfId="18153" priority="2998">
      <formula>$C23="Advance"</formula>
    </cfRule>
  </conditionalFormatting>
  <conditionalFormatting sqref="B23 B26 B29 B31 B37 B33 B35 B39 B41 B43 B45">
    <cfRule type="expression" dxfId="18152" priority="2979">
      <formula>$C23="Delivery charge"</formula>
    </cfRule>
    <cfRule type="expression" dxfId="18151" priority="2980">
      <formula>$C23="Staff Salary"</formula>
    </cfRule>
    <cfRule type="expression" dxfId="18150" priority="2981">
      <formula>$C23="Rent"</formula>
    </cfRule>
    <cfRule type="expression" dxfId="18149" priority="2982">
      <formula>$C23="Petrol"</formula>
    </cfRule>
    <cfRule type="expression" dxfId="18148" priority="2983">
      <formula>$C23="Bills"</formula>
    </cfRule>
    <cfRule type="expression" dxfId="18147" priority="2984">
      <formula>$C23="Sales"</formula>
    </cfRule>
    <cfRule type="expression" dxfId="18146" priority="2985">
      <formula>$C23="Expences"</formula>
    </cfRule>
    <cfRule type="expression" dxfId="18145" priority="2986">
      <formula>$C23="Garlic Purchase"</formula>
    </cfRule>
    <cfRule type="expression" dxfId="18144" priority="2987">
      <formula>$C23="Ginger Purchase"</formula>
    </cfRule>
  </conditionalFormatting>
  <conditionalFormatting sqref="B23 B26 B29 B31 B37 B33 B35 B39 B41 B43 B45">
    <cfRule type="expression" dxfId="18143" priority="2988">
      <formula>$C23="Advance"</formula>
    </cfRule>
  </conditionalFormatting>
  <conditionalFormatting sqref="B24 B36 B38 B26:B28 B30 B32 B34 B40 B42 B44 B46">
    <cfRule type="expression" dxfId="18142" priority="2969">
      <formula>$C24="Delivery charge"</formula>
    </cfRule>
    <cfRule type="expression" dxfId="18141" priority="2970">
      <formula>$C24="Staff Salary"</formula>
    </cfRule>
    <cfRule type="expression" dxfId="18140" priority="2971">
      <formula>$C24="Rent"</formula>
    </cfRule>
    <cfRule type="expression" dxfId="18139" priority="2972">
      <formula>$C24="Petrol"</formula>
    </cfRule>
    <cfRule type="expression" dxfId="18138" priority="2973">
      <formula>$C24="Bills"</formula>
    </cfRule>
    <cfRule type="expression" dxfId="18137" priority="2974">
      <formula>$C24="Sales"</formula>
    </cfRule>
    <cfRule type="expression" dxfId="18136" priority="2975">
      <formula>$C24="Expences"</formula>
    </cfRule>
    <cfRule type="expression" dxfId="18135" priority="2976">
      <formula>$C24="Garlic Purchase"</formula>
    </cfRule>
    <cfRule type="expression" dxfId="18134" priority="2977">
      <formula>$C24="Ginger Purchase"</formula>
    </cfRule>
  </conditionalFormatting>
  <conditionalFormatting sqref="B24 B36 B38 B26:B28 B30 B32 B34 B40 B42 B44 B46">
    <cfRule type="expression" dxfId="18133" priority="2978">
      <formula>$C24="Advance"</formula>
    </cfRule>
  </conditionalFormatting>
  <conditionalFormatting sqref="B23 B26 B29 B31 B37 B33 B35 B39 B41 B43 B45">
    <cfRule type="expression" dxfId="18132" priority="2959">
      <formula>$C23="Delivery charge"</formula>
    </cfRule>
    <cfRule type="expression" dxfId="18131" priority="2960">
      <formula>$C23="Staff Salary"</formula>
    </cfRule>
    <cfRule type="expression" dxfId="18130" priority="2961">
      <formula>$C23="Rent"</formula>
    </cfRule>
    <cfRule type="expression" dxfId="18129" priority="2962">
      <formula>$C23="Petrol"</formula>
    </cfRule>
    <cfRule type="expression" dxfId="18128" priority="2963">
      <formula>$C23="Bills"</formula>
    </cfRule>
    <cfRule type="expression" dxfId="18127" priority="2964">
      <formula>$C23="Sales"</formula>
    </cfRule>
    <cfRule type="expression" dxfId="18126" priority="2965">
      <formula>$C23="Expences"</formula>
    </cfRule>
    <cfRule type="expression" dxfId="18125" priority="2966">
      <formula>$C23="Garlic Purchase"</formula>
    </cfRule>
    <cfRule type="expression" dxfId="18124" priority="2967">
      <formula>$C23="Ginger Purchase"</formula>
    </cfRule>
  </conditionalFormatting>
  <conditionalFormatting sqref="B23 B26 B29 B31 B37 B33 B35 B39 B41 B43 B45">
    <cfRule type="expression" dxfId="18123" priority="2968">
      <formula>$C23="Advance"</formula>
    </cfRule>
  </conditionalFormatting>
  <conditionalFormatting sqref="B23 B26 B29 B31 B37 B33 B35 B39 B41 B43 B45">
    <cfRule type="expression" dxfId="18122" priority="2949">
      <formula>$C23="Delivery charge"</formula>
    </cfRule>
    <cfRule type="expression" dxfId="18121" priority="2950">
      <formula>$C23="Staff Salary"</formula>
    </cfRule>
    <cfRule type="expression" dxfId="18120" priority="2951">
      <formula>$C23="Rent"</formula>
    </cfRule>
    <cfRule type="expression" dxfId="18119" priority="2952">
      <formula>$C23="Petrol"</formula>
    </cfRule>
    <cfRule type="expression" dxfId="18118" priority="2953">
      <formula>$C23="Bills"</formula>
    </cfRule>
    <cfRule type="expression" dxfId="18117" priority="2954">
      <formula>$C23="Sales"</formula>
    </cfRule>
    <cfRule type="expression" dxfId="18116" priority="2955">
      <formula>$C23="Expences"</formula>
    </cfRule>
    <cfRule type="expression" dxfId="18115" priority="2956">
      <formula>$C23="Garlic Purchase"</formula>
    </cfRule>
    <cfRule type="expression" dxfId="18114" priority="2957">
      <formula>$C23="Ginger Purchase"</formula>
    </cfRule>
  </conditionalFormatting>
  <conditionalFormatting sqref="B23 B26 B29 B31 B37 B33 B35 B39 B41 B43 B45">
    <cfRule type="expression" dxfId="18113" priority="2958">
      <formula>$C23="Advance"</formula>
    </cfRule>
  </conditionalFormatting>
  <conditionalFormatting sqref="B23 B26 B29 B31 B37 B33 B35 B39 B41 B43 B45">
    <cfRule type="expression" dxfId="18112" priority="2939">
      <formula>$C23="Delivery charge"</formula>
    </cfRule>
    <cfRule type="expression" dxfId="18111" priority="2940">
      <formula>$C23="Staff Salary"</formula>
    </cfRule>
    <cfRule type="expression" dxfId="18110" priority="2941">
      <formula>$C23="Rent"</formula>
    </cfRule>
    <cfRule type="expression" dxfId="18109" priority="2942">
      <formula>$C23="Petrol"</formula>
    </cfRule>
    <cfRule type="expression" dxfId="18108" priority="2943">
      <formula>$C23="Bills"</formula>
    </cfRule>
    <cfRule type="expression" dxfId="18107" priority="2944">
      <formula>$C23="Sales"</formula>
    </cfRule>
    <cfRule type="expression" dxfId="18106" priority="2945">
      <formula>$C23="Expences"</formula>
    </cfRule>
    <cfRule type="expression" dxfId="18105" priority="2946">
      <formula>$C23="Garlic Purchase"</formula>
    </cfRule>
    <cfRule type="expression" dxfId="18104" priority="2947">
      <formula>$C23="Ginger Purchase"</formula>
    </cfRule>
  </conditionalFormatting>
  <conditionalFormatting sqref="B23 B26 B29 B31 B37 B33 B35 B39 B41 B43 B45">
    <cfRule type="expression" dxfId="18103" priority="2948">
      <formula>$C23="Advance"</formula>
    </cfRule>
  </conditionalFormatting>
  <conditionalFormatting sqref="B23 B26 B29 B31 B37 B33 B35 B39 B41 B43 B45">
    <cfRule type="expression" dxfId="18102" priority="2929">
      <formula>$C23="Delivery charge"</formula>
    </cfRule>
    <cfRule type="expression" dxfId="18101" priority="2930">
      <formula>$C23="Staff Salary"</formula>
    </cfRule>
    <cfRule type="expression" dxfId="18100" priority="2931">
      <formula>$C23="Rent"</formula>
    </cfRule>
    <cfRule type="expression" dxfId="18099" priority="2932">
      <formula>$C23="Petrol"</formula>
    </cfRule>
    <cfRule type="expression" dxfId="18098" priority="2933">
      <formula>$C23="Bills"</formula>
    </cfRule>
    <cfRule type="expression" dxfId="18097" priority="2934">
      <formula>$C23="Sales"</formula>
    </cfRule>
    <cfRule type="expression" dxfId="18096" priority="2935">
      <formula>$C23="Expences"</formula>
    </cfRule>
    <cfRule type="expression" dxfId="18095" priority="2936">
      <formula>$C23="Garlic Purchase"</formula>
    </cfRule>
    <cfRule type="expression" dxfId="18094" priority="2937">
      <formula>$C23="Ginger Purchase"</formula>
    </cfRule>
  </conditionalFormatting>
  <conditionalFormatting sqref="B23 B26 B29 B31 B37 B33 B35 B39 B41 B43 B45">
    <cfRule type="expression" dxfId="18093" priority="2938">
      <formula>$C23="Advance"</formula>
    </cfRule>
  </conditionalFormatting>
  <conditionalFormatting sqref="B23 B26 B29 B31 B37 B33 B35 B39 B41 B43 B45">
    <cfRule type="expression" dxfId="18092" priority="2919">
      <formula>$C23="Delivery charge"</formula>
    </cfRule>
    <cfRule type="expression" dxfId="18091" priority="2920">
      <formula>$C23="Staff Salary"</formula>
    </cfRule>
    <cfRule type="expression" dxfId="18090" priority="2921">
      <formula>$C23="Rent"</formula>
    </cfRule>
    <cfRule type="expression" dxfId="18089" priority="2922">
      <formula>$C23="Petrol"</formula>
    </cfRule>
    <cfRule type="expression" dxfId="18088" priority="2923">
      <formula>$C23="Bills"</formula>
    </cfRule>
    <cfRule type="expression" dxfId="18087" priority="2924">
      <formula>$C23="Sales"</formula>
    </cfRule>
    <cfRule type="expression" dxfId="18086" priority="2925">
      <formula>$C23="Expences"</formula>
    </cfRule>
    <cfRule type="expression" dxfId="18085" priority="2926">
      <formula>$C23="Garlic Purchase"</formula>
    </cfRule>
    <cfRule type="expression" dxfId="18084" priority="2927">
      <formula>$C23="Ginger Purchase"</formula>
    </cfRule>
  </conditionalFormatting>
  <conditionalFormatting sqref="B23 B26 B29 B31 B37 B33 B35 B39 B41 B43 B45">
    <cfRule type="expression" dxfId="18083" priority="2928">
      <formula>$C23="Advance"</formula>
    </cfRule>
  </conditionalFormatting>
  <conditionalFormatting sqref="B24 B36 B38 B26:B28 B30 B32 B34 B40 B42 B44 B46">
    <cfRule type="expression" dxfId="18082" priority="2909">
      <formula>$C24="Delivery charge"</formula>
    </cfRule>
    <cfRule type="expression" dxfId="18081" priority="2910">
      <formula>$C24="Staff Salary"</formula>
    </cfRule>
    <cfRule type="expression" dxfId="18080" priority="2911">
      <formula>$C24="Rent"</formula>
    </cfRule>
    <cfRule type="expression" dxfId="18079" priority="2912">
      <formula>$C24="Petrol"</formula>
    </cfRule>
    <cfRule type="expression" dxfId="18078" priority="2913">
      <formula>$C24="Bills"</formula>
    </cfRule>
    <cfRule type="expression" dxfId="18077" priority="2914">
      <formula>$C24="Sales"</formula>
    </cfRule>
    <cfRule type="expression" dxfId="18076" priority="2915">
      <formula>$C24="Expences"</formula>
    </cfRule>
    <cfRule type="expression" dxfId="18075" priority="2916">
      <formula>$C24="Garlic Purchase"</formula>
    </cfRule>
    <cfRule type="expression" dxfId="18074" priority="2917">
      <formula>$C24="Ginger Purchase"</formula>
    </cfRule>
  </conditionalFormatting>
  <conditionalFormatting sqref="B24 B36 B38 B26:B28 B30 B32 B34 B40 B42 B44 B46">
    <cfRule type="expression" dxfId="18073" priority="2918">
      <formula>$C24="Advance"</formula>
    </cfRule>
  </conditionalFormatting>
  <conditionalFormatting sqref="B24 B36 B38 B26:B28 B30 B32 B34 B40 B42 B44 B46">
    <cfRule type="expression" dxfId="18072" priority="2899">
      <formula>$C24="Delivery charge"</formula>
    </cfRule>
    <cfRule type="expression" dxfId="18071" priority="2900">
      <formula>$C24="Staff Salary"</formula>
    </cfRule>
    <cfRule type="expression" dxfId="18070" priority="2901">
      <formula>$C24="Rent"</formula>
    </cfRule>
    <cfRule type="expression" dxfId="18069" priority="2902">
      <formula>$C24="Petrol"</formula>
    </cfRule>
    <cfRule type="expression" dxfId="18068" priority="2903">
      <formula>$C24="Bills"</formula>
    </cfRule>
    <cfRule type="expression" dxfId="18067" priority="2904">
      <formula>$C24="Sales"</formula>
    </cfRule>
    <cfRule type="expression" dxfId="18066" priority="2905">
      <formula>$C24="Expences"</formula>
    </cfRule>
    <cfRule type="expression" dxfId="18065" priority="2906">
      <formula>$C24="Garlic Purchase"</formula>
    </cfRule>
    <cfRule type="expression" dxfId="18064" priority="2907">
      <formula>$C24="Ginger Purchase"</formula>
    </cfRule>
  </conditionalFormatting>
  <conditionalFormatting sqref="B24 B36 B38 B26:B28 B30 B32 B34 B40 B42 B44 B46">
    <cfRule type="expression" dxfId="18063" priority="2908">
      <formula>$C24="Advance"</formula>
    </cfRule>
  </conditionalFormatting>
  <conditionalFormatting sqref="B24 B36 B38 B26:B28 B30 B32 B34 B40 B42 B44 B46">
    <cfRule type="expression" dxfId="18062" priority="2889">
      <formula>$C24="Delivery charge"</formula>
    </cfRule>
    <cfRule type="expression" dxfId="18061" priority="2890">
      <formula>$C24="Staff Salary"</formula>
    </cfRule>
    <cfRule type="expression" dxfId="18060" priority="2891">
      <formula>$C24="Rent"</formula>
    </cfRule>
    <cfRule type="expression" dxfId="18059" priority="2892">
      <formula>$C24="Petrol"</formula>
    </cfRule>
    <cfRule type="expression" dxfId="18058" priority="2893">
      <formula>$C24="Bills"</formula>
    </cfRule>
    <cfRule type="expression" dxfId="18057" priority="2894">
      <formula>$C24="Sales"</formula>
    </cfRule>
    <cfRule type="expression" dxfId="18056" priority="2895">
      <formula>$C24="Expences"</formula>
    </cfRule>
    <cfRule type="expression" dxfId="18055" priority="2896">
      <formula>$C24="Garlic Purchase"</formula>
    </cfRule>
    <cfRule type="expression" dxfId="18054" priority="2897">
      <formula>$C24="Ginger Purchase"</formula>
    </cfRule>
  </conditionalFormatting>
  <conditionalFormatting sqref="B24 B36 B38 B26:B28 B30 B32 B34 B40 B42 B44 B46">
    <cfRule type="expression" dxfId="18053" priority="2898">
      <formula>$C24="Advance"</formula>
    </cfRule>
  </conditionalFormatting>
  <conditionalFormatting sqref="B24 B36 B38 B26:B28 B30 B32 B34 B40 B42 B44 B46">
    <cfRule type="expression" dxfId="18052" priority="2879">
      <formula>$C24="Delivery charge"</formula>
    </cfRule>
    <cfRule type="expression" dxfId="18051" priority="2880">
      <formula>$C24="Staff Salary"</formula>
    </cfRule>
    <cfRule type="expression" dxfId="18050" priority="2881">
      <formula>$C24="Rent"</formula>
    </cfRule>
    <cfRule type="expression" dxfId="18049" priority="2882">
      <formula>$C24="Petrol"</formula>
    </cfRule>
    <cfRule type="expression" dxfId="18048" priority="2883">
      <formula>$C24="Bills"</formula>
    </cfRule>
    <cfRule type="expression" dxfId="18047" priority="2884">
      <formula>$C24="Sales"</formula>
    </cfRule>
    <cfRule type="expression" dxfId="18046" priority="2885">
      <formula>$C24="Expences"</formula>
    </cfRule>
    <cfRule type="expression" dxfId="18045" priority="2886">
      <formula>$C24="Garlic Purchase"</formula>
    </cfRule>
    <cfRule type="expression" dxfId="18044" priority="2887">
      <formula>$C24="Ginger Purchase"</formula>
    </cfRule>
  </conditionalFormatting>
  <conditionalFormatting sqref="B24 B36 B38 B26:B28 B30 B32 B34 B40 B42 B44 B46">
    <cfRule type="expression" dxfId="18043" priority="2888">
      <formula>$C24="Advance"</formula>
    </cfRule>
  </conditionalFormatting>
  <conditionalFormatting sqref="B24 B36 B38 B26:B28 B30 B32 B34 B40 B42 B44 B46">
    <cfRule type="expression" dxfId="18042" priority="2869">
      <formula>$C24="Delivery charge"</formula>
    </cfRule>
    <cfRule type="expression" dxfId="18041" priority="2870">
      <formula>$C24="Staff Salary"</formula>
    </cfRule>
    <cfRule type="expression" dxfId="18040" priority="2871">
      <formula>$C24="Rent"</formula>
    </cfRule>
    <cfRule type="expression" dxfId="18039" priority="2872">
      <formula>$C24="Petrol"</formula>
    </cfRule>
    <cfRule type="expression" dxfId="18038" priority="2873">
      <formula>$C24="Bills"</formula>
    </cfRule>
    <cfRule type="expression" dxfId="18037" priority="2874">
      <formula>$C24="Sales"</formula>
    </cfRule>
    <cfRule type="expression" dxfId="18036" priority="2875">
      <formula>$C24="Expences"</formula>
    </cfRule>
    <cfRule type="expression" dxfId="18035" priority="2876">
      <formula>$C24="Garlic Purchase"</formula>
    </cfRule>
    <cfRule type="expression" dxfId="18034" priority="2877">
      <formula>$C24="Ginger Purchase"</formula>
    </cfRule>
  </conditionalFormatting>
  <conditionalFormatting sqref="B24 B36 B38 B26:B28 B30 B32 B34 B40 B42 B44 B46">
    <cfRule type="expression" dxfId="18033" priority="2878">
      <formula>$C24="Advance"</formula>
    </cfRule>
  </conditionalFormatting>
  <conditionalFormatting sqref="B23 B26 B29 B31 B37 B33 B35 B39 B41 B43 B45">
    <cfRule type="expression" dxfId="18032" priority="2859">
      <formula>$C23="Delivery charge"</formula>
    </cfRule>
    <cfRule type="expression" dxfId="18031" priority="2860">
      <formula>$C23="Staff Salary"</formula>
    </cfRule>
    <cfRule type="expression" dxfId="18030" priority="2861">
      <formula>$C23="Rent"</formula>
    </cfRule>
    <cfRule type="expression" dxfId="18029" priority="2862">
      <formula>$C23="Petrol"</formula>
    </cfRule>
    <cfRule type="expression" dxfId="18028" priority="2863">
      <formula>$C23="Bills"</formula>
    </cfRule>
    <cfRule type="expression" dxfId="18027" priority="2864">
      <formula>$C23="Sales"</formula>
    </cfRule>
    <cfRule type="expression" dxfId="18026" priority="2865">
      <formula>$C23="Expences"</formula>
    </cfRule>
    <cfRule type="expression" dxfId="18025" priority="2866">
      <formula>$C23="Garlic Purchase"</formula>
    </cfRule>
    <cfRule type="expression" dxfId="18024" priority="2867">
      <formula>$C23="Ginger Purchase"</formula>
    </cfRule>
  </conditionalFormatting>
  <conditionalFormatting sqref="B23 B26 B29 B31 B37 B33 B35 B39 B41 B43 B45">
    <cfRule type="expression" dxfId="18023" priority="2868">
      <formula>$C23="Advance"</formula>
    </cfRule>
  </conditionalFormatting>
  <conditionalFormatting sqref="B24 B36 B38 B26:B28 B30 B32 B34 B40 B42 B44 B46">
    <cfRule type="expression" dxfId="18022" priority="2849">
      <formula>$C24="Delivery charge"</formula>
    </cfRule>
    <cfRule type="expression" dxfId="18021" priority="2850">
      <formula>$C24="Staff Salary"</formula>
    </cfRule>
    <cfRule type="expression" dxfId="18020" priority="2851">
      <formula>$C24="Rent"</formula>
    </cfRule>
    <cfRule type="expression" dxfId="18019" priority="2852">
      <formula>$C24="Petrol"</formula>
    </cfRule>
    <cfRule type="expression" dxfId="18018" priority="2853">
      <formula>$C24="Bills"</formula>
    </cfRule>
    <cfRule type="expression" dxfId="18017" priority="2854">
      <formula>$C24="Sales"</formula>
    </cfRule>
    <cfRule type="expression" dxfId="18016" priority="2855">
      <formula>$C24="Expences"</formula>
    </cfRule>
    <cfRule type="expression" dxfId="18015" priority="2856">
      <formula>$C24="Garlic Purchase"</formula>
    </cfRule>
    <cfRule type="expression" dxfId="18014" priority="2857">
      <formula>$C24="Ginger Purchase"</formula>
    </cfRule>
  </conditionalFormatting>
  <conditionalFormatting sqref="B24 B36 B38 B26:B28 B30 B32 B34 B40 B42 B44 B46">
    <cfRule type="expression" dxfId="18013" priority="2858">
      <formula>$C24="Advance"</formula>
    </cfRule>
  </conditionalFormatting>
  <conditionalFormatting sqref="B24 B36 B38 B26:B28 B30 B32 B34 B40 B42 B44 B46">
    <cfRule type="expression" dxfId="18012" priority="2839">
      <formula>$C24="Delivery charge"</formula>
    </cfRule>
    <cfRule type="expression" dxfId="18011" priority="2840">
      <formula>$C24="Staff Salary"</formula>
    </cfRule>
    <cfRule type="expression" dxfId="18010" priority="2841">
      <formula>$C24="Rent"</formula>
    </cfRule>
    <cfRule type="expression" dxfId="18009" priority="2842">
      <formula>$C24="Petrol"</formula>
    </cfRule>
    <cfRule type="expression" dxfId="18008" priority="2843">
      <formula>$C24="Bills"</formula>
    </cfRule>
    <cfRule type="expression" dxfId="18007" priority="2844">
      <formula>$C24="Sales"</formula>
    </cfRule>
    <cfRule type="expression" dxfId="18006" priority="2845">
      <formula>$C24="Expences"</formula>
    </cfRule>
    <cfRule type="expression" dxfId="18005" priority="2846">
      <formula>$C24="Garlic Purchase"</formula>
    </cfRule>
    <cfRule type="expression" dxfId="18004" priority="2847">
      <formula>$C24="Ginger Purchase"</formula>
    </cfRule>
  </conditionalFormatting>
  <conditionalFormatting sqref="B24 B36 B38 B26:B28 B30 B32 B34 B40 B42 B44 B46">
    <cfRule type="expression" dxfId="18003" priority="2848">
      <formula>$C24="Advance"</formula>
    </cfRule>
  </conditionalFormatting>
  <conditionalFormatting sqref="B24 B36 B38 B26:B28 B30 B32 B34 B40 B42 B44 B46">
    <cfRule type="expression" dxfId="18002" priority="2829">
      <formula>$C24="Delivery charge"</formula>
    </cfRule>
    <cfRule type="expression" dxfId="18001" priority="2830">
      <formula>$C24="Staff Salary"</formula>
    </cfRule>
    <cfRule type="expression" dxfId="18000" priority="2831">
      <formula>$C24="Rent"</formula>
    </cfRule>
    <cfRule type="expression" dxfId="17999" priority="2832">
      <formula>$C24="Petrol"</formula>
    </cfRule>
    <cfRule type="expression" dxfId="17998" priority="2833">
      <formula>$C24="Bills"</formula>
    </cfRule>
    <cfRule type="expression" dxfId="17997" priority="2834">
      <formula>$C24="Sales"</formula>
    </cfRule>
    <cfRule type="expression" dxfId="17996" priority="2835">
      <formula>$C24="Expences"</formula>
    </cfRule>
    <cfRule type="expression" dxfId="17995" priority="2836">
      <formula>$C24="Garlic Purchase"</formula>
    </cfRule>
    <cfRule type="expression" dxfId="17994" priority="2837">
      <formula>$C24="Ginger Purchase"</formula>
    </cfRule>
  </conditionalFormatting>
  <conditionalFormatting sqref="B24 B36 B38 B26:B28 B30 B32 B34 B40 B42 B44 B46">
    <cfRule type="expression" dxfId="17993" priority="2838">
      <formula>$C24="Advance"</formula>
    </cfRule>
  </conditionalFormatting>
  <conditionalFormatting sqref="B24 B36 B38 B26:B28 B30 B32 B34 B40 B42 B44 B46">
    <cfRule type="expression" dxfId="17992" priority="2819">
      <formula>$C24="Delivery charge"</formula>
    </cfRule>
    <cfRule type="expression" dxfId="17991" priority="2820">
      <formula>$C24="Staff Salary"</formula>
    </cfRule>
    <cfRule type="expression" dxfId="17990" priority="2821">
      <formula>$C24="Rent"</formula>
    </cfRule>
    <cfRule type="expression" dxfId="17989" priority="2822">
      <formula>$C24="Petrol"</formula>
    </cfRule>
    <cfRule type="expression" dxfId="17988" priority="2823">
      <formula>$C24="Bills"</formula>
    </cfRule>
    <cfRule type="expression" dxfId="17987" priority="2824">
      <formula>$C24="Sales"</formula>
    </cfRule>
    <cfRule type="expression" dxfId="17986" priority="2825">
      <formula>$C24="Expences"</formula>
    </cfRule>
    <cfRule type="expression" dxfId="17985" priority="2826">
      <formula>$C24="Garlic Purchase"</formula>
    </cfRule>
    <cfRule type="expression" dxfId="17984" priority="2827">
      <formula>$C24="Ginger Purchase"</formula>
    </cfRule>
  </conditionalFormatting>
  <conditionalFormatting sqref="B24 B36 B38 B26:B28 B30 B32 B34 B40 B42 B44 B46">
    <cfRule type="expression" dxfId="17983" priority="2828">
      <formula>$C24="Advance"</formula>
    </cfRule>
  </conditionalFormatting>
  <conditionalFormatting sqref="B24 B36 B38 B26:B28 B30 B32 B34 B40 B42 B44 B46">
    <cfRule type="expression" dxfId="17982" priority="2809">
      <formula>$C24="Delivery charge"</formula>
    </cfRule>
    <cfRule type="expression" dxfId="17981" priority="2810">
      <formula>$C24="Staff Salary"</formula>
    </cfRule>
    <cfRule type="expression" dxfId="17980" priority="2811">
      <formula>$C24="Rent"</formula>
    </cfRule>
    <cfRule type="expression" dxfId="17979" priority="2812">
      <formula>$C24="Petrol"</formula>
    </cfRule>
    <cfRule type="expression" dxfId="17978" priority="2813">
      <formula>$C24="Bills"</formula>
    </cfRule>
    <cfRule type="expression" dxfId="17977" priority="2814">
      <formula>$C24="Sales"</formula>
    </cfRule>
    <cfRule type="expression" dxfId="17976" priority="2815">
      <formula>$C24="Expences"</formula>
    </cfRule>
    <cfRule type="expression" dxfId="17975" priority="2816">
      <formula>$C24="Garlic Purchase"</formula>
    </cfRule>
    <cfRule type="expression" dxfId="17974" priority="2817">
      <formula>$C24="Ginger Purchase"</formula>
    </cfRule>
  </conditionalFormatting>
  <conditionalFormatting sqref="B24 B36 B38 B26:B28 B30 B32 B34 B40 B42 B44 B46">
    <cfRule type="expression" dxfId="17973" priority="2818">
      <formula>$C24="Advance"</formula>
    </cfRule>
  </conditionalFormatting>
  <conditionalFormatting sqref="B24 B36 B38 B26:B28 B30 B32 B34 B40 B42 B44 B46">
    <cfRule type="expression" dxfId="17972" priority="2799">
      <formula>$C24="Delivery charge"</formula>
    </cfRule>
    <cfRule type="expression" dxfId="17971" priority="2800">
      <formula>$C24="Staff Salary"</formula>
    </cfRule>
    <cfRule type="expression" dxfId="17970" priority="2801">
      <formula>$C24="Rent"</formula>
    </cfRule>
    <cfRule type="expression" dxfId="17969" priority="2802">
      <formula>$C24="Petrol"</formula>
    </cfRule>
    <cfRule type="expression" dxfId="17968" priority="2803">
      <formula>$C24="Bills"</formula>
    </cfRule>
    <cfRule type="expression" dxfId="17967" priority="2804">
      <formula>$C24="Sales"</formula>
    </cfRule>
    <cfRule type="expression" dxfId="17966" priority="2805">
      <formula>$C24="Expences"</formula>
    </cfRule>
    <cfRule type="expression" dxfId="17965" priority="2806">
      <formula>$C24="Garlic Purchase"</formula>
    </cfRule>
    <cfRule type="expression" dxfId="17964" priority="2807">
      <formula>$C24="Ginger Purchase"</formula>
    </cfRule>
  </conditionalFormatting>
  <conditionalFormatting sqref="B24 B36 B38 B26:B28 B30 B32 B34 B40 B42 B44 B46">
    <cfRule type="expression" dxfId="17963" priority="2808">
      <formula>$C24="Advance"</formula>
    </cfRule>
  </conditionalFormatting>
  <conditionalFormatting sqref="B24 B36 B38 B26:B28 B30 B32 B34 B40 B42 B44 B46">
    <cfRule type="expression" dxfId="17962" priority="2789">
      <formula>$C24="Delivery charge"</formula>
    </cfRule>
    <cfRule type="expression" dxfId="17961" priority="2790">
      <formula>$C24="Staff Salary"</formula>
    </cfRule>
    <cfRule type="expression" dxfId="17960" priority="2791">
      <formula>$C24="Rent"</formula>
    </cfRule>
    <cfRule type="expression" dxfId="17959" priority="2792">
      <formula>$C24="Petrol"</formula>
    </cfRule>
    <cfRule type="expression" dxfId="17958" priority="2793">
      <formula>$C24="Bills"</formula>
    </cfRule>
    <cfRule type="expression" dxfId="17957" priority="2794">
      <formula>$C24="Sales"</formula>
    </cfRule>
    <cfRule type="expression" dxfId="17956" priority="2795">
      <formula>$C24="Expences"</formula>
    </cfRule>
    <cfRule type="expression" dxfId="17955" priority="2796">
      <formula>$C24="Garlic Purchase"</formula>
    </cfRule>
    <cfRule type="expression" dxfId="17954" priority="2797">
      <formula>$C24="Ginger Purchase"</formula>
    </cfRule>
  </conditionalFormatting>
  <conditionalFormatting sqref="B24 B36 B38 B26:B28 B30 B32 B34 B40 B42 B44 B46">
    <cfRule type="expression" dxfId="17953" priority="2798">
      <formula>$C24="Advance"</formula>
    </cfRule>
  </conditionalFormatting>
  <conditionalFormatting sqref="B24 B36 B38 B26:B28 B30 B32 B34 B40 B42 B44 B46">
    <cfRule type="expression" dxfId="17952" priority="2779">
      <formula>$C24="Delivery charge"</formula>
    </cfRule>
    <cfRule type="expression" dxfId="17951" priority="2780">
      <formula>$C24="Staff Salary"</formula>
    </cfRule>
    <cfRule type="expression" dxfId="17950" priority="2781">
      <formula>$C24="Rent"</formula>
    </cfRule>
    <cfRule type="expression" dxfId="17949" priority="2782">
      <formula>$C24="Petrol"</formula>
    </cfRule>
    <cfRule type="expression" dxfId="17948" priority="2783">
      <formula>$C24="Bills"</formula>
    </cfRule>
    <cfRule type="expression" dxfId="17947" priority="2784">
      <formula>$C24="Sales"</formula>
    </cfRule>
    <cfRule type="expression" dxfId="17946" priority="2785">
      <formula>$C24="Expences"</formula>
    </cfRule>
    <cfRule type="expression" dxfId="17945" priority="2786">
      <formula>$C24="Garlic Purchase"</formula>
    </cfRule>
    <cfRule type="expression" dxfId="17944" priority="2787">
      <formula>$C24="Ginger Purchase"</formula>
    </cfRule>
  </conditionalFormatting>
  <conditionalFormatting sqref="B24 B36 B38 B26:B28 B30 B32 B34 B40 B42 B44 B46">
    <cfRule type="expression" dxfId="17943" priority="2788">
      <formula>$C24="Advance"</formula>
    </cfRule>
  </conditionalFormatting>
  <conditionalFormatting sqref="B24 B36 B38 B26:B28 B30 B32 B34 B40 B42 B44 B46">
    <cfRule type="expression" dxfId="17942" priority="2769">
      <formula>$C24="Delivery charge"</formula>
    </cfRule>
    <cfRule type="expression" dxfId="17941" priority="2770">
      <formula>$C24="Staff Salary"</formula>
    </cfRule>
    <cfRule type="expression" dxfId="17940" priority="2771">
      <formula>$C24="Rent"</formula>
    </cfRule>
    <cfRule type="expression" dxfId="17939" priority="2772">
      <formula>$C24="Petrol"</formula>
    </cfRule>
    <cfRule type="expression" dxfId="17938" priority="2773">
      <formula>$C24="Bills"</formula>
    </cfRule>
    <cfRule type="expression" dxfId="17937" priority="2774">
      <formula>$C24="Sales"</formula>
    </cfRule>
    <cfRule type="expression" dxfId="17936" priority="2775">
      <formula>$C24="Expences"</formula>
    </cfRule>
    <cfRule type="expression" dxfId="17935" priority="2776">
      <formula>$C24="Garlic Purchase"</formula>
    </cfRule>
    <cfRule type="expression" dxfId="17934" priority="2777">
      <formula>$C24="Ginger Purchase"</formula>
    </cfRule>
  </conditionalFormatting>
  <conditionalFormatting sqref="B24 B36 B38 B26:B28 B30 B32 B34 B40 B42 B44 B46">
    <cfRule type="expression" dxfId="17933" priority="2778">
      <formula>$C24="Advance"</formula>
    </cfRule>
  </conditionalFormatting>
  <conditionalFormatting sqref="B38 B40 B42 B44 B46">
    <cfRule type="expression" dxfId="17932" priority="2767">
      <formula>$C38="Advance"</formula>
    </cfRule>
  </conditionalFormatting>
  <conditionalFormatting sqref="B38 B40 B42 B44 B46">
    <cfRule type="expression" dxfId="17931" priority="2758">
      <formula>$C38="Delivery charge"</formula>
    </cfRule>
    <cfRule type="expression" dxfId="17930" priority="2759">
      <formula>$C38="Staff Salary"</formula>
    </cfRule>
    <cfRule type="expression" dxfId="17929" priority="2760">
      <formula>$C38="Rent"</formula>
    </cfRule>
    <cfRule type="expression" dxfId="17928" priority="2761">
      <formula>$C38="Petrol"</formula>
    </cfRule>
    <cfRule type="expression" dxfId="17927" priority="2762">
      <formula>$C38="Bills"</formula>
    </cfRule>
    <cfRule type="expression" dxfId="17926" priority="2763">
      <formula>$C38="Sales"</formula>
    </cfRule>
    <cfRule type="expression" dxfId="17925" priority="2764">
      <formula>$C38="Expences"</formula>
    </cfRule>
    <cfRule type="expression" dxfId="17924" priority="2765">
      <formula>$C38="Garlic Purchase"</formula>
    </cfRule>
    <cfRule type="expression" dxfId="17923" priority="2766">
      <formula>$C38="Ginger Purchase"</formula>
    </cfRule>
  </conditionalFormatting>
  <conditionalFormatting sqref="B37 B47 B49 B51 B39 B41 B43 B45 B53 B55 B57 B59 B61 B63">
    <cfRule type="expression" dxfId="17922" priority="2748">
      <formula>$C37="Delivery charge"</formula>
    </cfRule>
    <cfRule type="expression" dxfId="17921" priority="2749">
      <formula>$C37="Staff Salary"</formula>
    </cfRule>
    <cfRule type="expression" dxfId="17920" priority="2750">
      <formula>$C37="Rent"</formula>
    </cfRule>
    <cfRule type="expression" dxfId="17919" priority="2751">
      <formula>$C37="Petrol"</formula>
    </cfRule>
    <cfRule type="expression" dxfId="17918" priority="2752">
      <formula>$C37="Bills"</formula>
    </cfRule>
    <cfRule type="expression" dxfId="17917" priority="2753">
      <formula>$C37="Sales"</formula>
    </cfRule>
    <cfRule type="expression" dxfId="17916" priority="2754">
      <formula>$C37="Expences"</formula>
    </cfRule>
    <cfRule type="expression" dxfId="17915" priority="2755">
      <formula>$C37="Garlic Purchase"</formula>
    </cfRule>
    <cfRule type="expression" dxfId="17914" priority="2756">
      <formula>$C37="Ginger Purchase"</formula>
    </cfRule>
  </conditionalFormatting>
  <conditionalFormatting sqref="B37 B47 B49 B51 B39 B41 B43 B45 B53 B55 B57 B59 B61 B63">
    <cfRule type="expression" dxfId="17913" priority="2757">
      <formula>$C37="Advance"</formula>
    </cfRule>
  </conditionalFormatting>
  <conditionalFormatting sqref="B37 B47 B49 B51 B39 B41 B43 B45 B53 B55 B57 B59 B61 B63">
    <cfRule type="expression" dxfId="17912" priority="2738">
      <formula>$C37="Delivery charge"</formula>
    </cfRule>
    <cfRule type="expression" dxfId="17911" priority="2739">
      <formula>$C37="Staff Salary"</formula>
    </cfRule>
    <cfRule type="expression" dxfId="17910" priority="2740">
      <formula>$C37="Rent"</formula>
    </cfRule>
    <cfRule type="expression" dxfId="17909" priority="2741">
      <formula>$C37="Petrol"</formula>
    </cfRule>
    <cfRule type="expression" dxfId="17908" priority="2742">
      <formula>$C37="Bills"</formula>
    </cfRule>
    <cfRule type="expression" dxfId="17907" priority="2743">
      <formula>$C37="Sales"</formula>
    </cfRule>
    <cfRule type="expression" dxfId="17906" priority="2744">
      <formula>$C37="Expences"</formula>
    </cfRule>
    <cfRule type="expression" dxfId="17905" priority="2745">
      <formula>$C37="Garlic Purchase"</formula>
    </cfRule>
    <cfRule type="expression" dxfId="17904" priority="2746">
      <formula>$C37="Ginger Purchase"</formula>
    </cfRule>
  </conditionalFormatting>
  <conditionalFormatting sqref="B37 B47 B49 B51 B39 B41 B43 B45 B53 B55 B57 B59 B61 B63">
    <cfRule type="expression" dxfId="17903" priority="2747">
      <formula>$C37="Advance"</formula>
    </cfRule>
  </conditionalFormatting>
  <conditionalFormatting sqref="B37 B47 B49 B51 B39 B41 B43 B45 B53 B55 B57 B59 B61 B63">
    <cfRule type="expression" dxfId="17902" priority="2728">
      <formula>$C37="Delivery charge"</formula>
    </cfRule>
    <cfRule type="expression" dxfId="17901" priority="2729">
      <formula>$C37="Staff Salary"</formula>
    </cfRule>
    <cfRule type="expression" dxfId="17900" priority="2730">
      <formula>$C37="Rent"</formula>
    </cfRule>
    <cfRule type="expression" dxfId="17899" priority="2731">
      <formula>$C37="Petrol"</formula>
    </cfRule>
    <cfRule type="expression" dxfId="17898" priority="2732">
      <formula>$C37="Bills"</formula>
    </cfRule>
    <cfRule type="expression" dxfId="17897" priority="2733">
      <formula>$C37="Sales"</formula>
    </cfRule>
    <cfRule type="expression" dxfId="17896" priority="2734">
      <formula>$C37="Expences"</formula>
    </cfRule>
    <cfRule type="expression" dxfId="17895" priority="2735">
      <formula>$C37="Garlic Purchase"</formula>
    </cfRule>
    <cfRule type="expression" dxfId="17894" priority="2736">
      <formula>$C37="Ginger Purchase"</formula>
    </cfRule>
  </conditionalFormatting>
  <conditionalFormatting sqref="B37 B47 B49 B51 B39 B41 B43 B45 B53 B55 B57 B59 B61 B63">
    <cfRule type="expression" dxfId="17893" priority="2737">
      <formula>$C37="Advance"</formula>
    </cfRule>
  </conditionalFormatting>
  <conditionalFormatting sqref="B37 B47 B49 B51 B39 B41 B43 B45 B53 B55 B57 B59 B61 B63">
    <cfRule type="expression" dxfId="17892" priority="2718">
      <formula>$C37="Delivery charge"</formula>
    </cfRule>
    <cfRule type="expression" dxfId="17891" priority="2719">
      <formula>$C37="Staff Salary"</formula>
    </cfRule>
    <cfRule type="expression" dxfId="17890" priority="2720">
      <formula>$C37="Rent"</formula>
    </cfRule>
    <cfRule type="expression" dxfId="17889" priority="2721">
      <formula>$C37="Petrol"</formula>
    </cfRule>
    <cfRule type="expression" dxfId="17888" priority="2722">
      <formula>$C37="Bills"</formula>
    </cfRule>
    <cfRule type="expression" dxfId="17887" priority="2723">
      <formula>$C37="Sales"</formula>
    </cfRule>
    <cfRule type="expression" dxfId="17886" priority="2724">
      <formula>$C37="Expences"</formula>
    </cfRule>
    <cfRule type="expression" dxfId="17885" priority="2725">
      <formula>$C37="Garlic Purchase"</formula>
    </cfRule>
    <cfRule type="expression" dxfId="17884" priority="2726">
      <formula>$C37="Ginger Purchase"</formula>
    </cfRule>
  </conditionalFormatting>
  <conditionalFormatting sqref="B37 B47 B49 B51 B39 B41 B43 B45 B53 B55 B57 B59 B61 B63">
    <cfRule type="expression" dxfId="17883" priority="2727">
      <formula>$C37="Advance"</formula>
    </cfRule>
  </conditionalFormatting>
  <conditionalFormatting sqref="B37 B47 B49 B51 B39 B41 B43 B45 B53 B55 B57 B59 B61 B63">
    <cfRule type="expression" dxfId="17882" priority="2708">
      <formula>$C37="Delivery charge"</formula>
    </cfRule>
    <cfRule type="expression" dxfId="17881" priority="2709">
      <formula>$C37="Staff Salary"</formula>
    </cfRule>
    <cfRule type="expression" dxfId="17880" priority="2710">
      <formula>$C37="Rent"</formula>
    </cfRule>
    <cfRule type="expression" dxfId="17879" priority="2711">
      <formula>$C37="Petrol"</formula>
    </cfRule>
    <cfRule type="expression" dxfId="17878" priority="2712">
      <formula>$C37="Bills"</formula>
    </cfRule>
    <cfRule type="expression" dxfId="17877" priority="2713">
      <formula>$C37="Sales"</formula>
    </cfRule>
    <cfRule type="expression" dxfId="17876" priority="2714">
      <formula>$C37="Expences"</formula>
    </cfRule>
    <cfRule type="expression" dxfId="17875" priority="2715">
      <formula>$C37="Garlic Purchase"</formula>
    </cfRule>
    <cfRule type="expression" dxfId="17874" priority="2716">
      <formula>$C37="Ginger Purchase"</formula>
    </cfRule>
  </conditionalFormatting>
  <conditionalFormatting sqref="B37 B47 B49 B51 B39 B41 B43 B45 B53 B55 B57 B59 B61 B63">
    <cfRule type="expression" dxfId="17873" priority="2717">
      <formula>$C37="Advance"</formula>
    </cfRule>
  </conditionalFormatting>
  <conditionalFormatting sqref="B37 B47 B49 B51 B39 B41 B43 B45 B53 B55 B57 B59 B61 B63">
    <cfRule type="expression" dxfId="17872" priority="2698">
      <formula>$C37="Delivery charge"</formula>
    </cfRule>
    <cfRule type="expression" dxfId="17871" priority="2699">
      <formula>$C37="Staff Salary"</formula>
    </cfRule>
    <cfRule type="expression" dxfId="17870" priority="2700">
      <formula>$C37="Rent"</formula>
    </cfRule>
    <cfRule type="expression" dxfId="17869" priority="2701">
      <formula>$C37="Petrol"</formula>
    </cfRule>
    <cfRule type="expression" dxfId="17868" priority="2702">
      <formula>$C37="Bills"</formula>
    </cfRule>
    <cfRule type="expression" dxfId="17867" priority="2703">
      <formula>$C37="Sales"</formula>
    </cfRule>
    <cfRule type="expression" dxfId="17866" priority="2704">
      <formula>$C37="Expences"</formula>
    </cfRule>
    <cfRule type="expression" dxfId="17865" priority="2705">
      <formula>$C37="Garlic Purchase"</formula>
    </cfRule>
    <cfRule type="expression" dxfId="17864" priority="2706">
      <formula>$C37="Ginger Purchase"</formula>
    </cfRule>
  </conditionalFormatting>
  <conditionalFormatting sqref="B37 B47 B49 B51 B39 B41 B43 B45 B53 B55 B57 B59 B61 B63">
    <cfRule type="expression" dxfId="17863" priority="2707">
      <formula>$C37="Advance"</formula>
    </cfRule>
  </conditionalFormatting>
  <conditionalFormatting sqref="B37 B47 B49 B51 B39 B41 B43 B45 B53 B55 B57 B59 B61 B63">
    <cfRule type="expression" dxfId="17862" priority="2688">
      <formula>$C37="Delivery charge"</formula>
    </cfRule>
    <cfRule type="expression" dxfId="17861" priority="2689">
      <formula>$C37="Staff Salary"</formula>
    </cfRule>
    <cfRule type="expression" dxfId="17860" priority="2690">
      <formula>$C37="Rent"</formula>
    </cfRule>
    <cfRule type="expression" dxfId="17859" priority="2691">
      <formula>$C37="Petrol"</formula>
    </cfRule>
    <cfRule type="expression" dxfId="17858" priority="2692">
      <formula>$C37="Bills"</formula>
    </cfRule>
    <cfRule type="expression" dxfId="17857" priority="2693">
      <formula>$C37="Sales"</formula>
    </cfRule>
    <cfRule type="expression" dxfId="17856" priority="2694">
      <formula>$C37="Expences"</formula>
    </cfRule>
    <cfRule type="expression" dxfId="17855" priority="2695">
      <formula>$C37="Garlic Purchase"</formula>
    </cfRule>
    <cfRule type="expression" dxfId="17854" priority="2696">
      <formula>$C37="Ginger Purchase"</formula>
    </cfRule>
  </conditionalFormatting>
  <conditionalFormatting sqref="B37 B47 B49 B51 B39 B41 B43 B45 B53 B55 B57 B59 B61 B63">
    <cfRule type="expression" dxfId="17853" priority="2697">
      <formula>$C37="Advance"</formula>
    </cfRule>
  </conditionalFormatting>
  <conditionalFormatting sqref="B37 B47 B49 B51 B39 B41 B43 B45 B53 B55 B57 B59 B61 B63">
    <cfRule type="expression" dxfId="17852" priority="2678">
      <formula>$C37="Delivery charge"</formula>
    </cfRule>
    <cfRule type="expression" dxfId="17851" priority="2679">
      <formula>$C37="Staff Salary"</formula>
    </cfRule>
    <cfRule type="expression" dxfId="17850" priority="2680">
      <formula>$C37="Rent"</formula>
    </cfRule>
    <cfRule type="expression" dxfId="17849" priority="2681">
      <formula>$C37="Petrol"</formula>
    </cfRule>
    <cfRule type="expression" dxfId="17848" priority="2682">
      <formula>$C37="Bills"</formula>
    </cfRule>
    <cfRule type="expression" dxfId="17847" priority="2683">
      <formula>$C37="Sales"</formula>
    </cfRule>
    <cfRule type="expression" dxfId="17846" priority="2684">
      <formula>$C37="Expences"</formula>
    </cfRule>
    <cfRule type="expression" dxfId="17845" priority="2685">
      <formula>$C37="Garlic Purchase"</formula>
    </cfRule>
    <cfRule type="expression" dxfId="17844" priority="2686">
      <formula>$C37="Ginger Purchase"</formula>
    </cfRule>
  </conditionalFormatting>
  <conditionalFormatting sqref="B37 B47 B49 B51 B39 B41 B43 B45 B53 B55 B57 B59 B61 B63">
    <cfRule type="expression" dxfId="17843" priority="2687">
      <formula>$C37="Advance"</formula>
    </cfRule>
  </conditionalFormatting>
  <conditionalFormatting sqref="B37 B47 B49 B51 B39 B41 B43 B45 B53 B55 B57 B59 B61 B63">
    <cfRule type="expression" dxfId="17842" priority="2668">
      <formula>$C37="Delivery charge"</formula>
    </cfRule>
    <cfRule type="expression" dxfId="17841" priority="2669">
      <formula>$C37="Staff Salary"</formula>
    </cfRule>
    <cfRule type="expression" dxfId="17840" priority="2670">
      <formula>$C37="Rent"</formula>
    </cfRule>
    <cfRule type="expression" dxfId="17839" priority="2671">
      <formula>$C37="Petrol"</formula>
    </cfRule>
    <cfRule type="expression" dxfId="17838" priority="2672">
      <formula>$C37="Bills"</formula>
    </cfRule>
    <cfRule type="expression" dxfId="17837" priority="2673">
      <formula>$C37="Sales"</formula>
    </cfRule>
    <cfRule type="expression" dxfId="17836" priority="2674">
      <formula>$C37="Expences"</formula>
    </cfRule>
    <cfRule type="expression" dxfId="17835" priority="2675">
      <formula>$C37="Garlic Purchase"</formula>
    </cfRule>
    <cfRule type="expression" dxfId="17834" priority="2676">
      <formula>$C37="Ginger Purchase"</formula>
    </cfRule>
  </conditionalFormatting>
  <conditionalFormatting sqref="B37 B47 B49 B51 B39 B41 B43 B45 B53 B55 B57 B59 B61 B63">
    <cfRule type="expression" dxfId="17833" priority="2677">
      <formula>$C37="Advance"</formula>
    </cfRule>
  </conditionalFormatting>
  <conditionalFormatting sqref="B37 B47 B49 B51 B39 B41 B43 B45 B53 B55 B57 B59 B61 B63">
    <cfRule type="expression" dxfId="17832" priority="2658">
      <formula>$C37="Delivery charge"</formula>
    </cfRule>
    <cfRule type="expression" dxfId="17831" priority="2659">
      <formula>$C37="Staff Salary"</formula>
    </cfRule>
    <cfRule type="expression" dxfId="17830" priority="2660">
      <formula>$C37="Rent"</formula>
    </cfRule>
    <cfRule type="expression" dxfId="17829" priority="2661">
      <formula>$C37="Petrol"</formula>
    </cfRule>
    <cfRule type="expression" dxfId="17828" priority="2662">
      <formula>$C37="Bills"</formula>
    </cfRule>
    <cfRule type="expression" dxfId="17827" priority="2663">
      <formula>$C37="Sales"</formula>
    </cfRule>
    <cfRule type="expression" dxfId="17826" priority="2664">
      <formula>$C37="Expences"</formula>
    </cfRule>
    <cfRule type="expression" dxfId="17825" priority="2665">
      <formula>$C37="Garlic Purchase"</formula>
    </cfRule>
    <cfRule type="expression" dxfId="17824" priority="2666">
      <formula>$C37="Ginger Purchase"</formula>
    </cfRule>
  </conditionalFormatting>
  <conditionalFormatting sqref="B37 B47 B49 B51 B39 B41 B43 B45 B53 B55 B57 B59 B61 B63">
    <cfRule type="expression" dxfId="17823" priority="2667">
      <formula>$C37="Advance"</formula>
    </cfRule>
  </conditionalFormatting>
  <conditionalFormatting sqref="B37 B47 B49 B51 B39 B41 B43 B45 B53 B55 B57 B59 B61 B63">
    <cfRule type="expression" dxfId="17822" priority="2648">
      <formula>$C37="Delivery charge"</formula>
    </cfRule>
    <cfRule type="expression" dxfId="17821" priority="2649">
      <formula>$C37="Staff Salary"</formula>
    </cfRule>
    <cfRule type="expression" dxfId="17820" priority="2650">
      <formula>$C37="Rent"</formula>
    </cfRule>
    <cfRule type="expression" dxfId="17819" priority="2651">
      <formula>$C37="Petrol"</formula>
    </cfRule>
    <cfRule type="expression" dxfId="17818" priority="2652">
      <formula>$C37="Bills"</formula>
    </cfRule>
    <cfRule type="expression" dxfId="17817" priority="2653">
      <formula>$C37="Sales"</formula>
    </cfRule>
    <cfRule type="expression" dxfId="17816" priority="2654">
      <formula>$C37="Expences"</formula>
    </cfRule>
    <cfRule type="expression" dxfId="17815" priority="2655">
      <formula>$C37="Garlic Purchase"</formula>
    </cfRule>
    <cfRule type="expression" dxfId="17814" priority="2656">
      <formula>$C37="Ginger Purchase"</formula>
    </cfRule>
  </conditionalFormatting>
  <conditionalFormatting sqref="B37 B47 B49 B51 B39 B41 B43 B45 B53 B55 B57 B59 B61 B63">
    <cfRule type="expression" dxfId="17813" priority="2657">
      <formula>$C37="Advance"</formula>
    </cfRule>
  </conditionalFormatting>
  <conditionalFormatting sqref="B38 B40 B42 B44 B46">
    <cfRule type="expression" dxfId="17812" priority="2638">
      <formula>$C38="Delivery charge"</formula>
    </cfRule>
    <cfRule type="expression" dxfId="17811" priority="2639">
      <formula>$C38="Staff Salary"</formula>
    </cfRule>
    <cfRule type="expression" dxfId="17810" priority="2640">
      <formula>$C38="Rent"</formula>
    </cfRule>
    <cfRule type="expression" dxfId="17809" priority="2641">
      <formula>$C38="Petrol"</formula>
    </cfRule>
    <cfRule type="expression" dxfId="17808" priority="2642">
      <formula>$C38="Bills"</formula>
    </cfRule>
    <cfRule type="expression" dxfId="17807" priority="2643">
      <formula>$C38="Sales"</formula>
    </cfRule>
    <cfRule type="expression" dxfId="17806" priority="2644">
      <formula>$C38="Expences"</formula>
    </cfRule>
    <cfRule type="expression" dxfId="17805" priority="2645">
      <formula>$C38="Garlic Purchase"</formula>
    </cfRule>
    <cfRule type="expression" dxfId="17804" priority="2646">
      <formula>$C38="Ginger Purchase"</formula>
    </cfRule>
  </conditionalFormatting>
  <conditionalFormatting sqref="B38 B40 B42 B44 B46">
    <cfRule type="expression" dxfId="17803" priority="2647">
      <formula>$C38="Advance"</formula>
    </cfRule>
  </conditionalFormatting>
  <conditionalFormatting sqref="B37 B47 B49 B51 B39 B41 B43 B45 B53 B55 B57 B59 B61 B63">
    <cfRule type="expression" dxfId="17802" priority="2628">
      <formula>$C37="Delivery charge"</formula>
    </cfRule>
    <cfRule type="expression" dxfId="17801" priority="2629">
      <formula>$C37="Staff Salary"</formula>
    </cfRule>
    <cfRule type="expression" dxfId="17800" priority="2630">
      <formula>$C37="Rent"</formula>
    </cfRule>
    <cfRule type="expression" dxfId="17799" priority="2631">
      <formula>$C37="Petrol"</formula>
    </cfRule>
    <cfRule type="expression" dxfId="17798" priority="2632">
      <formula>$C37="Bills"</formula>
    </cfRule>
    <cfRule type="expression" dxfId="17797" priority="2633">
      <formula>$C37="Sales"</formula>
    </cfRule>
    <cfRule type="expression" dxfId="17796" priority="2634">
      <formula>$C37="Expences"</formula>
    </cfRule>
    <cfRule type="expression" dxfId="17795" priority="2635">
      <formula>$C37="Garlic Purchase"</formula>
    </cfRule>
    <cfRule type="expression" dxfId="17794" priority="2636">
      <formula>$C37="Ginger Purchase"</formula>
    </cfRule>
  </conditionalFormatting>
  <conditionalFormatting sqref="B37 B47 B49 B51 B39 B41 B43 B45 B53 B55 B57 B59 B61 B63">
    <cfRule type="expression" dxfId="17793" priority="2637">
      <formula>$C37="Advance"</formula>
    </cfRule>
  </conditionalFormatting>
  <conditionalFormatting sqref="B37 B47 B49 B51 B39 B41 B43 B45 B53 B55 B57 B59 B61 B63">
    <cfRule type="expression" dxfId="17792" priority="2618">
      <formula>$C37="Delivery charge"</formula>
    </cfRule>
    <cfRule type="expression" dxfId="17791" priority="2619">
      <formula>$C37="Staff Salary"</formula>
    </cfRule>
    <cfRule type="expression" dxfId="17790" priority="2620">
      <formula>$C37="Rent"</formula>
    </cfRule>
    <cfRule type="expression" dxfId="17789" priority="2621">
      <formula>$C37="Petrol"</formula>
    </cfRule>
    <cfRule type="expression" dxfId="17788" priority="2622">
      <formula>$C37="Bills"</formula>
    </cfRule>
    <cfRule type="expression" dxfId="17787" priority="2623">
      <formula>$C37="Sales"</formula>
    </cfRule>
    <cfRule type="expression" dxfId="17786" priority="2624">
      <formula>$C37="Expences"</formula>
    </cfRule>
    <cfRule type="expression" dxfId="17785" priority="2625">
      <formula>$C37="Garlic Purchase"</formula>
    </cfRule>
    <cfRule type="expression" dxfId="17784" priority="2626">
      <formula>$C37="Ginger Purchase"</formula>
    </cfRule>
  </conditionalFormatting>
  <conditionalFormatting sqref="B37 B47 B49 B51 B39 B41 B43 B45 B53 B55 B57 B59 B61 B63">
    <cfRule type="expression" dxfId="17783" priority="2627">
      <formula>$C37="Advance"</formula>
    </cfRule>
  </conditionalFormatting>
  <conditionalFormatting sqref="B37 B47 B49 B51 B39 B41 B43 B45 B53 B55 B57 B59 B61 B63">
    <cfRule type="expression" dxfId="17782" priority="2608">
      <formula>$C37="Delivery charge"</formula>
    </cfRule>
    <cfRule type="expression" dxfId="17781" priority="2609">
      <formula>$C37="Staff Salary"</formula>
    </cfRule>
    <cfRule type="expression" dxfId="17780" priority="2610">
      <formula>$C37="Rent"</formula>
    </cfRule>
    <cfRule type="expression" dxfId="17779" priority="2611">
      <formula>$C37="Petrol"</formula>
    </cfRule>
    <cfRule type="expression" dxfId="17778" priority="2612">
      <formula>$C37="Bills"</formula>
    </cfRule>
    <cfRule type="expression" dxfId="17777" priority="2613">
      <formula>$C37="Sales"</formula>
    </cfRule>
    <cfRule type="expression" dxfId="17776" priority="2614">
      <formula>$C37="Expences"</formula>
    </cfRule>
    <cfRule type="expression" dxfId="17775" priority="2615">
      <formula>$C37="Garlic Purchase"</formula>
    </cfRule>
    <cfRule type="expression" dxfId="17774" priority="2616">
      <formula>$C37="Ginger Purchase"</formula>
    </cfRule>
  </conditionalFormatting>
  <conditionalFormatting sqref="B37 B47 B49 B51 B39 B41 B43 B45 B53 B55 B57 B59 B61 B63">
    <cfRule type="expression" dxfId="17773" priority="2617">
      <formula>$C37="Advance"</formula>
    </cfRule>
  </conditionalFormatting>
  <conditionalFormatting sqref="B37 B47 B49 B51 B39 B41 B43 B45 B53 B55 B57 B59 B61 B63">
    <cfRule type="expression" dxfId="17772" priority="2598">
      <formula>$C37="Delivery charge"</formula>
    </cfRule>
    <cfRule type="expression" dxfId="17771" priority="2599">
      <formula>$C37="Staff Salary"</formula>
    </cfRule>
    <cfRule type="expression" dxfId="17770" priority="2600">
      <formula>$C37="Rent"</formula>
    </cfRule>
    <cfRule type="expression" dxfId="17769" priority="2601">
      <formula>$C37="Petrol"</formula>
    </cfRule>
    <cfRule type="expression" dxfId="17768" priority="2602">
      <formula>$C37="Bills"</formula>
    </cfRule>
    <cfRule type="expression" dxfId="17767" priority="2603">
      <formula>$C37="Sales"</formula>
    </cfRule>
    <cfRule type="expression" dxfId="17766" priority="2604">
      <formula>$C37="Expences"</formula>
    </cfRule>
    <cfRule type="expression" dxfId="17765" priority="2605">
      <formula>$C37="Garlic Purchase"</formula>
    </cfRule>
    <cfRule type="expression" dxfId="17764" priority="2606">
      <formula>$C37="Ginger Purchase"</formula>
    </cfRule>
  </conditionalFormatting>
  <conditionalFormatting sqref="B37 B47 B49 B51 B39 B41 B43 B45 B53 B55 B57 B59 B61 B63">
    <cfRule type="expression" dxfId="17763" priority="2607">
      <formula>$C37="Advance"</formula>
    </cfRule>
  </conditionalFormatting>
  <conditionalFormatting sqref="B38 B40 B42 B44 B46">
    <cfRule type="expression" dxfId="17762" priority="2588">
      <formula>$C38="Delivery charge"</formula>
    </cfRule>
    <cfRule type="expression" dxfId="17761" priority="2589">
      <formula>$C38="Staff Salary"</formula>
    </cfRule>
    <cfRule type="expression" dxfId="17760" priority="2590">
      <formula>$C38="Rent"</formula>
    </cfRule>
    <cfRule type="expression" dxfId="17759" priority="2591">
      <formula>$C38="Petrol"</formula>
    </cfRule>
    <cfRule type="expression" dxfId="17758" priority="2592">
      <formula>$C38="Bills"</formula>
    </cfRule>
    <cfRule type="expression" dxfId="17757" priority="2593">
      <formula>$C38="Sales"</formula>
    </cfRule>
    <cfRule type="expression" dxfId="17756" priority="2594">
      <formula>$C38="Expences"</formula>
    </cfRule>
    <cfRule type="expression" dxfId="17755" priority="2595">
      <formula>$C38="Garlic Purchase"</formula>
    </cfRule>
    <cfRule type="expression" dxfId="17754" priority="2596">
      <formula>$C38="Ginger Purchase"</formula>
    </cfRule>
  </conditionalFormatting>
  <conditionalFormatting sqref="B38 B40 B42 B44 B46">
    <cfRule type="expression" dxfId="17753" priority="2597">
      <formula>$C38="Advance"</formula>
    </cfRule>
  </conditionalFormatting>
  <conditionalFormatting sqref="B38 B40 B42 B44 B46">
    <cfRule type="expression" dxfId="17752" priority="2578">
      <formula>$C38="Delivery charge"</formula>
    </cfRule>
    <cfRule type="expression" dxfId="17751" priority="2579">
      <formula>$C38="Staff Salary"</formula>
    </cfRule>
    <cfRule type="expression" dxfId="17750" priority="2580">
      <formula>$C38="Rent"</formula>
    </cfRule>
    <cfRule type="expression" dxfId="17749" priority="2581">
      <formula>$C38="Petrol"</formula>
    </cfRule>
    <cfRule type="expression" dxfId="17748" priority="2582">
      <formula>$C38="Bills"</formula>
    </cfRule>
    <cfRule type="expression" dxfId="17747" priority="2583">
      <formula>$C38="Sales"</formula>
    </cfRule>
    <cfRule type="expression" dxfId="17746" priority="2584">
      <formula>$C38="Expences"</formula>
    </cfRule>
    <cfRule type="expression" dxfId="17745" priority="2585">
      <formula>$C38="Garlic Purchase"</formula>
    </cfRule>
    <cfRule type="expression" dxfId="17744" priority="2586">
      <formula>$C38="Ginger Purchase"</formula>
    </cfRule>
  </conditionalFormatting>
  <conditionalFormatting sqref="B38 B40 B42 B44 B46">
    <cfRule type="expression" dxfId="17743" priority="2587">
      <formula>$C38="Advance"</formula>
    </cfRule>
  </conditionalFormatting>
  <conditionalFormatting sqref="B38 B40 B42 B44 B46">
    <cfRule type="expression" dxfId="17742" priority="2568">
      <formula>$C38="Delivery charge"</formula>
    </cfRule>
    <cfRule type="expression" dxfId="17741" priority="2569">
      <formula>$C38="Staff Salary"</formula>
    </cfRule>
    <cfRule type="expression" dxfId="17740" priority="2570">
      <formula>$C38="Rent"</formula>
    </cfRule>
    <cfRule type="expression" dxfId="17739" priority="2571">
      <formula>$C38="Petrol"</formula>
    </cfRule>
    <cfRule type="expression" dxfId="17738" priority="2572">
      <formula>$C38="Bills"</formula>
    </cfRule>
    <cfRule type="expression" dxfId="17737" priority="2573">
      <formula>$C38="Sales"</formula>
    </cfRule>
    <cfRule type="expression" dxfId="17736" priority="2574">
      <formula>$C38="Expences"</formula>
    </cfRule>
    <cfRule type="expression" dxfId="17735" priority="2575">
      <formula>$C38="Garlic Purchase"</formula>
    </cfRule>
    <cfRule type="expression" dxfId="17734" priority="2576">
      <formula>$C38="Ginger Purchase"</formula>
    </cfRule>
  </conditionalFormatting>
  <conditionalFormatting sqref="B38 B40 B42 B44 B46">
    <cfRule type="expression" dxfId="17733" priority="2577">
      <formula>$C38="Advance"</formula>
    </cfRule>
  </conditionalFormatting>
  <conditionalFormatting sqref="B38 B40 B42 B44 B46">
    <cfRule type="expression" dxfId="17732" priority="2558">
      <formula>$C38="Delivery charge"</formula>
    </cfRule>
    <cfRule type="expression" dxfId="17731" priority="2559">
      <formula>$C38="Staff Salary"</formula>
    </cfRule>
    <cfRule type="expression" dxfId="17730" priority="2560">
      <formula>$C38="Rent"</formula>
    </cfRule>
    <cfRule type="expression" dxfId="17729" priority="2561">
      <formula>$C38="Petrol"</formula>
    </cfRule>
    <cfRule type="expression" dxfId="17728" priority="2562">
      <formula>$C38="Bills"</formula>
    </cfRule>
    <cfRule type="expression" dxfId="17727" priority="2563">
      <formula>$C38="Sales"</formula>
    </cfRule>
    <cfRule type="expression" dxfId="17726" priority="2564">
      <formula>$C38="Expences"</formula>
    </cfRule>
    <cfRule type="expression" dxfId="17725" priority="2565">
      <formula>$C38="Garlic Purchase"</formula>
    </cfRule>
    <cfRule type="expression" dxfId="17724" priority="2566">
      <formula>$C38="Ginger Purchase"</formula>
    </cfRule>
  </conditionalFormatting>
  <conditionalFormatting sqref="B38 B40 B42 B44 B46">
    <cfRule type="expression" dxfId="17723" priority="2567">
      <formula>$C38="Advance"</formula>
    </cfRule>
  </conditionalFormatting>
  <conditionalFormatting sqref="B37 B47 B49 B51 B39 B41 B43 B45 B53 B55 B57 B59 B61 B63">
    <cfRule type="expression" dxfId="17722" priority="2548">
      <formula>$C37="Delivery charge"</formula>
    </cfRule>
    <cfRule type="expression" dxfId="17721" priority="2549">
      <formula>$C37="Staff Salary"</formula>
    </cfRule>
    <cfRule type="expression" dxfId="17720" priority="2550">
      <formula>$C37="Rent"</formula>
    </cfRule>
    <cfRule type="expression" dxfId="17719" priority="2551">
      <formula>$C37="Petrol"</formula>
    </cfRule>
    <cfRule type="expression" dxfId="17718" priority="2552">
      <formula>$C37="Bills"</formula>
    </cfRule>
    <cfRule type="expression" dxfId="17717" priority="2553">
      <formula>$C37="Sales"</formula>
    </cfRule>
    <cfRule type="expression" dxfId="17716" priority="2554">
      <formula>$C37="Expences"</formula>
    </cfRule>
    <cfRule type="expression" dxfId="17715" priority="2555">
      <formula>$C37="Garlic Purchase"</formula>
    </cfRule>
    <cfRule type="expression" dxfId="17714" priority="2556">
      <formula>$C37="Ginger Purchase"</formula>
    </cfRule>
  </conditionalFormatting>
  <conditionalFormatting sqref="B37 B47 B49 B51 B39 B41 B43 B45 B53 B55 B57 B59 B61 B63">
    <cfRule type="expression" dxfId="17713" priority="2557">
      <formula>$C37="Advance"</formula>
    </cfRule>
  </conditionalFormatting>
  <conditionalFormatting sqref="B38 B40 B42 B44 B46">
    <cfRule type="expression" dxfId="17712" priority="2538">
      <formula>$C38="Delivery charge"</formula>
    </cfRule>
    <cfRule type="expression" dxfId="17711" priority="2539">
      <formula>$C38="Staff Salary"</formula>
    </cfRule>
    <cfRule type="expression" dxfId="17710" priority="2540">
      <formula>$C38="Rent"</formula>
    </cfRule>
    <cfRule type="expression" dxfId="17709" priority="2541">
      <formula>$C38="Petrol"</formula>
    </cfRule>
    <cfRule type="expression" dxfId="17708" priority="2542">
      <formula>$C38="Bills"</formula>
    </cfRule>
    <cfRule type="expression" dxfId="17707" priority="2543">
      <formula>$C38="Sales"</formula>
    </cfRule>
    <cfRule type="expression" dxfId="17706" priority="2544">
      <formula>$C38="Expences"</formula>
    </cfRule>
    <cfRule type="expression" dxfId="17705" priority="2545">
      <formula>$C38="Garlic Purchase"</formula>
    </cfRule>
    <cfRule type="expression" dxfId="17704" priority="2546">
      <formula>$C38="Ginger Purchase"</formula>
    </cfRule>
  </conditionalFormatting>
  <conditionalFormatting sqref="B38 B40 B42 B44 B46">
    <cfRule type="expression" dxfId="17703" priority="2547">
      <formula>$C38="Advance"</formula>
    </cfRule>
  </conditionalFormatting>
  <conditionalFormatting sqref="B38 B40 B42 B44 B46">
    <cfRule type="expression" dxfId="17702" priority="2528">
      <formula>$C38="Delivery charge"</formula>
    </cfRule>
    <cfRule type="expression" dxfId="17701" priority="2529">
      <formula>$C38="Staff Salary"</formula>
    </cfRule>
    <cfRule type="expression" dxfId="17700" priority="2530">
      <formula>$C38="Rent"</formula>
    </cfRule>
    <cfRule type="expression" dxfId="17699" priority="2531">
      <formula>$C38="Petrol"</formula>
    </cfRule>
    <cfRule type="expression" dxfId="17698" priority="2532">
      <formula>$C38="Bills"</formula>
    </cfRule>
    <cfRule type="expression" dxfId="17697" priority="2533">
      <formula>$C38="Sales"</formula>
    </cfRule>
    <cfRule type="expression" dxfId="17696" priority="2534">
      <formula>$C38="Expences"</formula>
    </cfRule>
    <cfRule type="expression" dxfId="17695" priority="2535">
      <formula>$C38="Garlic Purchase"</formula>
    </cfRule>
    <cfRule type="expression" dxfId="17694" priority="2536">
      <formula>$C38="Ginger Purchase"</formula>
    </cfRule>
  </conditionalFormatting>
  <conditionalFormatting sqref="B38 B40 B42 B44 B46">
    <cfRule type="expression" dxfId="17693" priority="2537">
      <formula>$C38="Advance"</formula>
    </cfRule>
  </conditionalFormatting>
  <conditionalFormatting sqref="B38 B40 B42 B44 B46">
    <cfRule type="expression" dxfId="17692" priority="2518">
      <formula>$C38="Delivery charge"</formula>
    </cfRule>
    <cfRule type="expression" dxfId="17691" priority="2519">
      <formula>$C38="Staff Salary"</formula>
    </cfRule>
    <cfRule type="expression" dxfId="17690" priority="2520">
      <formula>$C38="Rent"</formula>
    </cfRule>
    <cfRule type="expression" dxfId="17689" priority="2521">
      <formula>$C38="Petrol"</formula>
    </cfRule>
    <cfRule type="expression" dxfId="17688" priority="2522">
      <formula>$C38="Bills"</formula>
    </cfRule>
    <cfRule type="expression" dxfId="17687" priority="2523">
      <formula>$C38="Sales"</formula>
    </cfRule>
    <cfRule type="expression" dxfId="17686" priority="2524">
      <formula>$C38="Expences"</formula>
    </cfRule>
    <cfRule type="expression" dxfId="17685" priority="2525">
      <formula>$C38="Garlic Purchase"</formula>
    </cfRule>
    <cfRule type="expression" dxfId="17684" priority="2526">
      <formula>$C38="Ginger Purchase"</formula>
    </cfRule>
  </conditionalFormatting>
  <conditionalFormatting sqref="B38 B40 B42 B44 B46">
    <cfRule type="expression" dxfId="17683" priority="2527">
      <formula>$C38="Advance"</formula>
    </cfRule>
  </conditionalFormatting>
  <conditionalFormatting sqref="B38 B40 B42 B44 B46">
    <cfRule type="expression" dxfId="17682" priority="2508">
      <formula>$C38="Delivery charge"</formula>
    </cfRule>
    <cfRule type="expression" dxfId="17681" priority="2509">
      <formula>$C38="Staff Salary"</formula>
    </cfRule>
    <cfRule type="expression" dxfId="17680" priority="2510">
      <formula>$C38="Rent"</formula>
    </cfRule>
    <cfRule type="expression" dxfId="17679" priority="2511">
      <formula>$C38="Petrol"</formula>
    </cfRule>
    <cfRule type="expression" dxfId="17678" priority="2512">
      <formula>$C38="Bills"</formula>
    </cfRule>
    <cfRule type="expression" dxfId="17677" priority="2513">
      <formula>$C38="Sales"</formula>
    </cfRule>
    <cfRule type="expression" dxfId="17676" priority="2514">
      <formula>$C38="Expences"</formula>
    </cfRule>
    <cfRule type="expression" dxfId="17675" priority="2515">
      <formula>$C38="Garlic Purchase"</formula>
    </cfRule>
    <cfRule type="expression" dxfId="17674" priority="2516">
      <formula>$C38="Ginger Purchase"</formula>
    </cfRule>
  </conditionalFormatting>
  <conditionalFormatting sqref="B38 B40 B42 B44 B46">
    <cfRule type="expression" dxfId="17673" priority="2517">
      <formula>$C38="Advance"</formula>
    </cfRule>
  </conditionalFormatting>
  <conditionalFormatting sqref="B38 B40 B42 B44 B46">
    <cfRule type="expression" dxfId="17672" priority="2498">
      <formula>$C38="Delivery charge"</formula>
    </cfRule>
    <cfRule type="expression" dxfId="17671" priority="2499">
      <formula>$C38="Staff Salary"</formula>
    </cfRule>
    <cfRule type="expression" dxfId="17670" priority="2500">
      <formula>$C38="Rent"</formula>
    </cfRule>
    <cfRule type="expression" dxfId="17669" priority="2501">
      <formula>$C38="Petrol"</formula>
    </cfRule>
    <cfRule type="expression" dxfId="17668" priority="2502">
      <formula>$C38="Bills"</formula>
    </cfRule>
    <cfRule type="expression" dxfId="17667" priority="2503">
      <formula>$C38="Sales"</formula>
    </cfRule>
    <cfRule type="expression" dxfId="17666" priority="2504">
      <formula>$C38="Expences"</formula>
    </cfRule>
    <cfRule type="expression" dxfId="17665" priority="2505">
      <formula>$C38="Garlic Purchase"</formula>
    </cfRule>
    <cfRule type="expression" dxfId="17664" priority="2506">
      <formula>$C38="Ginger Purchase"</formula>
    </cfRule>
  </conditionalFormatting>
  <conditionalFormatting sqref="B38 B40 B42 B44 B46">
    <cfRule type="expression" dxfId="17663" priority="2507">
      <formula>$C38="Advance"</formula>
    </cfRule>
  </conditionalFormatting>
  <conditionalFormatting sqref="B37 B47 B49 B51 B39 B41 B43 B45 B53 B55 B57 B59 B61 B63">
    <cfRule type="expression" dxfId="17662" priority="2488">
      <formula>$C37="Delivery charge"</formula>
    </cfRule>
    <cfRule type="expression" dxfId="17661" priority="2489">
      <formula>$C37="Staff Salary"</formula>
    </cfRule>
    <cfRule type="expression" dxfId="17660" priority="2490">
      <formula>$C37="Rent"</formula>
    </cfRule>
    <cfRule type="expression" dxfId="17659" priority="2491">
      <formula>$C37="Petrol"</formula>
    </cfRule>
    <cfRule type="expression" dxfId="17658" priority="2492">
      <formula>$C37="Bills"</formula>
    </cfRule>
    <cfRule type="expression" dxfId="17657" priority="2493">
      <formula>$C37="Sales"</formula>
    </cfRule>
    <cfRule type="expression" dxfId="17656" priority="2494">
      <formula>$C37="Expences"</formula>
    </cfRule>
    <cfRule type="expression" dxfId="17655" priority="2495">
      <formula>$C37="Garlic Purchase"</formula>
    </cfRule>
    <cfRule type="expression" dxfId="17654" priority="2496">
      <formula>$C37="Ginger Purchase"</formula>
    </cfRule>
  </conditionalFormatting>
  <conditionalFormatting sqref="B37 B47 B49 B51 B39 B41 B43 B45 B53 B55 B57 B59 B61 B63">
    <cfRule type="expression" dxfId="17653" priority="2497">
      <formula>$C37="Advance"</formula>
    </cfRule>
  </conditionalFormatting>
  <conditionalFormatting sqref="B37 B47 B49 B51 B39 B41 B43 B45 B53 B55 B57 B59 B61 B63">
    <cfRule type="expression" dxfId="17652" priority="2478">
      <formula>$C37="Delivery charge"</formula>
    </cfRule>
    <cfRule type="expression" dxfId="17651" priority="2479">
      <formula>$C37="Staff Salary"</formula>
    </cfRule>
    <cfRule type="expression" dxfId="17650" priority="2480">
      <formula>$C37="Rent"</formula>
    </cfRule>
    <cfRule type="expression" dxfId="17649" priority="2481">
      <formula>$C37="Petrol"</formula>
    </cfRule>
    <cfRule type="expression" dxfId="17648" priority="2482">
      <formula>$C37="Bills"</formula>
    </cfRule>
    <cfRule type="expression" dxfId="17647" priority="2483">
      <formula>$C37="Sales"</formula>
    </cfRule>
    <cfRule type="expression" dxfId="17646" priority="2484">
      <formula>$C37="Expences"</formula>
    </cfRule>
    <cfRule type="expression" dxfId="17645" priority="2485">
      <formula>$C37="Garlic Purchase"</formula>
    </cfRule>
    <cfRule type="expression" dxfId="17644" priority="2486">
      <formula>$C37="Ginger Purchase"</formula>
    </cfRule>
  </conditionalFormatting>
  <conditionalFormatting sqref="B37 B47 B49 B51 B39 B41 B43 B45 B53 B55 B57 B59 B61 B63">
    <cfRule type="expression" dxfId="17643" priority="2487">
      <formula>$C37="Advance"</formula>
    </cfRule>
  </conditionalFormatting>
  <conditionalFormatting sqref="B37 B47 B49 B51 B39 B41 B43 B45 B53 B55 B57 B59 B61 B63">
    <cfRule type="expression" dxfId="17642" priority="2468">
      <formula>$C37="Delivery charge"</formula>
    </cfRule>
    <cfRule type="expression" dxfId="17641" priority="2469">
      <formula>$C37="Staff Salary"</formula>
    </cfRule>
    <cfRule type="expression" dxfId="17640" priority="2470">
      <formula>$C37="Rent"</formula>
    </cfRule>
    <cfRule type="expression" dxfId="17639" priority="2471">
      <formula>$C37="Petrol"</formula>
    </cfRule>
    <cfRule type="expression" dxfId="17638" priority="2472">
      <formula>$C37="Bills"</formula>
    </cfRule>
    <cfRule type="expression" dxfId="17637" priority="2473">
      <formula>$C37="Sales"</formula>
    </cfRule>
    <cfRule type="expression" dxfId="17636" priority="2474">
      <formula>$C37="Expences"</formula>
    </cfRule>
    <cfRule type="expression" dxfId="17635" priority="2475">
      <formula>$C37="Garlic Purchase"</formula>
    </cfRule>
    <cfRule type="expression" dxfId="17634" priority="2476">
      <formula>$C37="Ginger Purchase"</formula>
    </cfRule>
  </conditionalFormatting>
  <conditionalFormatting sqref="B37 B47 B49 B51 B39 B41 B43 B45 B53 B55 B57 B59 B61 B63">
    <cfRule type="expression" dxfId="17633" priority="2477">
      <formula>$C37="Advance"</formula>
    </cfRule>
  </conditionalFormatting>
  <conditionalFormatting sqref="B37 B47 B49 B51 B39 B41 B43 B45 B53 B55 B57 B59 B61 B63">
    <cfRule type="expression" dxfId="17632" priority="2458">
      <formula>$C37="Delivery charge"</formula>
    </cfRule>
    <cfRule type="expression" dxfId="17631" priority="2459">
      <formula>$C37="Staff Salary"</formula>
    </cfRule>
    <cfRule type="expression" dxfId="17630" priority="2460">
      <formula>$C37="Rent"</formula>
    </cfRule>
    <cfRule type="expression" dxfId="17629" priority="2461">
      <formula>$C37="Petrol"</formula>
    </cfRule>
    <cfRule type="expression" dxfId="17628" priority="2462">
      <formula>$C37="Bills"</formula>
    </cfRule>
    <cfRule type="expression" dxfId="17627" priority="2463">
      <formula>$C37="Sales"</formula>
    </cfRule>
    <cfRule type="expression" dxfId="17626" priority="2464">
      <formula>$C37="Expences"</formula>
    </cfRule>
    <cfRule type="expression" dxfId="17625" priority="2465">
      <formula>$C37="Garlic Purchase"</formula>
    </cfRule>
    <cfRule type="expression" dxfId="17624" priority="2466">
      <formula>$C37="Ginger Purchase"</formula>
    </cfRule>
  </conditionalFormatting>
  <conditionalFormatting sqref="B37 B47 B49 B51 B39 B41 B43 B45 B53 B55 B57 B59 B61 B63">
    <cfRule type="expression" dxfId="17623" priority="2467">
      <formula>$C37="Advance"</formula>
    </cfRule>
  </conditionalFormatting>
  <conditionalFormatting sqref="B37 B47 B49 B51 B39 B41 B43 B45 B53 B55 B57 B59 B61 B63">
    <cfRule type="expression" dxfId="17622" priority="2448">
      <formula>$C37="Delivery charge"</formula>
    </cfRule>
    <cfRule type="expression" dxfId="17621" priority="2449">
      <formula>$C37="Staff Salary"</formula>
    </cfRule>
    <cfRule type="expression" dxfId="17620" priority="2450">
      <formula>$C37="Rent"</formula>
    </cfRule>
    <cfRule type="expression" dxfId="17619" priority="2451">
      <formula>$C37="Petrol"</formula>
    </cfRule>
    <cfRule type="expression" dxfId="17618" priority="2452">
      <formula>$C37="Bills"</formula>
    </cfRule>
    <cfRule type="expression" dxfId="17617" priority="2453">
      <formula>$C37="Sales"</formula>
    </cfRule>
    <cfRule type="expression" dxfId="17616" priority="2454">
      <formula>$C37="Expences"</formula>
    </cfRule>
    <cfRule type="expression" dxfId="17615" priority="2455">
      <formula>$C37="Garlic Purchase"</formula>
    </cfRule>
    <cfRule type="expression" dxfId="17614" priority="2456">
      <formula>$C37="Ginger Purchase"</formula>
    </cfRule>
  </conditionalFormatting>
  <conditionalFormatting sqref="B37 B47 B49 B51 B39 B41 B43 B45 B53 B55 B57 B59 B61 B63">
    <cfRule type="expression" dxfId="17613" priority="2457">
      <formula>$C37="Advance"</formula>
    </cfRule>
  </conditionalFormatting>
  <conditionalFormatting sqref="B38 B40 B42 B44 B46">
    <cfRule type="expression" dxfId="17612" priority="2438">
      <formula>$C38="Delivery charge"</formula>
    </cfRule>
    <cfRule type="expression" dxfId="17611" priority="2439">
      <formula>$C38="Staff Salary"</formula>
    </cfRule>
    <cfRule type="expression" dxfId="17610" priority="2440">
      <formula>$C38="Rent"</formula>
    </cfRule>
    <cfRule type="expression" dxfId="17609" priority="2441">
      <formula>$C38="Petrol"</formula>
    </cfRule>
    <cfRule type="expression" dxfId="17608" priority="2442">
      <formula>$C38="Bills"</formula>
    </cfRule>
    <cfRule type="expression" dxfId="17607" priority="2443">
      <formula>$C38="Sales"</formula>
    </cfRule>
    <cfRule type="expression" dxfId="17606" priority="2444">
      <formula>$C38="Expences"</formula>
    </cfRule>
    <cfRule type="expression" dxfId="17605" priority="2445">
      <formula>$C38="Garlic Purchase"</formula>
    </cfRule>
    <cfRule type="expression" dxfId="17604" priority="2446">
      <formula>$C38="Ginger Purchase"</formula>
    </cfRule>
  </conditionalFormatting>
  <conditionalFormatting sqref="B37 B47 B49 B51 B39 B41 B43 B45 B53 B55 B57 B59 B61 B63">
    <cfRule type="expression" dxfId="17603" priority="2428">
      <formula>$C37="Delivery charge"</formula>
    </cfRule>
    <cfRule type="expression" dxfId="17602" priority="2429">
      <formula>$C37="Staff Salary"</formula>
    </cfRule>
    <cfRule type="expression" dxfId="17601" priority="2430">
      <formula>$C37="Rent"</formula>
    </cfRule>
    <cfRule type="expression" dxfId="17600" priority="2431">
      <formula>$C37="Petrol"</formula>
    </cfRule>
    <cfRule type="expression" dxfId="17599" priority="2432">
      <formula>$C37="Bills"</formula>
    </cfRule>
    <cfRule type="expression" dxfId="17598" priority="2433">
      <formula>$C37="Sales"</formula>
    </cfRule>
    <cfRule type="expression" dxfId="17597" priority="2434">
      <formula>$C37="Expences"</formula>
    </cfRule>
    <cfRule type="expression" dxfId="17596" priority="2435">
      <formula>$C37="Garlic Purchase"</formula>
    </cfRule>
    <cfRule type="expression" dxfId="17595" priority="2436">
      <formula>$C37="Ginger Purchase"</formula>
    </cfRule>
  </conditionalFormatting>
  <conditionalFormatting sqref="B37 B47 B49 B51 B39 B41 B43 B45 B53 B55 B57 B59 B61 B63">
    <cfRule type="expression" dxfId="17594" priority="2437">
      <formula>$C37="Advance"</formula>
    </cfRule>
  </conditionalFormatting>
  <conditionalFormatting sqref="B37 B47 B49 B51 B39 B41 B43 B45 B53 B55 B57 B59 B61 B63">
    <cfRule type="expression" dxfId="17593" priority="2418">
      <formula>$C37="Delivery charge"</formula>
    </cfRule>
    <cfRule type="expression" dxfId="17592" priority="2419">
      <formula>$C37="Staff Salary"</formula>
    </cfRule>
    <cfRule type="expression" dxfId="17591" priority="2420">
      <formula>$C37="Rent"</formula>
    </cfRule>
    <cfRule type="expression" dxfId="17590" priority="2421">
      <formula>$C37="Petrol"</formula>
    </cfRule>
    <cfRule type="expression" dxfId="17589" priority="2422">
      <formula>$C37="Bills"</formula>
    </cfRule>
    <cfRule type="expression" dxfId="17588" priority="2423">
      <formula>$C37="Sales"</formula>
    </cfRule>
    <cfRule type="expression" dxfId="17587" priority="2424">
      <formula>$C37="Expences"</formula>
    </cfRule>
    <cfRule type="expression" dxfId="17586" priority="2425">
      <formula>$C37="Garlic Purchase"</formula>
    </cfRule>
    <cfRule type="expression" dxfId="17585" priority="2426">
      <formula>$C37="Ginger Purchase"</formula>
    </cfRule>
  </conditionalFormatting>
  <conditionalFormatting sqref="B37 B47 B49 B51 B39 B41 B43 B45 B53 B55 B57 B59 B61 B63">
    <cfRule type="expression" dxfId="17584" priority="2427">
      <formula>$C37="Advance"</formula>
    </cfRule>
  </conditionalFormatting>
  <conditionalFormatting sqref="B37 B47 B49 B51 B39 B41 B43 B45 B53 B55 B57 B59 B61 B63">
    <cfRule type="expression" dxfId="17583" priority="2408">
      <formula>$C37="Delivery charge"</formula>
    </cfRule>
    <cfRule type="expression" dxfId="17582" priority="2409">
      <formula>$C37="Staff Salary"</formula>
    </cfRule>
    <cfRule type="expression" dxfId="17581" priority="2410">
      <formula>$C37="Rent"</formula>
    </cfRule>
    <cfRule type="expression" dxfId="17580" priority="2411">
      <formula>$C37="Petrol"</formula>
    </cfRule>
    <cfRule type="expression" dxfId="17579" priority="2412">
      <formula>$C37="Bills"</formula>
    </cfRule>
    <cfRule type="expression" dxfId="17578" priority="2413">
      <formula>$C37="Sales"</formula>
    </cfRule>
    <cfRule type="expression" dxfId="17577" priority="2414">
      <formula>$C37="Expences"</formula>
    </cfRule>
    <cfRule type="expression" dxfId="17576" priority="2415">
      <formula>$C37="Garlic Purchase"</formula>
    </cfRule>
    <cfRule type="expression" dxfId="17575" priority="2416">
      <formula>$C37="Ginger Purchase"</formula>
    </cfRule>
  </conditionalFormatting>
  <conditionalFormatting sqref="B37 B47 B49 B51 B39 B41 B43 B45 B53 B55 B57 B59 B61 B63">
    <cfRule type="expression" dxfId="17574" priority="2417">
      <formula>$C37="Advance"</formula>
    </cfRule>
  </conditionalFormatting>
  <conditionalFormatting sqref="B37 B47 B49 B51 B39 B41 B43 B45 B53 B55 B57 B59 B61 B63">
    <cfRule type="expression" dxfId="17573" priority="2398">
      <formula>$C37="Delivery charge"</formula>
    </cfRule>
    <cfRule type="expression" dxfId="17572" priority="2399">
      <formula>$C37="Staff Salary"</formula>
    </cfRule>
    <cfRule type="expression" dxfId="17571" priority="2400">
      <formula>$C37="Rent"</formula>
    </cfRule>
    <cfRule type="expression" dxfId="17570" priority="2401">
      <formula>$C37="Petrol"</formula>
    </cfRule>
    <cfRule type="expression" dxfId="17569" priority="2402">
      <formula>$C37="Bills"</formula>
    </cfRule>
    <cfRule type="expression" dxfId="17568" priority="2403">
      <formula>$C37="Sales"</formula>
    </cfRule>
    <cfRule type="expression" dxfId="17567" priority="2404">
      <formula>$C37="Expences"</formula>
    </cfRule>
    <cfRule type="expression" dxfId="17566" priority="2405">
      <formula>$C37="Garlic Purchase"</formula>
    </cfRule>
    <cfRule type="expression" dxfId="17565" priority="2406">
      <formula>$C37="Ginger Purchase"</formula>
    </cfRule>
  </conditionalFormatting>
  <conditionalFormatting sqref="B37 B47 B49 B51 B39 B41 B43 B45 B53 B55 B57 B59 B61 B63">
    <cfRule type="expression" dxfId="17564" priority="2407">
      <formula>$C37="Advance"</formula>
    </cfRule>
  </conditionalFormatting>
  <conditionalFormatting sqref="B37 B47 B49 B51 B39 B41 B43 B45 B53 B55 B57 B59 B61 B63">
    <cfRule type="expression" dxfId="17563" priority="2388">
      <formula>$C37="Delivery charge"</formula>
    </cfRule>
    <cfRule type="expression" dxfId="17562" priority="2389">
      <formula>$C37="Staff Salary"</formula>
    </cfRule>
    <cfRule type="expression" dxfId="17561" priority="2390">
      <formula>$C37="Rent"</formula>
    </cfRule>
    <cfRule type="expression" dxfId="17560" priority="2391">
      <formula>$C37="Petrol"</formula>
    </cfRule>
    <cfRule type="expression" dxfId="17559" priority="2392">
      <formula>$C37="Bills"</formula>
    </cfRule>
    <cfRule type="expression" dxfId="17558" priority="2393">
      <formula>$C37="Sales"</formula>
    </cfRule>
    <cfRule type="expression" dxfId="17557" priority="2394">
      <formula>$C37="Expences"</formula>
    </cfRule>
    <cfRule type="expression" dxfId="17556" priority="2395">
      <formula>$C37="Garlic Purchase"</formula>
    </cfRule>
    <cfRule type="expression" dxfId="17555" priority="2396">
      <formula>$C37="Ginger Purchase"</formula>
    </cfRule>
  </conditionalFormatting>
  <conditionalFormatting sqref="B37 B47 B49 B51 B39 B41 B43 B45 B53 B55 B57 B59 B61 B63">
    <cfRule type="expression" dxfId="17554" priority="2397">
      <formula>$C37="Advance"</formula>
    </cfRule>
  </conditionalFormatting>
  <conditionalFormatting sqref="B37 B47 B49 B51 B39 B41 B43 B45 B53 B55 B57 B59 B61 B63">
    <cfRule type="expression" dxfId="17553" priority="2378">
      <formula>$C37="Delivery charge"</formula>
    </cfRule>
    <cfRule type="expression" dxfId="17552" priority="2379">
      <formula>$C37="Staff Salary"</formula>
    </cfRule>
    <cfRule type="expression" dxfId="17551" priority="2380">
      <formula>$C37="Rent"</formula>
    </cfRule>
    <cfRule type="expression" dxfId="17550" priority="2381">
      <formula>$C37="Petrol"</formula>
    </cfRule>
    <cfRule type="expression" dxfId="17549" priority="2382">
      <formula>$C37="Bills"</formula>
    </cfRule>
    <cfRule type="expression" dxfId="17548" priority="2383">
      <formula>$C37="Sales"</formula>
    </cfRule>
    <cfRule type="expression" dxfId="17547" priority="2384">
      <formula>$C37="Expences"</formula>
    </cfRule>
    <cfRule type="expression" dxfId="17546" priority="2385">
      <formula>$C37="Garlic Purchase"</formula>
    </cfRule>
    <cfRule type="expression" dxfId="17545" priority="2386">
      <formula>$C37="Ginger Purchase"</formula>
    </cfRule>
  </conditionalFormatting>
  <conditionalFormatting sqref="B37 B47 B49 B51 B39 B41 B43 B45 B53 B55 B57 B59 B61 B63">
    <cfRule type="expression" dxfId="17544" priority="2387">
      <formula>$C37="Advance"</formula>
    </cfRule>
  </conditionalFormatting>
  <conditionalFormatting sqref="B37 B47 B49 B51 B39 B41 B43 B45 B53 B55 B57 B59 B61 B63">
    <cfRule type="expression" dxfId="17543" priority="2368">
      <formula>$C37="Delivery charge"</formula>
    </cfRule>
    <cfRule type="expression" dxfId="17542" priority="2369">
      <formula>$C37="Staff Salary"</formula>
    </cfRule>
    <cfRule type="expression" dxfId="17541" priority="2370">
      <formula>$C37="Rent"</formula>
    </cfRule>
    <cfRule type="expression" dxfId="17540" priority="2371">
      <formula>$C37="Petrol"</formula>
    </cfRule>
    <cfRule type="expression" dxfId="17539" priority="2372">
      <formula>$C37="Bills"</formula>
    </cfRule>
    <cfRule type="expression" dxfId="17538" priority="2373">
      <formula>$C37="Sales"</formula>
    </cfRule>
    <cfRule type="expression" dxfId="17537" priority="2374">
      <formula>$C37="Expences"</formula>
    </cfRule>
    <cfRule type="expression" dxfId="17536" priority="2375">
      <formula>$C37="Garlic Purchase"</formula>
    </cfRule>
    <cfRule type="expression" dxfId="17535" priority="2376">
      <formula>$C37="Ginger Purchase"</formula>
    </cfRule>
  </conditionalFormatting>
  <conditionalFormatting sqref="B37 B47 B49 B51 B39 B41 B43 B45 B53 B55 B57 B59 B61 B63">
    <cfRule type="expression" dxfId="17534" priority="2377">
      <formula>$C37="Advance"</formula>
    </cfRule>
  </conditionalFormatting>
  <conditionalFormatting sqref="B37 B47 B49 B51 B39 B41 B43 B45 B53 B55 B57 B59 B61 B63">
    <cfRule type="expression" dxfId="17533" priority="2358">
      <formula>$C37="Delivery charge"</formula>
    </cfRule>
    <cfRule type="expression" dxfId="17532" priority="2359">
      <formula>$C37="Staff Salary"</formula>
    </cfRule>
    <cfRule type="expression" dxfId="17531" priority="2360">
      <formula>$C37="Rent"</formula>
    </cfRule>
    <cfRule type="expression" dxfId="17530" priority="2361">
      <formula>$C37="Petrol"</formula>
    </cfRule>
    <cfRule type="expression" dxfId="17529" priority="2362">
      <formula>$C37="Bills"</formula>
    </cfRule>
    <cfRule type="expression" dxfId="17528" priority="2363">
      <formula>$C37="Sales"</formula>
    </cfRule>
    <cfRule type="expression" dxfId="17527" priority="2364">
      <formula>$C37="Expences"</formula>
    </cfRule>
    <cfRule type="expression" dxfId="17526" priority="2365">
      <formula>$C37="Garlic Purchase"</formula>
    </cfRule>
    <cfRule type="expression" dxfId="17525" priority="2366">
      <formula>$C37="Ginger Purchase"</formula>
    </cfRule>
  </conditionalFormatting>
  <conditionalFormatting sqref="B37 B47 B49 B51 B39 B41 B43 B45 B53 B55 B57 B59 B61 B63">
    <cfRule type="expression" dxfId="17524" priority="2367">
      <formula>$C37="Advance"</formula>
    </cfRule>
  </conditionalFormatting>
  <conditionalFormatting sqref="B37 B47 B49 B51 B39 B41 B43 B45 B53 B55 B57 B59 B61 B63">
    <cfRule type="expression" dxfId="17523" priority="2348">
      <formula>$C37="Delivery charge"</formula>
    </cfRule>
    <cfRule type="expression" dxfId="17522" priority="2349">
      <formula>$C37="Staff Salary"</formula>
    </cfRule>
    <cfRule type="expression" dxfId="17521" priority="2350">
      <formula>$C37="Rent"</formula>
    </cfRule>
    <cfRule type="expression" dxfId="17520" priority="2351">
      <formula>$C37="Petrol"</formula>
    </cfRule>
    <cfRule type="expression" dxfId="17519" priority="2352">
      <formula>$C37="Bills"</formula>
    </cfRule>
    <cfRule type="expression" dxfId="17518" priority="2353">
      <formula>$C37="Sales"</formula>
    </cfRule>
    <cfRule type="expression" dxfId="17517" priority="2354">
      <formula>$C37="Expences"</formula>
    </cfRule>
    <cfRule type="expression" dxfId="17516" priority="2355">
      <formula>$C37="Garlic Purchase"</formula>
    </cfRule>
    <cfRule type="expression" dxfId="17515" priority="2356">
      <formula>$C37="Ginger Purchase"</formula>
    </cfRule>
  </conditionalFormatting>
  <conditionalFormatting sqref="B37 B47 B49 B51 B39 B41 B43 B45 B53 B55 B57 B59 B61 B63">
    <cfRule type="expression" dxfId="17514" priority="2357">
      <formula>$C37="Advance"</formula>
    </cfRule>
  </conditionalFormatting>
  <conditionalFormatting sqref="B38 B40 B42 B44 B46">
    <cfRule type="expression" dxfId="17513" priority="2347">
      <formula>$C38="Advance"</formula>
    </cfRule>
  </conditionalFormatting>
  <conditionalFormatting sqref="B38 B40 B42 B44 B46">
    <cfRule type="expression" dxfId="17512" priority="2338">
      <formula>$C38="Delivery charge"</formula>
    </cfRule>
    <cfRule type="expression" dxfId="17511" priority="2339">
      <formula>$C38="Staff Salary"</formula>
    </cfRule>
    <cfRule type="expression" dxfId="17510" priority="2340">
      <formula>$C38="Rent"</formula>
    </cfRule>
    <cfRule type="expression" dxfId="17509" priority="2341">
      <formula>$C38="Petrol"</formula>
    </cfRule>
    <cfRule type="expression" dxfId="17508" priority="2342">
      <formula>$C38="Bills"</formula>
    </cfRule>
    <cfRule type="expression" dxfId="17507" priority="2343">
      <formula>$C38="Sales"</formula>
    </cfRule>
    <cfRule type="expression" dxfId="17506" priority="2344">
      <formula>$C38="Expences"</formula>
    </cfRule>
    <cfRule type="expression" dxfId="17505" priority="2345">
      <formula>$C38="Garlic Purchase"</formula>
    </cfRule>
    <cfRule type="expression" dxfId="17504" priority="2346">
      <formula>$C38="Ginger Purchase"</formula>
    </cfRule>
  </conditionalFormatting>
  <conditionalFormatting sqref="B39">
    <cfRule type="expression" dxfId="17503" priority="2328">
      <formula>$C39="Delivery charge"</formula>
    </cfRule>
    <cfRule type="expression" dxfId="17502" priority="2329">
      <formula>$C39="Staff Salary"</formula>
    </cfRule>
    <cfRule type="expression" dxfId="17501" priority="2330">
      <formula>$C39="Rent"</formula>
    </cfRule>
    <cfRule type="expression" dxfId="17500" priority="2331">
      <formula>$C39="Petrol"</formula>
    </cfRule>
    <cfRule type="expression" dxfId="17499" priority="2332">
      <formula>$C39="Bills"</formula>
    </cfRule>
    <cfRule type="expression" dxfId="17498" priority="2333">
      <formula>$C39="Sales"</formula>
    </cfRule>
    <cfRule type="expression" dxfId="17497" priority="2334">
      <formula>$C39="Expences"</formula>
    </cfRule>
    <cfRule type="expression" dxfId="17496" priority="2335">
      <formula>$C39="Garlic Purchase"</formula>
    </cfRule>
    <cfRule type="expression" dxfId="17495" priority="2336">
      <formula>$C39="Ginger Purchase"</formula>
    </cfRule>
  </conditionalFormatting>
  <conditionalFormatting sqref="B39">
    <cfRule type="expression" dxfId="17494" priority="2337">
      <formula>$C39="Advance"</formula>
    </cfRule>
  </conditionalFormatting>
  <conditionalFormatting sqref="B39">
    <cfRule type="expression" dxfId="17493" priority="2318">
      <formula>$C39="Delivery charge"</formula>
    </cfRule>
    <cfRule type="expression" dxfId="17492" priority="2319">
      <formula>$C39="Staff Salary"</formula>
    </cfRule>
    <cfRule type="expression" dxfId="17491" priority="2320">
      <formula>$C39="Rent"</formula>
    </cfRule>
    <cfRule type="expression" dxfId="17490" priority="2321">
      <formula>$C39="Petrol"</formula>
    </cfRule>
    <cfRule type="expression" dxfId="17489" priority="2322">
      <formula>$C39="Bills"</formula>
    </cfRule>
    <cfRule type="expression" dxfId="17488" priority="2323">
      <formula>$C39="Sales"</formula>
    </cfRule>
    <cfRule type="expression" dxfId="17487" priority="2324">
      <formula>$C39="Expences"</formula>
    </cfRule>
    <cfRule type="expression" dxfId="17486" priority="2325">
      <formula>$C39="Garlic Purchase"</formula>
    </cfRule>
    <cfRule type="expression" dxfId="17485" priority="2326">
      <formula>$C39="Ginger Purchase"</formula>
    </cfRule>
  </conditionalFormatting>
  <conditionalFormatting sqref="B39">
    <cfRule type="expression" dxfId="17484" priority="2327">
      <formula>$C39="Advance"</formula>
    </cfRule>
  </conditionalFormatting>
  <conditionalFormatting sqref="B39">
    <cfRule type="expression" dxfId="17483" priority="2308">
      <formula>$C39="Delivery charge"</formula>
    </cfRule>
    <cfRule type="expression" dxfId="17482" priority="2309">
      <formula>$C39="Staff Salary"</formula>
    </cfRule>
    <cfRule type="expression" dxfId="17481" priority="2310">
      <formula>$C39="Rent"</formula>
    </cfRule>
    <cfRule type="expression" dxfId="17480" priority="2311">
      <formula>$C39="Petrol"</formula>
    </cfRule>
    <cfRule type="expression" dxfId="17479" priority="2312">
      <formula>$C39="Bills"</formula>
    </cfRule>
    <cfRule type="expression" dxfId="17478" priority="2313">
      <formula>$C39="Sales"</formula>
    </cfRule>
    <cfRule type="expression" dxfId="17477" priority="2314">
      <formula>$C39="Expences"</formula>
    </cfRule>
    <cfRule type="expression" dxfId="17476" priority="2315">
      <formula>$C39="Garlic Purchase"</formula>
    </cfRule>
    <cfRule type="expression" dxfId="17475" priority="2316">
      <formula>$C39="Ginger Purchase"</formula>
    </cfRule>
  </conditionalFormatting>
  <conditionalFormatting sqref="B39">
    <cfRule type="expression" dxfId="17474" priority="2317">
      <formula>$C39="Advance"</formula>
    </cfRule>
  </conditionalFormatting>
  <conditionalFormatting sqref="B39">
    <cfRule type="expression" dxfId="17473" priority="2298">
      <formula>$C39="Delivery charge"</formula>
    </cfRule>
    <cfRule type="expression" dxfId="17472" priority="2299">
      <formula>$C39="Staff Salary"</formula>
    </cfRule>
    <cfRule type="expression" dxfId="17471" priority="2300">
      <formula>$C39="Rent"</formula>
    </cfRule>
    <cfRule type="expression" dxfId="17470" priority="2301">
      <formula>$C39="Petrol"</formula>
    </cfRule>
    <cfRule type="expression" dxfId="17469" priority="2302">
      <formula>$C39="Bills"</formula>
    </cfRule>
    <cfRule type="expression" dxfId="17468" priority="2303">
      <formula>$C39="Sales"</formula>
    </cfRule>
    <cfRule type="expression" dxfId="17467" priority="2304">
      <formula>$C39="Expences"</formula>
    </cfRule>
    <cfRule type="expression" dxfId="17466" priority="2305">
      <formula>$C39="Garlic Purchase"</formula>
    </cfRule>
    <cfRule type="expression" dxfId="17465" priority="2306">
      <formula>$C39="Ginger Purchase"</formula>
    </cfRule>
  </conditionalFormatting>
  <conditionalFormatting sqref="B39">
    <cfRule type="expression" dxfId="17464" priority="2307">
      <formula>$C39="Advance"</formula>
    </cfRule>
  </conditionalFormatting>
  <conditionalFormatting sqref="B39">
    <cfRule type="expression" dxfId="17463" priority="2288">
      <formula>$C39="Delivery charge"</formula>
    </cfRule>
    <cfRule type="expression" dxfId="17462" priority="2289">
      <formula>$C39="Staff Salary"</formula>
    </cfRule>
    <cfRule type="expression" dxfId="17461" priority="2290">
      <formula>$C39="Rent"</formula>
    </cfRule>
    <cfRule type="expression" dxfId="17460" priority="2291">
      <formula>$C39="Petrol"</formula>
    </cfRule>
    <cfRule type="expression" dxfId="17459" priority="2292">
      <formula>$C39="Bills"</formula>
    </cfRule>
    <cfRule type="expression" dxfId="17458" priority="2293">
      <formula>$C39="Sales"</formula>
    </cfRule>
    <cfRule type="expression" dxfId="17457" priority="2294">
      <formula>$C39="Expences"</formula>
    </cfRule>
    <cfRule type="expression" dxfId="17456" priority="2295">
      <formula>$C39="Garlic Purchase"</formula>
    </cfRule>
    <cfRule type="expression" dxfId="17455" priority="2296">
      <formula>$C39="Ginger Purchase"</formula>
    </cfRule>
  </conditionalFormatting>
  <conditionalFormatting sqref="B39">
    <cfRule type="expression" dxfId="17454" priority="2297">
      <formula>$C39="Advance"</formula>
    </cfRule>
  </conditionalFormatting>
  <conditionalFormatting sqref="B39">
    <cfRule type="expression" dxfId="17453" priority="2278">
      <formula>$C39="Delivery charge"</formula>
    </cfRule>
    <cfRule type="expression" dxfId="17452" priority="2279">
      <formula>$C39="Staff Salary"</formula>
    </cfRule>
    <cfRule type="expression" dxfId="17451" priority="2280">
      <formula>$C39="Rent"</formula>
    </cfRule>
    <cfRule type="expression" dxfId="17450" priority="2281">
      <formula>$C39="Petrol"</formula>
    </cfRule>
    <cfRule type="expression" dxfId="17449" priority="2282">
      <formula>$C39="Bills"</formula>
    </cfRule>
    <cfRule type="expression" dxfId="17448" priority="2283">
      <formula>$C39="Sales"</formula>
    </cfRule>
    <cfRule type="expression" dxfId="17447" priority="2284">
      <formula>$C39="Expences"</formula>
    </cfRule>
    <cfRule type="expression" dxfId="17446" priority="2285">
      <formula>$C39="Garlic Purchase"</formula>
    </cfRule>
    <cfRule type="expression" dxfId="17445" priority="2286">
      <formula>$C39="Ginger Purchase"</formula>
    </cfRule>
  </conditionalFormatting>
  <conditionalFormatting sqref="B39">
    <cfRule type="expression" dxfId="17444" priority="2287">
      <formula>$C39="Advance"</formula>
    </cfRule>
  </conditionalFormatting>
  <conditionalFormatting sqref="B39">
    <cfRule type="expression" dxfId="17443" priority="2268">
      <formula>$C39="Delivery charge"</formula>
    </cfRule>
    <cfRule type="expression" dxfId="17442" priority="2269">
      <formula>$C39="Staff Salary"</formula>
    </cfRule>
    <cfRule type="expression" dxfId="17441" priority="2270">
      <formula>$C39="Rent"</formula>
    </cfRule>
    <cfRule type="expression" dxfId="17440" priority="2271">
      <formula>$C39="Petrol"</formula>
    </cfRule>
    <cfRule type="expression" dxfId="17439" priority="2272">
      <formula>$C39="Bills"</formula>
    </cfRule>
    <cfRule type="expression" dxfId="17438" priority="2273">
      <formula>$C39="Sales"</formula>
    </cfRule>
    <cfRule type="expression" dxfId="17437" priority="2274">
      <formula>$C39="Expences"</formula>
    </cfRule>
    <cfRule type="expression" dxfId="17436" priority="2275">
      <formula>$C39="Garlic Purchase"</formula>
    </cfRule>
    <cfRule type="expression" dxfId="17435" priority="2276">
      <formula>$C39="Ginger Purchase"</formula>
    </cfRule>
  </conditionalFormatting>
  <conditionalFormatting sqref="B39">
    <cfRule type="expression" dxfId="17434" priority="2277">
      <formula>$C39="Advance"</formula>
    </cfRule>
  </conditionalFormatting>
  <conditionalFormatting sqref="B39">
    <cfRule type="expression" dxfId="17433" priority="2258">
      <formula>$C39="Delivery charge"</formula>
    </cfRule>
    <cfRule type="expression" dxfId="17432" priority="2259">
      <formula>$C39="Staff Salary"</formula>
    </cfRule>
    <cfRule type="expression" dxfId="17431" priority="2260">
      <formula>$C39="Rent"</formula>
    </cfRule>
    <cfRule type="expression" dxfId="17430" priority="2261">
      <formula>$C39="Petrol"</formula>
    </cfRule>
    <cfRule type="expression" dxfId="17429" priority="2262">
      <formula>$C39="Bills"</formula>
    </cfRule>
    <cfRule type="expression" dxfId="17428" priority="2263">
      <formula>$C39="Sales"</formula>
    </cfRule>
    <cfRule type="expression" dxfId="17427" priority="2264">
      <formula>$C39="Expences"</formula>
    </cfRule>
    <cfRule type="expression" dxfId="17426" priority="2265">
      <formula>$C39="Garlic Purchase"</formula>
    </cfRule>
    <cfRule type="expression" dxfId="17425" priority="2266">
      <formula>$C39="Ginger Purchase"</formula>
    </cfRule>
  </conditionalFormatting>
  <conditionalFormatting sqref="B39">
    <cfRule type="expression" dxfId="17424" priority="2267">
      <formula>$C39="Advance"</formula>
    </cfRule>
  </conditionalFormatting>
  <conditionalFormatting sqref="B39">
    <cfRule type="expression" dxfId="17423" priority="2248">
      <formula>$C39="Delivery charge"</formula>
    </cfRule>
    <cfRule type="expression" dxfId="17422" priority="2249">
      <formula>$C39="Staff Salary"</formula>
    </cfRule>
    <cfRule type="expression" dxfId="17421" priority="2250">
      <formula>$C39="Rent"</formula>
    </cfRule>
    <cfRule type="expression" dxfId="17420" priority="2251">
      <formula>$C39="Petrol"</formula>
    </cfRule>
    <cfRule type="expression" dxfId="17419" priority="2252">
      <formula>$C39="Bills"</formula>
    </cfRule>
    <cfRule type="expression" dxfId="17418" priority="2253">
      <formula>$C39="Sales"</formula>
    </cfRule>
    <cfRule type="expression" dxfId="17417" priority="2254">
      <formula>$C39="Expences"</formula>
    </cfRule>
    <cfRule type="expression" dxfId="17416" priority="2255">
      <formula>$C39="Garlic Purchase"</formula>
    </cfRule>
    <cfRule type="expression" dxfId="17415" priority="2256">
      <formula>$C39="Ginger Purchase"</formula>
    </cfRule>
  </conditionalFormatting>
  <conditionalFormatting sqref="B39">
    <cfRule type="expression" dxfId="17414" priority="2257">
      <formula>$C39="Advance"</formula>
    </cfRule>
  </conditionalFormatting>
  <conditionalFormatting sqref="B39">
    <cfRule type="expression" dxfId="17413" priority="2238">
      <formula>$C39="Delivery charge"</formula>
    </cfRule>
    <cfRule type="expression" dxfId="17412" priority="2239">
      <formula>$C39="Staff Salary"</formula>
    </cfRule>
    <cfRule type="expression" dxfId="17411" priority="2240">
      <formula>$C39="Rent"</formula>
    </cfRule>
    <cfRule type="expression" dxfId="17410" priority="2241">
      <formula>$C39="Petrol"</formula>
    </cfRule>
    <cfRule type="expression" dxfId="17409" priority="2242">
      <formula>$C39="Bills"</formula>
    </cfRule>
    <cfRule type="expression" dxfId="17408" priority="2243">
      <formula>$C39="Sales"</formula>
    </cfRule>
    <cfRule type="expression" dxfId="17407" priority="2244">
      <formula>$C39="Expences"</formula>
    </cfRule>
    <cfRule type="expression" dxfId="17406" priority="2245">
      <formula>$C39="Garlic Purchase"</formula>
    </cfRule>
    <cfRule type="expression" dxfId="17405" priority="2246">
      <formula>$C39="Ginger Purchase"</formula>
    </cfRule>
  </conditionalFormatting>
  <conditionalFormatting sqref="B39">
    <cfRule type="expression" dxfId="17404" priority="2247">
      <formula>$C39="Advance"</formula>
    </cfRule>
  </conditionalFormatting>
  <conditionalFormatting sqref="B39">
    <cfRule type="expression" dxfId="17403" priority="2228">
      <formula>$C39="Delivery charge"</formula>
    </cfRule>
    <cfRule type="expression" dxfId="17402" priority="2229">
      <formula>$C39="Staff Salary"</formula>
    </cfRule>
    <cfRule type="expression" dxfId="17401" priority="2230">
      <formula>$C39="Rent"</formula>
    </cfRule>
    <cfRule type="expression" dxfId="17400" priority="2231">
      <formula>$C39="Petrol"</formula>
    </cfRule>
    <cfRule type="expression" dxfId="17399" priority="2232">
      <formula>$C39="Bills"</formula>
    </cfRule>
    <cfRule type="expression" dxfId="17398" priority="2233">
      <formula>$C39="Sales"</formula>
    </cfRule>
    <cfRule type="expression" dxfId="17397" priority="2234">
      <formula>$C39="Expences"</formula>
    </cfRule>
    <cfRule type="expression" dxfId="17396" priority="2235">
      <formula>$C39="Garlic Purchase"</formula>
    </cfRule>
    <cfRule type="expression" dxfId="17395" priority="2236">
      <formula>$C39="Ginger Purchase"</formula>
    </cfRule>
  </conditionalFormatting>
  <conditionalFormatting sqref="B39">
    <cfRule type="expression" dxfId="17394" priority="2237">
      <formula>$C39="Advance"</formula>
    </cfRule>
  </conditionalFormatting>
  <conditionalFormatting sqref="B38 B40 B42 B44 B46">
    <cfRule type="expression" dxfId="17393" priority="2218">
      <formula>$C38="Delivery charge"</formula>
    </cfRule>
    <cfRule type="expression" dxfId="17392" priority="2219">
      <formula>$C38="Staff Salary"</formula>
    </cfRule>
    <cfRule type="expression" dxfId="17391" priority="2220">
      <formula>$C38="Rent"</formula>
    </cfRule>
    <cfRule type="expression" dxfId="17390" priority="2221">
      <formula>$C38="Petrol"</formula>
    </cfRule>
    <cfRule type="expression" dxfId="17389" priority="2222">
      <formula>$C38="Bills"</formula>
    </cfRule>
    <cfRule type="expression" dxfId="17388" priority="2223">
      <formula>$C38="Sales"</formula>
    </cfRule>
    <cfRule type="expression" dxfId="17387" priority="2224">
      <formula>$C38="Expences"</formula>
    </cfRule>
    <cfRule type="expression" dxfId="17386" priority="2225">
      <formula>$C38="Garlic Purchase"</formula>
    </cfRule>
    <cfRule type="expression" dxfId="17385" priority="2226">
      <formula>$C38="Ginger Purchase"</formula>
    </cfRule>
  </conditionalFormatting>
  <conditionalFormatting sqref="B38 B40 B42 B44 B46">
    <cfRule type="expression" dxfId="17384" priority="2227">
      <formula>$C38="Advance"</formula>
    </cfRule>
  </conditionalFormatting>
  <conditionalFormatting sqref="B39">
    <cfRule type="expression" dxfId="17383" priority="2208">
      <formula>$C39="Delivery charge"</formula>
    </cfRule>
    <cfRule type="expression" dxfId="17382" priority="2209">
      <formula>$C39="Staff Salary"</formula>
    </cfRule>
    <cfRule type="expression" dxfId="17381" priority="2210">
      <formula>$C39="Rent"</formula>
    </cfRule>
    <cfRule type="expression" dxfId="17380" priority="2211">
      <formula>$C39="Petrol"</formula>
    </cfRule>
    <cfRule type="expression" dxfId="17379" priority="2212">
      <formula>$C39="Bills"</formula>
    </cfRule>
    <cfRule type="expression" dxfId="17378" priority="2213">
      <formula>$C39="Sales"</formula>
    </cfRule>
    <cfRule type="expression" dxfId="17377" priority="2214">
      <formula>$C39="Expences"</formula>
    </cfRule>
    <cfRule type="expression" dxfId="17376" priority="2215">
      <formula>$C39="Garlic Purchase"</formula>
    </cfRule>
    <cfRule type="expression" dxfId="17375" priority="2216">
      <formula>$C39="Ginger Purchase"</formula>
    </cfRule>
  </conditionalFormatting>
  <conditionalFormatting sqref="B39">
    <cfRule type="expression" dxfId="17374" priority="2217">
      <formula>$C39="Advance"</formula>
    </cfRule>
  </conditionalFormatting>
  <conditionalFormatting sqref="B39">
    <cfRule type="expression" dxfId="17373" priority="2198">
      <formula>$C39="Delivery charge"</formula>
    </cfRule>
    <cfRule type="expression" dxfId="17372" priority="2199">
      <formula>$C39="Staff Salary"</formula>
    </cfRule>
    <cfRule type="expression" dxfId="17371" priority="2200">
      <formula>$C39="Rent"</formula>
    </cfRule>
    <cfRule type="expression" dxfId="17370" priority="2201">
      <formula>$C39="Petrol"</formula>
    </cfRule>
    <cfRule type="expression" dxfId="17369" priority="2202">
      <formula>$C39="Bills"</formula>
    </cfRule>
    <cfRule type="expression" dxfId="17368" priority="2203">
      <formula>$C39="Sales"</formula>
    </cfRule>
    <cfRule type="expression" dxfId="17367" priority="2204">
      <formula>$C39="Expences"</formula>
    </cfRule>
    <cfRule type="expression" dxfId="17366" priority="2205">
      <formula>$C39="Garlic Purchase"</formula>
    </cfRule>
    <cfRule type="expression" dxfId="17365" priority="2206">
      <formula>$C39="Ginger Purchase"</formula>
    </cfRule>
  </conditionalFormatting>
  <conditionalFormatting sqref="B39">
    <cfRule type="expression" dxfId="17364" priority="2207">
      <formula>$C39="Advance"</formula>
    </cfRule>
  </conditionalFormatting>
  <conditionalFormatting sqref="B39">
    <cfRule type="expression" dxfId="17363" priority="2188">
      <formula>$C39="Delivery charge"</formula>
    </cfRule>
    <cfRule type="expression" dxfId="17362" priority="2189">
      <formula>$C39="Staff Salary"</formula>
    </cfRule>
    <cfRule type="expression" dxfId="17361" priority="2190">
      <formula>$C39="Rent"</formula>
    </cfRule>
    <cfRule type="expression" dxfId="17360" priority="2191">
      <formula>$C39="Petrol"</formula>
    </cfRule>
    <cfRule type="expression" dxfId="17359" priority="2192">
      <formula>$C39="Bills"</formula>
    </cfRule>
    <cfRule type="expression" dxfId="17358" priority="2193">
      <formula>$C39="Sales"</formula>
    </cfRule>
    <cfRule type="expression" dxfId="17357" priority="2194">
      <formula>$C39="Expences"</formula>
    </cfRule>
    <cfRule type="expression" dxfId="17356" priority="2195">
      <formula>$C39="Garlic Purchase"</formula>
    </cfRule>
    <cfRule type="expression" dxfId="17355" priority="2196">
      <formula>$C39="Ginger Purchase"</formula>
    </cfRule>
  </conditionalFormatting>
  <conditionalFormatting sqref="B39">
    <cfRule type="expression" dxfId="17354" priority="2197">
      <formula>$C39="Advance"</formula>
    </cfRule>
  </conditionalFormatting>
  <conditionalFormatting sqref="B39">
    <cfRule type="expression" dxfId="17353" priority="2178">
      <formula>$C39="Delivery charge"</formula>
    </cfRule>
    <cfRule type="expression" dxfId="17352" priority="2179">
      <formula>$C39="Staff Salary"</formula>
    </cfRule>
    <cfRule type="expression" dxfId="17351" priority="2180">
      <formula>$C39="Rent"</formula>
    </cfRule>
    <cfRule type="expression" dxfId="17350" priority="2181">
      <formula>$C39="Petrol"</formula>
    </cfRule>
    <cfRule type="expression" dxfId="17349" priority="2182">
      <formula>$C39="Bills"</formula>
    </cfRule>
    <cfRule type="expression" dxfId="17348" priority="2183">
      <formula>$C39="Sales"</formula>
    </cfRule>
    <cfRule type="expression" dxfId="17347" priority="2184">
      <formula>$C39="Expences"</formula>
    </cfRule>
    <cfRule type="expression" dxfId="17346" priority="2185">
      <formula>$C39="Garlic Purchase"</formula>
    </cfRule>
    <cfRule type="expression" dxfId="17345" priority="2186">
      <formula>$C39="Ginger Purchase"</formula>
    </cfRule>
  </conditionalFormatting>
  <conditionalFormatting sqref="B39">
    <cfRule type="expression" dxfId="17344" priority="2187">
      <formula>$C39="Advance"</formula>
    </cfRule>
  </conditionalFormatting>
  <conditionalFormatting sqref="B38 B40 B42 B44 B46">
    <cfRule type="expression" dxfId="17343" priority="2168">
      <formula>$C38="Delivery charge"</formula>
    </cfRule>
    <cfRule type="expression" dxfId="17342" priority="2169">
      <formula>$C38="Staff Salary"</formula>
    </cfRule>
    <cfRule type="expression" dxfId="17341" priority="2170">
      <formula>$C38="Rent"</formula>
    </cfRule>
    <cfRule type="expression" dxfId="17340" priority="2171">
      <formula>$C38="Petrol"</formula>
    </cfRule>
    <cfRule type="expression" dxfId="17339" priority="2172">
      <formula>$C38="Bills"</formula>
    </cfRule>
    <cfRule type="expression" dxfId="17338" priority="2173">
      <formula>$C38="Sales"</formula>
    </cfRule>
    <cfRule type="expression" dxfId="17337" priority="2174">
      <formula>$C38="Expences"</formula>
    </cfRule>
    <cfRule type="expression" dxfId="17336" priority="2175">
      <formula>$C38="Garlic Purchase"</formula>
    </cfRule>
    <cfRule type="expression" dxfId="17335" priority="2176">
      <formula>$C38="Ginger Purchase"</formula>
    </cfRule>
  </conditionalFormatting>
  <conditionalFormatting sqref="B38 B40 B42 B44 B46">
    <cfRule type="expression" dxfId="17334" priority="2177">
      <formula>$C38="Advance"</formula>
    </cfRule>
  </conditionalFormatting>
  <conditionalFormatting sqref="B38 B40 B42 B44 B46">
    <cfRule type="expression" dxfId="17333" priority="2158">
      <formula>$C38="Delivery charge"</formula>
    </cfRule>
    <cfRule type="expression" dxfId="17332" priority="2159">
      <formula>$C38="Staff Salary"</formula>
    </cfRule>
    <cfRule type="expression" dxfId="17331" priority="2160">
      <formula>$C38="Rent"</formula>
    </cfRule>
    <cfRule type="expression" dxfId="17330" priority="2161">
      <formula>$C38="Petrol"</formula>
    </cfRule>
    <cfRule type="expression" dxfId="17329" priority="2162">
      <formula>$C38="Bills"</formula>
    </cfRule>
    <cfRule type="expression" dxfId="17328" priority="2163">
      <formula>$C38="Sales"</formula>
    </cfRule>
    <cfRule type="expression" dxfId="17327" priority="2164">
      <formula>$C38="Expences"</formula>
    </cfRule>
    <cfRule type="expression" dxfId="17326" priority="2165">
      <formula>$C38="Garlic Purchase"</formula>
    </cfRule>
    <cfRule type="expression" dxfId="17325" priority="2166">
      <formula>$C38="Ginger Purchase"</formula>
    </cfRule>
  </conditionalFormatting>
  <conditionalFormatting sqref="B38 B40 B42 B44 B46">
    <cfRule type="expression" dxfId="17324" priority="2167">
      <formula>$C38="Advance"</formula>
    </cfRule>
  </conditionalFormatting>
  <conditionalFormatting sqref="B38 B40 B42 B44 B46">
    <cfRule type="expression" dxfId="17323" priority="2148">
      <formula>$C38="Delivery charge"</formula>
    </cfRule>
    <cfRule type="expression" dxfId="17322" priority="2149">
      <formula>$C38="Staff Salary"</formula>
    </cfRule>
    <cfRule type="expression" dxfId="17321" priority="2150">
      <formula>$C38="Rent"</formula>
    </cfRule>
    <cfRule type="expression" dxfId="17320" priority="2151">
      <formula>$C38="Petrol"</formula>
    </cfRule>
    <cfRule type="expression" dxfId="17319" priority="2152">
      <formula>$C38="Bills"</formula>
    </cfRule>
    <cfRule type="expression" dxfId="17318" priority="2153">
      <formula>$C38="Sales"</formula>
    </cfRule>
    <cfRule type="expression" dxfId="17317" priority="2154">
      <formula>$C38="Expences"</formula>
    </cfRule>
    <cfRule type="expression" dxfId="17316" priority="2155">
      <formula>$C38="Garlic Purchase"</formula>
    </cfRule>
    <cfRule type="expression" dxfId="17315" priority="2156">
      <formula>$C38="Ginger Purchase"</formula>
    </cfRule>
  </conditionalFormatting>
  <conditionalFormatting sqref="B38 B40 B42 B44 B46">
    <cfRule type="expression" dxfId="17314" priority="2157">
      <formula>$C38="Advance"</formula>
    </cfRule>
  </conditionalFormatting>
  <conditionalFormatting sqref="B38 B40 B42 B44 B46">
    <cfRule type="expression" dxfId="17313" priority="2138">
      <formula>$C38="Delivery charge"</formula>
    </cfRule>
    <cfRule type="expression" dxfId="17312" priority="2139">
      <formula>$C38="Staff Salary"</formula>
    </cfRule>
    <cfRule type="expression" dxfId="17311" priority="2140">
      <formula>$C38="Rent"</formula>
    </cfRule>
    <cfRule type="expression" dxfId="17310" priority="2141">
      <formula>$C38="Petrol"</formula>
    </cfRule>
    <cfRule type="expression" dxfId="17309" priority="2142">
      <formula>$C38="Bills"</formula>
    </cfRule>
    <cfRule type="expression" dxfId="17308" priority="2143">
      <formula>$C38="Sales"</formula>
    </cfRule>
    <cfRule type="expression" dxfId="17307" priority="2144">
      <formula>$C38="Expences"</formula>
    </cfRule>
    <cfRule type="expression" dxfId="17306" priority="2145">
      <formula>$C38="Garlic Purchase"</formula>
    </cfRule>
    <cfRule type="expression" dxfId="17305" priority="2146">
      <formula>$C38="Ginger Purchase"</formula>
    </cfRule>
  </conditionalFormatting>
  <conditionalFormatting sqref="B38 B40 B42 B44 B46">
    <cfRule type="expression" dxfId="17304" priority="2147">
      <formula>$C38="Advance"</formula>
    </cfRule>
  </conditionalFormatting>
  <conditionalFormatting sqref="B39">
    <cfRule type="expression" dxfId="17303" priority="2128">
      <formula>$C39="Delivery charge"</formula>
    </cfRule>
    <cfRule type="expression" dxfId="17302" priority="2129">
      <formula>$C39="Staff Salary"</formula>
    </cfRule>
    <cfRule type="expression" dxfId="17301" priority="2130">
      <formula>$C39="Rent"</formula>
    </cfRule>
    <cfRule type="expression" dxfId="17300" priority="2131">
      <formula>$C39="Petrol"</formula>
    </cfRule>
    <cfRule type="expression" dxfId="17299" priority="2132">
      <formula>$C39="Bills"</formula>
    </cfRule>
    <cfRule type="expression" dxfId="17298" priority="2133">
      <formula>$C39="Sales"</formula>
    </cfRule>
    <cfRule type="expression" dxfId="17297" priority="2134">
      <formula>$C39="Expences"</formula>
    </cfRule>
    <cfRule type="expression" dxfId="17296" priority="2135">
      <formula>$C39="Garlic Purchase"</formula>
    </cfRule>
    <cfRule type="expression" dxfId="17295" priority="2136">
      <formula>$C39="Ginger Purchase"</formula>
    </cfRule>
  </conditionalFormatting>
  <conditionalFormatting sqref="B39">
    <cfRule type="expression" dxfId="17294" priority="2137">
      <formula>$C39="Advance"</formula>
    </cfRule>
  </conditionalFormatting>
  <conditionalFormatting sqref="B38 B40 B42 B44 B46">
    <cfRule type="expression" dxfId="17293" priority="2118">
      <formula>$C38="Delivery charge"</formula>
    </cfRule>
    <cfRule type="expression" dxfId="17292" priority="2119">
      <formula>$C38="Staff Salary"</formula>
    </cfRule>
    <cfRule type="expression" dxfId="17291" priority="2120">
      <formula>$C38="Rent"</formula>
    </cfRule>
    <cfRule type="expression" dxfId="17290" priority="2121">
      <formula>$C38="Petrol"</formula>
    </cfRule>
    <cfRule type="expression" dxfId="17289" priority="2122">
      <formula>$C38="Bills"</formula>
    </cfRule>
    <cfRule type="expression" dxfId="17288" priority="2123">
      <formula>$C38="Sales"</formula>
    </cfRule>
    <cfRule type="expression" dxfId="17287" priority="2124">
      <formula>$C38="Expences"</formula>
    </cfRule>
    <cfRule type="expression" dxfId="17286" priority="2125">
      <formula>$C38="Garlic Purchase"</formula>
    </cfRule>
    <cfRule type="expression" dxfId="17285" priority="2126">
      <formula>$C38="Ginger Purchase"</formula>
    </cfRule>
  </conditionalFormatting>
  <conditionalFormatting sqref="B38 B40 B42 B44 B46">
    <cfRule type="expression" dxfId="17284" priority="2127">
      <formula>$C38="Advance"</formula>
    </cfRule>
  </conditionalFormatting>
  <conditionalFormatting sqref="B38 B40 B42 B44 B46">
    <cfRule type="expression" dxfId="17283" priority="2108">
      <formula>$C38="Delivery charge"</formula>
    </cfRule>
    <cfRule type="expression" dxfId="17282" priority="2109">
      <formula>$C38="Staff Salary"</formula>
    </cfRule>
    <cfRule type="expression" dxfId="17281" priority="2110">
      <formula>$C38="Rent"</formula>
    </cfRule>
    <cfRule type="expression" dxfId="17280" priority="2111">
      <formula>$C38="Petrol"</formula>
    </cfRule>
    <cfRule type="expression" dxfId="17279" priority="2112">
      <formula>$C38="Bills"</formula>
    </cfRule>
    <cfRule type="expression" dxfId="17278" priority="2113">
      <formula>$C38="Sales"</formula>
    </cfRule>
    <cfRule type="expression" dxfId="17277" priority="2114">
      <formula>$C38="Expences"</formula>
    </cfRule>
    <cfRule type="expression" dxfId="17276" priority="2115">
      <formula>$C38="Garlic Purchase"</formula>
    </cfRule>
    <cfRule type="expression" dxfId="17275" priority="2116">
      <formula>$C38="Ginger Purchase"</formula>
    </cfRule>
  </conditionalFormatting>
  <conditionalFormatting sqref="B38 B40 B42 B44 B46">
    <cfRule type="expression" dxfId="17274" priority="2117">
      <formula>$C38="Advance"</formula>
    </cfRule>
  </conditionalFormatting>
  <conditionalFormatting sqref="B38 B40 B42 B44 B46">
    <cfRule type="expression" dxfId="17273" priority="2098">
      <formula>$C38="Delivery charge"</formula>
    </cfRule>
    <cfRule type="expression" dxfId="17272" priority="2099">
      <formula>$C38="Staff Salary"</formula>
    </cfRule>
    <cfRule type="expression" dxfId="17271" priority="2100">
      <formula>$C38="Rent"</formula>
    </cfRule>
    <cfRule type="expression" dxfId="17270" priority="2101">
      <formula>$C38="Petrol"</formula>
    </cfRule>
    <cfRule type="expression" dxfId="17269" priority="2102">
      <formula>$C38="Bills"</formula>
    </cfRule>
    <cfRule type="expression" dxfId="17268" priority="2103">
      <formula>$C38="Sales"</formula>
    </cfRule>
    <cfRule type="expression" dxfId="17267" priority="2104">
      <formula>$C38="Expences"</formula>
    </cfRule>
    <cfRule type="expression" dxfId="17266" priority="2105">
      <formula>$C38="Garlic Purchase"</formula>
    </cfRule>
    <cfRule type="expression" dxfId="17265" priority="2106">
      <formula>$C38="Ginger Purchase"</formula>
    </cfRule>
  </conditionalFormatting>
  <conditionalFormatting sqref="B38 B40 B42 B44 B46">
    <cfRule type="expression" dxfId="17264" priority="2107">
      <formula>$C38="Advance"</formula>
    </cfRule>
  </conditionalFormatting>
  <conditionalFormatting sqref="B38 B40 B42 B44 B46">
    <cfRule type="expression" dxfId="17263" priority="2088">
      <formula>$C38="Delivery charge"</formula>
    </cfRule>
    <cfRule type="expression" dxfId="17262" priority="2089">
      <formula>$C38="Staff Salary"</formula>
    </cfRule>
    <cfRule type="expression" dxfId="17261" priority="2090">
      <formula>$C38="Rent"</formula>
    </cfRule>
    <cfRule type="expression" dxfId="17260" priority="2091">
      <formula>$C38="Petrol"</formula>
    </cfRule>
    <cfRule type="expression" dxfId="17259" priority="2092">
      <formula>$C38="Bills"</formula>
    </cfRule>
    <cfRule type="expression" dxfId="17258" priority="2093">
      <formula>$C38="Sales"</formula>
    </cfRule>
    <cfRule type="expression" dxfId="17257" priority="2094">
      <formula>$C38="Expences"</formula>
    </cfRule>
    <cfRule type="expression" dxfId="17256" priority="2095">
      <formula>$C38="Garlic Purchase"</formula>
    </cfRule>
    <cfRule type="expression" dxfId="17255" priority="2096">
      <formula>$C38="Ginger Purchase"</formula>
    </cfRule>
  </conditionalFormatting>
  <conditionalFormatting sqref="B38 B40 B42 B44 B46">
    <cfRule type="expression" dxfId="17254" priority="2097">
      <formula>$C38="Advance"</formula>
    </cfRule>
  </conditionalFormatting>
  <conditionalFormatting sqref="B38 B40 B42 B44 B46">
    <cfRule type="expression" dxfId="17253" priority="2078">
      <formula>$C38="Delivery charge"</formula>
    </cfRule>
    <cfRule type="expression" dxfId="17252" priority="2079">
      <formula>$C38="Staff Salary"</formula>
    </cfRule>
    <cfRule type="expression" dxfId="17251" priority="2080">
      <formula>$C38="Rent"</formula>
    </cfRule>
    <cfRule type="expression" dxfId="17250" priority="2081">
      <formula>$C38="Petrol"</formula>
    </cfRule>
    <cfRule type="expression" dxfId="17249" priority="2082">
      <formula>$C38="Bills"</formula>
    </cfRule>
    <cfRule type="expression" dxfId="17248" priority="2083">
      <formula>$C38="Sales"</formula>
    </cfRule>
    <cfRule type="expression" dxfId="17247" priority="2084">
      <formula>$C38="Expences"</formula>
    </cfRule>
    <cfRule type="expression" dxfId="17246" priority="2085">
      <formula>$C38="Garlic Purchase"</formula>
    </cfRule>
    <cfRule type="expression" dxfId="17245" priority="2086">
      <formula>$C38="Ginger Purchase"</formula>
    </cfRule>
  </conditionalFormatting>
  <conditionalFormatting sqref="B38 B40 B42 B44 B46">
    <cfRule type="expression" dxfId="17244" priority="2087">
      <formula>$C38="Advance"</formula>
    </cfRule>
  </conditionalFormatting>
  <conditionalFormatting sqref="B39">
    <cfRule type="expression" dxfId="17243" priority="2068">
      <formula>$C39="Delivery charge"</formula>
    </cfRule>
    <cfRule type="expression" dxfId="17242" priority="2069">
      <formula>$C39="Staff Salary"</formula>
    </cfRule>
    <cfRule type="expression" dxfId="17241" priority="2070">
      <formula>$C39="Rent"</formula>
    </cfRule>
    <cfRule type="expression" dxfId="17240" priority="2071">
      <formula>$C39="Petrol"</formula>
    </cfRule>
    <cfRule type="expression" dxfId="17239" priority="2072">
      <formula>$C39="Bills"</formula>
    </cfRule>
    <cfRule type="expression" dxfId="17238" priority="2073">
      <formula>$C39="Sales"</formula>
    </cfRule>
    <cfRule type="expression" dxfId="17237" priority="2074">
      <formula>$C39="Expences"</formula>
    </cfRule>
    <cfRule type="expression" dxfId="17236" priority="2075">
      <formula>$C39="Garlic Purchase"</formula>
    </cfRule>
    <cfRule type="expression" dxfId="17235" priority="2076">
      <formula>$C39="Ginger Purchase"</formula>
    </cfRule>
  </conditionalFormatting>
  <conditionalFormatting sqref="B39">
    <cfRule type="expression" dxfId="17234" priority="2077">
      <formula>$C39="Advance"</formula>
    </cfRule>
  </conditionalFormatting>
  <conditionalFormatting sqref="B39">
    <cfRule type="expression" dxfId="17233" priority="2058">
      <formula>$C39="Delivery charge"</formula>
    </cfRule>
    <cfRule type="expression" dxfId="17232" priority="2059">
      <formula>$C39="Staff Salary"</formula>
    </cfRule>
    <cfRule type="expression" dxfId="17231" priority="2060">
      <formula>$C39="Rent"</formula>
    </cfRule>
    <cfRule type="expression" dxfId="17230" priority="2061">
      <formula>$C39="Petrol"</formula>
    </cfRule>
    <cfRule type="expression" dxfId="17229" priority="2062">
      <formula>$C39="Bills"</formula>
    </cfRule>
    <cfRule type="expression" dxfId="17228" priority="2063">
      <formula>$C39="Sales"</formula>
    </cfRule>
    <cfRule type="expression" dxfId="17227" priority="2064">
      <formula>$C39="Expences"</formula>
    </cfRule>
    <cfRule type="expression" dxfId="17226" priority="2065">
      <formula>$C39="Garlic Purchase"</formula>
    </cfRule>
    <cfRule type="expression" dxfId="17225" priority="2066">
      <formula>$C39="Ginger Purchase"</formula>
    </cfRule>
  </conditionalFormatting>
  <conditionalFormatting sqref="B39">
    <cfRule type="expression" dxfId="17224" priority="2067">
      <formula>$C39="Advance"</formula>
    </cfRule>
  </conditionalFormatting>
  <conditionalFormatting sqref="B39">
    <cfRule type="expression" dxfId="17223" priority="2048">
      <formula>$C39="Delivery charge"</formula>
    </cfRule>
    <cfRule type="expression" dxfId="17222" priority="2049">
      <formula>$C39="Staff Salary"</formula>
    </cfRule>
    <cfRule type="expression" dxfId="17221" priority="2050">
      <formula>$C39="Rent"</formula>
    </cfRule>
    <cfRule type="expression" dxfId="17220" priority="2051">
      <formula>$C39="Petrol"</formula>
    </cfRule>
    <cfRule type="expression" dxfId="17219" priority="2052">
      <formula>$C39="Bills"</formula>
    </cfRule>
    <cfRule type="expression" dxfId="17218" priority="2053">
      <formula>$C39="Sales"</formula>
    </cfRule>
    <cfRule type="expression" dxfId="17217" priority="2054">
      <formula>$C39="Expences"</formula>
    </cfRule>
    <cfRule type="expression" dxfId="17216" priority="2055">
      <formula>$C39="Garlic Purchase"</formula>
    </cfRule>
    <cfRule type="expression" dxfId="17215" priority="2056">
      <formula>$C39="Ginger Purchase"</formula>
    </cfRule>
  </conditionalFormatting>
  <conditionalFormatting sqref="B39">
    <cfRule type="expression" dxfId="17214" priority="2057">
      <formula>$C39="Advance"</formula>
    </cfRule>
  </conditionalFormatting>
  <conditionalFormatting sqref="B39">
    <cfRule type="expression" dxfId="17213" priority="2038">
      <formula>$C39="Delivery charge"</formula>
    </cfRule>
    <cfRule type="expression" dxfId="17212" priority="2039">
      <formula>$C39="Staff Salary"</formula>
    </cfRule>
    <cfRule type="expression" dxfId="17211" priority="2040">
      <formula>$C39="Rent"</formula>
    </cfRule>
    <cfRule type="expression" dxfId="17210" priority="2041">
      <formula>$C39="Petrol"</formula>
    </cfRule>
    <cfRule type="expression" dxfId="17209" priority="2042">
      <formula>$C39="Bills"</formula>
    </cfRule>
    <cfRule type="expression" dxfId="17208" priority="2043">
      <formula>$C39="Sales"</formula>
    </cfRule>
    <cfRule type="expression" dxfId="17207" priority="2044">
      <formula>$C39="Expences"</formula>
    </cfRule>
    <cfRule type="expression" dxfId="17206" priority="2045">
      <formula>$C39="Garlic Purchase"</formula>
    </cfRule>
    <cfRule type="expression" dxfId="17205" priority="2046">
      <formula>$C39="Ginger Purchase"</formula>
    </cfRule>
  </conditionalFormatting>
  <conditionalFormatting sqref="B39">
    <cfRule type="expression" dxfId="17204" priority="2047">
      <formula>$C39="Advance"</formula>
    </cfRule>
  </conditionalFormatting>
  <conditionalFormatting sqref="B39">
    <cfRule type="expression" dxfId="17203" priority="2028">
      <formula>$C39="Delivery charge"</formula>
    </cfRule>
    <cfRule type="expression" dxfId="17202" priority="2029">
      <formula>$C39="Staff Salary"</formula>
    </cfRule>
    <cfRule type="expression" dxfId="17201" priority="2030">
      <formula>$C39="Rent"</formula>
    </cfRule>
    <cfRule type="expression" dxfId="17200" priority="2031">
      <formula>$C39="Petrol"</formula>
    </cfRule>
    <cfRule type="expression" dxfId="17199" priority="2032">
      <formula>$C39="Bills"</formula>
    </cfRule>
    <cfRule type="expression" dxfId="17198" priority="2033">
      <formula>$C39="Sales"</formula>
    </cfRule>
    <cfRule type="expression" dxfId="17197" priority="2034">
      <formula>$C39="Expences"</formula>
    </cfRule>
    <cfRule type="expression" dxfId="17196" priority="2035">
      <formula>$C39="Garlic Purchase"</formula>
    </cfRule>
    <cfRule type="expression" dxfId="17195" priority="2036">
      <formula>$C39="Ginger Purchase"</formula>
    </cfRule>
  </conditionalFormatting>
  <conditionalFormatting sqref="B39">
    <cfRule type="expression" dxfId="17194" priority="2037">
      <formula>$C39="Advance"</formula>
    </cfRule>
  </conditionalFormatting>
  <conditionalFormatting sqref="B38 B40 B42 B44 B46">
    <cfRule type="expression" dxfId="17193" priority="2018">
      <formula>$C38="Delivery charge"</formula>
    </cfRule>
    <cfRule type="expression" dxfId="17192" priority="2019">
      <formula>$C38="Staff Salary"</formula>
    </cfRule>
    <cfRule type="expression" dxfId="17191" priority="2020">
      <formula>$C38="Rent"</formula>
    </cfRule>
    <cfRule type="expression" dxfId="17190" priority="2021">
      <formula>$C38="Petrol"</formula>
    </cfRule>
    <cfRule type="expression" dxfId="17189" priority="2022">
      <formula>$C38="Bills"</formula>
    </cfRule>
    <cfRule type="expression" dxfId="17188" priority="2023">
      <formula>$C38="Sales"</formula>
    </cfRule>
    <cfRule type="expression" dxfId="17187" priority="2024">
      <formula>$C38="Expences"</formula>
    </cfRule>
    <cfRule type="expression" dxfId="17186" priority="2025">
      <formula>$C38="Garlic Purchase"</formula>
    </cfRule>
    <cfRule type="expression" dxfId="17185" priority="2026">
      <formula>$C38="Ginger Purchase"</formula>
    </cfRule>
  </conditionalFormatting>
  <conditionalFormatting sqref="B38 B40 B42 B44 B46">
    <cfRule type="expression" dxfId="17184" priority="2027">
      <formula>$C38="Advance"</formula>
    </cfRule>
  </conditionalFormatting>
  <conditionalFormatting sqref="B39">
    <cfRule type="expression" dxfId="17183" priority="2008">
      <formula>$C39="Delivery charge"</formula>
    </cfRule>
    <cfRule type="expression" dxfId="17182" priority="2009">
      <formula>$C39="Staff Salary"</formula>
    </cfRule>
    <cfRule type="expression" dxfId="17181" priority="2010">
      <formula>$C39="Rent"</formula>
    </cfRule>
    <cfRule type="expression" dxfId="17180" priority="2011">
      <formula>$C39="Petrol"</formula>
    </cfRule>
    <cfRule type="expression" dxfId="17179" priority="2012">
      <formula>$C39="Bills"</formula>
    </cfRule>
    <cfRule type="expression" dxfId="17178" priority="2013">
      <formula>$C39="Sales"</formula>
    </cfRule>
    <cfRule type="expression" dxfId="17177" priority="2014">
      <formula>$C39="Expences"</formula>
    </cfRule>
    <cfRule type="expression" dxfId="17176" priority="2015">
      <formula>$C39="Garlic Purchase"</formula>
    </cfRule>
    <cfRule type="expression" dxfId="17175" priority="2016">
      <formula>$C39="Ginger Purchase"</formula>
    </cfRule>
  </conditionalFormatting>
  <conditionalFormatting sqref="B39">
    <cfRule type="expression" dxfId="17174" priority="2017">
      <formula>$C39="Advance"</formula>
    </cfRule>
  </conditionalFormatting>
  <conditionalFormatting sqref="B39">
    <cfRule type="expression" dxfId="17173" priority="1998">
      <formula>$C39="Delivery charge"</formula>
    </cfRule>
    <cfRule type="expression" dxfId="17172" priority="1999">
      <formula>$C39="Staff Salary"</formula>
    </cfRule>
    <cfRule type="expression" dxfId="17171" priority="2000">
      <formula>$C39="Rent"</formula>
    </cfRule>
    <cfRule type="expression" dxfId="17170" priority="2001">
      <formula>$C39="Petrol"</formula>
    </cfRule>
    <cfRule type="expression" dxfId="17169" priority="2002">
      <formula>$C39="Bills"</formula>
    </cfRule>
    <cfRule type="expression" dxfId="17168" priority="2003">
      <formula>$C39="Sales"</formula>
    </cfRule>
    <cfRule type="expression" dxfId="17167" priority="2004">
      <formula>$C39="Expences"</formula>
    </cfRule>
    <cfRule type="expression" dxfId="17166" priority="2005">
      <formula>$C39="Garlic Purchase"</formula>
    </cfRule>
    <cfRule type="expression" dxfId="17165" priority="2006">
      <formula>$C39="Ginger Purchase"</formula>
    </cfRule>
  </conditionalFormatting>
  <conditionalFormatting sqref="B39">
    <cfRule type="expression" dxfId="17164" priority="2007">
      <formula>$C39="Advance"</formula>
    </cfRule>
  </conditionalFormatting>
  <conditionalFormatting sqref="B39">
    <cfRule type="expression" dxfId="17163" priority="1988">
      <formula>$C39="Delivery charge"</formula>
    </cfRule>
    <cfRule type="expression" dxfId="17162" priority="1989">
      <formula>$C39="Staff Salary"</formula>
    </cfRule>
    <cfRule type="expression" dxfId="17161" priority="1990">
      <formula>$C39="Rent"</formula>
    </cfRule>
    <cfRule type="expression" dxfId="17160" priority="1991">
      <formula>$C39="Petrol"</formula>
    </cfRule>
    <cfRule type="expression" dxfId="17159" priority="1992">
      <formula>$C39="Bills"</formula>
    </cfRule>
    <cfRule type="expression" dxfId="17158" priority="1993">
      <formula>$C39="Sales"</formula>
    </cfRule>
    <cfRule type="expression" dxfId="17157" priority="1994">
      <formula>$C39="Expences"</formula>
    </cfRule>
    <cfRule type="expression" dxfId="17156" priority="1995">
      <formula>$C39="Garlic Purchase"</formula>
    </cfRule>
    <cfRule type="expression" dxfId="17155" priority="1996">
      <formula>$C39="Ginger Purchase"</formula>
    </cfRule>
  </conditionalFormatting>
  <conditionalFormatting sqref="B39">
    <cfRule type="expression" dxfId="17154" priority="1997">
      <formula>$C39="Advance"</formula>
    </cfRule>
  </conditionalFormatting>
  <conditionalFormatting sqref="B39">
    <cfRule type="expression" dxfId="17153" priority="1978">
      <formula>$C39="Delivery charge"</formula>
    </cfRule>
    <cfRule type="expression" dxfId="17152" priority="1979">
      <formula>$C39="Staff Salary"</formula>
    </cfRule>
    <cfRule type="expression" dxfId="17151" priority="1980">
      <formula>$C39="Rent"</formula>
    </cfRule>
    <cfRule type="expression" dxfId="17150" priority="1981">
      <formula>$C39="Petrol"</formula>
    </cfRule>
    <cfRule type="expression" dxfId="17149" priority="1982">
      <formula>$C39="Bills"</formula>
    </cfRule>
    <cfRule type="expression" dxfId="17148" priority="1983">
      <formula>$C39="Sales"</formula>
    </cfRule>
    <cfRule type="expression" dxfId="17147" priority="1984">
      <formula>$C39="Expences"</formula>
    </cfRule>
    <cfRule type="expression" dxfId="17146" priority="1985">
      <formula>$C39="Garlic Purchase"</formula>
    </cfRule>
    <cfRule type="expression" dxfId="17145" priority="1986">
      <formula>$C39="Ginger Purchase"</formula>
    </cfRule>
  </conditionalFormatting>
  <conditionalFormatting sqref="B39">
    <cfRule type="expression" dxfId="17144" priority="1987">
      <formula>$C39="Advance"</formula>
    </cfRule>
  </conditionalFormatting>
  <conditionalFormatting sqref="B39">
    <cfRule type="expression" dxfId="17143" priority="1968">
      <formula>$C39="Delivery charge"</formula>
    </cfRule>
    <cfRule type="expression" dxfId="17142" priority="1969">
      <formula>$C39="Staff Salary"</formula>
    </cfRule>
    <cfRule type="expression" dxfId="17141" priority="1970">
      <formula>$C39="Rent"</formula>
    </cfRule>
    <cfRule type="expression" dxfId="17140" priority="1971">
      <formula>$C39="Petrol"</formula>
    </cfRule>
    <cfRule type="expression" dxfId="17139" priority="1972">
      <formula>$C39="Bills"</formula>
    </cfRule>
    <cfRule type="expression" dxfId="17138" priority="1973">
      <formula>$C39="Sales"</formula>
    </cfRule>
    <cfRule type="expression" dxfId="17137" priority="1974">
      <formula>$C39="Expences"</formula>
    </cfRule>
    <cfRule type="expression" dxfId="17136" priority="1975">
      <formula>$C39="Garlic Purchase"</formula>
    </cfRule>
    <cfRule type="expression" dxfId="17135" priority="1976">
      <formula>$C39="Ginger Purchase"</formula>
    </cfRule>
  </conditionalFormatting>
  <conditionalFormatting sqref="B39">
    <cfRule type="expression" dxfId="17134" priority="1977">
      <formula>$C39="Advance"</formula>
    </cfRule>
  </conditionalFormatting>
  <conditionalFormatting sqref="B39">
    <cfRule type="expression" dxfId="17133" priority="1958">
      <formula>$C39="Delivery charge"</formula>
    </cfRule>
    <cfRule type="expression" dxfId="17132" priority="1959">
      <formula>$C39="Staff Salary"</formula>
    </cfRule>
    <cfRule type="expression" dxfId="17131" priority="1960">
      <formula>$C39="Rent"</formula>
    </cfRule>
    <cfRule type="expression" dxfId="17130" priority="1961">
      <formula>$C39="Petrol"</formula>
    </cfRule>
    <cfRule type="expression" dxfId="17129" priority="1962">
      <formula>$C39="Bills"</formula>
    </cfRule>
    <cfRule type="expression" dxfId="17128" priority="1963">
      <formula>$C39="Sales"</formula>
    </cfRule>
    <cfRule type="expression" dxfId="17127" priority="1964">
      <formula>$C39="Expences"</formula>
    </cfRule>
    <cfRule type="expression" dxfId="17126" priority="1965">
      <formula>$C39="Garlic Purchase"</formula>
    </cfRule>
    <cfRule type="expression" dxfId="17125" priority="1966">
      <formula>$C39="Ginger Purchase"</formula>
    </cfRule>
  </conditionalFormatting>
  <conditionalFormatting sqref="B39">
    <cfRule type="expression" dxfId="17124" priority="1967">
      <formula>$C39="Advance"</formula>
    </cfRule>
  </conditionalFormatting>
  <conditionalFormatting sqref="B39">
    <cfRule type="expression" dxfId="17123" priority="1948">
      <formula>$C39="Delivery charge"</formula>
    </cfRule>
    <cfRule type="expression" dxfId="17122" priority="1949">
      <formula>$C39="Staff Salary"</formula>
    </cfRule>
    <cfRule type="expression" dxfId="17121" priority="1950">
      <formula>$C39="Rent"</formula>
    </cfRule>
    <cfRule type="expression" dxfId="17120" priority="1951">
      <formula>$C39="Petrol"</formula>
    </cfRule>
    <cfRule type="expression" dxfId="17119" priority="1952">
      <formula>$C39="Bills"</formula>
    </cfRule>
    <cfRule type="expression" dxfId="17118" priority="1953">
      <formula>$C39="Sales"</formula>
    </cfRule>
    <cfRule type="expression" dxfId="17117" priority="1954">
      <formula>$C39="Expences"</formula>
    </cfRule>
    <cfRule type="expression" dxfId="17116" priority="1955">
      <formula>$C39="Garlic Purchase"</formula>
    </cfRule>
    <cfRule type="expression" dxfId="17115" priority="1956">
      <formula>$C39="Ginger Purchase"</formula>
    </cfRule>
  </conditionalFormatting>
  <conditionalFormatting sqref="B39">
    <cfRule type="expression" dxfId="17114" priority="1957">
      <formula>$C39="Advance"</formula>
    </cfRule>
  </conditionalFormatting>
  <conditionalFormatting sqref="B39">
    <cfRule type="expression" dxfId="17113" priority="1938">
      <formula>$C39="Delivery charge"</formula>
    </cfRule>
    <cfRule type="expression" dxfId="17112" priority="1939">
      <formula>$C39="Staff Salary"</formula>
    </cfRule>
    <cfRule type="expression" dxfId="17111" priority="1940">
      <formula>$C39="Rent"</formula>
    </cfRule>
    <cfRule type="expression" dxfId="17110" priority="1941">
      <formula>$C39="Petrol"</formula>
    </cfRule>
    <cfRule type="expression" dxfId="17109" priority="1942">
      <formula>$C39="Bills"</formula>
    </cfRule>
    <cfRule type="expression" dxfId="17108" priority="1943">
      <formula>$C39="Sales"</formula>
    </cfRule>
    <cfRule type="expression" dxfId="17107" priority="1944">
      <formula>$C39="Expences"</formula>
    </cfRule>
    <cfRule type="expression" dxfId="17106" priority="1945">
      <formula>$C39="Garlic Purchase"</formula>
    </cfRule>
    <cfRule type="expression" dxfId="17105" priority="1946">
      <formula>$C39="Ginger Purchase"</formula>
    </cfRule>
  </conditionalFormatting>
  <conditionalFormatting sqref="B39">
    <cfRule type="expression" dxfId="17104" priority="1947">
      <formula>$C39="Advance"</formula>
    </cfRule>
  </conditionalFormatting>
  <conditionalFormatting sqref="B39">
    <cfRule type="expression" dxfId="17103" priority="1928">
      <formula>$C39="Delivery charge"</formula>
    </cfRule>
    <cfRule type="expression" dxfId="17102" priority="1929">
      <formula>$C39="Staff Salary"</formula>
    </cfRule>
    <cfRule type="expression" dxfId="17101" priority="1930">
      <formula>$C39="Rent"</formula>
    </cfRule>
    <cfRule type="expression" dxfId="17100" priority="1931">
      <formula>$C39="Petrol"</formula>
    </cfRule>
    <cfRule type="expression" dxfId="17099" priority="1932">
      <formula>$C39="Bills"</formula>
    </cfRule>
    <cfRule type="expression" dxfId="17098" priority="1933">
      <formula>$C39="Sales"</formula>
    </cfRule>
    <cfRule type="expression" dxfId="17097" priority="1934">
      <formula>$C39="Expences"</formula>
    </cfRule>
    <cfRule type="expression" dxfId="17096" priority="1935">
      <formula>$C39="Garlic Purchase"</formula>
    </cfRule>
    <cfRule type="expression" dxfId="17095" priority="1936">
      <formula>$C39="Ginger Purchase"</formula>
    </cfRule>
  </conditionalFormatting>
  <conditionalFormatting sqref="B39">
    <cfRule type="expression" dxfId="17094" priority="1937">
      <formula>$C39="Advance"</formula>
    </cfRule>
  </conditionalFormatting>
  <conditionalFormatting sqref="B39 B41 B43 B45 B47 B49 B51 B53 B55 B57 B59 B61 B63">
    <cfRule type="expression" dxfId="17093" priority="1927">
      <formula>$C39="Advance"</formula>
    </cfRule>
  </conditionalFormatting>
  <conditionalFormatting sqref="B39 B41 B43 B45 B47 B49 B51 B53 B55 B57 B59 B61 B63">
    <cfRule type="expression" dxfId="17092" priority="1918">
      <formula>$C39="Delivery charge"</formula>
    </cfRule>
    <cfRule type="expression" dxfId="17091" priority="1919">
      <formula>$C39="Staff Salary"</formula>
    </cfRule>
    <cfRule type="expression" dxfId="17090" priority="1920">
      <formula>$C39="Rent"</formula>
    </cfRule>
    <cfRule type="expression" dxfId="17089" priority="1921">
      <formula>$C39="Petrol"</formula>
    </cfRule>
    <cfRule type="expression" dxfId="17088" priority="1922">
      <formula>$C39="Bills"</formula>
    </cfRule>
    <cfRule type="expression" dxfId="17087" priority="1923">
      <formula>$C39="Sales"</formula>
    </cfRule>
    <cfRule type="expression" dxfId="17086" priority="1924">
      <formula>$C39="Expences"</formula>
    </cfRule>
    <cfRule type="expression" dxfId="17085" priority="1925">
      <formula>$C39="Garlic Purchase"</formula>
    </cfRule>
    <cfRule type="expression" dxfId="17084" priority="1926">
      <formula>$C39="Ginger Purchase"</formula>
    </cfRule>
  </conditionalFormatting>
  <conditionalFormatting sqref="B38 B48 B52 B40 B42 B44 B46 B54 B56 B58 B60 B62 B64">
    <cfRule type="expression" dxfId="17083" priority="1908">
      <formula>$C38="Delivery charge"</formula>
    </cfRule>
    <cfRule type="expression" dxfId="17082" priority="1909">
      <formula>$C38="Staff Salary"</formula>
    </cfRule>
    <cfRule type="expression" dxfId="17081" priority="1910">
      <formula>$C38="Rent"</formula>
    </cfRule>
    <cfRule type="expression" dxfId="17080" priority="1911">
      <formula>$C38="Petrol"</formula>
    </cfRule>
    <cfRule type="expression" dxfId="17079" priority="1912">
      <formula>$C38="Bills"</formula>
    </cfRule>
    <cfRule type="expression" dxfId="17078" priority="1913">
      <formula>$C38="Sales"</formula>
    </cfRule>
    <cfRule type="expression" dxfId="17077" priority="1914">
      <formula>$C38="Expences"</formula>
    </cfRule>
    <cfRule type="expression" dxfId="17076" priority="1915">
      <formula>$C38="Garlic Purchase"</formula>
    </cfRule>
    <cfRule type="expression" dxfId="17075" priority="1916">
      <formula>$C38="Ginger Purchase"</formula>
    </cfRule>
  </conditionalFormatting>
  <conditionalFormatting sqref="B38 B48 B52 B40 B42 B44 B46 B54 B56 B58 B60 B62 B64">
    <cfRule type="expression" dxfId="17074" priority="1917">
      <formula>$C38="Advance"</formula>
    </cfRule>
  </conditionalFormatting>
  <conditionalFormatting sqref="B38 B48 B52 B40 B42 B44 B46 B54 B56 B58 B60 B62 B64">
    <cfRule type="expression" dxfId="17073" priority="1898">
      <formula>$C38="Delivery charge"</formula>
    </cfRule>
    <cfRule type="expression" dxfId="17072" priority="1899">
      <formula>$C38="Staff Salary"</formula>
    </cfRule>
    <cfRule type="expression" dxfId="17071" priority="1900">
      <formula>$C38="Rent"</formula>
    </cfRule>
    <cfRule type="expression" dxfId="17070" priority="1901">
      <formula>$C38="Petrol"</formula>
    </cfRule>
    <cfRule type="expression" dxfId="17069" priority="1902">
      <formula>$C38="Bills"</formula>
    </cfRule>
    <cfRule type="expression" dxfId="17068" priority="1903">
      <formula>$C38="Sales"</formula>
    </cfRule>
    <cfRule type="expression" dxfId="17067" priority="1904">
      <formula>$C38="Expences"</formula>
    </cfRule>
    <cfRule type="expression" dxfId="17066" priority="1905">
      <formula>$C38="Garlic Purchase"</formula>
    </cfRule>
    <cfRule type="expression" dxfId="17065" priority="1906">
      <formula>$C38="Ginger Purchase"</formula>
    </cfRule>
  </conditionalFormatting>
  <conditionalFormatting sqref="B38 B48 B52 B40 B42 B44 B46 B54 B56 B58 B60 B62 B64">
    <cfRule type="expression" dxfId="17064" priority="1907">
      <formula>$C38="Advance"</formula>
    </cfRule>
  </conditionalFormatting>
  <conditionalFormatting sqref="B38 B48 B52 B40 B42 B44 B46 B54 B56 B58 B60 B62 B64">
    <cfRule type="expression" dxfId="17063" priority="1888">
      <formula>$C38="Delivery charge"</formula>
    </cfRule>
    <cfRule type="expression" dxfId="17062" priority="1889">
      <formula>$C38="Staff Salary"</formula>
    </cfRule>
    <cfRule type="expression" dxfId="17061" priority="1890">
      <formula>$C38="Rent"</formula>
    </cfRule>
    <cfRule type="expression" dxfId="17060" priority="1891">
      <formula>$C38="Petrol"</formula>
    </cfRule>
    <cfRule type="expression" dxfId="17059" priority="1892">
      <formula>$C38="Bills"</formula>
    </cfRule>
    <cfRule type="expression" dxfId="17058" priority="1893">
      <formula>$C38="Sales"</formula>
    </cfRule>
    <cfRule type="expression" dxfId="17057" priority="1894">
      <formula>$C38="Expences"</formula>
    </cfRule>
    <cfRule type="expression" dxfId="17056" priority="1895">
      <formula>$C38="Garlic Purchase"</formula>
    </cfRule>
    <cfRule type="expression" dxfId="17055" priority="1896">
      <formula>$C38="Ginger Purchase"</formula>
    </cfRule>
  </conditionalFormatting>
  <conditionalFormatting sqref="B38 B48 B52 B40 B42 B44 B46 B54 B56 B58 B60 B62 B64">
    <cfRule type="expression" dxfId="17054" priority="1897">
      <formula>$C38="Advance"</formula>
    </cfRule>
  </conditionalFormatting>
  <conditionalFormatting sqref="B38 B48 B52 B40 B42 B44 B46 B54 B56 B58 B60 B62 B64">
    <cfRule type="expression" dxfId="17053" priority="1878">
      <formula>$C38="Delivery charge"</formula>
    </cfRule>
    <cfRule type="expression" dxfId="17052" priority="1879">
      <formula>$C38="Staff Salary"</formula>
    </cfRule>
    <cfRule type="expression" dxfId="17051" priority="1880">
      <formula>$C38="Rent"</formula>
    </cfRule>
    <cfRule type="expression" dxfId="17050" priority="1881">
      <formula>$C38="Petrol"</formula>
    </cfRule>
    <cfRule type="expression" dxfId="17049" priority="1882">
      <formula>$C38="Bills"</formula>
    </cfRule>
    <cfRule type="expression" dxfId="17048" priority="1883">
      <formula>$C38="Sales"</formula>
    </cfRule>
    <cfRule type="expression" dxfId="17047" priority="1884">
      <formula>$C38="Expences"</formula>
    </cfRule>
    <cfRule type="expression" dxfId="17046" priority="1885">
      <formula>$C38="Garlic Purchase"</formula>
    </cfRule>
    <cfRule type="expression" dxfId="17045" priority="1886">
      <formula>$C38="Ginger Purchase"</formula>
    </cfRule>
  </conditionalFormatting>
  <conditionalFormatting sqref="B38 B48 B52 B40 B42 B44 B46 B54 B56 B58 B60 B62 B64">
    <cfRule type="expression" dxfId="17044" priority="1887">
      <formula>$C38="Advance"</formula>
    </cfRule>
  </conditionalFormatting>
  <conditionalFormatting sqref="B38 B48 B52 B40 B42 B44 B46 B54 B56 B58 B60 B62 B64">
    <cfRule type="expression" dxfId="17043" priority="1868">
      <formula>$C38="Delivery charge"</formula>
    </cfRule>
    <cfRule type="expression" dxfId="17042" priority="1869">
      <formula>$C38="Staff Salary"</formula>
    </cfRule>
    <cfRule type="expression" dxfId="17041" priority="1870">
      <formula>$C38="Rent"</formula>
    </cfRule>
    <cfRule type="expression" dxfId="17040" priority="1871">
      <formula>$C38="Petrol"</formula>
    </cfRule>
    <cfRule type="expression" dxfId="17039" priority="1872">
      <formula>$C38="Bills"</formula>
    </cfRule>
    <cfRule type="expression" dxfId="17038" priority="1873">
      <formula>$C38="Sales"</formula>
    </cfRule>
    <cfRule type="expression" dxfId="17037" priority="1874">
      <formula>$C38="Expences"</formula>
    </cfRule>
    <cfRule type="expression" dxfId="17036" priority="1875">
      <formula>$C38="Garlic Purchase"</formula>
    </cfRule>
    <cfRule type="expression" dxfId="17035" priority="1876">
      <formula>$C38="Ginger Purchase"</formula>
    </cfRule>
  </conditionalFormatting>
  <conditionalFormatting sqref="B38 B48 B52 B40 B42 B44 B46 B54 B56 B58 B60 B62 B64">
    <cfRule type="expression" dxfId="17034" priority="1877">
      <formula>$C38="Advance"</formula>
    </cfRule>
  </conditionalFormatting>
  <conditionalFormatting sqref="B38 B48 B52 B40 B42 B44 B46 B54 B56 B58 B60 B62 B64">
    <cfRule type="expression" dxfId="17033" priority="1858">
      <formula>$C38="Delivery charge"</formula>
    </cfRule>
    <cfRule type="expression" dxfId="17032" priority="1859">
      <formula>$C38="Staff Salary"</formula>
    </cfRule>
    <cfRule type="expression" dxfId="17031" priority="1860">
      <formula>$C38="Rent"</formula>
    </cfRule>
    <cfRule type="expression" dxfId="17030" priority="1861">
      <formula>$C38="Petrol"</formula>
    </cfRule>
    <cfRule type="expression" dxfId="17029" priority="1862">
      <formula>$C38="Bills"</formula>
    </cfRule>
    <cfRule type="expression" dxfId="17028" priority="1863">
      <formula>$C38="Sales"</formula>
    </cfRule>
    <cfRule type="expression" dxfId="17027" priority="1864">
      <formula>$C38="Expences"</formula>
    </cfRule>
    <cfRule type="expression" dxfId="17026" priority="1865">
      <formula>$C38="Garlic Purchase"</formula>
    </cfRule>
    <cfRule type="expression" dxfId="17025" priority="1866">
      <formula>$C38="Ginger Purchase"</formula>
    </cfRule>
  </conditionalFormatting>
  <conditionalFormatting sqref="B38 B48 B52 B40 B42 B44 B46 B54 B56 B58 B60 B62 B64">
    <cfRule type="expression" dxfId="17024" priority="1867">
      <formula>$C38="Advance"</formula>
    </cfRule>
  </conditionalFormatting>
  <conditionalFormatting sqref="B38 B48 B52 B40 B42 B44 B46 B54 B56 B58 B60 B62 B64">
    <cfRule type="expression" dxfId="17023" priority="1848">
      <formula>$C38="Delivery charge"</formula>
    </cfRule>
    <cfRule type="expression" dxfId="17022" priority="1849">
      <formula>$C38="Staff Salary"</formula>
    </cfRule>
    <cfRule type="expression" dxfId="17021" priority="1850">
      <formula>$C38="Rent"</formula>
    </cfRule>
    <cfRule type="expression" dxfId="17020" priority="1851">
      <formula>$C38="Petrol"</formula>
    </cfRule>
    <cfRule type="expression" dxfId="17019" priority="1852">
      <formula>$C38="Bills"</formula>
    </cfRule>
    <cfRule type="expression" dxfId="17018" priority="1853">
      <formula>$C38="Sales"</formula>
    </cfRule>
    <cfRule type="expression" dxfId="17017" priority="1854">
      <formula>$C38="Expences"</formula>
    </cfRule>
    <cfRule type="expression" dxfId="17016" priority="1855">
      <formula>$C38="Garlic Purchase"</formula>
    </cfRule>
    <cfRule type="expression" dxfId="17015" priority="1856">
      <formula>$C38="Ginger Purchase"</formula>
    </cfRule>
  </conditionalFormatting>
  <conditionalFormatting sqref="B38 B48 B52 B40 B42 B44 B46 B54 B56 B58 B60 B62 B64">
    <cfRule type="expression" dxfId="17014" priority="1857">
      <formula>$C38="Advance"</formula>
    </cfRule>
  </conditionalFormatting>
  <conditionalFormatting sqref="B38 B48 B52 B40 B42 B44 B46 B54 B56 B58 B60 B62 B64">
    <cfRule type="expression" dxfId="17013" priority="1838">
      <formula>$C38="Delivery charge"</formula>
    </cfRule>
    <cfRule type="expression" dxfId="17012" priority="1839">
      <formula>$C38="Staff Salary"</formula>
    </cfRule>
    <cfRule type="expression" dxfId="17011" priority="1840">
      <formula>$C38="Rent"</formula>
    </cfRule>
    <cfRule type="expression" dxfId="17010" priority="1841">
      <formula>$C38="Petrol"</formula>
    </cfRule>
    <cfRule type="expression" dxfId="17009" priority="1842">
      <formula>$C38="Bills"</formula>
    </cfRule>
    <cfRule type="expression" dxfId="17008" priority="1843">
      <formula>$C38="Sales"</formula>
    </cfRule>
    <cfRule type="expression" dxfId="17007" priority="1844">
      <formula>$C38="Expences"</formula>
    </cfRule>
    <cfRule type="expression" dxfId="17006" priority="1845">
      <formula>$C38="Garlic Purchase"</formula>
    </cfRule>
    <cfRule type="expression" dxfId="17005" priority="1846">
      <formula>$C38="Ginger Purchase"</formula>
    </cfRule>
  </conditionalFormatting>
  <conditionalFormatting sqref="B38 B48 B52 B40 B42 B44 B46 B54 B56 B58 B60 B62 B64">
    <cfRule type="expression" dxfId="17004" priority="1847">
      <formula>$C38="Advance"</formula>
    </cfRule>
  </conditionalFormatting>
  <conditionalFormatting sqref="B38 B48 B52 B40 B42 B44 B46 B54 B56 B58 B60 B62 B64">
    <cfRule type="expression" dxfId="17003" priority="1828">
      <formula>$C38="Delivery charge"</formula>
    </cfRule>
    <cfRule type="expression" dxfId="17002" priority="1829">
      <formula>$C38="Staff Salary"</formula>
    </cfRule>
    <cfRule type="expression" dxfId="17001" priority="1830">
      <formula>$C38="Rent"</formula>
    </cfRule>
    <cfRule type="expression" dxfId="17000" priority="1831">
      <formula>$C38="Petrol"</formula>
    </cfRule>
    <cfRule type="expression" dxfId="16999" priority="1832">
      <formula>$C38="Bills"</formula>
    </cfRule>
    <cfRule type="expression" dxfId="16998" priority="1833">
      <formula>$C38="Sales"</formula>
    </cfRule>
    <cfRule type="expression" dxfId="16997" priority="1834">
      <formula>$C38="Expences"</formula>
    </cfRule>
    <cfRule type="expression" dxfId="16996" priority="1835">
      <formula>$C38="Garlic Purchase"</formula>
    </cfRule>
    <cfRule type="expression" dxfId="16995" priority="1836">
      <formula>$C38="Ginger Purchase"</formula>
    </cfRule>
  </conditionalFormatting>
  <conditionalFormatting sqref="B38 B48 B52 B40 B42 B44 B46 B54 B56 B58 B60 B62 B64">
    <cfRule type="expression" dxfId="16994" priority="1837">
      <formula>$C38="Advance"</formula>
    </cfRule>
  </conditionalFormatting>
  <conditionalFormatting sqref="B38 B48 B52 B40 B42 B44 B46 B54 B56 B58 B60 B62 B64">
    <cfRule type="expression" dxfId="16993" priority="1818">
      <formula>$C38="Delivery charge"</formula>
    </cfRule>
    <cfRule type="expression" dxfId="16992" priority="1819">
      <formula>$C38="Staff Salary"</formula>
    </cfRule>
    <cfRule type="expression" dxfId="16991" priority="1820">
      <formula>$C38="Rent"</formula>
    </cfRule>
    <cfRule type="expression" dxfId="16990" priority="1821">
      <formula>$C38="Petrol"</formula>
    </cfRule>
    <cfRule type="expression" dxfId="16989" priority="1822">
      <formula>$C38="Bills"</formula>
    </cfRule>
    <cfRule type="expression" dxfId="16988" priority="1823">
      <formula>$C38="Sales"</formula>
    </cfRule>
    <cfRule type="expression" dxfId="16987" priority="1824">
      <formula>$C38="Expences"</formula>
    </cfRule>
    <cfRule type="expression" dxfId="16986" priority="1825">
      <formula>$C38="Garlic Purchase"</formula>
    </cfRule>
    <cfRule type="expression" dxfId="16985" priority="1826">
      <formula>$C38="Ginger Purchase"</formula>
    </cfRule>
  </conditionalFormatting>
  <conditionalFormatting sqref="B38 B48 B52 B40 B42 B44 B46 B54 B56 B58 B60 B62 B64">
    <cfRule type="expression" dxfId="16984" priority="1827">
      <formula>$C38="Advance"</formula>
    </cfRule>
  </conditionalFormatting>
  <conditionalFormatting sqref="B38 B48 B52 B40 B42 B44 B46 B54 B56 B58 B60 B62 B64">
    <cfRule type="expression" dxfId="16983" priority="1808">
      <formula>$C38="Delivery charge"</formula>
    </cfRule>
    <cfRule type="expression" dxfId="16982" priority="1809">
      <formula>$C38="Staff Salary"</formula>
    </cfRule>
    <cfRule type="expression" dxfId="16981" priority="1810">
      <formula>$C38="Rent"</formula>
    </cfRule>
    <cfRule type="expression" dxfId="16980" priority="1811">
      <formula>$C38="Petrol"</formula>
    </cfRule>
    <cfRule type="expression" dxfId="16979" priority="1812">
      <formula>$C38="Bills"</formula>
    </cfRule>
    <cfRule type="expression" dxfId="16978" priority="1813">
      <formula>$C38="Sales"</formula>
    </cfRule>
    <cfRule type="expression" dxfId="16977" priority="1814">
      <formula>$C38="Expences"</formula>
    </cfRule>
    <cfRule type="expression" dxfId="16976" priority="1815">
      <formula>$C38="Garlic Purchase"</formula>
    </cfRule>
    <cfRule type="expression" dxfId="16975" priority="1816">
      <formula>$C38="Ginger Purchase"</formula>
    </cfRule>
  </conditionalFormatting>
  <conditionalFormatting sqref="B38 B48 B52 B40 B42 B44 B46 B54 B56 B58 B60 B62 B64">
    <cfRule type="expression" dxfId="16974" priority="1817">
      <formula>$C38="Advance"</formula>
    </cfRule>
  </conditionalFormatting>
  <conditionalFormatting sqref="B39 B41 B43 B45 B47 B49 B51 B53 B55 B57 B59 B61 B63">
    <cfRule type="expression" dxfId="16973" priority="1798">
      <formula>$C39="Delivery charge"</formula>
    </cfRule>
    <cfRule type="expression" dxfId="16972" priority="1799">
      <formula>$C39="Staff Salary"</formula>
    </cfRule>
    <cfRule type="expression" dxfId="16971" priority="1800">
      <formula>$C39="Rent"</formula>
    </cfRule>
    <cfRule type="expression" dxfId="16970" priority="1801">
      <formula>$C39="Petrol"</formula>
    </cfRule>
    <cfRule type="expression" dxfId="16969" priority="1802">
      <formula>$C39="Bills"</formula>
    </cfRule>
    <cfRule type="expression" dxfId="16968" priority="1803">
      <formula>$C39="Sales"</formula>
    </cfRule>
    <cfRule type="expression" dxfId="16967" priority="1804">
      <formula>$C39="Expences"</formula>
    </cfRule>
    <cfRule type="expression" dxfId="16966" priority="1805">
      <formula>$C39="Garlic Purchase"</formula>
    </cfRule>
    <cfRule type="expression" dxfId="16965" priority="1806">
      <formula>$C39="Ginger Purchase"</formula>
    </cfRule>
  </conditionalFormatting>
  <conditionalFormatting sqref="B39 B41 B43 B45 B47 B49 B51 B53 B55 B57 B59 B61 B63">
    <cfRule type="expression" dxfId="16964" priority="1807">
      <formula>$C39="Advance"</formula>
    </cfRule>
  </conditionalFormatting>
  <conditionalFormatting sqref="B38 B48 B52 B40 B42 B44 B46 B54 B56 B58 B60 B62 B64">
    <cfRule type="expression" dxfId="16963" priority="1788">
      <formula>$C38="Delivery charge"</formula>
    </cfRule>
    <cfRule type="expression" dxfId="16962" priority="1789">
      <formula>$C38="Staff Salary"</formula>
    </cfRule>
    <cfRule type="expression" dxfId="16961" priority="1790">
      <formula>$C38="Rent"</formula>
    </cfRule>
    <cfRule type="expression" dxfId="16960" priority="1791">
      <formula>$C38="Petrol"</formula>
    </cfRule>
    <cfRule type="expression" dxfId="16959" priority="1792">
      <formula>$C38="Bills"</formula>
    </cfRule>
    <cfRule type="expression" dxfId="16958" priority="1793">
      <formula>$C38="Sales"</formula>
    </cfRule>
    <cfRule type="expression" dxfId="16957" priority="1794">
      <formula>$C38="Expences"</formula>
    </cfRule>
    <cfRule type="expression" dxfId="16956" priority="1795">
      <formula>$C38="Garlic Purchase"</formula>
    </cfRule>
    <cfRule type="expression" dxfId="16955" priority="1796">
      <formula>$C38="Ginger Purchase"</formula>
    </cfRule>
  </conditionalFormatting>
  <conditionalFormatting sqref="B38 B48 B52 B40 B42 B44 B46 B54 B56 B58 B60 B62 B64">
    <cfRule type="expression" dxfId="16954" priority="1797">
      <formula>$C38="Advance"</formula>
    </cfRule>
  </conditionalFormatting>
  <conditionalFormatting sqref="B38 B48 B52 B40 B42 B44 B46 B54 B56 B58 B60 B62 B64">
    <cfRule type="expression" dxfId="16953" priority="1778">
      <formula>$C38="Delivery charge"</formula>
    </cfRule>
    <cfRule type="expression" dxfId="16952" priority="1779">
      <formula>$C38="Staff Salary"</formula>
    </cfRule>
    <cfRule type="expression" dxfId="16951" priority="1780">
      <formula>$C38="Rent"</formula>
    </cfRule>
    <cfRule type="expression" dxfId="16950" priority="1781">
      <formula>$C38="Petrol"</formula>
    </cfRule>
    <cfRule type="expression" dxfId="16949" priority="1782">
      <formula>$C38="Bills"</formula>
    </cfRule>
    <cfRule type="expression" dxfId="16948" priority="1783">
      <formula>$C38="Sales"</formula>
    </cfRule>
    <cfRule type="expression" dxfId="16947" priority="1784">
      <formula>$C38="Expences"</formula>
    </cfRule>
    <cfRule type="expression" dxfId="16946" priority="1785">
      <formula>$C38="Garlic Purchase"</formula>
    </cfRule>
    <cfRule type="expression" dxfId="16945" priority="1786">
      <formula>$C38="Ginger Purchase"</formula>
    </cfRule>
  </conditionalFormatting>
  <conditionalFormatting sqref="B38 B48 B52 B40 B42 B44 B46 B54 B56 B58 B60 B62 B64">
    <cfRule type="expression" dxfId="16944" priority="1787">
      <formula>$C38="Advance"</formula>
    </cfRule>
  </conditionalFormatting>
  <conditionalFormatting sqref="B38 B48 B52 B40 B42 B44 B46 B54 B56 B58 B60 B62 B64">
    <cfRule type="expression" dxfId="16943" priority="1768">
      <formula>$C38="Delivery charge"</formula>
    </cfRule>
    <cfRule type="expression" dxfId="16942" priority="1769">
      <formula>$C38="Staff Salary"</formula>
    </cfRule>
    <cfRule type="expression" dxfId="16941" priority="1770">
      <formula>$C38="Rent"</formula>
    </cfRule>
    <cfRule type="expression" dxfId="16940" priority="1771">
      <formula>$C38="Petrol"</formula>
    </cfRule>
    <cfRule type="expression" dxfId="16939" priority="1772">
      <formula>$C38="Bills"</formula>
    </cfRule>
    <cfRule type="expression" dxfId="16938" priority="1773">
      <formula>$C38="Sales"</formula>
    </cfRule>
    <cfRule type="expression" dxfId="16937" priority="1774">
      <formula>$C38="Expences"</formula>
    </cfRule>
    <cfRule type="expression" dxfId="16936" priority="1775">
      <formula>$C38="Garlic Purchase"</formula>
    </cfRule>
    <cfRule type="expression" dxfId="16935" priority="1776">
      <formula>$C38="Ginger Purchase"</formula>
    </cfRule>
  </conditionalFormatting>
  <conditionalFormatting sqref="B38 B48 B52 B40 B42 B44 B46 B54 B56 B58 B60 B62 B64">
    <cfRule type="expression" dxfId="16934" priority="1777">
      <formula>$C38="Advance"</formula>
    </cfRule>
  </conditionalFormatting>
  <conditionalFormatting sqref="B38 B48 B52 B40 B42 B44 B46 B54 B56 B58 B60 B62 B64">
    <cfRule type="expression" dxfId="16933" priority="1758">
      <formula>$C38="Delivery charge"</formula>
    </cfRule>
    <cfRule type="expression" dxfId="16932" priority="1759">
      <formula>$C38="Staff Salary"</formula>
    </cfRule>
    <cfRule type="expression" dxfId="16931" priority="1760">
      <formula>$C38="Rent"</formula>
    </cfRule>
    <cfRule type="expression" dxfId="16930" priority="1761">
      <formula>$C38="Petrol"</formula>
    </cfRule>
    <cfRule type="expression" dxfId="16929" priority="1762">
      <formula>$C38="Bills"</formula>
    </cfRule>
    <cfRule type="expression" dxfId="16928" priority="1763">
      <formula>$C38="Sales"</formula>
    </cfRule>
    <cfRule type="expression" dxfId="16927" priority="1764">
      <formula>$C38="Expences"</formula>
    </cfRule>
    <cfRule type="expression" dxfId="16926" priority="1765">
      <formula>$C38="Garlic Purchase"</formula>
    </cfRule>
    <cfRule type="expression" dxfId="16925" priority="1766">
      <formula>$C38="Ginger Purchase"</formula>
    </cfRule>
  </conditionalFormatting>
  <conditionalFormatting sqref="B38 B48 B52 B40 B42 B44 B46 B54 B56 B58 B60 B62 B64">
    <cfRule type="expression" dxfId="16924" priority="1767">
      <formula>$C38="Advance"</formula>
    </cfRule>
  </conditionalFormatting>
  <conditionalFormatting sqref="B39 B41 B43 B45 B47 B49 B51 B53 B55 B57 B59 B61 B63">
    <cfRule type="expression" dxfId="16923" priority="1748">
      <formula>$C39="Delivery charge"</formula>
    </cfRule>
    <cfRule type="expression" dxfId="16922" priority="1749">
      <formula>$C39="Staff Salary"</formula>
    </cfRule>
    <cfRule type="expression" dxfId="16921" priority="1750">
      <formula>$C39="Rent"</formula>
    </cfRule>
    <cfRule type="expression" dxfId="16920" priority="1751">
      <formula>$C39="Petrol"</formula>
    </cfRule>
    <cfRule type="expression" dxfId="16919" priority="1752">
      <formula>$C39="Bills"</formula>
    </cfRule>
    <cfRule type="expression" dxfId="16918" priority="1753">
      <formula>$C39="Sales"</formula>
    </cfRule>
    <cfRule type="expression" dxfId="16917" priority="1754">
      <formula>$C39="Expences"</formula>
    </cfRule>
    <cfRule type="expression" dxfId="16916" priority="1755">
      <formula>$C39="Garlic Purchase"</formula>
    </cfRule>
    <cfRule type="expression" dxfId="16915" priority="1756">
      <formula>$C39="Ginger Purchase"</formula>
    </cfRule>
  </conditionalFormatting>
  <conditionalFormatting sqref="B39 B41 B43 B45 B47 B49 B51 B53 B55 B57 B59 B61 B63">
    <cfRule type="expression" dxfId="16914" priority="1757">
      <formula>$C39="Advance"</formula>
    </cfRule>
  </conditionalFormatting>
  <conditionalFormatting sqref="B39 B41 B43 B45 B47 B49 B51 B53 B55 B57 B59 B61 B63">
    <cfRule type="expression" dxfId="16913" priority="1738">
      <formula>$C39="Delivery charge"</formula>
    </cfRule>
    <cfRule type="expression" dxfId="16912" priority="1739">
      <formula>$C39="Staff Salary"</formula>
    </cfRule>
    <cfRule type="expression" dxfId="16911" priority="1740">
      <formula>$C39="Rent"</formula>
    </cfRule>
    <cfRule type="expression" dxfId="16910" priority="1741">
      <formula>$C39="Petrol"</formula>
    </cfRule>
    <cfRule type="expression" dxfId="16909" priority="1742">
      <formula>$C39="Bills"</formula>
    </cfRule>
    <cfRule type="expression" dxfId="16908" priority="1743">
      <formula>$C39="Sales"</formula>
    </cfRule>
    <cfRule type="expression" dxfId="16907" priority="1744">
      <formula>$C39="Expences"</formula>
    </cfRule>
    <cfRule type="expression" dxfId="16906" priority="1745">
      <formula>$C39="Garlic Purchase"</formula>
    </cfRule>
    <cfRule type="expression" dxfId="16905" priority="1746">
      <formula>$C39="Ginger Purchase"</formula>
    </cfRule>
  </conditionalFormatting>
  <conditionalFormatting sqref="B39 B41 B43 B45 B47 B49 B51 B53 B55 B57 B59 B61 B63">
    <cfRule type="expression" dxfId="16904" priority="1747">
      <formula>$C39="Advance"</formula>
    </cfRule>
  </conditionalFormatting>
  <conditionalFormatting sqref="B39 B41 B43 B45 B47 B49 B51 B53 B55 B57 B59 B61 B63">
    <cfRule type="expression" dxfId="16903" priority="1728">
      <formula>$C39="Delivery charge"</formula>
    </cfRule>
    <cfRule type="expression" dxfId="16902" priority="1729">
      <formula>$C39="Staff Salary"</formula>
    </cfRule>
    <cfRule type="expression" dxfId="16901" priority="1730">
      <formula>$C39="Rent"</formula>
    </cfRule>
    <cfRule type="expression" dxfId="16900" priority="1731">
      <formula>$C39="Petrol"</formula>
    </cfRule>
    <cfRule type="expression" dxfId="16899" priority="1732">
      <formula>$C39="Bills"</formula>
    </cfRule>
    <cfRule type="expression" dxfId="16898" priority="1733">
      <formula>$C39="Sales"</formula>
    </cfRule>
    <cfRule type="expression" dxfId="16897" priority="1734">
      <formula>$C39="Expences"</formula>
    </cfRule>
    <cfRule type="expression" dxfId="16896" priority="1735">
      <formula>$C39="Garlic Purchase"</formula>
    </cfRule>
    <cfRule type="expression" dxfId="16895" priority="1736">
      <formula>$C39="Ginger Purchase"</formula>
    </cfRule>
  </conditionalFormatting>
  <conditionalFormatting sqref="B39 B41 B43 B45 B47 B49 B51 B53 B55 B57 B59 B61 B63">
    <cfRule type="expression" dxfId="16894" priority="1737">
      <formula>$C39="Advance"</formula>
    </cfRule>
  </conditionalFormatting>
  <conditionalFormatting sqref="B39 B41 B43 B45 B47 B49 B51 B53 B55 B57 B59 B61 B63">
    <cfRule type="expression" dxfId="16893" priority="1718">
      <formula>$C39="Delivery charge"</formula>
    </cfRule>
    <cfRule type="expression" dxfId="16892" priority="1719">
      <formula>$C39="Staff Salary"</formula>
    </cfRule>
    <cfRule type="expression" dxfId="16891" priority="1720">
      <formula>$C39="Rent"</formula>
    </cfRule>
    <cfRule type="expression" dxfId="16890" priority="1721">
      <formula>$C39="Petrol"</formula>
    </cfRule>
    <cfRule type="expression" dxfId="16889" priority="1722">
      <formula>$C39="Bills"</formula>
    </cfRule>
    <cfRule type="expression" dxfId="16888" priority="1723">
      <formula>$C39="Sales"</formula>
    </cfRule>
    <cfRule type="expression" dxfId="16887" priority="1724">
      <formula>$C39="Expences"</formula>
    </cfRule>
    <cfRule type="expression" dxfId="16886" priority="1725">
      <formula>$C39="Garlic Purchase"</formula>
    </cfRule>
    <cfRule type="expression" dxfId="16885" priority="1726">
      <formula>$C39="Ginger Purchase"</formula>
    </cfRule>
  </conditionalFormatting>
  <conditionalFormatting sqref="B39 B41 B43 B45 B47 B49 B51 B53 B55 B57 B59 B61 B63">
    <cfRule type="expression" dxfId="16884" priority="1727">
      <formula>$C39="Advance"</formula>
    </cfRule>
  </conditionalFormatting>
  <conditionalFormatting sqref="B38 B48 B52 B40 B42 B44 B46 B54 B56 B58 B60 B62 B64">
    <cfRule type="expression" dxfId="16883" priority="1708">
      <formula>$C38="Delivery charge"</formula>
    </cfRule>
    <cfRule type="expression" dxfId="16882" priority="1709">
      <formula>$C38="Staff Salary"</formula>
    </cfRule>
    <cfRule type="expression" dxfId="16881" priority="1710">
      <formula>$C38="Rent"</formula>
    </cfRule>
    <cfRule type="expression" dxfId="16880" priority="1711">
      <formula>$C38="Petrol"</formula>
    </cfRule>
    <cfRule type="expression" dxfId="16879" priority="1712">
      <formula>$C38="Bills"</formula>
    </cfRule>
    <cfRule type="expression" dxfId="16878" priority="1713">
      <formula>$C38="Sales"</formula>
    </cfRule>
    <cfRule type="expression" dxfId="16877" priority="1714">
      <formula>$C38="Expences"</formula>
    </cfRule>
    <cfRule type="expression" dxfId="16876" priority="1715">
      <formula>$C38="Garlic Purchase"</formula>
    </cfRule>
    <cfRule type="expression" dxfId="16875" priority="1716">
      <formula>$C38="Ginger Purchase"</formula>
    </cfRule>
  </conditionalFormatting>
  <conditionalFormatting sqref="B38 B48 B52 B40 B42 B44 B46 B54 B56 B58 B60 B62 B64">
    <cfRule type="expression" dxfId="16874" priority="1717">
      <formula>$C38="Advance"</formula>
    </cfRule>
  </conditionalFormatting>
  <conditionalFormatting sqref="B39 B41 B43 B45 B47 B49 B51 B53 B55 B57 B59 B61 B63">
    <cfRule type="expression" dxfId="16873" priority="1698">
      <formula>$C39="Delivery charge"</formula>
    </cfRule>
    <cfRule type="expression" dxfId="16872" priority="1699">
      <formula>$C39="Staff Salary"</formula>
    </cfRule>
    <cfRule type="expression" dxfId="16871" priority="1700">
      <formula>$C39="Rent"</formula>
    </cfRule>
    <cfRule type="expression" dxfId="16870" priority="1701">
      <formula>$C39="Petrol"</formula>
    </cfRule>
    <cfRule type="expression" dxfId="16869" priority="1702">
      <formula>$C39="Bills"</formula>
    </cfRule>
    <cfRule type="expression" dxfId="16868" priority="1703">
      <formula>$C39="Sales"</formula>
    </cfRule>
    <cfRule type="expression" dxfId="16867" priority="1704">
      <formula>$C39="Expences"</formula>
    </cfRule>
    <cfRule type="expression" dxfId="16866" priority="1705">
      <formula>$C39="Garlic Purchase"</formula>
    </cfRule>
    <cfRule type="expression" dxfId="16865" priority="1706">
      <formula>$C39="Ginger Purchase"</formula>
    </cfRule>
  </conditionalFormatting>
  <conditionalFormatting sqref="B39 B41 B43 B45 B47 B49 B51 B53 B55 B57 B59 B61 B63">
    <cfRule type="expression" dxfId="16864" priority="1707">
      <formula>$C39="Advance"</formula>
    </cfRule>
  </conditionalFormatting>
  <conditionalFormatting sqref="B39 B41 B43 B45 B47 B49 B51 B53 B55 B57 B59 B61 B63">
    <cfRule type="expression" dxfId="16863" priority="1688">
      <formula>$C39="Delivery charge"</formula>
    </cfRule>
    <cfRule type="expression" dxfId="16862" priority="1689">
      <formula>$C39="Staff Salary"</formula>
    </cfRule>
    <cfRule type="expression" dxfId="16861" priority="1690">
      <formula>$C39="Rent"</formula>
    </cfRule>
    <cfRule type="expression" dxfId="16860" priority="1691">
      <formula>$C39="Petrol"</formula>
    </cfRule>
    <cfRule type="expression" dxfId="16859" priority="1692">
      <formula>$C39="Bills"</formula>
    </cfRule>
    <cfRule type="expression" dxfId="16858" priority="1693">
      <formula>$C39="Sales"</formula>
    </cfRule>
    <cfRule type="expression" dxfId="16857" priority="1694">
      <formula>$C39="Expences"</formula>
    </cfRule>
    <cfRule type="expression" dxfId="16856" priority="1695">
      <formula>$C39="Garlic Purchase"</formula>
    </cfRule>
    <cfRule type="expression" dxfId="16855" priority="1696">
      <formula>$C39="Ginger Purchase"</formula>
    </cfRule>
  </conditionalFormatting>
  <conditionalFormatting sqref="B39 B41 B43 B45 B47 B49 B51 B53 B55 B57 B59 B61 B63">
    <cfRule type="expression" dxfId="16854" priority="1697">
      <formula>$C39="Advance"</formula>
    </cfRule>
  </conditionalFormatting>
  <conditionalFormatting sqref="B39 B41 B43 B45 B47 B49 B51 B53 B55 B57 B59 B61 B63">
    <cfRule type="expression" dxfId="16853" priority="1678">
      <formula>$C39="Delivery charge"</formula>
    </cfRule>
    <cfRule type="expression" dxfId="16852" priority="1679">
      <formula>$C39="Staff Salary"</formula>
    </cfRule>
    <cfRule type="expression" dxfId="16851" priority="1680">
      <formula>$C39="Rent"</formula>
    </cfRule>
    <cfRule type="expression" dxfId="16850" priority="1681">
      <formula>$C39="Petrol"</formula>
    </cfRule>
    <cfRule type="expression" dxfId="16849" priority="1682">
      <formula>$C39="Bills"</formula>
    </cfRule>
    <cfRule type="expression" dxfId="16848" priority="1683">
      <formula>$C39="Sales"</formula>
    </cfRule>
    <cfRule type="expression" dxfId="16847" priority="1684">
      <formula>$C39="Expences"</formula>
    </cfRule>
    <cfRule type="expression" dxfId="16846" priority="1685">
      <formula>$C39="Garlic Purchase"</formula>
    </cfRule>
    <cfRule type="expression" dxfId="16845" priority="1686">
      <formula>$C39="Ginger Purchase"</formula>
    </cfRule>
  </conditionalFormatting>
  <conditionalFormatting sqref="B39 B41 B43 B45 B47 B49 B51 B53 B55 B57 B59 B61 B63">
    <cfRule type="expression" dxfId="16844" priority="1687">
      <formula>$C39="Advance"</formula>
    </cfRule>
  </conditionalFormatting>
  <conditionalFormatting sqref="B39 B41 B43 B45 B47 B49 B51 B53 B55 B57 B59 B61 B63">
    <cfRule type="expression" dxfId="16843" priority="1668">
      <formula>$C39="Delivery charge"</formula>
    </cfRule>
    <cfRule type="expression" dxfId="16842" priority="1669">
      <formula>$C39="Staff Salary"</formula>
    </cfRule>
    <cfRule type="expression" dxfId="16841" priority="1670">
      <formula>$C39="Rent"</formula>
    </cfRule>
    <cfRule type="expression" dxfId="16840" priority="1671">
      <formula>$C39="Petrol"</formula>
    </cfRule>
    <cfRule type="expression" dxfId="16839" priority="1672">
      <formula>$C39="Bills"</formula>
    </cfRule>
    <cfRule type="expression" dxfId="16838" priority="1673">
      <formula>$C39="Sales"</formula>
    </cfRule>
    <cfRule type="expression" dxfId="16837" priority="1674">
      <formula>$C39="Expences"</formula>
    </cfRule>
    <cfRule type="expression" dxfId="16836" priority="1675">
      <formula>$C39="Garlic Purchase"</formula>
    </cfRule>
    <cfRule type="expression" dxfId="16835" priority="1676">
      <formula>$C39="Ginger Purchase"</formula>
    </cfRule>
  </conditionalFormatting>
  <conditionalFormatting sqref="B39 B41 B43 B45 B47 B49 B51 B53 B55 B57 B59 B61 B63">
    <cfRule type="expression" dxfId="16834" priority="1677">
      <formula>$C39="Advance"</formula>
    </cfRule>
  </conditionalFormatting>
  <conditionalFormatting sqref="B39 B41 B43 B45 B47 B49 B51 B53 B55 B57 B59 B61 B63">
    <cfRule type="expression" dxfId="16833" priority="1658">
      <formula>$C39="Delivery charge"</formula>
    </cfRule>
    <cfRule type="expression" dxfId="16832" priority="1659">
      <formula>$C39="Staff Salary"</formula>
    </cfRule>
    <cfRule type="expression" dxfId="16831" priority="1660">
      <formula>$C39="Rent"</formula>
    </cfRule>
    <cfRule type="expression" dxfId="16830" priority="1661">
      <formula>$C39="Petrol"</formula>
    </cfRule>
    <cfRule type="expression" dxfId="16829" priority="1662">
      <formula>$C39="Bills"</formula>
    </cfRule>
    <cfRule type="expression" dxfId="16828" priority="1663">
      <formula>$C39="Sales"</formula>
    </cfRule>
    <cfRule type="expression" dxfId="16827" priority="1664">
      <formula>$C39="Expences"</formula>
    </cfRule>
    <cfRule type="expression" dxfId="16826" priority="1665">
      <formula>$C39="Garlic Purchase"</formula>
    </cfRule>
    <cfRule type="expression" dxfId="16825" priority="1666">
      <formula>$C39="Ginger Purchase"</formula>
    </cfRule>
  </conditionalFormatting>
  <conditionalFormatting sqref="B39 B41 B43 B45 B47 B49 B51 B53 B55 B57 B59 B61 B63">
    <cfRule type="expression" dxfId="16824" priority="1667">
      <formula>$C39="Advance"</formula>
    </cfRule>
  </conditionalFormatting>
  <conditionalFormatting sqref="B38 B48 B52 B40 B42 B44 B46 B54 B56 B58 B60 B62 B64">
    <cfRule type="expression" dxfId="16823" priority="1648">
      <formula>$C38="Delivery charge"</formula>
    </cfRule>
    <cfRule type="expression" dxfId="16822" priority="1649">
      <formula>$C38="Staff Salary"</formula>
    </cfRule>
    <cfRule type="expression" dxfId="16821" priority="1650">
      <formula>$C38="Rent"</formula>
    </cfRule>
    <cfRule type="expression" dxfId="16820" priority="1651">
      <formula>$C38="Petrol"</formula>
    </cfRule>
    <cfRule type="expression" dxfId="16819" priority="1652">
      <formula>$C38="Bills"</formula>
    </cfRule>
    <cfRule type="expression" dxfId="16818" priority="1653">
      <formula>$C38="Sales"</formula>
    </cfRule>
    <cfRule type="expression" dxfId="16817" priority="1654">
      <formula>$C38="Expences"</formula>
    </cfRule>
    <cfRule type="expression" dxfId="16816" priority="1655">
      <formula>$C38="Garlic Purchase"</formula>
    </cfRule>
    <cfRule type="expression" dxfId="16815" priority="1656">
      <formula>$C38="Ginger Purchase"</formula>
    </cfRule>
  </conditionalFormatting>
  <conditionalFormatting sqref="B38 B48 B52 B40 B42 B44 B46 B54 B56 B58 B60 B62 B64">
    <cfRule type="expression" dxfId="16814" priority="1657">
      <formula>$C38="Advance"</formula>
    </cfRule>
  </conditionalFormatting>
  <conditionalFormatting sqref="B38 B48 B52 B40 B42 B44 B46 B54 B56 B58 B60 B62 B64">
    <cfRule type="expression" dxfId="16813" priority="1638">
      <formula>$C38="Delivery charge"</formula>
    </cfRule>
    <cfRule type="expression" dxfId="16812" priority="1639">
      <formula>$C38="Staff Salary"</formula>
    </cfRule>
    <cfRule type="expression" dxfId="16811" priority="1640">
      <formula>$C38="Rent"</formula>
    </cfRule>
    <cfRule type="expression" dxfId="16810" priority="1641">
      <formula>$C38="Petrol"</formula>
    </cfRule>
    <cfRule type="expression" dxfId="16809" priority="1642">
      <formula>$C38="Bills"</formula>
    </cfRule>
    <cfRule type="expression" dxfId="16808" priority="1643">
      <formula>$C38="Sales"</formula>
    </cfRule>
    <cfRule type="expression" dxfId="16807" priority="1644">
      <formula>$C38="Expences"</formula>
    </cfRule>
    <cfRule type="expression" dxfId="16806" priority="1645">
      <formula>$C38="Garlic Purchase"</formula>
    </cfRule>
    <cfRule type="expression" dxfId="16805" priority="1646">
      <formula>$C38="Ginger Purchase"</formula>
    </cfRule>
  </conditionalFormatting>
  <conditionalFormatting sqref="B38 B48 B52 B40 B42 B44 B46 B54 B56 B58 B60 B62 B64">
    <cfRule type="expression" dxfId="16804" priority="1647">
      <formula>$C38="Advance"</formula>
    </cfRule>
  </conditionalFormatting>
  <conditionalFormatting sqref="B38 B48 B52 B40 B42 B44 B46 B54 B56 B58 B60 B62 B64">
    <cfRule type="expression" dxfId="16803" priority="1628">
      <formula>$C38="Delivery charge"</formula>
    </cfRule>
    <cfRule type="expression" dxfId="16802" priority="1629">
      <formula>$C38="Staff Salary"</formula>
    </cfRule>
    <cfRule type="expression" dxfId="16801" priority="1630">
      <formula>$C38="Rent"</formula>
    </cfRule>
    <cfRule type="expression" dxfId="16800" priority="1631">
      <formula>$C38="Petrol"</formula>
    </cfRule>
    <cfRule type="expression" dxfId="16799" priority="1632">
      <formula>$C38="Bills"</formula>
    </cfRule>
    <cfRule type="expression" dxfId="16798" priority="1633">
      <formula>$C38="Sales"</formula>
    </cfRule>
    <cfRule type="expression" dxfId="16797" priority="1634">
      <formula>$C38="Expences"</formula>
    </cfRule>
    <cfRule type="expression" dxfId="16796" priority="1635">
      <formula>$C38="Garlic Purchase"</formula>
    </cfRule>
    <cfRule type="expression" dxfId="16795" priority="1636">
      <formula>$C38="Ginger Purchase"</formula>
    </cfRule>
  </conditionalFormatting>
  <conditionalFormatting sqref="B38 B48 B52 B40 B42 B44 B46 B54 B56 B58 B60 B62 B64">
    <cfRule type="expression" dxfId="16794" priority="1637">
      <formula>$C38="Advance"</formula>
    </cfRule>
  </conditionalFormatting>
  <conditionalFormatting sqref="B38 B48 B52 B40 B42 B44 B46 B54 B56 B58 B60 B62 B64">
    <cfRule type="expression" dxfId="16793" priority="1618">
      <formula>$C38="Delivery charge"</formula>
    </cfRule>
    <cfRule type="expression" dxfId="16792" priority="1619">
      <formula>$C38="Staff Salary"</formula>
    </cfRule>
    <cfRule type="expression" dxfId="16791" priority="1620">
      <formula>$C38="Rent"</formula>
    </cfRule>
    <cfRule type="expression" dxfId="16790" priority="1621">
      <formula>$C38="Petrol"</formula>
    </cfRule>
    <cfRule type="expression" dxfId="16789" priority="1622">
      <formula>$C38="Bills"</formula>
    </cfRule>
    <cfRule type="expression" dxfId="16788" priority="1623">
      <formula>$C38="Sales"</formula>
    </cfRule>
    <cfRule type="expression" dxfId="16787" priority="1624">
      <formula>$C38="Expences"</formula>
    </cfRule>
    <cfRule type="expression" dxfId="16786" priority="1625">
      <formula>$C38="Garlic Purchase"</formula>
    </cfRule>
    <cfRule type="expression" dxfId="16785" priority="1626">
      <formula>$C38="Ginger Purchase"</formula>
    </cfRule>
  </conditionalFormatting>
  <conditionalFormatting sqref="B38 B48 B52 B40 B42 B44 B46 B54 B56 B58 B60 B62 B64">
    <cfRule type="expression" dxfId="16784" priority="1627">
      <formula>$C38="Advance"</formula>
    </cfRule>
  </conditionalFormatting>
  <conditionalFormatting sqref="B38 B48 B52 B40 B42 B44 B46 B54 B56 B58 B60 B62 B64">
    <cfRule type="expression" dxfId="16783" priority="1608">
      <formula>$C38="Delivery charge"</formula>
    </cfRule>
    <cfRule type="expression" dxfId="16782" priority="1609">
      <formula>$C38="Staff Salary"</formula>
    </cfRule>
    <cfRule type="expression" dxfId="16781" priority="1610">
      <formula>$C38="Rent"</formula>
    </cfRule>
    <cfRule type="expression" dxfId="16780" priority="1611">
      <formula>$C38="Petrol"</formula>
    </cfRule>
    <cfRule type="expression" dxfId="16779" priority="1612">
      <formula>$C38="Bills"</formula>
    </cfRule>
    <cfRule type="expression" dxfId="16778" priority="1613">
      <formula>$C38="Sales"</formula>
    </cfRule>
    <cfRule type="expression" dxfId="16777" priority="1614">
      <formula>$C38="Expences"</formula>
    </cfRule>
    <cfRule type="expression" dxfId="16776" priority="1615">
      <formula>$C38="Garlic Purchase"</formula>
    </cfRule>
    <cfRule type="expression" dxfId="16775" priority="1616">
      <formula>$C38="Ginger Purchase"</formula>
    </cfRule>
  </conditionalFormatting>
  <conditionalFormatting sqref="B38 B48 B52 B40 B42 B44 B46 B54 B56 B58 B60 B62 B64">
    <cfRule type="expression" dxfId="16774" priority="1617">
      <formula>$C38="Advance"</formula>
    </cfRule>
  </conditionalFormatting>
  <conditionalFormatting sqref="B39 B41 B43 B45 B47 B49 B51 B53 B55 B57 B59 B61 B63">
    <cfRule type="expression" dxfId="16773" priority="1598">
      <formula>$C39="Delivery charge"</formula>
    </cfRule>
    <cfRule type="expression" dxfId="16772" priority="1599">
      <formula>$C39="Staff Salary"</formula>
    </cfRule>
    <cfRule type="expression" dxfId="16771" priority="1600">
      <formula>$C39="Rent"</formula>
    </cfRule>
    <cfRule type="expression" dxfId="16770" priority="1601">
      <formula>$C39="Petrol"</formula>
    </cfRule>
    <cfRule type="expression" dxfId="16769" priority="1602">
      <formula>$C39="Bills"</formula>
    </cfRule>
    <cfRule type="expression" dxfId="16768" priority="1603">
      <formula>$C39="Sales"</formula>
    </cfRule>
    <cfRule type="expression" dxfId="16767" priority="1604">
      <formula>$C39="Expences"</formula>
    </cfRule>
    <cfRule type="expression" dxfId="16766" priority="1605">
      <formula>$C39="Garlic Purchase"</formula>
    </cfRule>
    <cfRule type="expression" dxfId="16765" priority="1606">
      <formula>$C39="Ginger Purchase"</formula>
    </cfRule>
  </conditionalFormatting>
  <conditionalFormatting sqref="B39 B41 B43 B45 B47 B49 B51 B53 B55 B57 B59 B61 B63">
    <cfRule type="expression" dxfId="16764" priority="1607">
      <formula>$C39="Advance"</formula>
    </cfRule>
  </conditionalFormatting>
  <conditionalFormatting sqref="B38 B48 B52 B40 B42 B44 B46 B54 B56 B58 B60 B62 B64">
    <cfRule type="expression" dxfId="16763" priority="1588">
      <formula>$C38="Delivery charge"</formula>
    </cfRule>
    <cfRule type="expression" dxfId="16762" priority="1589">
      <formula>$C38="Staff Salary"</formula>
    </cfRule>
    <cfRule type="expression" dxfId="16761" priority="1590">
      <formula>$C38="Rent"</formula>
    </cfRule>
    <cfRule type="expression" dxfId="16760" priority="1591">
      <formula>$C38="Petrol"</formula>
    </cfRule>
    <cfRule type="expression" dxfId="16759" priority="1592">
      <formula>$C38="Bills"</formula>
    </cfRule>
    <cfRule type="expression" dxfId="16758" priority="1593">
      <formula>$C38="Sales"</formula>
    </cfRule>
    <cfRule type="expression" dxfId="16757" priority="1594">
      <formula>$C38="Expences"</formula>
    </cfRule>
    <cfRule type="expression" dxfId="16756" priority="1595">
      <formula>$C38="Garlic Purchase"</formula>
    </cfRule>
    <cfRule type="expression" dxfId="16755" priority="1596">
      <formula>$C38="Ginger Purchase"</formula>
    </cfRule>
  </conditionalFormatting>
  <conditionalFormatting sqref="B38 B48 B52 B40 B42 B44 B46 B54 B56 B58 B60 B62 B64">
    <cfRule type="expression" dxfId="16754" priority="1597">
      <formula>$C38="Advance"</formula>
    </cfRule>
  </conditionalFormatting>
  <conditionalFormatting sqref="B38 B48 B52 B40 B42 B44 B46 B54 B56 B58 B60 B62 B64">
    <cfRule type="expression" dxfId="16753" priority="1578">
      <formula>$C38="Delivery charge"</formula>
    </cfRule>
    <cfRule type="expression" dxfId="16752" priority="1579">
      <formula>$C38="Staff Salary"</formula>
    </cfRule>
    <cfRule type="expression" dxfId="16751" priority="1580">
      <formula>$C38="Rent"</formula>
    </cfRule>
    <cfRule type="expression" dxfId="16750" priority="1581">
      <formula>$C38="Petrol"</formula>
    </cfRule>
    <cfRule type="expression" dxfId="16749" priority="1582">
      <formula>$C38="Bills"</formula>
    </cfRule>
    <cfRule type="expression" dxfId="16748" priority="1583">
      <formula>$C38="Sales"</formula>
    </cfRule>
    <cfRule type="expression" dxfId="16747" priority="1584">
      <formula>$C38="Expences"</formula>
    </cfRule>
    <cfRule type="expression" dxfId="16746" priority="1585">
      <formula>$C38="Garlic Purchase"</formula>
    </cfRule>
    <cfRule type="expression" dxfId="16745" priority="1586">
      <formula>$C38="Ginger Purchase"</formula>
    </cfRule>
  </conditionalFormatting>
  <conditionalFormatting sqref="B38 B48 B52 B40 B42 B44 B46 B54 B56 B58 B60 B62 B64">
    <cfRule type="expression" dxfId="16744" priority="1587">
      <formula>$C38="Advance"</formula>
    </cfRule>
  </conditionalFormatting>
  <conditionalFormatting sqref="B38 B48 B52 B40 B42 B44 B46 B54 B56 B58 B60 B62 B64">
    <cfRule type="expression" dxfId="16743" priority="1568">
      <formula>$C38="Delivery charge"</formula>
    </cfRule>
    <cfRule type="expression" dxfId="16742" priority="1569">
      <formula>$C38="Staff Salary"</formula>
    </cfRule>
    <cfRule type="expression" dxfId="16741" priority="1570">
      <formula>$C38="Rent"</formula>
    </cfRule>
    <cfRule type="expression" dxfId="16740" priority="1571">
      <formula>$C38="Petrol"</formula>
    </cfRule>
    <cfRule type="expression" dxfId="16739" priority="1572">
      <formula>$C38="Bills"</formula>
    </cfRule>
    <cfRule type="expression" dxfId="16738" priority="1573">
      <formula>$C38="Sales"</formula>
    </cfRule>
    <cfRule type="expression" dxfId="16737" priority="1574">
      <formula>$C38="Expences"</formula>
    </cfRule>
    <cfRule type="expression" dxfId="16736" priority="1575">
      <formula>$C38="Garlic Purchase"</formula>
    </cfRule>
    <cfRule type="expression" dxfId="16735" priority="1576">
      <formula>$C38="Ginger Purchase"</formula>
    </cfRule>
  </conditionalFormatting>
  <conditionalFormatting sqref="B38 B48 B52 B40 B42 B44 B46 B54 B56 B58 B60 B62 B64">
    <cfRule type="expression" dxfId="16734" priority="1577">
      <formula>$C38="Advance"</formula>
    </cfRule>
  </conditionalFormatting>
  <conditionalFormatting sqref="B38 B48 B52 B40 B42 B44 B46 B54 B56 B58 B60 B62 B64">
    <cfRule type="expression" dxfId="16733" priority="1558">
      <formula>$C38="Delivery charge"</formula>
    </cfRule>
    <cfRule type="expression" dxfId="16732" priority="1559">
      <formula>$C38="Staff Salary"</formula>
    </cfRule>
    <cfRule type="expression" dxfId="16731" priority="1560">
      <formula>$C38="Rent"</formula>
    </cfRule>
    <cfRule type="expression" dxfId="16730" priority="1561">
      <formula>$C38="Petrol"</formula>
    </cfRule>
    <cfRule type="expression" dxfId="16729" priority="1562">
      <formula>$C38="Bills"</formula>
    </cfRule>
    <cfRule type="expression" dxfId="16728" priority="1563">
      <formula>$C38="Sales"</formula>
    </cfRule>
    <cfRule type="expression" dxfId="16727" priority="1564">
      <formula>$C38="Expences"</formula>
    </cfRule>
    <cfRule type="expression" dxfId="16726" priority="1565">
      <formula>$C38="Garlic Purchase"</formula>
    </cfRule>
    <cfRule type="expression" dxfId="16725" priority="1566">
      <formula>$C38="Ginger Purchase"</formula>
    </cfRule>
  </conditionalFormatting>
  <conditionalFormatting sqref="B38 B48 B52 B40 B42 B44 B46 B54 B56 B58 B60 B62 B64">
    <cfRule type="expression" dxfId="16724" priority="1567">
      <formula>$C38="Advance"</formula>
    </cfRule>
  </conditionalFormatting>
  <conditionalFormatting sqref="B38 B48 B52 B40 B42 B44 B46 B54 B56 B58 B60 B62 B64">
    <cfRule type="expression" dxfId="16723" priority="1548">
      <formula>$C38="Delivery charge"</formula>
    </cfRule>
    <cfRule type="expression" dxfId="16722" priority="1549">
      <formula>$C38="Staff Salary"</formula>
    </cfRule>
    <cfRule type="expression" dxfId="16721" priority="1550">
      <formula>$C38="Rent"</formula>
    </cfRule>
    <cfRule type="expression" dxfId="16720" priority="1551">
      <formula>$C38="Petrol"</formula>
    </cfRule>
    <cfRule type="expression" dxfId="16719" priority="1552">
      <formula>$C38="Bills"</formula>
    </cfRule>
    <cfRule type="expression" dxfId="16718" priority="1553">
      <formula>$C38="Sales"</formula>
    </cfRule>
    <cfRule type="expression" dxfId="16717" priority="1554">
      <formula>$C38="Expences"</formula>
    </cfRule>
    <cfRule type="expression" dxfId="16716" priority="1555">
      <formula>$C38="Garlic Purchase"</formula>
    </cfRule>
    <cfRule type="expression" dxfId="16715" priority="1556">
      <formula>$C38="Ginger Purchase"</formula>
    </cfRule>
  </conditionalFormatting>
  <conditionalFormatting sqref="B38 B48 B52 B40 B42 B44 B46 B54 B56 B58 B60 B62 B64">
    <cfRule type="expression" dxfId="16714" priority="1557">
      <formula>$C38="Advance"</formula>
    </cfRule>
  </conditionalFormatting>
  <conditionalFormatting sqref="B38 B48 B52 B40 B42 B44 B46 B54 B56 B58 B60 B62 B64">
    <cfRule type="expression" dxfId="16713" priority="1538">
      <formula>$C38="Delivery charge"</formula>
    </cfRule>
    <cfRule type="expression" dxfId="16712" priority="1539">
      <formula>$C38="Staff Salary"</formula>
    </cfRule>
    <cfRule type="expression" dxfId="16711" priority="1540">
      <formula>$C38="Rent"</formula>
    </cfRule>
    <cfRule type="expression" dxfId="16710" priority="1541">
      <formula>$C38="Petrol"</formula>
    </cfRule>
    <cfRule type="expression" dxfId="16709" priority="1542">
      <formula>$C38="Bills"</formula>
    </cfRule>
    <cfRule type="expression" dxfId="16708" priority="1543">
      <formula>$C38="Sales"</formula>
    </cfRule>
    <cfRule type="expression" dxfId="16707" priority="1544">
      <formula>$C38="Expences"</formula>
    </cfRule>
    <cfRule type="expression" dxfId="16706" priority="1545">
      <formula>$C38="Garlic Purchase"</formula>
    </cfRule>
    <cfRule type="expression" dxfId="16705" priority="1546">
      <formula>$C38="Ginger Purchase"</formula>
    </cfRule>
  </conditionalFormatting>
  <conditionalFormatting sqref="B38 B48 B52 B40 B42 B44 B46 B54 B56 B58 B60 B62 B64">
    <cfRule type="expression" dxfId="16704" priority="1547">
      <formula>$C38="Advance"</formula>
    </cfRule>
  </conditionalFormatting>
  <conditionalFormatting sqref="B38 B48 B52 B40 B42 B44 B46 B54 B56 B58 B60 B62 B64">
    <cfRule type="expression" dxfId="16703" priority="1528">
      <formula>$C38="Delivery charge"</formula>
    </cfRule>
    <cfRule type="expression" dxfId="16702" priority="1529">
      <formula>$C38="Staff Salary"</formula>
    </cfRule>
    <cfRule type="expression" dxfId="16701" priority="1530">
      <formula>$C38="Rent"</formula>
    </cfRule>
    <cfRule type="expression" dxfId="16700" priority="1531">
      <formula>$C38="Petrol"</formula>
    </cfRule>
    <cfRule type="expression" dxfId="16699" priority="1532">
      <formula>$C38="Bills"</formula>
    </cfRule>
    <cfRule type="expression" dxfId="16698" priority="1533">
      <formula>$C38="Sales"</formula>
    </cfRule>
    <cfRule type="expression" dxfId="16697" priority="1534">
      <formula>$C38="Expences"</formula>
    </cfRule>
    <cfRule type="expression" dxfId="16696" priority="1535">
      <formula>$C38="Garlic Purchase"</formula>
    </cfRule>
    <cfRule type="expression" dxfId="16695" priority="1536">
      <formula>$C38="Ginger Purchase"</formula>
    </cfRule>
  </conditionalFormatting>
  <conditionalFormatting sqref="B38 B48 B52 B40 B42 B44 B46 B54 B56 B58 B60 B62 B64">
    <cfRule type="expression" dxfId="16694" priority="1537">
      <formula>$C38="Advance"</formula>
    </cfRule>
  </conditionalFormatting>
  <conditionalFormatting sqref="B38 B48 B52 B40 B42 B44 B46 B54 B56 B58 B60 B62 B64">
    <cfRule type="expression" dxfId="16693" priority="1518">
      <formula>$C38="Delivery charge"</formula>
    </cfRule>
    <cfRule type="expression" dxfId="16692" priority="1519">
      <formula>$C38="Staff Salary"</formula>
    </cfRule>
    <cfRule type="expression" dxfId="16691" priority="1520">
      <formula>$C38="Rent"</formula>
    </cfRule>
    <cfRule type="expression" dxfId="16690" priority="1521">
      <formula>$C38="Petrol"</formula>
    </cfRule>
    <cfRule type="expression" dxfId="16689" priority="1522">
      <formula>$C38="Bills"</formula>
    </cfRule>
    <cfRule type="expression" dxfId="16688" priority="1523">
      <formula>$C38="Sales"</formula>
    </cfRule>
    <cfRule type="expression" dxfId="16687" priority="1524">
      <formula>$C38="Expences"</formula>
    </cfRule>
    <cfRule type="expression" dxfId="16686" priority="1525">
      <formula>$C38="Garlic Purchase"</formula>
    </cfRule>
    <cfRule type="expression" dxfId="16685" priority="1526">
      <formula>$C38="Ginger Purchase"</formula>
    </cfRule>
  </conditionalFormatting>
  <conditionalFormatting sqref="B38 B48 B52 B40 B42 B44 B46 B54 B56 B58 B60 B62 B64">
    <cfRule type="expression" dxfId="16684" priority="1527">
      <formula>$C38="Advance"</formula>
    </cfRule>
  </conditionalFormatting>
  <conditionalFormatting sqref="B38 B48 B52 B40 B42 B44 B46 B54 B56 B58 B60 B62 B64">
    <cfRule type="expression" dxfId="16683" priority="1508">
      <formula>$C38="Delivery charge"</formula>
    </cfRule>
    <cfRule type="expression" dxfId="16682" priority="1509">
      <formula>$C38="Staff Salary"</formula>
    </cfRule>
    <cfRule type="expression" dxfId="16681" priority="1510">
      <formula>$C38="Rent"</formula>
    </cfRule>
    <cfRule type="expression" dxfId="16680" priority="1511">
      <formula>$C38="Petrol"</formula>
    </cfRule>
    <cfRule type="expression" dxfId="16679" priority="1512">
      <formula>$C38="Bills"</formula>
    </cfRule>
    <cfRule type="expression" dxfId="16678" priority="1513">
      <formula>$C38="Sales"</formula>
    </cfRule>
    <cfRule type="expression" dxfId="16677" priority="1514">
      <formula>$C38="Expences"</formula>
    </cfRule>
    <cfRule type="expression" dxfId="16676" priority="1515">
      <formula>$C38="Garlic Purchase"</formula>
    </cfRule>
    <cfRule type="expression" dxfId="16675" priority="1516">
      <formula>$C38="Ginger Purchase"</formula>
    </cfRule>
  </conditionalFormatting>
  <conditionalFormatting sqref="B38 B48 B52 B40 B42 B44 B46 B54 B56 B58 B60 B62 B64">
    <cfRule type="expression" dxfId="16674" priority="1517">
      <formula>$C38="Advance"</formula>
    </cfRule>
  </conditionalFormatting>
  <conditionalFormatting sqref="A25:A33">
    <cfRule type="expression" dxfId="16673" priority="35">
      <formula>$C25="Advance"</formula>
    </cfRule>
  </conditionalFormatting>
  <conditionalFormatting sqref="A34:A36">
    <cfRule type="expression" dxfId="16672" priority="34">
      <formula>$C34="Advance"</formula>
    </cfRule>
  </conditionalFormatting>
  <conditionalFormatting sqref="A37">
    <cfRule type="expression" dxfId="16671" priority="33">
      <formula>$C37="Advance"</formula>
    </cfRule>
  </conditionalFormatting>
  <conditionalFormatting sqref="A38:A46">
    <cfRule type="expression" dxfId="16670" priority="32">
      <formula>$C38="Advance"</formula>
    </cfRule>
  </conditionalFormatting>
  <conditionalFormatting sqref="A47:A48">
    <cfRule type="expression" dxfId="16669" priority="31">
      <formula>$C47="Advance"</formula>
    </cfRule>
  </conditionalFormatting>
  <conditionalFormatting sqref="A52:A57">
    <cfRule type="expression" dxfId="16668" priority="29">
      <formula>$C52="Advance"</formula>
    </cfRule>
  </conditionalFormatting>
  <conditionalFormatting sqref="A58:A64">
    <cfRule type="expression" dxfId="16667" priority="28">
      <formula>$C58="Advance"</formula>
    </cfRule>
  </conditionalFormatting>
  <conditionalFormatting sqref="A65:A66">
    <cfRule type="expression" dxfId="16666" priority="27">
      <formula>$C65="Advance"</formula>
    </cfRule>
  </conditionalFormatting>
  <conditionalFormatting sqref="A67:A73">
    <cfRule type="expression" dxfId="16665" priority="26">
      <formula>$C67="Advance"</formula>
    </cfRule>
  </conditionalFormatting>
  <conditionalFormatting sqref="A74">
    <cfRule type="expression" dxfId="16664" priority="25">
      <formula>$C74="Advance"</formula>
    </cfRule>
  </conditionalFormatting>
  <conditionalFormatting sqref="A76:A81">
    <cfRule type="expression" dxfId="16663" priority="24">
      <formula>$C76="Advance"</formula>
    </cfRule>
  </conditionalFormatting>
  <conditionalFormatting sqref="A75">
    <cfRule type="expression" dxfId="16662" priority="23">
      <formula>$C75="Advance"</formula>
    </cfRule>
  </conditionalFormatting>
  <conditionalFormatting sqref="A82:A84">
    <cfRule type="expression" dxfId="16661" priority="22">
      <formula>$C82="Advance"</formula>
    </cfRule>
  </conditionalFormatting>
  <conditionalFormatting sqref="B332">
    <cfRule type="expression" dxfId="16660" priority="5384">
      <formula>$C326="Advance"</formula>
    </cfRule>
  </conditionalFormatting>
  <conditionalFormatting sqref="B332">
    <cfRule type="expression" dxfId="16659" priority="5394">
      <formula>$C326="Delivery charge"</formula>
    </cfRule>
    <cfRule type="expression" dxfId="16658" priority="5395">
      <formula>$C326="Staff Salary"</formula>
    </cfRule>
    <cfRule type="expression" dxfId="16657" priority="5396">
      <formula>$C326="Rent"</formula>
    </cfRule>
    <cfRule type="expression" dxfId="16656" priority="5397">
      <formula>$C326="Petrol"</formula>
    </cfRule>
    <cfRule type="expression" dxfId="16655" priority="5398">
      <formula>$C326="Bills"</formula>
    </cfRule>
    <cfRule type="expression" dxfId="16654" priority="5399">
      <formula>$C326="Sales"</formula>
    </cfRule>
    <cfRule type="expression" dxfId="16653" priority="5400">
      <formula>$C326="Expences"</formula>
    </cfRule>
    <cfRule type="expression" dxfId="16652" priority="5401">
      <formula>$C326="Garlic Purchase"</formula>
    </cfRule>
    <cfRule type="expression" dxfId="16651" priority="5402">
      <formula>$C326="Ginger Purchase"</formula>
    </cfRule>
  </conditionalFormatting>
  <conditionalFormatting sqref="B321 B323 B325 B327 B329 B331">
    <cfRule type="expression" dxfId="16650" priority="1">
      <formula>$C321="Delivery charge"</formula>
    </cfRule>
    <cfRule type="expression" dxfId="16649" priority="2">
      <formula>$C321="Staff Salary"</formula>
    </cfRule>
    <cfRule type="expression" dxfId="16648" priority="3">
      <formula>$C321="Rent"</formula>
    </cfRule>
    <cfRule type="expression" dxfId="16647" priority="4">
      <formula>$C321="Petrol"</formula>
    </cfRule>
    <cfRule type="expression" dxfId="16646" priority="5">
      <formula>$C321="Bills"</formula>
    </cfRule>
    <cfRule type="expression" dxfId="16645" priority="6">
      <formula>$C321="Sales"</formula>
    </cfRule>
    <cfRule type="expression" dxfId="16644" priority="7">
      <formula>$C321="Expences"</formula>
    </cfRule>
    <cfRule type="expression" dxfId="16643" priority="8">
      <formula>$C321="Garlic Purchase"</formula>
    </cfRule>
    <cfRule type="expression" dxfId="16642" priority="9">
      <formula>$C321="Ginger Purchase"</formula>
    </cfRule>
  </conditionalFormatting>
  <conditionalFormatting sqref="B296:B320 B322 B324 B326 B328 B330">
    <cfRule type="expression" dxfId="16641" priority="20">
      <formula>$C296="Advance"</formula>
    </cfRule>
  </conditionalFormatting>
  <conditionalFormatting sqref="B296:B320 B322 B324 B326 B328 B330">
    <cfRule type="expression" dxfId="16640" priority="11">
      <formula>$C296="Delivery charge"</formula>
    </cfRule>
    <cfRule type="expression" dxfId="16639" priority="12">
      <formula>$C296="Staff Salary"</formula>
    </cfRule>
    <cfRule type="expression" dxfId="16638" priority="13">
      <formula>$C296="Rent"</formula>
    </cfRule>
    <cfRule type="expression" dxfId="16637" priority="14">
      <formula>$C296="Petrol"</formula>
    </cfRule>
    <cfRule type="expression" dxfId="16636" priority="15">
      <formula>$C296="Bills"</formula>
    </cfRule>
    <cfRule type="expression" dxfId="16635" priority="16">
      <formula>$C296="Sales"</formula>
    </cfRule>
    <cfRule type="expression" dxfId="16634" priority="17">
      <formula>$C296="Expences"</formula>
    </cfRule>
    <cfRule type="expression" dxfId="16633" priority="18">
      <formula>$C296="Garlic Purchase"</formula>
    </cfRule>
    <cfRule type="expression" dxfId="16632" priority="19">
      <formula>$C296="Ginger Purchase"</formula>
    </cfRule>
  </conditionalFormatting>
  <conditionalFormatting sqref="B321 B323 B325 B327 B329 B331">
    <cfRule type="expression" dxfId="16631" priority="10">
      <formula>$C321="Advance"</formula>
    </cfRule>
  </conditionalFormatting>
  <pageMargins left="0.70866141732283472" right="0.70866141732283472" top="0.74803149606299213" bottom="0.74803149606299213" header="0" footer="0"/>
  <pageSetup paperSize="9" fitToWidth="0" orientation="portrait" r:id="rId3"/>
  <headerFooter>
    <oddHeader>&amp;CNFS Sales &amp; Expences - Oct 2025</oddHeader>
    <oddFooter>Page &amp;P of &amp;N</oddFooter>
  </headerFooter>
  <drawing r:id="rId4"/>
  <tableParts count="1">
    <tablePart r:id="rId5"/>
  </tableParts>
  <extLst>
    <ext xmlns:x14="http://schemas.microsoft.com/office/spreadsheetml/2009/9/main" uri="{CCE6A557-97BC-4b89-ADB6-D9C93CAAB3DF}">
      <x14:dataValidations xmlns:xm="http://schemas.microsoft.com/office/excel/2006/main" disablePrompts="1" count="12">
        <x14:dataValidation type="list" allowBlank="1" showInputMessage="1" showErrorMessage="1">
          <x14:formula1>
            <xm:f>Sheet2!$E$1:$E$6</xm:f>
          </x14:formula1>
          <xm:sqref>G2:G348</xm:sqref>
        </x14:dataValidation>
        <x14:dataValidation type="list" allowBlank="1" showInputMessage="1" showErrorMessage="1">
          <x14:formula1>
            <xm:f>Sheet2!$C$1:$C$5</xm:f>
          </x14:formula1>
          <xm:sqref>K2:K348</xm:sqref>
        </x14:dataValidation>
        <x14:dataValidation type="list" allowBlank="1" showInputMessage="1" showErrorMessage="1">
          <x14:formula1>
            <xm:f>Sheet2!$A$1:$A$17</xm:f>
          </x14:formula1>
          <xm:sqref>C3:C293</xm:sqref>
        </x14:dataValidation>
        <x14:dataValidation type="list" allowBlank="1" showInputMessage="1" showErrorMessage="1">
          <x14:formula1>
            <xm:f>Sheet2!$A$1:$A$18</xm:f>
          </x14:formula1>
          <xm:sqref>C294:C344</xm:sqref>
        </x14:dataValidation>
        <x14:dataValidation type="list" allowBlank="1" showInputMessage="1" showErrorMessage="1">
          <x14:formula1>
            <xm:f>Sheet2!$A$1:$A$19</xm:f>
          </x14:formula1>
          <xm:sqref>C345:C348</xm:sqref>
        </x14:dataValidation>
        <x14:dataValidation type="list" allowBlank="1" showInputMessage="1" showErrorMessage="1">
          <x14:formula1>
            <xm:f>Sheet2!$D$1:$D$47</xm:f>
          </x14:formula1>
          <xm:sqref>F2</xm:sqref>
        </x14:dataValidation>
        <x14:dataValidation type="list" allowBlank="1" showInputMessage="1" showErrorMessage="1">
          <x14:formula1>
            <xm:f>Sheet2!$D$1:$D$51</xm:f>
          </x14:formula1>
          <xm:sqref>F3:F159</xm:sqref>
        </x14:dataValidation>
        <x14:dataValidation type="list" allowBlank="1" showInputMessage="1" showErrorMessage="1">
          <x14:formula1>
            <xm:f>Sheet2!$D$1:$D$52</xm:f>
          </x14:formula1>
          <xm:sqref>F160:F231</xm:sqref>
        </x14:dataValidation>
        <x14:dataValidation type="list" allowBlank="1" showInputMessage="1" showErrorMessage="1">
          <x14:formula1>
            <xm:f>Sheet2!$D$1:$D$53</xm:f>
          </x14:formula1>
          <xm:sqref>F232:F257</xm:sqref>
        </x14:dataValidation>
        <x14:dataValidation type="list" allowBlank="1" showInputMessage="1" showErrorMessage="1">
          <x14:formula1>
            <xm:f>Sheet2!$D$1:$D$54</xm:f>
          </x14:formula1>
          <xm:sqref>F258</xm:sqref>
        </x14:dataValidation>
        <x14:dataValidation type="list" allowBlank="1" showInputMessage="1" showErrorMessage="1">
          <x14:formula1>
            <xm:f>Sheet2!$D$1:$D$55</xm:f>
          </x14:formula1>
          <xm:sqref>F259:F274</xm:sqref>
        </x14:dataValidation>
        <x14:dataValidation type="list" allowBlank="1" showInputMessage="1" showErrorMessage="1">
          <x14:formula1>
            <xm:f>Sheet2!$D$1:$D$56</xm:f>
          </x14:formula1>
          <xm:sqref>F275:F348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187"/>
  <sheetViews>
    <sheetView zoomScale="85" zoomScaleNormal="85" workbookViewId="0">
      <pane ySplit="1" topLeftCell="A296" activePane="bottomLeft" state="frozen"/>
      <selection pane="bottomLeft" activeCell="F335" sqref="F335"/>
    </sheetView>
  </sheetViews>
  <sheetFormatPr defaultColWidth="14.42578125" defaultRowHeight="15" customHeight="1" x14ac:dyDescent="0.25"/>
  <cols>
    <col min="1" max="1" width="11.85546875" customWidth="1"/>
    <col min="2" max="2" width="11.7109375" customWidth="1"/>
    <col min="3" max="3" width="27.7109375" customWidth="1"/>
    <col min="4" max="5" width="13" bestFit="1" customWidth="1"/>
    <col min="6" max="6" width="33.85546875" style="73" bestFit="1" customWidth="1"/>
    <col min="7" max="9" width="16" customWidth="1"/>
    <col min="10" max="10" width="16" style="230" customWidth="1"/>
    <col min="11" max="11" width="25.85546875" customWidth="1"/>
    <col min="12" max="12" width="12.140625" customWidth="1"/>
    <col min="13" max="13" width="25.140625" bestFit="1" customWidth="1"/>
    <col min="14" max="14" width="8.7109375" customWidth="1"/>
    <col min="15" max="15" width="19" customWidth="1"/>
    <col min="16" max="16" width="12.28515625" customWidth="1"/>
    <col min="17" max="17" width="16" customWidth="1"/>
    <col min="18" max="18" width="5.42578125" customWidth="1"/>
    <col min="19" max="19" width="29.42578125" bestFit="1" customWidth="1"/>
    <col min="20" max="20" width="14.5703125" customWidth="1"/>
    <col min="21" max="21" width="15.28515625" customWidth="1"/>
    <col min="22" max="22" width="17.85546875" customWidth="1"/>
    <col min="23" max="24" width="8.5703125" customWidth="1"/>
    <col min="25" max="25" width="10.7109375" customWidth="1"/>
    <col min="26" max="26" width="4.5703125" customWidth="1"/>
    <col min="27" max="27" width="16.5703125" customWidth="1"/>
    <col min="28" max="28" width="7.28515625" customWidth="1"/>
    <col min="29" max="29" width="11.28515625" customWidth="1"/>
    <col min="30" max="30" width="10.140625" customWidth="1"/>
    <col min="31" max="31" width="6.5703125" customWidth="1"/>
    <col min="32" max="32" width="16.140625" customWidth="1"/>
    <col min="33" max="33" width="11.5703125" customWidth="1"/>
    <col min="34" max="34" width="14" customWidth="1"/>
    <col min="35" max="35" width="30.7109375" customWidth="1"/>
    <col min="36" max="36" width="20.5703125" customWidth="1"/>
    <col min="37" max="37" width="8" customWidth="1"/>
    <col min="38" max="38" width="12.7109375" customWidth="1"/>
    <col min="39" max="39" width="5.42578125" customWidth="1"/>
    <col min="40" max="40" width="12.140625" customWidth="1"/>
    <col min="41" max="41" width="18.28515625" customWidth="1"/>
    <col min="42" max="42" width="13.85546875" customWidth="1"/>
    <col min="43" max="43" width="11.7109375" customWidth="1"/>
    <col min="44" max="44" width="12.140625" customWidth="1"/>
    <col min="45" max="45" width="15.140625" customWidth="1"/>
    <col min="46" max="46" width="12.42578125" customWidth="1"/>
    <col min="47" max="47" width="26" customWidth="1"/>
    <col min="48" max="48" width="15.7109375" customWidth="1"/>
    <col min="49" max="49" width="6.42578125" customWidth="1"/>
    <col min="50" max="50" width="10.28515625" customWidth="1"/>
    <col min="51" max="60" width="5" customWidth="1"/>
    <col min="61" max="61" width="6" customWidth="1"/>
    <col min="62" max="62" width="7.28515625" customWidth="1"/>
    <col min="63" max="63" width="11.28515625" customWidth="1"/>
  </cols>
  <sheetData>
    <row r="1" spans="1:13" x14ac:dyDescent="0.25">
      <c r="A1" s="275" t="s">
        <v>1</v>
      </c>
      <c r="B1" s="276" t="s">
        <v>61</v>
      </c>
      <c r="C1" s="276" t="s">
        <v>2</v>
      </c>
      <c r="D1" s="276" t="s">
        <v>32</v>
      </c>
      <c r="E1" s="276" t="s">
        <v>33</v>
      </c>
      <c r="F1" s="277" t="s">
        <v>605</v>
      </c>
      <c r="G1" s="276" t="s">
        <v>616</v>
      </c>
      <c r="H1" s="276" t="s">
        <v>5</v>
      </c>
      <c r="I1" s="276" t="s">
        <v>668</v>
      </c>
      <c r="J1" s="278" t="s">
        <v>617</v>
      </c>
      <c r="K1" s="276" t="s">
        <v>3</v>
      </c>
      <c r="L1" s="276" t="s">
        <v>34</v>
      </c>
      <c r="M1" s="279" t="s">
        <v>8</v>
      </c>
    </row>
    <row r="2" spans="1:13" x14ac:dyDescent="0.25">
      <c r="A2" s="313"/>
      <c r="B2" s="314"/>
      <c r="C2" s="314" t="s">
        <v>62</v>
      </c>
      <c r="D2" s="315">
        <f>'Oct 2025 - Sales'!D353</f>
        <v>39169</v>
      </c>
      <c r="E2" s="314"/>
      <c r="F2" s="316"/>
      <c r="G2" s="36"/>
      <c r="H2" s="36"/>
      <c r="I2" s="36"/>
      <c r="J2" s="223"/>
      <c r="K2" s="36"/>
      <c r="L2" s="36"/>
      <c r="M2" s="273"/>
    </row>
    <row r="3" spans="1:13" x14ac:dyDescent="0.25">
      <c r="A3" s="302">
        <v>45962</v>
      </c>
      <c r="B3" s="314"/>
      <c r="C3" s="314" t="s">
        <v>145</v>
      </c>
      <c r="D3" s="317"/>
      <c r="E3" s="318">
        <v>3300</v>
      </c>
      <c r="F3" s="319"/>
      <c r="G3" s="78" t="s">
        <v>619</v>
      </c>
      <c r="H3" s="78">
        <v>66</v>
      </c>
      <c r="I3" s="78"/>
      <c r="J3" s="224">
        <v>50</v>
      </c>
      <c r="K3" s="78" t="s">
        <v>19</v>
      </c>
      <c r="L3" s="36"/>
      <c r="M3" s="273"/>
    </row>
    <row r="4" spans="1:13" x14ac:dyDescent="0.25">
      <c r="A4" s="302">
        <v>45962</v>
      </c>
      <c r="B4" s="320" t="s">
        <v>1362</v>
      </c>
      <c r="C4" s="314" t="s">
        <v>32</v>
      </c>
      <c r="D4" s="317">
        <v>1350</v>
      </c>
      <c r="E4" s="318"/>
      <c r="F4" s="319" t="s">
        <v>741</v>
      </c>
      <c r="G4" s="78"/>
      <c r="H4" s="78"/>
      <c r="I4" s="78"/>
      <c r="J4" s="224"/>
      <c r="K4" s="78"/>
      <c r="L4" s="36"/>
      <c r="M4" s="273"/>
    </row>
    <row r="5" spans="1:13" x14ac:dyDescent="0.25">
      <c r="A5" s="302">
        <v>45962</v>
      </c>
      <c r="B5" s="320" t="s">
        <v>1363</v>
      </c>
      <c r="C5" s="314" t="s">
        <v>32</v>
      </c>
      <c r="D5" s="317">
        <v>240</v>
      </c>
      <c r="E5" s="321"/>
      <c r="F5" s="322" t="s">
        <v>1355</v>
      </c>
      <c r="G5" s="70"/>
      <c r="H5" s="70"/>
      <c r="I5" s="70"/>
      <c r="J5" s="223"/>
      <c r="K5" s="70"/>
      <c r="L5" s="36"/>
      <c r="M5" s="273"/>
    </row>
    <row r="6" spans="1:13" x14ac:dyDescent="0.25">
      <c r="A6" s="302">
        <v>45962</v>
      </c>
      <c r="B6" s="320" t="s">
        <v>1364</v>
      </c>
      <c r="C6" s="314" t="s">
        <v>32</v>
      </c>
      <c r="D6" s="317">
        <v>400</v>
      </c>
      <c r="E6" s="321"/>
      <c r="F6" s="322" t="s">
        <v>1171</v>
      </c>
      <c r="G6" s="70"/>
      <c r="H6" s="70"/>
      <c r="I6" s="70"/>
      <c r="J6" s="223"/>
      <c r="K6" s="70"/>
      <c r="L6" s="36"/>
      <c r="M6" s="273"/>
    </row>
    <row r="7" spans="1:13" x14ac:dyDescent="0.25">
      <c r="A7" s="302">
        <v>45962</v>
      </c>
      <c r="B7" s="320" t="s">
        <v>1365</v>
      </c>
      <c r="C7" s="314" t="s">
        <v>32</v>
      </c>
      <c r="D7" s="317">
        <v>160</v>
      </c>
      <c r="E7" s="321"/>
      <c r="F7" s="322" t="s">
        <v>1350</v>
      </c>
      <c r="G7" s="70"/>
      <c r="H7" s="70"/>
      <c r="I7" s="70"/>
      <c r="J7" s="223"/>
      <c r="K7" s="70"/>
      <c r="L7" s="36"/>
      <c r="M7" s="273"/>
    </row>
    <row r="8" spans="1:13" x14ac:dyDescent="0.25">
      <c r="A8" s="302">
        <v>45962</v>
      </c>
      <c r="B8" s="320" t="s">
        <v>1366</v>
      </c>
      <c r="C8" s="314" t="s">
        <v>32</v>
      </c>
      <c r="D8" s="317">
        <v>320</v>
      </c>
      <c r="E8" s="318"/>
      <c r="F8" s="319" t="s">
        <v>753</v>
      </c>
      <c r="G8" s="78"/>
      <c r="H8" s="78"/>
      <c r="I8" s="78"/>
      <c r="J8" s="224"/>
      <c r="K8" s="78"/>
      <c r="L8" s="36"/>
      <c r="M8" s="273"/>
    </row>
    <row r="9" spans="1:13" x14ac:dyDescent="0.25">
      <c r="A9" s="302">
        <v>45962</v>
      </c>
      <c r="B9" s="320" t="s">
        <v>1367</v>
      </c>
      <c r="C9" s="314" t="s">
        <v>32</v>
      </c>
      <c r="D9" s="317">
        <v>240</v>
      </c>
      <c r="E9" s="321"/>
      <c r="F9" s="322" t="s">
        <v>1358</v>
      </c>
      <c r="G9" s="70"/>
      <c r="H9" s="70"/>
      <c r="I9" s="70"/>
      <c r="J9" s="223"/>
      <c r="K9" s="70"/>
      <c r="L9" s="36"/>
      <c r="M9" s="273"/>
    </row>
    <row r="10" spans="1:13" x14ac:dyDescent="0.25">
      <c r="A10" s="302">
        <v>45962</v>
      </c>
      <c r="B10" s="320" t="s">
        <v>1368</v>
      </c>
      <c r="C10" s="314" t="s">
        <v>32</v>
      </c>
      <c r="D10" s="317">
        <v>80</v>
      </c>
      <c r="E10" s="323"/>
      <c r="F10" s="324" t="s">
        <v>847</v>
      </c>
      <c r="G10" s="129"/>
      <c r="H10" s="129"/>
      <c r="I10" s="129"/>
      <c r="J10" s="225"/>
      <c r="K10" s="129"/>
      <c r="L10" s="36"/>
      <c r="M10" s="273"/>
    </row>
    <row r="11" spans="1:13" x14ac:dyDescent="0.25">
      <c r="A11" s="302">
        <v>45962</v>
      </c>
      <c r="B11" s="320" t="s">
        <v>1369</v>
      </c>
      <c r="C11" s="314" t="s">
        <v>32</v>
      </c>
      <c r="D11" s="317">
        <v>1500</v>
      </c>
      <c r="E11" s="323"/>
      <c r="F11" s="324" t="s">
        <v>740</v>
      </c>
      <c r="G11" s="129"/>
      <c r="H11" s="129"/>
      <c r="I11" s="129"/>
      <c r="J11" s="225"/>
      <c r="K11" s="129"/>
      <c r="L11" s="36"/>
      <c r="M11" s="273"/>
    </row>
    <row r="12" spans="1:13" x14ac:dyDescent="0.25">
      <c r="A12" s="302">
        <v>45962</v>
      </c>
      <c r="B12" s="320" t="s">
        <v>1370</v>
      </c>
      <c r="C12" s="314" t="s">
        <v>32</v>
      </c>
      <c r="D12" s="317">
        <v>2250</v>
      </c>
      <c r="E12" s="318"/>
      <c r="F12" s="319" t="s">
        <v>1352</v>
      </c>
      <c r="G12" s="78"/>
      <c r="H12" s="78"/>
      <c r="I12" s="78"/>
      <c r="J12" s="224"/>
      <c r="K12" s="78"/>
      <c r="L12" s="36"/>
      <c r="M12" s="273"/>
    </row>
    <row r="13" spans="1:13" x14ac:dyDescent="0.25">
      <c r="A13" s="302">
        <v>45962</v>
      </c>
      <c r="B13" s="320" t="s">
        <v>1371</v>
      </c>
      <c r="C13" s="314" t="s">
        <v>32</v>
      </c>
      <c r="D13" s="317">
        <v>480</v>
      </c>
      <c r="E13" s="323"/>
      <c r="F13" s="324" t="s">
        <v>741</v>
      </c>
      <c r="G13" s="129"/>
      <c r="H13" s="129"/>
      <c r="I13" s="129"/>
      <c r="J13" s="225"/>
      <c r="K13" s="129"/>
      <c r="L13" s="36"/>
      <c r="M13" s="273"/>
    </row>
    <row r="14" spans="1:13" x14ac:dyDescent="0.25">
      <c r="A14" s="302">
        <v>45962</v>
      </c>
      <c r="B14" s="320" t="s">
        <v>1372</v>
      </c>
      <c r="C14" s="314" t="s">
        <v>32</v>
      </c>
      <c r="D14" s="317">
        <v>640</v>
      </c>
      <c r="E14" s="323"/>
      <c r="F14" s="324" t="s">
        <v>1349</v>
      </c>
      <c r="G14" s="129"/>
      <c r="H14" s="129"/>
      <c r="I14" s="129"/>
      <c r="J14" s="225"/>
      <c r="K14" s="129"/>
      <c r="L14" s="36"/>
      <c r="M14" s="273"/>
    </row>
    <row r="15" spans="1:13" x14ac:dyDescent="0.25">
      <c r="A15" s="302">
        <v>45962</v>
      </c>
      <c r="B15" s="320" t="s">
        <v>1373</v>
      </c>
      <c r="C15" s="314" t="s">
        <v>32</v>
      </c>
      <c r="D15" s="317">
        <v>320</v>
      </c>
      <c r="E15" s="323"/>
      <c r="F15" s="324" t="s">
        <v>1355</v>
      </c>
      <c r="G15" s="129"/>
      <c r="H15" s="129"/>
      <c r="I15" s="129"/>
      <c r="J15" s="225"/>
      <c r="K15" s="129"/>
      <c r="L15" s="36"/>
      <c r="M15" s="274"/>
    </row>
    <row r="16" spans="1:13" x14ac:dyDescent="0.25">
      <c r="A16" s="302">
        <v>45962</v>
      </c>
      <c r="B16" s="320" t="s">
        <v>1374</v>
      </c>
      <c r="C16" s="314" t="s">
        <v>32</v>
      </c>
      <c r="D16" s="317">
        <v>160</v>
      </c>
      <c r="E16" s="323"/>
      <c r="F16" s="324" t="s">
        <v>1188</v>
      </c>
      <c r="G16" s="129"/>
      <c r="H16" s="129"/>
      <c r="I16" s="129"/>
      <c r="J16" s="225"/>
      <c r="K16" s="129"/>
      <c r="L16" s="36"/>
      <c r="M16" s="273"/>
    </row>
    <row r="17" spans="1:17" x14ac:dyDescent="0.25">
      <c r="A17" s="302">
        <v>45962</v>
      </c>
      <c r="B17" s="320" t="s">
        <v>1375</v>
      </c>
      <c r="C17" s="314" t="s">
        <v>32</v>
      </c>
      <c r="D17" s="317">
        <v>1500</v>
      </c>
      <c r="E17" s="323"/>
      <c r="F17" s="324" t="s">
        <v>752</v>
      </c>
      <c r="G17" s="129"/>
      <c r="H17" s="129"/>
      <c r="I17" s="129"/>
      <c r="J17" s="225"/>
      <c r="K17" s="129"/>
      <c r="L17" s="36"/>
      <c r="M17" s="273"/>
    </row>
    <row r="18" spans="1:17" x14ac:dyDescent="0.25">
      <c r="A18" s="302">
        <v>45962</v>
      </c>
      <c r="B18" s="320" t="s">
        <v>1376</v>
      </c>
      <c r="C18" s="314" t="s">
        <v>32</v>
      </c>
      <c r="D18" s="317">
        <v>1500</v>
      </c>
      <c r="E18" s="317"/>
      <c r="F18" s="325" t="s">
        <v>978</v>
      </c>
      <c r="G18" s="37"/>
      <c r="H18" s="37"/>
      <c r="I18" s="37"/>
      <c r="J18" s="223"/>
      <c r="K18" s="37"/>
      <c r="L18" s="36"/>
      <c r="M18" s="273"/>
      <c r="O18" s="73"/>
      <c r="P18" s="79"/>
      <c r="Q18" s="79"/>
    </row>
    <row r="19" spans="1:17" x14ac:dyDescent="0.25">
      <c r="A19" s="302">
        <v>45962</v>
      </c>
      <c r="B19" s="320"/>
      <c r="C19" s="326" t="s">
        <v>161</v>
      </c>
      <c r="D19" s="317"/>
      <c r="E19" s="318">
        <v>100</v>
      </c>
      <c r="F19" s="319"/>
      <c r="G19" s="78"/>
      <c r="H19" s="78"/>
      <c r="I19" s="78"/>
      <c r="J19" s="224"/>
      <c r="K19" s="78"/>
      <c r="L19" s="36"/>
      <c r="M19" s="273"/>
      <c r="O19" s="73"/>
      <c r="P19" s="79"/>
      <c r="Q19" s="79"/>
    </row>
    <row r="20" spans="1:17" x14ac:dyDescent="0.25">
      <c r="A20" s="302">
        <v>45962</v>
      </c>
      <c r="B20" s="320"/>
      <c r="C20" s="326" t="s">
        <v>33</v>
      </c>
      <c r="D20" s="317"/>
      <c r="E20" s="323">
        <v>50</v>
      </c>
      <c r="F20" s="324"/>
      <c r="G20" s="129"/>
      <c r="H20" s="129"/>
      <c r="I20" s="129"/>
      <c r="J20" s="225"/>
      <c r="K20" s="129"/>
      <c r="L20" s="36"/>
      <c r="M20" s="273"/>
      <c r="O20" s="73"/>
      <c r="P20" s="79"/>
      <c r="Q20" s="79"/>
    </row>
    <row r="21" spans="1:17" x14ac:dyDescent="0.25">
      <c r="A21" s="302">
        <v>45963</v>
      </c>
      <c r="B21" s="314" t="s">
        <v>1377</v>
      </c>
      <c r="C21" s="314" t="s">
        <v>32</v>
      </c>
      <c r="D21" s="317">
        <v>320</v>
      </c>
      <c r="E21" s="318"/>
      <c r="F21" s="319" t="s">
        <v>753</v>
      </c>
      <c r="G21" s="78"/>
      <c r="H21" s="78"/>
      <c r="I21" s="78"/>
      <c r="J21" s="224"/>
      <c r="K21" s="78"/>
      <c r="L21" s="36"/>
      <c r="M21" s="273"/>
      <c r="O21" s="73"/>
      <c r="P21" s="79"/>
      <c r="Q21" s="79"/>
    </row>
    <row r="22" spans="1:17" x14ac:dyDescent="0.25">
      <c r="A22" s="302">
        <v>45963</v>
      </c>
      <c r="B22" s="320" t="s">
        <v>1378</v>
      </c>
      <c r="C22" s="314" t="s">
        <v>32</v>
      </c>
      <c r="D22" s="317">
        <v>1500</v>
      </c>
      <c r="E22" s="323"/>
      <c r="F22" s="324" t="s">
        <v>752</v>
      </c>
      <c r="G22" s="129"/>
      <c r="H22" s="129"/>
      <c r="I22" s="129"/>
      <c r="J22" s="225"/>
      <c r="K22" s="129"/>
      <c r="L22" s="36"/>
      <c r="M22" s="273"/>
      <c r="O22" s="73"/>
      <c r="P22" s="79"/>
      <c r="Q22" s="79"/>
    </row>
    <row r="23" spans="1:17" x14ac:dyDescent="0.25">
      <c r="A23" s="302">
        <v>45963</v>
      </c>
      <c r="B23" s="314" t="s">
        <v>1379</v>
      </c>
      <c r="C23" s="326" t="s">
        <v>32</v>
      </c>
      <c r="D23" s="317">
        <v>1500</v>
      </c>
      <c r="E23" s="323"/>
      <c r="F23" s="324" t="s">
        <v>740</v>
      </c>
      <c r="G23" s="129"/>
      <c r="H23" s="129"/>
      <c r="I23" s="129"/>
      <c r="J23" s="225"/>
      <c r="K23" s="129"/>
      <c r="L23" s="36"/>
      <c r="M23" s="273"/>
      <c r="O23" s="73"/>
      <c r="P23" s="79"/>
      <c r="Q23" s="79"/>
    </row>
    <row r="24" spans="1:17" x14ac:dyDescent="0.25">
      <c r="A24" s="302">
        <v>45963</v>
      </c>
      <c r="B24" s="320" t="s">
        <v>1380</v>
      </c>
      <c r="C24" s="314" t="s">
        <v>32</v>
      </c>
      <c r="D24" s="317">
        <v>660</v>
      </c>
      <c r="E24" s="323"/>
      <c r="F24" s="324" t="s">
        <v>817</v>
      </c>
      <c r="G24" s="129"/>
      <c r="H24" s="129"/>
      <c r="I24" s="129"/>
      <c r="J24" s="225"/>
      <c r="K24" s="129"/>
      <c r="L24" s="36"/>
      <c r="M24" s="273"/>
      <c r="O24" s="73"/>
      <c r="P24" s="79"/>
      <c r="Q24" s="79"/>
    </row>
    <row r="25" spans="1:17" x14ac:dyDescent="0.25">
      <c r="A25" s="302">
        <v>45963</v>
      </c>
      <c r="B25" s="314" t="s">
        <v>1381</v>
      </c>
      <c r="C25" s="314" t="s">
        <v>32</v>
      </c>
      <c r="D25" s="317">
        <v>480</v>
      </c>
      <c r="E25" s="323"/>
      <c r="F25" s="324" t="s">
        <v>1349</v>
      </c>
      <c r="G25" s="129"/>
      <c r="H25" s="129"/>
      <c r="I25" s="129"/>
      <c r="J25" s="225"/>
      <c r="K25" s="129"/>
      <c r="L25" s="36"/>
      <c r="M25" s="273"/>
      <c r="O25" s="73"/>
      <c r="P25" s="79"/>
      <c r="Q25" s="79"/>
    </row>
    <row r="26" spans="1:17" x14ac:dyDescent="0.25">
      <c r="A26" s="302">
        <v>45964</v>
      </c>
      <c r="B26" s="320" t="s">
        <v>1382</v>
      </c>
      <c r="C26" s="36" t="s">
        <v>32</v>
      </c>
      <c r="D26" s="37">
        <v>280</v>
      </c>
      <c r="E26" s="129"/>
      <c r="F26" s="253" t="s">
        <v>1355</v>
      </c>
      <c r="G26" s="129"/>
      <c r="H26" s="129"/>
      <c r="I26" s="129"/>
      <c r="J26" s="225"/>
      <c r="K26" s="129"/>
      <c r="L26" s="36"/>
      <c r="M26" s="273"/>
      <c r="O26" s="73"/>
      <c r="P26" s="79"/>
      <c r="Q26" s="79"/>
    </row>
    <row r="27" spans="1:17" x14ac:dyDescent="0.25">
      <c r="A27" s="302">
        <v>45964</v>
      </c>
      <c r="B27" s="314" t="s">
        <v>1383</v>
      </c>
      <c r="C27" s="36" t="s">
        <v>32</v>
      </c>
      <c r="D27" s="37">
        <v>100</v>
      </c>
      <c r="E27" s="129"/>
      <c r="F27" s="253" t="s">
        <v>1344</v>
      </c>
      <c r="G27" s="129"/>
      <c r="H27" s="129"/>
      <c r="I27" s="129"/>
      <c r="J27" s="225"/>
      <c r="K27" s="129"/>
      <c r="L27" s="36"/>
      <c r="M27" s="273"/>
      <c r="O27" s="73"/>
      <c r="P27" s="79"/>
      <c r="Q27" s="79"/>
    </row>
    <row r="28" spans="1:17" x14ac:dyDescent="0.25">
      <c r="A28" s="302">
        <v>45964</v>
      </c>
      <c r="B28" s="320" t="s">
        <v>1384</v>
      </c>
      <c r="C28" s="290" t="s">
        <v>32</v>
      </c>
      <c r="D28" s="37">
        <v>320</v>
      </c>
      <c r="E28" s="78"/>
      <c r="F28" s="312" t="s">
        <v>753</v>
      </c>
      <c r="G28" s="78"/>
      <c r="H28" s="78"/>
      <c r="I28" s="78"/>
      <c r="J28" s="224"/>
      <c r="K28" s="78"/>
      <c r="L28" s="36"/>
      <c r="M28" s="273"/>
      <c r="O28" s="197" t="s">
        <v>163</v>
      </c>
      <c r="P28" s="83" t="s">
        <v>165</v>
      </c>
      <c r="Q28" s="83" t="s">
        <v>164</v>
      </c>
    </row>
    <row r="29" spans="1:17" x14ac:dyDescent="0.25">
      <c r="A29" s="302">
        <v>45964</v>
      </c>
      <c r="B29" s="314" t="s">
        <v>1385</v>
      </c>
      <c r="C29" s="290" t="s">
        <v>32</v>
      </c>
      <c r="D29" s="37">
        <v>1500</v>
      </c>
      <c r="E29" s="129"/>
      <c r="F29" s="253" t="s">
        <v>1270</v>
      </c>
      <c r="G29" s="129"/>
      <c r="H29" s="129"/>
      <c r="I29" s="129"/>
      <c r="J29" s="225"/>
      <c r="K29" s="129"/>
      <c r="L29" s="36"/>
      <c r="M29" s="273"/>
      <c r="O29" s="198" t="s">
        <v>62</v>
      </c>
      <c r="P29" s="124">
        <v>39169</v>
      </c>
      <c r="Q29" s="124"/>
    </row>
    <row r="30" spans="1:17" x14ac:dyDescent="0.25">
      <c r="A30" s="302">
        <v>45964</v>
      </c>
      <c r="B30" s="320" t="s">
        <v>1386</v>
      </c>
      <c r="C30" s="290" t="s">
        <v>32</v>
      </c>
      <c r="D30" s="37">
        <v>240</v>
      </c>
      <c r="E30" s="129"/>
      <c r="F30" s="253" t="s">
        <v>1358</v>
      </c>
      <c r="G30" s="129"/>
      <c r="H30" s="129"/>
      <c r="I30" s="129"/>
      <c r="J30" s="225"/>
      <c r="K30" s="129"/>
      <c r="L30" s="36"/>
      <c r="M30" s="273"/>
      <c r="O30" s="198" t="s">
        <v>234</v>
      </c>
      <c r="P30" s="124"/>
      <c r="Q30" s="124"/>
    </row>
    <row r="31" spans="1:17" x14ac:dyDescent="0.25">
      <c r="A31" s="302">
        <v>45964</v>
      </c>
      <c r="B31" s="314" t="s">
        <v>1387</v>
      </c>
      <c r="C31" s="36" t="s">
        <v>32</v>
      </c>
      <c r="D31" s="37">
        <v>150</v>
      </c>
      <c r="E31" s="129"/>
      <c r="F31" s="253" t="s">
        <v>1349</v>
      </c>
      <c r="G31" s="129"/>
      <c r="H31" s="129"/>
      <c r="I31" s="129"/>
      <c r="J31" s="225"/>
      <c r="K31" s="129"/>
      <c r="L31" s="36"/>
      <c r="M31" s="273"/>
      <c r="O31" s="198" t="s">
        <v>145</v>
      </c>
      <c r="P31" s="124"/>
      <c r="Q31" s="124">
        <v>30310.5</v>
      </c>
    </row>
    <row r="32" spans="1:17" x14ac:dyDescent="0.25">
      <c r="A32" s="302">
        <v>45964</v>
      </c>
      <c r="B32" s="320" t="s">
        <v>1388</v>
      </c>
      <c r="C32" s="36" t="s">
        <v>32</v>
      </c>
      <c r="D32" s="37">
        <v>750</v>
      </c>
      <c r="E32" s="129"/>
      <c r="F32" s="253" t="s">
        <v>752</v>
      </c>
      <c r="G32" s="129"/>
      <c r="H32" s="129"/>
      <c r="I32" s="129"/>
      <c r="J32" s="225"/>
      <c r="K32" s="129"/>
      <c r="L32" s="36"/>
      <c r="M32" s="273"/>
      <c r="O32" s="198" t="s">
        <v>32</v>
      </c>
      <c r="P32" s="124">
        <v>178135</v>
      </c>
      <c r="Q32" s="124"/>
    </row>
    <row r="33" spans="1:17" x14ac:dyDescent="0.25">
      <c r="A33" s="302">
        <v>45964</v>
      </c>
      <c r="B33" s="314"/>
      <c r="C33" s="36" t="s">
        <v>33</v>
      </c>
      <c r="D33" s="37"/>
      <c r="E33" s="129">
        <v>50</v>
      </c>
      <c r="F33" s="253"/>
      <c r="G33" s="129"/>
      <c r="H33" s="129"/>
      <c r="I33" s="129"/>
      <c r="J33" s="225"/>
      <c r="K33" s="129"/>
      <c r="L33" s="36"/>
      <c r="M33" s="273"/>
      <c r="O33" s="198" t="s">
        <v>161</v>
      </c>
      <c r="P33" s="124"/>
      <c r="Q33" s="124">
        <v>16770</v>
      </c>
    </row>
    <row r="34" spans="1:17" x14ac:dyDescent="0.25">
      <c r="A34" s="302">
        <v>45964</v>
      </c>
      <c r="B34" s="320"/>
      <c r="C34" s="36" t="s">
        <v>618</v>
      </c>
      <c r="D34" s="37"/>
      <c r="E34" s="136">
        <v>160</v>
      </c>
      <c r="F34" s="252"/>
      <c r="G34" s="136"/>
      <c r="H34" s="136"/>
      <c r="I34" s="136"/>
      <c r="J34" s="226"/>
      <c r="K34" s="136"/>
      <c r="L34" s="36"/>
      <c r="M34" s="273"/>
      <c r="O34" s="198" t="s">
        <v>33</v>
      </c>
      <c r="P34" s="124"/>
      <c r="Q34" s="124">
        <v>1240</v>
      </c>
    </row>
    <row r="35" spans="1:17" x14ac:dyDescent="0.25">
      <c r="A35" s="302">
        <v>45965</v>
      </c>
      <c r="B35" s="314"/>
      <c r="C35" s="36" t="s">
        <v>145</v>
      </c>
      <c r="D35" s="37"/>
      <c r="E35" s="129">
        <v>1810.5</v>
      </c>
      <c r="F35" s="253"/>
      <c r="G35" s="129" t="s">
        <v>619</v>
      </c>
      <c r="H35" s="129">
        <v>60.35</v>
      </c>
      <c r="I35" s="129"/>
      <c r="J35" s="225">
        <v>30</v>
      </c>
      <c r="K35" s="129" t="s">
        <v>19</v>
      </c>
      <c r="L35" s="36"/>
      <c r="M35" s="273"/>
      <c r="O35" s="198" t="s">
        <v>618</v>
      </c>
      <c r="P35" s="124"/>
      <c r="Q35" s="124">
        <v>480</v>
      </c>
    </row>
    <row r="36" spans="1:17" x14ac:dyDescent="0.25">
      <c r="A36" s="302">
        <v>45965</v>
      </c>
      <c r="B36" s="314" t="s">
        <v>1389</v>
      </c>
      <c r="C36" s="69" t="s">
        <v>32</v>
      </c>
      <c r="D36" s="37">
        <v>240</v>
      </c>
      <c r="E36" s="78"/>
      <c r="F36" s="312" t="s">
        <v>1355</v>
      </c>
      <c r="G36" s="78"/>
      <c r="H36" s="78"/>
      <c r="I36" s="78"/>
      <c r="J36" s="224"/>
      <c r="K36" s="78"/>
      <c r="L36" s="36"/>
      <c r="M36" s="273"/>
      <c r="O36" s="198" t="s">
        <v>77</v>
      </c>
      <c r="P36" s="124"/>
      <c r="Q36" s="124">
        <v>9000</v>
      </c>
    </row>
    <row r="37" spans="1:17" x14ac:dyDescent="0.25">
      <c r="A37" s="302">
        <v>45965</v>
      </c>
      <c r="B37" s="320" t="s">
        <v>1390</v>
      </c>
      <c r="C37" s="36" t="s">
        <v>32</v>
      </c>
      <c r="D37" s="37">
        <v>320</v>
      </c>
      <c r="E37" s="129"/>
      <c r="F37" s="253" t="s">
        <v>1171</v>
      </c>
      <c r="G37" s="129"/>
      <c r="H37" s="129"/>
      <c r="I37" s="129"/>
      <c r="J37" s="225"/>
      <c r="K37" s="129"/>
      <c r="L37" s="36"/>
      <c r="M37" s="273"/>
      <c r="O37" s="198" t="s">
        <v>818</v>
      </c>
      <c r="P37" s="124"/>
      <c r="Q37" s="124">
        <v>320</v>
      </c>
    </row>
    <row r="38" spans="1:17" x14ac:dyDescent="0.25">
      <c r="A38" s="302">
        <v>45965</v>
      </c>
      <c r="B38" s="314" t="s">
        <v>1391</v>
      </c>
      <c r="C38" s="36" t="s">
        <v>32</v>
      </c>
      <c r="D38" s="37">
        <v>320</v>
      </c>
      <c r="E38" s="129"/>
      <c r="F38" s="253" t="s">
        <v>753</v>
      </c>
      <c r="G38" s="129"/>
      <c r="H38" s="129"/>
      <c r="I38" s="129"/>
      <c r="J38" s="225"/>
      <c r="K38" s="129"/>
      <c r="L38" s="36"/>
      <c r="M38" s="273"/>
      <c r="O38" s="198" t="s">
        <v>546</v>
      </c>
      <c r="P38" s="124"/>
      <c r="Q38" s="124">
        <v>758</v>
      </c>
    </row>
    <row r="39" spans="1:17" x14ac:dyDescent="0.25">
      <c r="A39" s="302">
        <v>45965</v>
      </c>
      <c r="B39" s="314" t="s">
        <v>1392</v>
      </c>
      <c r="C39" s="36" t="s">
        <v>32</v>
      </c>
      <c r="D39" s="37">
        <v>90</v>
      </c>
      <c r="E39" s="129"/>
      <c r="F39" s="253" t="s">
        <v>817</v>
      </c>
      <c r="G39" s="129"/>
      <c r="H39" s="129"/>
      <c r="I39" s="129"/>
      <c r="J39" s="225"/>
      <c r="K39" s="129"/>
      <c r="L39" s="36"/>
      <c r="M39" s="273"/>
      <c r="O39" s="198" t="s">
        <v>682</v>
      </c>
      <c r="P39" s="124"/>
      <c r="Q39" s="124">
        <v>3860</v>
      </c>
    </row>
    <row r="40" spans="1:17" x14ac:dyDescent="0.25">
      <c r="A40" s="302">
        <v>45965</v>
      </c>
      <c r="B40" s="320" t="s">
        <v>1393</v>
      </c>
      <c r="C40" s="36" t="s">
        <v>32</v>
      </c>
      <c r="D40" s="37">
        <v>80</v>
      </c>
      <c r="E40" s="129"/>
      <c r="F40" s="253" t="s">
        <v>1361</v>
      </c>
      <c r="G40" s="129"/>
      <c r="H40" s="129"/>
      <c r="I40" s="129"/>
      <c r="J40" s="225"/>
      <c r="K40" s="129"/>
      <c r="L40" s="36"/>
      <c r="M40" s="273"/>
      <c r="O40" s="198" t="s">
        <v>109</v>
      </c>
      <c r="P40" s="124"/>
      <c r="Q40" s="124">
        <v>1600</v>
      </c>
    </row>
    <row r="41" spans="1:17" x14ac:dyDescent="0.25">
      <c r="A41" s="302">
        <v>45965</v>
      </c>
      <c r="B41" s="314" t="s">
        <v>1394</v>
      </c>
      <c r="C41" s="36" t="s">
        <v>32</v>
      </c>
      <c r="D41" s="37">
        <v>1500</v>
      </c>
      <c r="E41" s="129"/>
      <c r="F41" s="253" t="s">
        <v>752</v>
      </c>
      <c r="G41" s="129"/>
      <c r="H41" s="129"/>
      <c r="I41" s="129"/>
      <c r="J41" s="225"/>
      <c r="K41" s="129"/>
      <c r="L41" s="36"/>
      <c r="M41" s="273"/>
      <c r="O41" s="198" t="s">
        <v>147</v>
      </c>
      <c r="P41" s="124"/>
      <c r="Q41" s="124">
        <v>51012</v>
      </c>
    </row>
    <row r="42" spans="1:17" x14ac:dyDescent="0.25">
      <c r="A42" s="302">
        <v>45965</v>
      </c>
      <c r="B42" s="314"/>
      <c r="C42" s="36" t="s">
        <v>161</v>
      </c>
      <c r="D42" s="37"/>
      <c r="E42" s="129">
        <v>100</v>
      </c>
      <c r="F42" s="253"/>
      <c r="G42" s="129"/>
      <c r="H42" s="129"/>
      <c r="I42" s="129"/>
      <c r="J42" s="225"/>
      <c r="K42" s="129"/>
      <c r="L42" s="36"/>
      <c r="M42" s="273"/>
      <c r="O42" s="198" t="s">
        <v>207</v>
      </c>
      <c r="P42" s="124"/>
      <c r="Q42" s="124">
        <v>480</v>
      </c>
    </row>
    <row r="43" spans="1:17" x14ac:dyDescent="0.25">
      <c r="A43" s="302">
        <v>45965</v>
      </c>
      <c r="B43" s="320"/>
      <c r="C43" s="36" t="s">
        <v>33</v>
      </c>
      <c r="D43" s="37"/>
      <c r="E43" s="129">
        <v>50</v>
      </c>
      <c r="F43" s="253"/>
      <c r="G43" s="129"/>
      <c r="H43" s="129"/>
      <c r="I43" s="129"/>
      <c r="J43" s="225"/>
      <c r="K43" s="129"/>
      <c r="L43" s="36"/>
      <c r="M43" s="273"/>
      <c r="O43" s="198" t="s">
        <v>168</v>
      </c>
      <c r="P43" s="124"/>
      <c r="Q43" s="124">
        <v>900</v>
      </c>
    </row>
    <row r="44" spans="1:17" x14ac:dyDescent="0.25">
      <c r="A44" s="302">
        <v>45966</v>
      </c>
      <c r="B44" s="314"/>
      <c r="C44" s="36" t="s">
        <v>145</v>
      </c>
      <c r="D44" s="37"/>
      <c r="E44" s="129">
        <v>3100</v>
      </c>
      <c r="F44" s="253"/>
      <c r="G44" s="129" t="s">
        <v>619</v>
      </c>
      <c r="H44" s="129">
        <v>62</v>
      </c>
      <c r="I44" s="129"/>
      <c r="J44" s="225">
        <v>50</v>
      </c>
      <c r="K44" s="129" t="s">
        <v>19</v>
      </c>
      <c r="L44" s="36"/>
      <c r="M44" s="273"/>
      <c r="O44" s="198" t="s">
        <v>680</v>
      </c>
      <c r="P44" s="124"/>
      <c r="Q44" s="124">
        <v>409</v>
      </c>
    </row>
    <row r="45" spans="1:17" x14ac:dyDescent="0.25">
      <c r="A45" s="302">
        <v>45966</v>
      </c>
      <c r="B45" s="320" t="s">
        <v>1395</v>
      </c>
      <c r="C45" s="36" t="s">
        <v>32</v>
      </c>
      <c r="D45" s="37">
        <v>240</v>
      </c>
      <c r="E45" s="129"/>
      <c r="F45" s="253" t="s">
        <v>1355</v>
      </c>
      <c r="G45" s="129"/>
      <c r="H45" s="129"/>
      <c r="I45" s="129"/>
      <c r="J45" s="225"/>
      <c r="K45" s="129"/>
      <c r="L45" s="36"/>
      <c r="M45" s="273"/>
      <c r="O45" s="198" t="s">
        <v>16</v>
      </c>
      <c r="P45" s="124">
        <v>217304</v>
      </c>
      <c r="Q45" s="124">
        <v>117139.5</v>
      </c>
    </row>
    <row r="46" spans="1:17" x14ac:dyDescent="0.25">
      <c r="A46" s="302">
        <v>45966</v>
      </c>
      <c r="B46" s="314" t="s">
        <v>1396</v>
      </c>
      <c r="C46" s="36" t="s">
        <v>32</v>
      </c>
      <c r="D46" s="37">
        <v>520</v>
      </c>
      <c r="E46" s="129"/>
      <c r="F46" s="253" t="s">
        <v>1349</v>
      </c>
      <c r="G46" s="129"/>
      <c r="H46" s="129"/>
      <c r="I46" s="129"/>
      <c r="J46" s="225"/>
      <c r="K46" s="129"/>
      <c r="L46" s="36"/>
      <c r="M46" s="273"/>
      <c r="O46" s="385" t="s">
        <v>126</v>
      </c>
      <c r="P46" s="382">
        <v>178135</v>
      </c>
      <c r="Q46" s="382" t="s">
        <v>706</v>
      </c>
    </row>
    <row r="47" spans="1:17" x14ac:dyDescent="0.25">
      <c r="A47" s="302">
        <v>45966</v>
      </c>
      <c r="B47" s="320" t="s">
        <v>1397</v>
      </c>
      <c r="C47" s="36" t="s">
        <v>32</v>
      </c>
      <c r="D47" s="37">
        <v>320</v>
      </c>
      <c r="E47" s="129"/>
      <c r="F47" s="253" t="s">
        <v>753</v>
      </c>
      <c r="G47" s="129"/>
      <c r="H47" s="129"/>
      <c r="I47" s="129"/>
      <c r="J47" s="225"/>
      <c r="K47" s="129"/>
      <c r="L47" s="36"/>
      <c r="M47" s="273"/>
      <c r="O47" s="385" t="s">
        <v>21</v>
      </c>
      <c r="P47" s="382">
        <v>217304</v>
      </c>
      <c r="Q47" s="382">
        <v>117139.5</v>
      </c>
    </row>
    <row r="48" spans="1:17" x14ac:dyDescent="0.25">
      <c r="A48" s="302">
        <v>45966</v>
      </c>
      <c r="B48" s="314" t="s">
        <v>1398</v>
      </c>
      <c r="C48" s="36" t="s">
        <v>32</v>
      </c>
      <c r="D48" s="37">
        <v>240</v>
      </c>
      <c r="E48" s="129"/>
      <c r="F48" s="253" t="s">
        <v>1171</v>
      </c>
      <c r="G48" s="129"/>
      <c r="H48" s="129"/>
      <c r="I48" s="129"/>
      <c r="J48" s="225"/>
      <c r="K48" s="129"/>
      <c r="L48" s="36"/>
      <c r="M48" s="273"/>
      <c r="O48" s="385"/>
      <c r="P48" s="382"/>
      <c r="Q48" s="382"/>
    </row>
    <row r="49" spans="1:20" x14ac:dyDescent="0.25">
      <c r="A49" s="302">
        <v>45966</v>
      </c>
      <c r="B49" s="320" t="s">
        <v>1399</v>
      </c>
      <c r="C49" s="36" t="s">
        <v>32</v>
      </c>
      <c r="D49" s="37">
        <v>170</v>
      </c>
      <c r="E49" s="129"/>
      <c r="F49" s="253" t="s">
        <v>817</v>
      </c>
      <c r="G49" s="129"/>
      <c r="H49" s="129"/>
      <c r="I49" s="129"/>
      <c r="J49" s="225"/>
      <c r="K49" s="129"/>
      <c r="L49" s="36"/>
      <c r="M49" s="273"/>
      <c r="O49" s="386" t="s">
        <v>127</v>
      </c>
      <c r="P49" s="387">
        <v>60995.5</v>
      </c>
      <c r="Q49" s="387"/>
    </row>
    <row r="50" spans="1:20" x14ac:dyDescent="0.25">
      <c r="A50" s="302">
        <v>45966</v>
      </c>
      <c r="B50" s="314" t="s">
        <v>1400</v>
      </c>
      <c r="C50" s="36" t="s">
        <v>32</v>
      </c>
      <c r="D50" s="37">
        <v>4500</v>
      </c>
      <c r="E50" s="129"/>
      <c r="F50" s="253" t="s">
        <v>752</v>
      </c>
      <c r="G50" s="129"/>
      <c r="H50" s="129"/>
      <c r="I50" s="129"/>
      <c r="J50" s="225"/>
      <c r="K50" s="129"/>
      <c r="L50" s="36"/>
      <c r="M50" s="273"/>
      <c r="O50" s="386" t="s">
        <v>60</v>
      </c>
      <c r="P50" s="387">
        <v>100164.5</v>
      </c>
      <c r="Q50" s="387"/>
    </row>
    <row r="51" spans="1:20" x14ac:dyDescent="0.25">
      <c r="A51" s="302">
        <v>45966</v>
      </c>
      <c r="B51" s="320" t="s">
        <v>1401</v>
      </c>
      <c r="C51" s="36" t="s">
        <v>32</v>
      </c>
      <c r="D51" s="37">
        <v>1500</v>
      </c>
      <c r="E51" s="129"/>
      <c r="F51" s="253" t="s">
        <v>740</v>
      </c>
      <c r="G51" s="129"/>
      <c r="H51" s="129"/>
      <c r="I51" s="129"/>
      <c r="J51" s="225"/>
      <c r="K51" s="129"/>
      <c r="L51" s="36"/>
      <c r="M51" s="273"/>
      <c r="O51" s="73"/>
      <c r="P51" s="79"/>
      <c r="Q51" s="79"/>
      <c r="S51" s="384" t="s">
        <v>1613</v>
      </c>
    </row>
    <row r="52" spans="1:20" x14ac:dyDescent="0.25">
      <c r="A52" s="302">
        <v>45966</v>
      </c>
      <c r="B52" s="314" t="s">
        <v>1402</v>
      </c>
      <c r="C52" s="36" t="s">
        <v>32</v>
      </c>
      <c r="D52" s="37">
        <v>1800</v>
      </c>
      <c r="E52" s="129"/>
      <c r="F52" s="253" t="s">
        <v>1408</v>
      </c>
      <c r="G52" s="129"/>
      <c r="H52" s="129"/>
      <c r="I52" s="129"/>
      <c r="J52" s="225"/>
      <c r="K52" s="129"/>
      <c r="L52" s="36"/>
      <c r="M52" s="273"/>
      <c r="O52" s="197" t="s">
        <v>163</v>
      </c>
      <c r="P52" s="124" t="s">
        <v>165</v>
      </c>
      <c r="S52" s="142" t="s">
        <v>163</v>
      </c>
      <c r="T52" s="142" t="s">
        <v>165</v>
      </c>
    </row>
    <row r="53" spans="1:20" x14ac:dyDescent="0.25">
      <c r="A53" s="302">
        <v>45966</v>
      </c>
      <c r="B53" s="320"/>
      <c r="C53" s="36" t="s">
        <v>77</v>
      </c>
      <c r="D53" s="37"/>
      <c r="E53" s="129">
        <v>9000</v>
      </c>
      <c r="F53" s="253"/>
      <c r="G53" s="129"/>
      <c r="H53" s="129"/>
      <c r="I53" s="129"/>
      <c r="J53" s="225"/>
      <c r="K53" s="129"/>
      <c r="L53" s="36"/>
      <c r="M53" s="273"/>
      <c r="O53" s="198" t="s">
        <v>234</v>
      </c>
      <c r="P53" s="124">
        <v>39169</v>
      </c>
      <c r="S53" s="383"/>
      <c r="T53" s="124"/>
    </row>
    <row r="54" spans="1:20" x14ac:dyDescent="0.25">
      <c r="A54" s="302">
        <v>45966</v>
      </c>
      <c r="B54" s="314"/>
      <c r="C54" s="36" t="s">
        <v>33</v>
      </c>
      <c r="D54" s="37"/>
      <c r="E54" s="78">
        <v>45</v>
      </c>
      <c r="F54" s="312"/>
      <c r="G54" s="78"/>
      <c r="H54" s="78"/>
      <c r="I54" s="78"/>
      <c r="J54" s="224"/>
      <c r="K54" s="78"/>
      <c r="L54" s="36"/>
      <c r="M54" s="273"/>
      <c r="O54" s="198" t="s">
        <v>741</v>
      </c>
      <c r="P54" s="124">
        <v>11305</v>
      </c>
      <c r="S54" s="83" t="s">
        <v>752</v>
      </c>
      <c r="T54" s="124">
        <v>29300</v>
      </c>
    </row>
    <row r="55" spans="1:20" x14ac:dyDescent="0.25">
      <c r="A55" s="302">
        <v>45967</v>
      </c>
      <c r="B55" s="320" t="s">
        <v>1403</v>
      </c>
      <c r="C55" s="36" t="s">
        <v>32</v>
      </c>
      <c r="D55" s="37">
        <v>240</v>
      </c>
      <c r="E55" s="129"/>
      <c r="F55" s="253" t="s">
        <v>1171</v>
      </c>
      <c r="G55" s="129"/>
      <c r="H55" s="129"/>
      <c r="I55" s="129"/>
      <c r="J55" s="225"/>
      <c r="K55" s="129"/>
      <c r="L55" s="36"/>
      <c r="M55" s="273"/>
      <c r="O55" s="198" t="s">
        <v>1355</v>
      </c>
      <c r="P55" s="124">
        <v>4520</v>
      </c>
      <c r="S55" s="83" t="s">
        <v>740</v>
      </c>
      <c r="T55" s="124">
        <v>25100</v>
      </c>
    </row>
    <row r="56" spans="1:20" x14ac:dyDescent="0.25">
      <c r="A56" s="302">
        <v>45967</v>
      </c>
      <c r="B56" s="314" t="s">
        <v>1404</v>
      </c>
      <c r="C56" s="36" t="s">
        <v>32</v>
      </c>
      <c r="D56" s="37">
        <v>270</v>
      </c>
      <c r="E56" s="129"/>
      <c r="F56" s="253" t="s">
        <v>817</v>
      </c>
      <c r="G56" s="129"/>
      <c r="H56" s="129"/>
      <c r="I56" s="129"/>
      <c r="J56" s="225"/>
      <c r="K56" s="129"/>
      <c r="L56" s="36"/>
      <c r="M56" s="273"/>
      <c r="O56" s="198" t="s">
        <v>1171</v>
      </c>
      <c r="P56" s="124">
        <v>7120</v>
      </c>
      <c r="S56" s="83" t="s">
        <v>817</v>
      </c>
      <c r="T56" s="124">
        <v>14170</v>
      </c>
    </row>
    <row r="57" spans="1:20" x14ac:dyDescent="0.25">
      <c r="A57" s="302">
        <v>45967</v>
      </c>
      <c r="B57" s="320" t="s">
        <v>1405</v>
      </c>
      <c r="C57" s="36" t="s">
        <v>32</v>
      </c>
      <c r="D57" s="37">
        <v>320</v>
      </c>
      <c r="E57" s="129"/>
      <c r="F57" s="253" t="s">
        <v>753</v>
      </c>
      <c r="G57" s="129"/>
      <c r="H57" s="129"/>
      <c r="I57" s="129"/>
      <c r="J57" s="225"/>
      <c r="K57" s="129"/>
      <c r="L57" s="36"/>
      <c r="M57" s="273"/>
      <c r="O57" s="198" t="s">
        <v>1350</v>
      </c>
      <c r="P57" s="124">
        <v>160</v>
      </c>
      <c r="S57" s="83" t="s">
        <v>1270</v>
      </c>
      <c r="T57" s="124">
        <v>13580</v>
      </c>
    </row>
    <row r="58" spans="1:20" x14ac:dyDescent="0.25">
      <c r="A58" s="302">
        <v>45967</v>
      </c>
      <c r="B58" s="314" t="s">
        <v>1406</v>
      </c>
      <c r="C58" s="36" t="s">
        <v>32</v>
      </c>
      <c r="D58" s="37">
        <v>80</v>
      </c>
      <c r="E58" s="129"/>
      <c r="F58" s="253" t="s">
        <v>1361</v>
      </c>
      <c r="G58" s="129"/>
      <c r="H58" s="129"/>
      <c r="I58" s="129"/>
      <c r="J58" s="225"/>
      <c r="K58" s="129"/>
      <c r="L58" s="36"/>
      <c r="M58" s="273"/>
      <c r="O58" s="198" t="s">
        <v>753</v>
      </c>
      <c r="P58" s="124">
        <v>8640</v>
      </c>
      <c r="S58" s="83" t="s">
        <v>1045</v>
      </c>
      <c r="T58" s="124">
        <v>13350</v>
      </c>
    </row>
    <row r="59" spans="1:20" x14ac:dyDescent="0.25">
      <c r="A59" s="302">
        <v>45967</v>
      </c>
      <c r="B59" s="320" t="s">
        <v>1407</v>
      </c>
      <c r="C59" s="36" t="s">
        <v>32</v>
      </c>
      <c r="D59" s="37">
        <v>1500</v>
      </c>
      <c r="E59" s="129"/>
      <c r="F59" s="253" t="s">
        <v>752</v>
      </c>
      <c r="G59" s="129"/>
      <c r="H59" s="129"/>
      <c r="I59" s="129"/>
      <c r="J59" s="225"/>
      <c r="K59" s="129"/>
      <c r="L59" s="36"/>
      <c r="M59" s="273"/>
      <c r="O59" s="198" t="s">
        <v>1358</v>
      </c>
      <c r="P59" s="124">
        <v>1520</v>
      </c>
      <c r="S59" s="83" t="s">
        <v>741</v>
      </c>
      <c r="T59" s="124">
        <v>11305</v>
      </c>
    </row>
    <row r="60" spans="1:20" x14ac:dyDescent="0.25">
      <c r="A60" s="302">
        <v>45967</v>
      </c>
      <c r="B60" s="314" t="s">
        <v>1409</v>
      </c>
      <c r="C60" s="36" t="s">
        <v>32</v>
      </c>
      <c r="D60" s="331">
        <v>1500</v>
      </c>
      <c r="E60" s="332"/>
      <c r="F60" s="256" t="s">
        <v>740</v>
      </c>
      <c r="G60" s="332"/>
      <c r="H60" s="332"/>
      <c r="I60" s="332"/>
      <c r="J60" s="334"/>
      <c r="K60" s="332"/>
      <c r="L60" s="330"/>
      <c r="M60" s="335"/>
      <c r="O60" s="198" t="s">
        <v>847</v>
      </c>
      <c r="P60" s="124">
        <v>1040</v>
      </c>
      <c r="S60" s="83" t="s">
        <v>753</v>
      </c>
      <c r="T60" s="124">
        <v>8640</v>
      </c>
    </row>
    <row r="61" spans="1:20" x14ac:dyDescent="0.25">
      <c r="A61" s="302">
        <v>45967</v>
      </c>
      <c r="B61" s="320" t="s">
        <v>1410</v>
      </c>
      <c r="C61" s="36" t="s">
        <v>32</v>
      </c>
      <c r="D61" s="331">
        <v>450</v>
      </c>
      <c r="E61" s="332"/>
      <c r="F61" s="333" t="s">
        <v>1346</v>
      </c>
      <c r="G61" s="332"/>
      <c r="H61" s="332"/>
      <c r="I61" s="332"/>
      <c r="J61" s="334"/>
      <c r="K61" s="332"/>
      <c r="L61" s="330"/>
      <c r="M61" s="335"/>
      <c r="O61" s="198" t="s">
        <v>740</v>
      </c>
      <c r="P61" s="124">
        <v>25100</v>
      </c>
      <c r="S61" s="83" t="s">
        <v>1171</v>
      </c>
      <c r="T61" s="124">
        <v>7120</v>
      </c>
    </row>
    <row r="62" spans="1:20" x14ac:dyDescent="0.25">
      <c r="A62" s="302">
        <v>45967</v>
      </c>
      <c r="B62" s="314" t="s">
        <v>1411</v>
      </c>
      <c r="C62" s="36" t="s">
        <v>32</v>
      </c>
      <c r="D62" s="331">
        <v>90</v>
      </c>
      <c r="E62" s="332"/>
      <c r="F62" s="256" t="s">
        <v>1349</v>
      </c>
      <c r="G62" s="332"/>
      <c r="H62" s="332"/>
      <c r="I62" s="332"/>
      <c r="J62" s="334"/>
      <c r="K62" s="332"/>
      <c r="L62" s="330"/>
      <c r="M62" s="335"/>
      <c r="O62" s="198" t="s">
        <v>1352</v>
      </c>
      <c r="P62" s="124">
        <v>5350</v>
      </c>
      <c r="S62" s="83" t="s">
        <v>1348</v>
      </c>
      <c r="T62" s="124">
        <v>6160</v>
      </c>
    </row>
    <row r="63" spans="1:20" x14ac:dyDescent="0.25">
      <c r="A63" s="302">
        <v>45967</v>
      </c>
      <c r="B63" s="314"/>
      <c r="C63" s="36" t="s">
        <v>33</v>
      </c>
      <c r="D63" s="37"/>
      <c r="E63" s="122">
        <v>50</v>
      </c>
      <c r="F63" s="256"/>
      <c r="G63" s="122"/>
      <c r="H63" s="122"/>
      <c r="I63" s="122"/>
      <c r="J63" s="227"/>
      <c r="K63" s="122"/>
      <c r="L63" s="36"/>
      <c r="M63" s="273"/>
      <c r="O63" s="198" t="s">
        <v>1349</v>
      </c>
      <c r="P63" s="124">
        <v>3950</v>
      </c>
      <c r="S63" s="83" t="s">
        <v>1352</v>
      </c>
      <c r="T63" s="124">
        <v>5350</v>
      </c>
    </row>
    <row r="64" spans="1:20" x14ac:dyDescent="0.25">
      <c r="A64" s="302">
        <v>45967</v>
      </c>
      <c r="B64" s="314"/>
      <c r="C64" s="36" t="s">
        <v>818</v>
      </c>
      <c r="D64" s="37"/>
      <c r="E64" s="122">
        <v>80</v>
      </c>
      <c r="F64" s="256"/>
      <c r="G64" s="122"/>
      <c r="H64" s="122"/>
      <c r="I64" s="122"/>
      <c r="J64" s="227"/>
      <c r="K64" s="122"/>
      <c r="L64" s="36"/>
      <c r="M64" s="273"/>
      <c r="O64" s="198" t="s">
        <v>1188</v>
      </c>
      <c r="P64" s="124">
        <v>1600</v>
      </c>
      <c r="S64" s="83" t="s">
        <v>1355</v>
      </c>
      <c r="T64" s="124">
        <v>4520</v>
      </c>
    </row>
    <row r="65" spans="1:20" x14ac:dyDescent="0.25">
      <c r="A65" s="302">
        <v>45968</v>
      </c>
      <c r="B65" s="320" t="s">
        <v>1412</v>
      </c>
      <c r="C65" s="36" t="s">
        <v>32</v>
      </c>
      <c r="D65" s="331">
        <v>4500</v>
      </c>
      <c r="E65" s="332"/>
      <c r="F65" s="256" t="s">
        <v>752</v>
      </c>
      <c r="G65" s="332"/>
      <c r="H65" s="332"/>
      <c r="I65" s="332"/>
      <c r="J65" s="334"/>
      <c r="K65" s="332"/>
      <c r="L65" s="330"/>
      <c r="M65" s="335"/>
      <c r="O65" s="198" t="s">
        <v>752</v>
      </c>
      <c r="P65" s="124">
        <v>29300</v>
      </c>
      <c r="S65" s="83" t="s">
        <v>1612</v>
      </c>
      <c r="T65" s="124">
        <v>4050</v>
      </c>
    </row>
    <row r="66" spans="1:20" x14ac:dyDescent="0.25">
      <c r="A66" s="302">
        <v>45968</v>
      </c>
      <c r="B66" s="314" t="s">
        <v>1413</v>
      </c>
      <c r="C66" s="36" t="s">
        <v>32</v>
      </c>
      <c r="D66" s="331">
        <v>260</v>
      </c>
      <c r="E66" s="332"/>
      <c r="F66" s="256" t="s">
        <v>817</v>
      </c>
      <c r="G66" s="332"/>
      <c r="H66" s="332"/>
      <c r="I66" s="332"/>
      <c r="J66" s="334"/>
      <c r="K66" s="332"/>
      <c r="L66" s="330"/>
      <c r="M66" s="335"/>
      <c r="O66" s="198" t="s">
        <v>978</v>
      </c>
      <c r="P66" s="124">
        <v>1500</v>
      </c>
      <c r="S66" s="83" t="s">
        <v>1349</v>
      </c>
      <c r="T66" s="124">
        <v>3950</v>
      </c>
    </row>
    <row r="67" spans="1:20" x14ac:dyDescent="0.25">
      <c r="A67" s="302">
        <v>45968</v>
      </c>
      <c r="B67" s="320" t="s">
        <v>1414</v>
      </c>
      <c r="C67" s="36" t="s">
        <v>32</v>
      </c>
      <c r="D67" s="331">
        <v>240</v>
      </c>
      <c r="E67" s="332"/>
      <c r="F67" s="256" t="s">
        <v>1171</v>
      </c>
      <c r="G67" s="332"/>
      <c r="H67" s="332"/>
      <c r="I67" s="332"/>
      <c r="J67" s="334"/>
      <c r="K67" s="332"/>
      <c r="L67" s="330"/>
      <c r="M67" s="335"/>
      <c r="O67" s="198" t="s">
        <v>817</v>
      </c>
      <c r="P67" s="124">
        <v>14170</v>
      </c>
      <c r="S67" s="83" t="s">
        <v>804</v>
      </c>
      <c r="T67" s="124">
        <v>3750</v>
      </c>
    </row>
    <row r="68" spans="1:20" x14ac:dyDescent="0.25">
      <c r="A68" s="302">
        <v>45968</v>
      </c>
      <c r="B68" s="314" t="s">
        <v>1415</v>
      </c>
      <c r="C68" s="36" t="s">
        <v>32</v>
      </c>
      <c r="D68" s="331">
        <v>240</v>
      </c>
      <c r="E68" s="332"/>
      <c r="F68" s="256" t="s">
        <v>1355</v>
      </c>
      <c r="G68" s="332"/>
      <c r="H68" s="332"/>
      <c r="I68" s="332"/>
      <c r="J68" s="334"/>
      <c r="K68" s="332"/>
      <c r="L68" s="330"/>
      <c r="M68" s="335"/>
      <c r="O68" s="198" t="s">
        <v>1344</v>
      </c>
      <c r="P68" s="124">
        <v>100</v>
      </c>
      <c r="S68" s="83" t="s">
        <v>1176</v>
      </c>
      <c r="T68" s="124">
        <v>2570</v>
      </c>
    </row>
    <row r="69" spans="1:20" x14ac:dyDescent="0.25">
      <c r="A69" s="302">
        <v>45968</v>
      </c>
      <c r="B69" s="314" t="s">
        <v>1416</v>
      </c>
      <c r="C69" s="36" t="s">
        <v>32</v>
      </c>
      <c r="D69" s="331">
        <v>480</v>
      </c>
      <c r="E69" s="332"/>
      <c r="F69" s="256" t="s">
        <v>753</v>
      </c>
      <c r="G69" s="332"/>
      <c r="H69" s="332"/>
      <c r="I69" s="332"/>
      <c r="J69" s="334"/>
      <c r="K69" s="332"/>
      <c r="L69" s="330"/>
      <c r="M69" s="335"/>
      <c r="O69" s="198" t="s">
        <v>1270</v>
      </c>
      <c r="P69" s="124">
        <v>13580</v>
      </c>
      <c r="S69" s="83" t="s">
        <v>1360</v>
      </c>
      <c r="T69" s="124">
        <v>1920</v>
      </c>
    </row>
    <row r="70" spans="1:20" x14ac:dyDescent="0.25">
      <c r="A70" s="302">
        <v>45968</v>
      </c>
      <c r="B70" s="320" t="s">
        <v>1417</v>
      </c>
      <c r="C70" s="36" t="s">
        <v>32</v>
      </c>
      <c r="D70" s="331">
        <v>640</v>
      </c>
      <c r="E70" s="332"/>
      <c r="F70" s="256" t="s">
        <v>1349</v>
      </c>
      <c r="G70" s="332"/>
      <c r="H70" s="332"/>
      <c r="I70" s="332"/>
      <c r="J70" s="334"/>
      <c r="K70" s="332"/>
      <c r="L70" s="330"/>
      <c r="M70" s="335"/>
      <c r="O70" s="198" t="s">
        <v>1361</v>
      </c>
      <c r="P70" s="124">
        <v>1120</v>
      </c>
      <c r="S70" s="83" t="s">
        <v>1408</v>
      </c>
      <c r="T70" s="124">
        <v>1800</v>
      </c>
    </row>
    <row r="71" spans="1:20" x14ac:dyDescent="0.25">
      <c r="A71" s="302">
        <v>45968</v>
      </c>
      <c r="B71" s="314" t="s">
        <v>1418</v>
      </c>
      <c r="C71" s="36" t="s">
        <v>32</v>
      </c>
      <c r="D71" s="37">
        <v>200</v>
      </c>
      <c r="E71" s="332"/>
      <c r="F71" s="256" t="s">
        <v>1345</v>
      </c>
      <c r="G71" s="332"/>
      <c r="H71" s="332"/>
      <c r="I71" s="332"/>
      <c r="J71" s="334"/>
      <c r="K71" s="332"/>
      <c r="L71" s="330"/>
      <c r="M71" s="335"/>
      <c r="O71" s="198" t="s">
        <v>1408</v>
      </c>
      <c r="P71" s="124">
        <v>1800</v>
      </c>
      <c r="S71" s="83" t="s">
        <v>795</v>
      </c>
      <c r="T71" s="124">
        <v>1760</v>
      </c>
    </row>
    <row r="72" spans="1:20" x14ac:dyDescent="0.25">
      <c r="A72" s="302">
        <v>45968</v>
      </c>
      <c r="B72" s="314" t="s">
        <v>1419</v>
      </c>
      <c r="C72" s="36" t="s">
        <v>32</v>
      </c>
      <c r="D72" s="331">
        <v>160</v>
      </c>
      <c r="E72" s="332"/>
      <c r="F72" s="256" t="s">
        <v>1188</v>
      </c>
      <c r="G72" s="332"/>
      <c r="H72" s="332"/>
      <c r="I72" s="332"/>
      <c r="J72" s="334"/>
      <c r="K72" s="332"/>
      <c r="L72" s="330"/>
      <c r="M72" s="335"/>
      <c r="O72" s="198" t="s">
        <v>1346</v>
      </c>
      <c r="P72" s="124">
        <v>450</v>
      </c>
      <c r="Q72" s="79"/>
      <c r="S72" s="83" t="s">
        <v>1188</v>
      </c>
      <c r="T72" s="124">
        <v>1600</v>
      </c>
    </row>
    <row r="73" spans="1:20" x14ac:dyDescent="0.25">
      <c r="A73" s="302">
        <v>45968</v>
      </c>
      <c r="B73" s="320" t="s">
        <v>1420</v>
      </c>
      <c r="C73" s="36" t="s">
        <v>32</v>
      </c>
      <c r="D73" s="331">
        <v>750</v>
      </c>
      <c r="E73" s="332"/>
      <c r="F73" s="256" t="s">
        <v>804</v>
      </c>
      <c r="G73" s="332"/>
      <c r="H73" s="332"/>
      <c r="I73" s="332"/>
      <c r="J73" s="334"/>
      <c r="K73" s="332"/>
      <c r="L73" s="330"/>
      <c r="M73" s="335"/>
      <c r="O73" s="198" t="s">
        <v>1345</v>
      </c>
      <c r="P73" s="124">
        <v>600</v>
      </c>
      <c r="Q73" s="79"/>
      <c r="S73" s="83" t="s">
        <v>1358</v>
      </c>
      <c r="T73" s="124">
        <v>1520</v>
      </c>
    </row>
    <row r="74" spans="1:20" x14ac:dyDescent="0.25">
      <c r="A74" s="302">
        <v>45968</v>
      </c>
      <c r="B74" s="320"/>
      <c r="C74" s="36" t="s">
        <v>33</v>
      </c>
      <c r="D74" s="37"/>
      <c r="E74" s="122">
        <v>50</v>
      </c>
      <c r="F74" s="256"/>
      <c r="G74" s="122"/>
      <c r="H74" s="122"/>
      <c r="I74" s="122"/>
      <c r="J74" s="227"/>
      <c r="K74" s="122"/>
      <c r="L74" s="36"/>
      <c r="M74" s="273"/>
      <c r="O74" s="198" t="s">
        <v>804</v>
      </c>
      <c r="P74" s="124">
        <v>3750</v>
      </c>
      <c r="Q74" s="79"/>
      <c r="S74" s="83" t="s">
        <v>978</v>
      </c>
      <c r="T74" s="124">
        <v>1500</v>
      </c>
    </row>
    <row r="75" spans="1:20" x14ac:dyDescent="0.25">
      <c r="A75" s="302">
        <v>45969</v>
      </c>
      <c r="B75" s="314" t="s">
        <v>1421</v>
      </c>
      <c r="C75" s="36" t="s">
        <v>32</v>
      </c>
      <c r="D75" s="331">
        <v>2250</v>
      </c>
      <c r="E75" s="332"/>
      <c r="F75" s="256" t="s">
        <v>804</v>
      </c>
      <c r="G75" s="332"/>
      <c r="H75" s="332"/>
      <c r="I75" s="332"/>
      <c r="J75" s="334"/>
      <c r="K75" s="332"/>
      <c r="L75" s="330"/>
      <c r="M75" s="335"/>
      <c r="O75" s="198" t="s">
        <v>739</v>
      </c>
      <c r="P75" s="124">
        <v>1380</v>
      </c>
      <c r="Q75" s="79"/>
      <c r="S75" s="83" t="s">
        <v>1026</v>
      </c>
      <c r="T75" s="124">
        <v>1500</v>
      </c>
    </row>
    <row r="76" spans="1:20" x14ac:dyDescent="0.25">
      <c r="A76" s="302">
        <v>45969</v>
      </c>
      <c r="B76" s="314" t="s">
        <v>1422</v>
      </c>
      <c r="C76" s="36" t="s">
        <v>32</v>
      </c>
      <c r="D76" s="331">
        <v>520</v>
      </c>
      <c r="E76" s="332"/>
      <c r="F76" s="256" t="s">
        <v>817</v>
      </c>
      <c r="G76" s="332"/>
      <c r="H76" s="332"/>
      <c r="I76" s="332"/>
      <c r="J76" s="334"/>
      <c r="K76" s="332"/>
      <c r="L76" s="330"/>
      <c r="M76" s="335"/>
      <c r="O76" s="198" t="s">
        <v>1360</v>
      </c>
      <c r="P76" s="124">
        <v>1920</v>
      </c>
      <c r="S76" s="83" t="s">
        <v>1505</v>
      </c>
      <c r="T76" s="124">
        <v>1500</v>
      </c>
    </row>
    <row r="77" spans="1:20" x14ac:dyDescent="0.25">
      <c r="A77" s="302">
        <v>45969</v>
      </c>
      <c r="B77" s="320" t="s">
        <v>1423</v>
      </c>
      <c r="C77" s="36" t="s">
        <v>32</v>
      </c>
      <c r="D77" s="331">
        <v>560</v>
      </c>
      <c r="E77" s="332"/>
      <c r="F77" s="256" t="s">
        <v>1171</v>
      </c>
      <c r="G77" s="332"/>
      <c r="H77" s="332"/>
      <c r="I77" s="332"/>
      <c r="J77" s="334"/>
      <c r="K77" s="332"/>
      <c r="L77" s="330"/>
      <c r="M77" s="335"/>
      <c r="O77" s="198" t="s">
        <v>795</v>
      </c>
      <c r="P77" s="124">
        <v>1760</v>
      </c>
      <c r="S77" s="83" t="s">
        <v>794</v>
      </c>
      <c r="T77" s="124">
        <v>1500</v>
      </c>
    </row>
    <row r="78" spans="1:20" x14ac:dyDescent="0.25">
      <c r="A78" s="302">
        <v>45969</v>
      </c>
      <c r="B78" s="314" t="s">
        <v>1424</v>
      </c>
      <c r="C78" s="36" t="s">
        <v>32</v>
      </c>
      <c r="D78" s="331">
        <v>160</v>
      </c>
      <c r="E78" s="332"/>
      <c r="F78" s="333" t="s">
        <v>739</v>
      </c>
      <c r="G78" s="332"/>
      <c r="H78" s="332"/>
      <c r="I78" s="332"/>
      <c r="J78" s="334"/>
      <c r="K78" s="332"/>
      <c r="L78" s="330"/>
      <c r="M78" s="335"/>
      <c r="O78" s="198" t="s">
        <v>1445</v>
      </c>
      <c r="P78" s="124">
        <v>650</v>
      </c>
      <c r="S78" s="83" t="s">
        <v>1554</v>
      </c>
      <c r="T78" s="124">
        <v>1440</v>
      </c>
    </row>
    <row r="79" spans="1:20" ht="15.75" customHeight="1" x14ac:dyDescent="0.25">
      <c r="A79" s="302">
        <v>45969</v>
      </c>
      <c r="B79" s="314" t="s">
        <v>1425</v>
      </c>
      <c r="C79" s="36" t="s">
        <v>32</v>
      </c>
      <c r="D79" s="331">
        <v>320</v>
      </c>
      <c r="E79" s="332"/>
      <c r="F79" s="256" t="s">
        <v>753</v>
      </c>
      <c r="G79" s="332"/>
      <c r="H79" s="332"/>
      <c r="I79" s="332"/>
      <c r="J79" s="334"/>
      <c r="K79" s="332"/>
      <c r="L79" s="330"/>
      <c r="M79" s="335"/>
      <c r="O79" s="198" t="s">
        <v>1447</v>
      </c>
      <c r="P79" s="124">
        <v>800</v>
      </c>
      <c r="S79" s="83" t="s">
        <v>739</v>
      </c>
      <c r="T79" s="124">
        <v>1380</v>
      </c>
    </row>
    <row r="80" spans="1:20" ht="15.75" customHeight="1" x14ac:dyDescent="0.25">
      <c r="A80" s="302">
        <v>45969</v>
      </c>
      <c r="B80" s="320" t="s">
        <v>1426</v>
      </c>
      <c r="C80" s="36" t="s">
        <v>32</v>
      </c>
      <c r="D80" s="331">
        <v>2250</v>
      </c>
      <c r="E80" s="332"/>
      <c r="F80" s="256" t="s">
        <v>1270</v>
      </c>
      <c r="G80" s="332"/>
      <c r="H80" s="332"/>
      <c r="I80" s="332"/>
      <c r="J80" s="334"/>
      <c r="K80" s="332"/>
      <c r="L80" s="330"/>
      <c r="M80" s="335"/>
      <c r="O80" s="198" t="s">
        <v>1474</v>
      </c>
      <c r="P80" s="124">
        <v>1280</v>
      </c>
      <c r="S80" s="83" t="s">
        <v>1474</v>
      </c>
      <c r="T80" s="124">
        <v>1280</v>
      </c>
    </row>
    <row r="81" spans="1:20" ht="15.75" customHeight="1" x14ac:dyDescent="0.25">
      <c r="A81" s="302">
        <v>45969</v>
      </c>
      <c r="B81" s="314" t="s">
        <v>1427</v>
      </c>
      <c r="C81" s="36" t="s">
        <v>32</v>
      </c>
      <c r="D81" s="331">
        <v>1500</v>
      </c>
      <c r="E81" s="332"/>
      <c r="F81" s="256" t="s">
        <v>740</v>
      </c>
      <c r="G81" s="332"/>
      <c r="H81" s="332"/>
      <c r="I81" s="332"/>
      <c r="J81" s="334"/>
      <c r="K81" s="332"/>
      <c r="L81" s="330"/>
      <c r="M81" s="335"/>
      <c r="O81" s="198" t="s">
        <v>1103</v>
      </c>
      <c r="P81" s="124">
        <v>640</v>
      </c>
      <c r="S81" s="83" t="s">
        <v>1361</v>
      </c>
      <c r="T81" s="124">
        <v>1120</v>
      </c>
    </row>
    <row r="82" spans="1:20" ht="15.75" customHeight="1" x14ac:dyDescent="0.25">
      <c r="A82" s="302">
        <v>45969</v>
      </c>
      <c r="B82" s="314" t="s">
        <v>1428</v>
      </c>
      <c r="C82" s="36" t="s">
        <v>32</v>
      </c>
      <c r="D82" s="331">
        <v>240</v>
      </c>
      <c r="E82" s="332"/>
      <c r="F82" s="256" t="s">
        <v>1358</v>
      </c>
      <c r="G82" s="332"/>
      <c r="H82" s="332"/>
      <c r="I82" s="332"/>
      <c r="J82" s="334"/>
      <c r="K82" s="332"/>
      <c r="L82" s="330"/>
      <c r="M82" s="335"/>
      <c r="O82" s="198" t="s">
        <v>1026</v>
      </c>
      <c r="P82" s="124">
        <v>1500</v>
      </c>
      <c r="S82" s="83" t="s">
        <v>847</v>
      </c>
      <c r="T82" s="124">
        <v>1040</v>
      </c>
    </row>
    <row r="83" spans="1:20" ht="15.75" customHeight="1" x14ac:dyDescent="0.25">
      <c r="A83" s="302">
        <v>45969</v>
      </c>
      <c r="B83" s="320" t="s">
        <v>1429</v>
      </c>
      <c r="C83" s="36" t="s">
        <v>32</v>
      </c>
      <c r="D83" s="331">
        <v>1360</v>
      </c>
      <c r="E83" s="332"/>
      <c r="F83" s="256" t="s">
        <v>1360</v>
      </c>
      <c r="G83" s="332"/>
      <c r="H83" s="332"/>
      <c r="I83" s="332"/>
      <c r="J83" s="334"/>
      <c r="K83" s="332"/>
      <c r="L83" s="330"/>
      <c r="M83" s="335"/>
      <c r="O83" s="198" t="s">
        <v>1505</v>
      </c>
      <c r="P83" s="124">
        <v>1500</v>
      </c>
      <c r="S83" s="83" t="s">
        <v>1272</v>
      </c>
      <c r="T83" s="124">
        <v>960</v>
      </c>
    </row>
    <row r="84" spans="1:20" ht="15.75" customHeight="1" x14ac:dyDescent="0.25">
      <c r="A84" s="302">
        <v>45969</v>
      </c>
      <c r="B84" s="314" t="s">
        <v>1430</v>
      </c>
      <c r="C84" s="36" t="s">
        <v>32</v>
      </c>
      <c r="D84" s="331">
        <v>1500</v>
      </c>
      <c r="E84" s="332"/>
      <c r="F84" s="256" t="s">
        <v>752</v>
      </c>
      <c r="G84" s="332"/>
      <c r="H84" s="332"/>
      <c r="I84" s="332"/>
      <c r="J84" s="334"/>
      <c r="K84" s="332"/>
      <c r="L84" s="330"/>
      <c r="M84" s="335"/>
      <c r="O84" s="198" t="s">
        <v>1272</v>
      </c>
      <c r="P84" s="124">
        <v>960</v>
      </c>
      <c r="S84" s="83" t="s">
        <v>1447</v>
      </c>
      <c r="T84" s="124">
        <v>800</v>
      </c>
    </row>
    <row r="85" spans="1:20" ht="15.75" customHeight="1" x14ac:dyDescent="0.25">
      <c r="A85" s="302">
        <v>45969</v>
      </c>
      <c r="B85" s="320" t="s">
        <v>1431</v>
      </c>
      <c r="C85" s="36" t="s">
        <v>32</v>
      </c>
      <c r="D85" s="331">
        <v>320</v>
      </c>
      <c r="E85" s="332"/>
      <c r="F85" s="256" t="s">
        <v>1355</v>
      </c>
      <c r="G85" s="332"/>
      <c r="H85" s="332"/>
      <c r="I85" s="332"/>
      <c r="J85" s="334"/>
      <c r="K85" s="332"/>
      <c r="L85" s="330"/>
      <c r="M85" s="335"/>
      <c r="O85" s="198" t="s">
        <v>1348</v>
      </c>
      <c r="P85" s="124">
        <v>6160</v>
      </c>
      <c r="S85" s="83" t="s">
        <v>1445</v>
      </c>
      <c r="T85" s="124">
        <v>650</v>
      </c>
    </row>
    <row r="86" spans="1:20" ht="15.75" customHeight="1" x14ac:dyDescent="0.25">
      <c r="A86" s="302">
        <v>45969</v>
      </c>
      <c r="B86" s="314" t="s">
        <v>1432</v>
      </c>
      <c r="C86" s="36" t="s">
        <v>32</v>
      </c>
      <c r="D86" s="331">
        <v>320</v>
      </c>
      <c r="E86" s="332"/>
      <c r="F86" s="333" t="s">
        <v>795</v>
      </c>
      <c r="G86" s="332"/>
      <c r="H86" s="332"/>
      <c r="I86" s="332"/>
      <c r="J86" s="334"/>
      <c r="K86" s="332"/>
      <c r="L86" s="330"/>
      <c r="M86" s="335"/>
      <c r="O86" s="198" t="s">
        <v>1045</v>
      </c>
      <c r="P86" s="124">
        <v>13350</v>
      </c>
      <c r="S86" s="83" t="s">
        <v>1103</v>
      </c>
      <c r="T86" s="124">
        <v>640</v>
      </c>
    </row>
    <row r="87" spans="1:20" ht="15.75" customHeight="1" x14ac:dyDescent="0.25">
      <c r="A87" s="302">
        <v>45969</v>
      </c>
      <c r="B87" s="289"/>
      <c r="C87" s="36" t="s">
        <v>33</v>
      </c>
      <c r="D87" s="331"/>
      <c r="E87" s="331">
        <v>50</v>
      </c>
      <c r="F87" s="256"/>
      <c r="G87" s="332"/>
      <c r="H87" s="332"/>
      <c r="I87" s="332"/>
      <c r="J87" s="334"/>
      <c r="K87" s="332"/>
      <c r="L87" s="330"/>
      <c r="M87" s="335"/>
      <c r="O87" s="198" t="s">
        <v>1554</v>
      </c>
      <c r="P87" s="124">
        <v>1440</v>
      </c>
      <c r="S87" s="83" t="s">
        <v>1345</v>
      </c>
      <c r="T87" s="124">
        <v>600</v>
      </c>
    </row>
    <row r="88" spans="1:20" ht="15.75" customHeight="1" x14ac:dyDescent="0.25">
      <c r="A88" s="302">
        <v>45969</v>
      </c>
      <c r="B88" s="289"/>
      <c r="C88" s="36" t="s">
        <v>161</v>
      </c>
      <c r="D88" s="331"/>
      <c r="E88" s="331">
        <v>70</v>
      </c>
      <c r="F88" s="256"/>
      <c r="G88" s="332"/>
      <c r="H88" s="332"/>
      <c r="I88" s="332"/>
      <c r="J88" s="334"/>
      <c r="K88" s="332"/>
      <c r="L88" s="330"/>
      <c r="M88" s="335"/>
      <c r="O88" s="198" t="s">
        <v>794</v>
      </c>
      <c r="P88" s="124">
        <v>1500</v>
      </c>
      <c r="S88" s="83" t="s">
        <v>1346</v>
      </c>
      <c r="T88" s="124">
        <v>450</v>
      </c>
    </row>
    <row r="89" spans="1:20" ht="15.75" customHeight="1" x14ac:dyDescent="0.25">
      <c r="A89" s="302">
        <v>45969</v>
      </c>
      <c r="B89" s="289"/>
      <c r="C89" s="36" t="s">
        <v>546</v>
      </c>
      <c r="D89" s="331"/>
      <c r="E89" s="331">
        <v>58</v>
      </c>
      <c r="F89" s="256"/>
      <c r="G89" s="332"/>
      <c r="H89" s="332"/>
      <c r="I89" s="332"/>
      <c r="J89" s="334"/>
      <c r="K89" s="332"/>
      <c r="L89" s="330"/>
      <c r="M89" s="335"/>
      <c r="O89" s="198" t="s">
        <v>1176</v>
      </c>
      <c r="P89" s="124">
        <v>2570</v>
      </c>
      <c r="S89" s="83" t="s">
        <v>1350</v>
      </c>
      <c r="T89" s="124">
        <v>160</v>
      </c>
    </row>
    <row r="90" spans="1:20" ht="15.75" customHeight="1" x14ac:dyDescent="0.25">
      <c r="A90" s="302">
        <v>45969</v>
      </c>
      <c r="B90" s="289"/>
      <c r="C90" s="36" t="s">
        <v>682</v>
      </c>
      <c r="D90" s="331"/>
      <c r="E90" s="331">
        <v>1050</v>
      </c>
      <c r="F90" s="256"/>
      <c r="G90" s="332"/>
      <c r="H90" s="332"/>
      <c r="I90" s="332"/>
      <c r="J90" s="334"/>
      <c r="K90" s="332"/>
      <c r="L90" s="330"/>
      <c r="M90" s="335"/>
      <c r="O90" s="198" t="s">
        <v>1612</v>
      </c>
      <c r="P90" s="124">
        <v>4050</v>
      </c>
      <c r="S90" s="83" t="s">
        <v>1344</v>
      </c>
      <c r="T90" s="124">
        <v>100</v>
      </c>
    </row>
    <row r="91" spans="1:20" ht="15.75" customHeight="1" x14ac:dyDescent="0.25">
      <c r="A91" s="302">
        <v>45970</v>
      </c>
      <c r="B91" s="370" t="s">
        <v>1433</v>
      </c>
      <c r="C91" s="371" t="s">
        <v>32</v>
      </c>
      <c r="D91" s="372">
        <v>340</v>
      </c>
      <c r="E91" s="373"/>
      <c r="F91" s="374" t="s">
        <v>1349</v>
      </c>
      <c r="G91" s="373"/>
      <c r="H91" s="373"/>
      <c r="I91" s="373"/>
      <c r="J91" s="375"/>
      <c r="K91" s="373"/>
      <c r="L91" s="371"/>
      <c r="M91" s="376"/>
      <c r="O91" s="198" t="s">
        <v>16</v>
      </c>
      <c r="P91" s="124">
        <v>217304</v>
      </c>
      <c r="S91" s="381" t="s">
        <v>16</v>
      </c>
      <c r="T91" s="382">
        <f>SUM(T54:T90)</f>
        <v>178135</v>
      </c>
    </row>
    <row r="92" spans="1:20" ht="15.75" customHeight="1" x14ac:dyDescent="0.25">
      <c r="A92" s="302">
        <v>45970</v>
      </c>
      <c r="B92" s="370" t="s">
        <v>1434</v>
      </c>
      <c r="C92" s="371" t="s">
        <v>32</v>
      </c>
      <c r="D92" s="372">
        <v>870</v>
      </c>
      <c r="E92" s="373"/>
      <c r="F92" s="374" t="s">
        <v>817</v>
      </c>
      <c r="G92" s="373"/>
      <c r="H92" s="373"/>
      <c r="I92" s="373"/>
      <c r="J92" s="375"/>
      <c r="K92" s="373"/>
      <c r="L92" s="371"/>
      <c r="M92" s="376"/>
    </row>
    <row r="93" spans="1:20" ht="15.75" customHeight="1" x14ac:dyDescent="0.25">
      <c r="A93" s="302">
        <v>45971</v>
      </c>
      <c r="B93" s="370"/>
      <c r="C93" s="371" t="s">
        <v>145</v>
      </c>
      <c r="D93" s="372"/>
      <c r="E93" s="373">
        <v>3100</v>
      </c>
      <c r="F93" s="374"/>
      <c r="G93" s="373" t="s">
        <v>619</v>
      </c>
      <c r="H93" s="373">
        <v>62</v>
      </c>
      <c r="I93" s="373"/>
      <c r="J93" s="375">
        <v>50</v>
      </c>
      <c r="K93" s="373" t="s">
        <v>19</v>
      </c>
      <c r="L93" s="371"/>
      <c r="M93" s="376"/>
    </row>
    <row r="94" spans="1:20" ht="15.75" customHeight="1" x14ac:dyDescent="0.25">
      <c r="A94" s="302">
        <v>45971</v>
      </c>
      <c r="B94" s="370" t="s">
        <v>1435</v>
      </c>
      <c r="C94" s="371" t="s">
        <v>32</v>
      </c>
      <c r="D94" s="372">
        <v>160</v>
      </c>
      <c r="E94" s="373"/>
      <c r="F94" s="374" t="s">
        <v>1355</v>
      </c>
      <c r="G94" s="373"/>
      <c r="H94" s="373"/>
      <c r="I94" s="373"/>
      <c r="J94" s="375"/>
      <c r="K94" s="373"/>
      <c r="L94" s="371"/>
      <c r="M94" s="376"/>
    </row>
    <row r="95" spans="1:20" ht="15.75" customHeight="1" x14ac:dyDescent="0.25">
      <c r="A95" s="302">
        <v>45971</v>
      </c>
      <c r="B95" s="370" t="s">
        <v>1436</v>
      </c>
      <c r="C95" s="371" t="s">
        <v>32</v>
      </c>
      <c r="D95" s="372">
        <v>320</v>
      </c>
      <c r="E95" s="373"/>
      <c r="F95" s="374" t="s">
        <v>753</v>
      </c>
      <c r="G95" s="373"/>
      <c r="H95" s="373"/>
      <c r="I95" s="373"/>
      <c r="J95" s="375"/>
      <c r="K95" s="373"/>
      <c r="L95" s="371"/>
      <c r="M95" s="376"/>
    </row>
    <row r="96" spans="1:20" ht="15.75" customHeight="1" x14ac:dyDescent="0.25">
      <c r="A96" s="302">
        <v>45971</v>
      </c>
      <c r="B96" s="370" t="s">
        <v>1437</v>
      </c>
      <c r="C96" s="371" t="s">
        <v>32</v>
      </c>
      <c r="D96" s="372">
        <v>430</v>
      </c>
      <c r="E96" s="373"/>
      <c r="F96" s="374" t="s">
        <v>817</v>
      </c>
      <c r="G96" s="373"/>
      <c r="H96" s="373"/>
      <c r="I96" s="373"/>
      <c r="J96" s="375"/>
      <c r="K96" s="373"/>
      <c r="L96" s="371"/>
      <c r="M96" s="376"/>
    </row>
    <row r="97" spans="1:13" ht="15.75" customHeight="1" x14ac:dyDescent="0.25">
      <c r="A97" s="302">
        <v>45971</v>
      </c>
      <c r="B97" s="370" t="s">
        <v>1438</v>
      </c>
      <c r="C97" s="371" t="s">
        <v>32</v>
      </c>
      <c r="D97" s="372">
        <v>170</v>
      </c>
      <c r="E97" s="373"/>
      <c r="F97" s="374" t="s">
        <v>1445</v>
      </c>
      <c r="G97" s="373"/>
      <c r="H97" s="373"/>
      <c r="I97" s="373"/>
      <c r="J97" s="375"/>
      <c r="K97" s="373"/>
      <c r="L97" s="371"/>
      <c r="M97" s="376"/>
    </row>
    <row r="98" spans="1:13" ht="15.75" customHeight="1" x14ac:dyDescent="0.25">
      <c r="A98" s="302">
        <v>45971</v>
      </c>
      <c r="B98" s="370" t="s">
        <v>1439</v>
      </c>
      <c r="C98" s="371" t="s">
        <v>32</v>
      </c>
      <c r="D98" s="372">
        <v>240</v>
      </c>
      <c r="E98" s="373"/>
      <c r="F98" s="374" t="s">
        <v>1171</v>
      </c>
      <c r="G98" s="373"/>
      <c r="H98" s="373"/>
      <c r="I98" s="373"/>
      <c r="J98" s="375"/>
      <c r="K98" s="373"/>
      <c r="L98" s="371"/>
      <c r="M98" s="376"/>
    </row>
    <row r="99" spans="1:13" ht="15.75" customHeight="1" x14ac:dyDescent="0.25">
      <c r="A99" s="302">
        <v>45971</v>
      </c>
      <c r="B99" s="370" t="s">
        <v>1440</v>
      </c>
      <c r="C99" s="371" t="s">
        <v>1446</v>
      </c>
      <c r="D99" s="372">
        <v>160</v>
      </c>
      <c r="E99" s="373"/>
      <c r="F99" s="374" t="s">
        <v>1447</v>
      </c>
      <c r="G99" s="373"/>
      <c r="H99" s="373"/>
      <c r="I99" s="373"/>
      <c r="J99" s="375"/>
      <c r="K99" s="373"/>
      <c r="L99" s="371"/>
      <c r="M99" s="376"/>
    </row>
    <row r="100" spans="1:13" ht="15.75" customHeight="1" x14ac:dyDescent="0.25">
      <c r="A100" s="302">
        <v>45971</v>
      </c>
      <c r="B100" s="370" t="s">
        <v>1441</v>
      </c>
      <c r="C100" s="371" t="s">
        <v>32</v>
      </c>
      <c r="D100" s="372">
        <v>1500</v>
      </c>
      <c r="E100" s="373"/>
      <c r="F100" s="374" t="s">
        <v>740</v>
      </c>
      <c r="G100" s="373"/>
      <c r="H100" s="373"/>
      <c r="I100" s="373"/>
      <c r="J100" s="375"/>
      <c r="K100" s="373"/>
      <c r="L100" s="371"/>
      <c r="M100" s="376"/>
    </row>
    <row r="101" spans="1:13" ht="15.75" customHeight="1" x14ac:dyDescent="0.25">
      <c r="A101" s="302">
        <v>45971</v>
      </c>
      <c r="B101" s="370"/>
      <c r="C101" s="371" t="s">
        <v>109</v>
      </c>
      <c r="D101" s="372"/>
      <c r="E101" s="373">
        <v>400</v>
      </c>
      <c r="F101" s="374"/>
      <c r="G101" s="373"/>
      <c r="H101" s="373"/>
      <c r="I101" s="373"/>
      <c r="J101" s="375"/>
      <c r="K101" s="373"/>
      <c r="L101" s="371"/>
      <c r="M101" s="376"/>
    </row>
    <row r="102" spans="1:13" ht="15.75" customHeight="1" x14ac:dyDescent="0.25">
      <c r="A102" s="302">
        <v>45971</v>
      </c>
      <c r="B102" s="370"/>
      <c r="C102" s="371" t="s">
        <v>818</v>
      </c>
      <c r="D102" s="372"/>
      <c r="E102" s="373">
        <v>45</v>
      </c>
      <c r="F102" s="374"/>
      <c r="G102" s="373"/>
      <c r="H102" s="373"/>
      <c r="I102" s="373"/>
      <c r="J102" s="375"/>
      <c r="K102" s="373"/>
      <c r="L102" s="371"/>
      <c r="M102" s="376"/>
    </row>
    <row r="103" spans="1:13" ht="15.75" customHeight="1" x14ac:dyDescent="0.25">
      <c r="A103" s="302">
        <v>45971</v>
      </c>
      <c r="B103" s="370"/>
      <c r="C103" s="371" t="s">
        <v>33</v>
      </c>
      <c r="D103" s="372"/>
      <c r="E103" s="373">
        <v>50</v>
      </c>
      <c r="F103" s="374"/>
      <c r="G103" s="373"/>
      <c r="H103" s="373"/>
      <c r="I103" s="373"/>
      <c r="J103" s="375"/>
      <c r="K103" s="373"/>
      <c r="L103" s="371"/>
      <c r="M103" s="376"/>
    </row>
    <row r="104" spans="1:13" ht="15.75" customHeight="1" x14ac:dyDescent="0.25">
      <c r="A104" s="302">
        <v>45972</v>
      </c>
      <c r="B104" s="370"/>
      <c r="C104" s="371" t="s">
        <v>147</v>
      </c>
      <c r="D104" s="372"/>
      <c r="E104" s="373">
        <v>25991</v>
      </c>
      <c r="F104" s="374"/>
      <c r="G104" s="373" t="s">
        <v>623</v>
      </c>
      <c r="H104" s="373">
        <v>62</v>
      </c>
      <c r="I104" s="373">
        <v>1501</v>
      </c>
      <c r="J104" s="375">
        <v>395</v>
      </c>
      <c r="K104" s="373" t="s">
        <v>548</v>
      </c>
      <c r="L104" s="371"/>
      <c r="M104" s="376"/>
    </row>
    <row r="105" spans="1:13" ht="15.75" customHeight="1" x14ac:dyDescent="0.25">
      <c r="A105" s="302">
        <v>45972</v>
      </c>
      <c r="B105" s="370" t="s">
        <v>1442</v>
      </c>
      <c r="C105" s="371" t="s">
        <v>32</v>
      </c>
      <c r="D105" s="372">
        <v>320</v>
      </c>
      <c r="E105" s="373"/>
      <c r="F105" s="374" t="s">
        <v>1360</v>
      </c>
      <c r="G105" s="373"/>
      <c r="H105" s="373"/>
      <c r="I105" s="373"/>
      <c r="J105" s="375"/>
      <c r="K105" s="373"/>
      <c r="L105" s="371"/>
      <c r="M105" s="376"/>
    </row>
    <row r="106" spans="1:13" ht="15.75" customHeight="1" x14ac:dyDescent="0.25">
      <c r="A106" s="302">
        <v>45972</v>
      </c>
      <c r="B106" s="370" t="s">
        <v>1443</v>
      </c>
      <c r="C106" s="371" t="s">
        <v>32</v>
      </c>
      <c r="D106" s="372">
        <v>160</v>
      </c>
      <c r="E106" s="373"/>
      <c r="F106" s="374" t="s">
        <v>1355</v>
      </c>
      <c r="G106" s="373"/>
      <c r="H106" s="373"/>
      <c r="I106" s="373"/>
      <c r="J106" s="375"/>
      <c r="K106" s="373"/>
      <c r="L106" s="371"/>
      <c r="M106" s="376"/>
    </row>
    <row r="107" spans="1:13" ht="15.75" customHeight="1" x14ac:dyDescent="0.25">
      <c r="A107" s="302">
        <v>45972</v>
      </c>
      <c r="B107" s="370" t="s">
        <v>1444</v>
      </c>
      <c r="C107" s="371" t="s">
        <v>32</v>
      </c>
      <c r="D107" s="372">
        <v>320</v>
      </c>
      <c r="E107" s="373"/>
      <c r="F107" s="374" t="s">
        <v>1171</v>
      </c>
      <c r="G107" s="373"/>
      <c r="H107" s="373"/>
      <c r="I107" s="373"/>
      <c r="J107" s="375"/>
      <c r="K107" s="373"/>
      <c r="L107" s="371"/>
      <c r="M107" s="376"/>
    </row>
    <row r="108" spans="1:13" ht="15.75" customHeight="1" x14ac:dyDescent="0.25">
      <c r="A108" s="302">
        <v>45972</v>
      </c>
      <c r="B108" s="370" t="s">
        <v>1448</v>
      </c>
      <c r="C108" s="371" t="s">
        <v>32</v>
      </c>
      <c r="D108" s="372">
        <v>100</v>
      </c>
      <c r="E108" s="373"/>
      <c r="F108" s="374" t="s">
        <v>142</v>
      </c>
      <c r="G108" s="373"/>
      <c r="H108" s="373"/>
      <c r="I108" s="373"/>
      <c r="J108" s="375"/>
      <c r="K108" s="373"/>
      <c r="L108" s="371"/>
      <c r="M108" s="376"/>
    </row>
    <row r="109" spans="1:13" ht="15.75" customHeight="1" x14ac:dyDescent="0.25">
      <c r="A109" s="302">
        <v>45972</v>
      </c>
      <c r="B109" s="370" t="s">
        <v>1449</v>
      </c>
      <c r="C109" s="371" t="s">
        <v>32</v>
      </c>
      <c r="D109" s="372">
        <v>80</v>
      </c>
      <c r="E109" s="373"/>
      <c r="F109" s="374" t="s">
        <v>1352</v>
      </c>
      <c r="G109" s="373"/>
      <c r="H109" s="373"/>
      <c r="I109" s="373"/>
      <c r="J109" s="375"/>
      <c r="K109" s="373"/>
      <c r="L109" s="371"/>
      <c r="M109" s="376"/>
    </row>
    <row r="110" spans="1:13" ht="15.75" customHeight="1" x14ac:dyDescent="0.25">
      <c r="A110" s="302">
        <v>45972</v>
      </c>
      <c r="B110" s="370" t="s">
        <v>1450</v>
      </c>
      <c r="C110" s="371" t="s">
        <v>32</v>
      </c>
      <c r="D110" s="372">
        <v>90</v>
      </c>
      <c r="E110" s="373"/>
      <c r="F110" s="374" t="s">
        <v>817</v>
      </c>
      <c r="G110" s="373"/>
      <c r="H110" s="373"/>
      <c r="I110" s="373"/>
      <c r="J110" s="375"/>
      <c r="K110" s="373"/>
      <c r="L110" s="371"/>
      <c r="M110" s="376"/>
    </row>
    <row r="111" spans="1:13" ht="15.75" customHeight="1" x14ac:dyDescent="0.25">
      <c r="A111" s="302">
        <v>45972</v>
      </c>
      <c r="B111" s="370" t="s">
        <v>1451</v>
      </c>
      <c r="C111" s="371" t="s">
        <v>32</v>
      </c>
      <c r="D111" s="372">
        <v>160</v>
      </c>
      <c r="E111" s="373"/>
      <c r="F111" s="374" t="s">
        <v>1361</v>
      </c>
      <c r="G111" s="373"/>
      <c r="H111" s="373"/>
      <c r="I111" s="373"/>
      <c r="J111" s="375"/>
      <c r="K111" s="373"/>
      <c r="L111" s="371"/>
      <c r="M111" s="376"/>
    </row>
    <row r="112" spans="1:13" ht="15.75" customHeight="1" x14ac:dyDescent="0.25">
      <c r="A112" s="302">
        <v>45972</v>
      </c>
      <c r="B112" s="370" t="s">
        <v>1452</v>
      </c>
      <c r="C112" s="371" t="s">
        <v>32</v>
      </c>
      <c r="D112" s="372">
        <v>160</v>
      </c>
      <c r="E112" s="373"/>
      <c r="F112" s="374" t="s">
        <v>1358</v>
      </c>
      <c r="G112" s="373"/>
      <c r="H112" s="373"/>
      <c r="I112" s="373"/>
      <c r="J112" s="375"/>
      <c r="K112" s="373"/>
      <c r="L112" s="371"/>
      <c r="M112" s="376"/>
    </row>
    <row r="113" spans="1:13" ht="15.75" customHeight="1" x14ac:dyDescent="0.25">
      <c r="A113" s="302">
        <v>45972</v>
      </c>
      <c r="B113" s="370" t="s">
        <v>1453</v>
      </c>
      <c r="C113" s="371" t="s">
        <v>32</v>
      </c>
      <c r="D113" s="372">
        <v>160</v>
      </c>
      <c r="E113" s="373"/>
      <c r="F113" s="374" t="s">
        <v>1188</v>
      </c>
      <c r="G113" s="373"/>
      <c r="H113" s="373"/>
      <c r="I113" s="373"/>
      <c r="J113" s="375"/>
      <c r="K113" s="373"/>
      <c r="L113" s="371"/>
      <c r="M113" s="376"/>
    </row>
    <row r="114" spans="1:13" ht="15.75" customHeight="1" x14ac:dyDescent="0.25">
      <c r="A114" s="302">
        <v>45972</v>
      </c>
      <c r="B114" s="370"/>
      <c r="C114" s="371" t="s">
        <v>33</v>
      </c>
      <c r="D114" s="372"/>
      <c r="E114" s="373">
        <v>45</v>
      </c>
      <c r="F114" s="374"/>
      <c r="G114" s="373"/>
      <c r="H114" s="373"/>
      <c r="I114" s="373"/>
      <c r="J114" s="375"/>
      <c r="K114" s="373"/>
      <c r="L114" s="371"/>
      <c r="M114" s="376"/>
    </row>
    <row r="115" spans="1:13" ht="15.75" customHeight="1" x14ac:dyDescent="0.25">
      <c r="A115" s="302">
        <v>45972</v>
      </c>
      <c r="B115" s="370"/>
      <c r="C115" s="371" t="s">
        <v>818</v>
      </c>
      <c r="D115" s="372"/>
      <c r="E115" s="373">
        <v>15</v>
      </c>
      <c r="F115" s="374"/>
      <c r="G115" s="373"/>
      <c r="H115" s="373"/>
      <c r="I115" s="373"/>
      <c r="J115" s="375"/>
      <c r="K115" s="373"/>
      <c r="L115" s="371"/>
      <c r="M115" s="376"/>
    </row>
    <row r="116" spans="1:13" ht="15.75" customHeight="1" x14ac:dyDescent="0.25">
      <c r="A116" s="302">
        <v>45973</v>
      </c>
      <c r="B116" s="370" t="s">
        <v>1454</v>
      </c>
      <c r="C116" s="371" t="s">
        <v>32</v>
      </c>
      <c r="D116" s="372">
        <v>1800</v>
      </c>
      <c r="E116" s="373"/>
      <c r="F116" s="374" t="s">
        <v>1270</v>
      </c>
      <c r="G116" s="373"/>
      <c r="H116" s="373"/>
      <c r="I116" s="373"/>
      <c r="J116" s="375"/>
      <c r="K116" s="373"/>
      <c r="L116" s="371"/>
      <c r="M116" s="376"/>
    </row>
    <row r="117" spans="1:13" ht="15.75" customHeight="1" x14ac:dyDescent="0.25">
      <c r="A117" s="302">
        <v>45973</v>
      </c>
      <c r="B117" s="370" t="s">
        <v>1455</v>
      </c>
      <c r="C117" s="371" t="s">
        <v>32</v>
      </c>
      <c r="D117" s="372">
        <v>240</v>
      </c>
      <c r="E117" s="373"/>
      <c r="F117" s="374" t="s">
        <v>1355</v>
      </c>
      <c r="G117" s="373"/>
      <c r="H117" s="373"/>
      <c r="I117" s="373"/>
      <c r="J117" s="375"/>
      <c r="K117" s="373"/>
      <c r="L117" s="371"/>
      <c r="M117" s="376"/>
    </row>
    <row r="118" spans="1:13" ht="15.75" customHeight="1" x14ac:dyDescent="0.25">
      <c r="A118" s="302">
        <v>45973</v>
      </c>
      <c r="B118" s="370" t="s">
        <v>1456</v>
      </c>
      <c r="C118" s="371" t="s">
        <v>32</v>
      </c>
      <c r="D118" s="372">
        <v>340</v>
      </c>
      <c r="E118" s="373"/>
      <c r="F118" s="374" t="s">
        <v>817</v>
      </c>
      <c r="G118" s="373"/>
      <c r="H118" s="373"/>
      <c r="I118" s="373"/>
      <c r="J118" s="375"/>
      <c r="K118" s="373"/>
      <c r="L118" s="371"/>
      <c r="M118" s="376"/>
    </row>
    <row r="119" spans="1:13" ht="15.75" customHeight="1" x14ac:dyDescent="0.25">
      <c r="A119" s="302">
        <v>45973</v>
      </c>
      <c r="B119" s="370" t="s">
        <v>1457</v>
      </c>
      <c r="C119" s="371" t="s">
        <v>32</v>
      </c>
      <c r="D119" s="372">
        <v>160</v>
      </c>
      <c r="E119" s="373"/>
      <c r="F119" s="374" t="s">
        <v>1447</v>
      </c>
      <c r="G119" s="373"/>
      <c r="H119" s="373"/>
      <c r="I119" s="373"/>
      <c r="J119" s="375"/>
      <c r="K119" s="373"/>
      <c r="L119" s="371"/>
      <c r="M119" s="376"/>
    </row>
    <row r="120" spans="1:13" ht="15.75" customHeight="1" x14ac:dyDescent="0.25">
      <c r="A120" s="302">
        <v>45973</v>
      </c>
      <c r="B120" s="370" t="s">
        <v>1458</v>
      </c>
      <c r="C120" s="371" t="s">
        <v>32</v>
      </c>
      <c r="D120" s="372">
        <v>240</v>
      </c>
      <c r="E120" s="373"/>
      <c r="F120" s="374" t="s">
        <v>1360</v>
      </c>
      <c r="G120" s="373"/>
      <c r="H120" s="373"/>
      <c r="I120" s="373"/>
      <c r="J120" s="375"/>
      <c r="K120" s="373"/>
      <c r="L120" s="371"/>
      <c r="M120" s="376"/>
    </row>
    <row r="121" spans="1:13" ht="15.75" customHeight="1" x14ac:dyDescent="0.25">
      <c r="A121" s="302">
        <v>45973</v>
      </c>
      <c r="B121" s="370" t="s">
        <v>1459</v>
      </c>
      <c r="C121" s="371" t="s">
        <v>32</v>
      </c>
      <c r="D121" s="372">
        <v>90</v>
      </c>
      <c r="E121" s="373"/>
      <c r="F121" s="374" t="s">
        <v>1349</v>
      </c>
      <c r="G121" s="373"/>
      <c r="H121" s="373"/>
      <c r="I121" s="373"/>
      <c r="J121" s="375"/>
      <c r="K121" s="373"/>
      <c r="L121" s="371"/>
      <c r="M121" s="376"/>
    </row>
    <row r="122" spans="1:13" ht="15.75" customHeight="1" x14ac:dyDescent="0.25">
      <c r="A122" s="302">
        <v>45973</v>
      </c>
      <c r="B122" s="370" t="s">
        <v>1460</v>
      </c>
      <c r="C122" s="371" t="s">
        <v>32</v>
      </c>
      <c r="D122" s="372">
        <v>240</v>
      </c>
      <c r="E122" s="373"/>
      <c r="F122" s="374" t="s">
        <v>1358</v>
      </c>
      <c r="G122" s="373"/>
      <c r="H122" s="373"/>
      <c r="I122" s="373"/>
      <c r="J122" s="375"/>
      <c r="K122" s="373"/>
      <c r="L122" s="371"/>
      <c r="M122" s="376"/>
    </row>
    <row r="123" spans="1:13" ht="15.75" customHeight="1" x14ac:dyDescent="0.25">
      <c r="A123" s="302">
        <v>45973</v>
      </c>
      <c r="B123" s="370" t="s">
        <v>1461</v>
      </c>
      <c r="C123" s="371" t="s">
        <v>32</v>
      </c>
      <c r="D123" s="372">
        <v>1050</v>
      </c>
      <c r="E123" s="373"/>
      <c r="F123" s="374" t="s">
        <v>1352</v>
      </c>
      <c r="G123" s="373"/>
      <c r="H123" s="373"/>
      <c r="I123" s="373"/>
      <c r="J123" s="375"/>
      <c r="K123" s="373"/>
      <c r="L123" s="371"/>
      <c r="M123" s="376"/>
    </row>
    <row r="124" spans="1:13" ht="15.75" customHeight="1" x14ac:dyDescent="0.25">
      <c r="A124" s="302">
        <v>45973</v>
      </c>
      <c r="B124" s="370" t="s">
        <v>1462</v>
      </c>
      <c r="C124" s="371" t="s">
        <v>32</v>
      </c>
      <c r="D124" s="372">
        <v>1500</v>
      </c>
      <c r="E124" s="373"/>
      <c r="F124" s="374" t="s">
        <v>740</v>
      </c>
      <c r="G124" s="373"/>
      <c r="H124" s="373"/>
      <c r="I124" s="373"/>
      <c r="J124" s="375"/>
      <c r="K124" s="373"/>
      <c r="L124" s="371"/>
      <c r="M124" s="376"/>
    </row>
    <row r="125" spans="1:13" ht="15.75" customHeight="1" x14ac:dyDescent="0.25">
      <c r="A125" s="302">
        <v>45973</v>
      </c>
      <c r="B125" s="370" t="s">
        <v>1463</v>
      </c>
      <c r="C125" s="371" t="s">
        <v>32</v>
      </c>
      <c r="D125" s="372">
        <v>160</v>
      </c>
      <c r="E125" s="373"/>
      <c r="F125" s="374" t="s">
        <v>847</v>
      </c>
      <c r="G125" s="373"/>
      <c r="H125" s="373"/>
      <c r="I125" s="373"/>
      <c r="J125" s="375"/>
      <c r="K125" s="373"/>
      <c r="L125" s="371"/>
      <c r="M125" s="376"/>
    </row>
    <row r="126" spans="1:13" ht="15.75" customHeight="1" x14ac:dyDescent="0.25">
      <c r="A126" s="302">
        <v>45973</v>
      </c>
      <c r="B126" s="370"/>
      <c r="C126" s="371" t="s">
        <v>161</v>
      </c>
      <c r="D126" s="372"/>
      <c r="E126" s="373">
        <v>100</v>
      </c>
      <c r="F126" s="374"/>
      <c r="G126" s="373"/>
      <c r="H126" s="373"/>
      <c r="I126" s="373"/>
      <c r="J126" s="375"/>
      <c r="K126" s="373"/>
      <c r="L126" s="371"/>
      <c r="M126" s="376"/>
    </row>
    <row r="127" spans="1:13" ht="15.75" customHeight="1" x14ac:dyDescent="0.25">
      <c r="A127" s="302">
        <v>45973</v>
      </c>
      <c r="B127" s="370"/>
      <c r="C127" s="371" t="s">
        <v>546</v>
      </c>
      <c r="D127" s="372"/>
      <c r="E127" s="373">
        <v>300</v>
      </c>
      <c r="F127" s="374"/>
      <c r="G127" s="373"/>
      <c r="H127" s="373"/>
      <c r="I127" s="373"/>
      <c r="J127" s="375"/>
      <c r="K127" s="373"/>
      <c r="L127" s="371"/>
      <c r="M127" s="376"/>
    </row>
    <row r="128" spans="1:13" ht="15.75" customHeight="1" x14ac:dyDescent="0.25">
      <c r="A128" s="302">
        <v>45973</v>
      </c>
      <c r="B128" s="370"/>
      <c r="C128" s="371" t="s">
        <v>33</v>
      </c>
      <c r="D128" s="372"/>
      <c r="E128" s="373">
        <v>50</v>
      </c>
      <c r="F128" s="374"/>
      <c r="G128" s="373"/>
      <c r="H128" s="373"/>
      <c r="I128" s="373"/>
      <c r="J128" s="375"/>
      <c r="K128" s="373"/>
      <c r="L128" s="371"/>
      <c r="M128" s="376"/>
    </row>
    <row r="129" spans="1:13" ht="15.75" customHeight="1" x14ac:dyDescent="0.25">
      <c r="A129" s="302">
        <v>45974</v>
      </c>
      <c r="B129" s="370"/>
      <c r="C129" s="371" t="s">
        <v>145</v>
      </c>
      <c r="D129" s="372"/>
      <c r="E129" s="373">
        <v>2900</v>
      </c>
      <c r="F129" s="374"/>
      <c r="G129" s="373" t="s">
        <v>619</v>
      </c>
      <c r="H129" s="373">
        <v>58</v>
      </c>
      <c r="I129" s="373"/>
      <c r="J129" s="375">
        <v>50</v>
      </c>
      <c r="K129" s="373" t="s">
        <v>19</v>
      </c>
      <c r="L129" s="371"/>
      <c r="M129" s="376"/>
    </row>
    <row r="130" spans="1:13" ht="15.75" customHeight="1" x14ac:dyDescent="0.25">
      <c r="A130" s="302">
        <v>45974</v>
      </c>
      <c r="B130" s="370" t="s">
        <v>1464</v>
      </c>
      <c r="C130" s="371" t="s">
        <v>32</v>
      </c>
      <c r="D130" s="372">
        <v>240</v>
      </c>
      <c r="E130" s="373"/>
      <c r="F130" s="374" t="s">
        <v>1355</v>
      </c>
      <c r="G130" s="373"/>
      <c r="H130" s="373"/>
      <c r="I130" s="373"/>
      <c r="J130" s="375"/>
      <c r="K130" s="373"/>
      <c r="L130" s="371"/>
      <c r="M130" s="376"/>
    </row>
    <row r="131" spans="1:13" ht="15.75" customHeight="1" x14ac:dyDescent="0.25">
      <c r="A131" s="302">
        <v>45974</v>
      </c>
      <c r="B131" s="370" t="s">
        <v>1465</v>
      </c>
      <c r="C131" s="371" t="s">
        <v>32</v>
      </c>
      <c r="D131" s="372">
        <v>320</v>
      </c>
      <c r="E131" s="373"/>
      <c r="F131" s="374" t="s">
        <v>1171</v>
      </c>
      <c r="G131" s="373"/>
      <c r="H131" s="373"/>
      <c r="I131" s="373"/>
      <c r="J131" s="375"/>
      <c r="K131" s="373"/>
      <c r="L131" s="371"/>
      <c r="M131" s="376"/>
    </row>
    <row r="132" spans="1:13" ht="15.75" customHeight="1" x14ac:dyDescent="0.25">
      <c r="A132" s="302">
        <v>45974</v>
      </c>
      <c r="B132" s="370" t="s">
        <v>1466</v>
      </c>
      <c r="C132" s="371" t="s">
        <v>32</v>
      </c>
      <c r="D132" s="372">
        <v>2250</v>
      </c>
      <c r="E132" s="373"/>
      <c r="F132" s="374" t="s">
        <v>1270</v>
      </c>
      <c r="G132" s="373"/>
      <c r="H132" s="373"/>
      <c r="I132" s="373"/>
      <c r="J132" s="375"/>
      <c r="K132" s="373"/>
      <c r="L132" s="371"/>
      <c r="M132" s="376"/>
    </row>
    <row r="133" spans="1:13" ht="15.75" customHeight="1" x14ac:dyDescent="0.25">
      <c r="A133" s="302">
        <v>45974</v>
      </c>
      <c r="B133" s="370" t="s">
        <v>1467</v>
      </c>
      <c r="C133" s="371" t="s">
        <v>32</v>
      </c>
      <c r="D133" s="372">
        <v>830</v>
      </c>
      <c r="E133" s="373"/>
      <c r="F133" s="374" t="s">
        <v>817</v>
      </c>
      <c r="G133" s="373"/>
      <c r="H133" s="373"/>
      <c r="I133" s="373"/>
      <c r="J133" s="375"/>
      <c r="K133" s="373"/>
      <c r="L133" s="371"/>
      <c r="M133" s="376"/>
    </row>
    <row r="134" spans="1:13" ht="15.75" customHeight="1" x14ac:dyDescent="0.25">
      <c r="A134" s="302">
        <v>45974</v>
      </c>
      <c r="B134" s="370" t="s">
        <v>1468</v>
      </c>
      <c r="C134" s="371" t="s">
        <v>32</v>
      </c>
      <c r="D134" s="372">
        <v>90</v>
      </c>
      <c r="E134" s="373"/>
      <c r="F134" s="374" t="s">
        <v>1349</v>
      </c>
      <c r="G134" s="373"/>
      <c r="H134" s="373"/>
      <c r="I134" s="373"/>
      <c r="J134" s="375"/>
      <c r="K134" s="373"/>
      <c r="L134" s="371"/>
      <c r="M134" s="376"/>
    </row>
    <row r="135" spans="1:13" ht="15.75" customHeight="1" x14ac:dyDescent="0.25">
      <c r="A135" s="302">
        <v>45974</v>
      </c>
      <c r="B135" s="370" t="s">
        <v>1469</v>
      </c>
      <c r="C135" s="371" t="s">
        <v>32</v>
      </c>
      <c r="D135" s="372">
        <v>80</v>
      </c>
      <c r="E135" s="373"/>
      <c r="F135" s="374" t="s">
        <v>847</v>
      </c>
      <c r="G135" s="373"/>
      <c r="H135" s="373"/>
      <c r="I135" s="373"/>
      <c r="J135" s="375"/>
      <c r="K135" s="373"/>
      <c r="L135" s="371"/>
      <c r="M135" s="376"/>
    </row>
    <row r="136" spans="1:13" ht="15.75" customHeight="1" x14ac:dyDescent="0.25">
      <c r="A136" s="302">
        <v>45974</v>
      </c>
      <c r="B136" s="370" t="s">
        <v>1470</v>
      </c>
      <c r="C136" s="371" t="s">
        <v>32</v>
      </c>
      <c r="D136" s="372">
        <v>320</v>
      </c>
      <c r="E136" s="373"/>
      <c r="F136" s="374" t="s">
        <v>753</v>
      </c>
      <c r="G136" s="373"/>
      <c r="H136" s="373"/>
      <c r="I136" s="373"/>
      <c r="J136" s="375"/>
      <c r="K136" s="373"/>
      <c r="L136" s="371"/>
      <c r="M136" s="376"/>
    </row>
    <row r="137" spans="1:13" ht="15.75" customHeight="1" x14ac:dyDescent="0.25">
      <c r="A137" s="302">
        <v>45974</v>
      </c>
      <c r="B137" s="370" t="s">
        <v>1471</v>
      </c>
      <c r="C137" s="371" t="s">
        <v>32</v>
      </c>
      <c r="D137" s="372">
        <v>640</v>
      </c>
      <c r="E137" s="373"/>
      <c r="F137" s="374" t="s">
        <v>1474</v>
      </c>
      <c r="G137" s="373"/>
      <c r="H137" s="373"/>
      <c r="I137" s="373"/>
      <c r="J137" s="375"/>
      <c r="K137" s="373"/>
      <c r="L137" s="371"/>
      <c r="M137" s="376"/>
    </row>
    <row r="138" spans="1:13" ht="15.75" customHeight="1" x14ac:dyDescent="0.25">
      <c r="A138" s="302">
        <v>45974</v>
      </c>
      <c r="B138" s="370" t="s">
        <v>1472</v>
      </c>
      <c r="C138" s="371" t="s">
        <v>32</v>
      </c>
      <c r="D138" s="372">
        <v>900</v>
      </c>
      <c r="E138" s="373"/>
      <c r="F138" s="374" t="s">
        <v>1352</v>
      </c>
      <c r="G138" s="373"/>
      <c r="H138" s="373"/>
      <c r="I138" s="373"/>
      <c r="J138" s="375"/>
      <c r="K138" s="373"/>
      <c r="L138" s="371"/>
      <c r="M138" s="376"/>
    </row>
    <row r="139" spans="1:13" ht="15.75" customHeight="1" x14ac:dyDescent="0.25">
      <c r="A139" s="302">
        <v>45974</v>
      </c>
      <c r="B139" s="370" t="s">
        <v>1473</v>
      </c>
      <c r="C139" s="371" t="s">
        <v>32</v>
      </c>
      <c r="D139" s="372">
        <v>1500</v>
      </c>
      <c r="E139" s="373"/>
      <c r="F139" s="374" t="s">
        <v>740</v>
      </c>
      <c r="G139" s="373"/>
      <c r="H139" s="373"/>
      <c r="I139" s="373"/>
      <c r="J139" s="375"/>
      <c r="K139" s="373"/>
      <c r="L139" s="371"/>
      <c r="M139" s="376"/>
    </row>
    <row r="140" spans="1:13" ht="15.75" customHeight="1" x14ac:dyDescent="0.25">
      <c r="A140" s="302">
        <v>45974</v>
      </c>
      <c r="B140" s="370"/>
      <c r="C140" s="371" t="s">
        <v>33</v>
      </c>
      <c r="D140" s="372"/>
      <c r="E140" s="373">
        <v>20</v>
      </c>
      <c r="F140" s="374"/>
      <c r="G140" s="373"/>
      <c r="H140" s="373"/>
      <c r="I140" s="373"/>
      <c r="J140" s="375"/>
      <c r="K140" s="373"/>
      <c r="L140" s="371"/>
      <c r="M140" s="376"/>
    </row>
    <row r="141" spans="1:13" ht="15.75" customHeight="1" x14ac:dyDescent="0.25">
      <c r="A141" s="302">
        <v>45975</v>
      </c>
      <c r="B141" s="370" t="s">
        <v>1475</v>
      </c>
      <c r="C141" s="371" t="s">
        <v>32</v>
      </c>
      <c r="D141" s="372">
        <v>240</v>
      </c>
      <c r="E141" s="373"/>
      <c r="F141" s="374" t="s">
        <v>1355</v>
      </c>
      <c r="G141" s="373"/>
      <c r="H141" s="373"/>
      <c r="I141" s="373"/>
      <c r="J141" s="375"/>
      <c r="K141" s="373"/>
      <c r="L141" s="371"/>
      <c r="M141" s="376"/>
    </row>
    <row r="142" spans="1:13" ht="15.75" customHeight="1" x14ac:dyDescent="0.25">
      <c r="A142" s="302">
        <v>45975</v>
      </c>
      <c r="B142" s="370" t="s">
        <v>1476</v>
      </c>
      <c r="C142" s="371" t="s">
        <v>32</v>
      </c>
      <c r="D142" s="372">
        <v>240</v>
      </c>
      <c r="E142" s="373"/>
      <c r="F142" s="374" t="s">
        <v>1103</v>
      </c>
      <c r="G142" s="373"/>
      <c r="H142" s="373"/>
      <c r="I142" s="373"/>
      <c r="J142" s="375"/>
      <c r="K142" s="373"/>
      <c r="L142" s="371"/>
      <c r="M142" s="376"/>
    </row>
    <row r="143" spans="1:13" ht="15.75" customHeight="1" x14ac:dyDescent="0.25">
      <c r="A143" s="302">
        <v>45975</v>
      </c>
      <c r="B143" s="370" t="s">
        <v>1477</v>
      </c>
      <c r="C143" s="371" t="s">
        <v>32</v>
      </c>
      <c r="D143" s="372">
        <v>600</v>
      </c>
      <c r="E143" s="373"/>
      <c r="F143" s="374" t="s">
        <v>817</v>
      </c>
      <c r="G143" s="373"/>
      <c r="H143" s="373"/>
      <c r="I143" s="373"/>
      <c r="J143" s="375"/>
      <c r="K143" s="373"/>
      <c r="L143" s="371"/>
      <c r="M143" s="376"/>
    </row>
    <row r="144" spans="1:13" ht="15.75" customHeight="1" x14ac:dyDescent="0.25">
      <c r="A144" s="302">
        <v>45975</v>
      </c>
      <c r="B144" s="370" t="s">
        <v>1478</v>
      </c>
      <c r="C144" s="371" t="s">
        <v>32</v>
      </c>
      <c r="D144" s="372">
        <v>480</v>
      </c>
      <c r="E144" s="373"/>
      <c r="F144" s="374" t="s">
        <v>753</v>
      </c>
      <c r="G144" s="373"/>
      <c r="H144" s="373"/>
      <c r="I144" s="373"/>
      <c r="J144" s="375"/>
      <c r="K144" s="373"/>
      <c r="L144" s="371"/>
      <c r="M144" s="376"/>
    </row>
    <row r="145" spans="1:13" ht="15.75" customHeight="1" x14ac:dyDescent="0.25">
      <c r="A145" s="302">
        <v>45975</v>
      </c>
      <c r="B145" s="370" t="s">
        <v>1479</v>
      </c>
      <c r="C145" s="371" t="s">
        <v>32</v>
      </c>
      <c r="D145" s="372">
        <v>160</v>
      </c>
      <c r="E145" s="373"/>
      <c r="F145" s="374" t="s">
        <v>1171</v>
      </c>
      <c r="G145" s="373"/>
      <c r="H145" s="373"/>
      <c r="I145" s="373"/>
      <c r="J145" s="375"/>
      <c r="K145" s="373"/>
      <c r="L145" s="371"/>
      <c r="M145" s="376"/>
    </row>
    <row r="146" spans="1:13" ht="15.75" customHeight="1" x14ac:dyDescent="0.25">
      <c r="A146" s="302">
        <v>45975</v>
      </c>
      <c r="B146" s="370" t="s">
        <v>1480</v>
      </c>
      <c r="C146" s="371" t="s">
        <v>32</v>
      </c>
      <c r="D146" s="372">
        <v>640</v>
      </c>
      <c r="E146" s="373"/>
      <c r="F146" s="374" t="s">
        <v>1474</v>
      </c>
      <c r="G146" s="373"/>
      <c r="H146" s="373"/>
      <c r="I146" s="373"/>
      <c r="J146" s="375"/>
      <c r="K146" s="373"/>
      <c r="L146" s="371"/>
      <c r="M146" s="376"/>
    </row>
    <row r="147" spans="1:13" ht="15.75" customHeight="1" x14ac:dyDescent="0.25">
      <c r="A147" s="302">
        <v>45975</v>
      </c>
      <c r="B147" s="370" t="s">
        <v>1481</v>
      </c>
      <c r="C147" s="371" t="s">
        <v>32</v>
      </c>
      <c r="D147" s="372">
        <v>750</v>
      </c>
      <c r="E147" s="373"/>
      <c r="F147" s="374" t="s">
        <v>752</v>
      </c>
      <c r="G147" s="373"/>
      <c r="H147" s="373"/>
      <c r="I147" s="373"/>
      <c r="J147" s="375"/>
      <c r="K147" s="373"/>
      <c r="L147" s="371"/>
      <c r="M147" s="376"/>
    </row>
    <row r="148" spans="1:13" ht="15.75" customHeight="1" x14ac:dyDescent="0.25">
      <c r="A148" s="302">
        <v>45975</v>
      </c>
      <c r="B148" s="370" t="s">
        <v>1482</v>
      </c>
      <c r="C148" s="371" t="s">
        <v>32</v>
      </c>
      <c r="D148" s="372">
        <v>320</v>
      </c>
      <c r="E148" s="373"/>
      <c r="F148" s="374" t="s">
        <v>1352</v>
      </c>
      <c r="G148" s="373"/>
      <c r="H148" s="373"/>
      <c r="I148" s="373"/>
      <c r="J148" s="375"/>
      <c r="K148" s="373"/>
      <c r="L148" s="371"/>
      <c r="M148" s="376"/>
    </row>
    <row r="149" spans="1:13" ht="15.75" customHeight="1" x14ac:dyDescent="0.25">
      <c r="A149" s="302">
        <v>45975</v>
      </c>
      <c r="B149" s="370"/>
      <c r="C149" s="371" t="s">
        <v>618</v>
      </c>
      <c r="D149" s="372"/>
      <c r="E149" s="373">
        <v>160</v>
      </c>
      <c r="F149" s="374"/>
      <c r="G149" s="373"/>
      <c r="H149" s="373"/>
      <c r="I149" s="373"/>
      <c r="J149" s="375"/>
      <c r="K149" s="373"/>
      <c r="L149" s="371"/>
      <c r="M149" s="376"/>
    </row>
    <row r="150" spans="1:13" ht="15.75" customHeight="1" x14ac:dyDescent="0.25">
      <c r="A150" s="302">
        <v>45975</v>
      </c>
      <c r="B150" s="370"/>
      <c r="C150" s="371" t="s">
        <v>682</v>
      </c>
      <c r="D150" s="372"/>
      <c r="E150" s="373">
        <v>400</v>
      </c>
      <c r="F150" s="374"/>
      <c r="G150" s="373"/>
      <c r="H150" s="373"/>
      <c r="I150" s="373"/>
      <c r="J150" s="375"/>
      <c r="K150" s="373"/>
      <c r="L150" s="371"/>
      <c r="M150" s="376"/>
    </row>
    <row r="151" spans="1:13" ht="15.75" customHeight="1" x14ac:dyDescent="0.25">
      <c r="A151" s="302">
        <v>45975</v>
      </c>
      <c r="B151" s="370"/>
      <c r="C151" s="371" t="s">
        <v>33</v>
      </c>
      <c r="D151" s="372"/>
      <c r="E151" s="373">
        <v>50</v>
      </c>
      <c r="F151" s="374"/>
      <c r="G151" s="373"/>
      <c r="H151" s="373"/>
      <c r="I151" s="373"/>
      <c r="J151" s="375"/>
      <c r="K151" s="373"/>
      <c r="L151" s="371"/>
      <c r="M151" s="376"/>
    </row>
    <row r="152" spans="1:13" ht="15.75" customHeight="1" x14ac:dyDescent="0.25">
      <c r="A152" s="302">
        <v>45976</v>
      </c>
      <c r="B152" s="370" t="s">
        <v>1483</v>
      </c>
      <c r="C152" s="371" t="s">
        <v>32</v>
      </c>
      <c r="D152" s="372">
        <v>100</v>
      </c>
      <c r="E152" s="373"/>
      <c r="F152" s="374" t="s">
        <v>1349</v>
      </c>
      <c r="G152" s="373"/>
      <c r="H152" s="373"/>
      <c r="I152" s="373"/>
      <c r="J152" s="375"/>
      <c r="K152" s="373"/>
      <c r="L152" s="371"/>
      <c r="M152" s="376"/>
    </row>
    <row r="153" spans="1:13" ht="15.75" customHeight="1" x14ac:dyDescent="0.25">
      <c r="A153" s="302">
        <v>45976</v>
      </c>
      <c r="B153" s="370" t="s">
        <v>1484</v>
      </c>
      <c r="C153" s="371" t="s">
        <v>32</v>
      </c>
      <c r="D153" s="372">
        <v>560</v>
      </c>
      <c r="E153" s="373"/>
      <c r="F153" s="374" t="s">
        <v>1355</v>
      </c>
      <c r="G153" s="373"/>
      <c r="H153" s="373"/>
      <c r="I153" s="373"/>
      <c r="J153" s="375"/>
      <c r="K153" s="373"/>
      <c r="L153" s="371"/>
      <c r="M153" s="376"/>
    </row>
    <row r="154" spans="1:13" ht="15.75" customHeight="1" x14ac:dyDescent="0.25">
      <c r="A154" s="302">
        <v>45976</v>
      </c>
      <c r="B154" s="370" t="s">
        <v>1485</v>
      </c>
      <c r="C154" s="371" t="s">
        <v>32</v>
      </c>
      <c r="D154" s="372">
        <v>1270</v>
      </c>
      <c r="E154" s="373"/>
      <c r="F154" s="374" t="s">
        <v>817</v>
      </c>
      <c r="G154" s="373"/>
      <c r="H154" s="373"/>
      <c r="I154" s="373"/>
      <c r="J154" s="375"/>
      <c r="K154" s="373"/>
      <c r="L154" s="371"/>
      <c r="M154" s="376"/>
    </row>
    <row r="155" spans="1:13" ht="15.75" customHeight="1" x14ac:dyDescent="0.25">
      <c r="A155" s="302">
        <v>45976</v>
      </c>
      <c r="B155" s="370" t="s">
        <v>1486</v>
      </c>
      <c r="C155" s="371" t="s">
        <v>32</v>
      </c>
      <c r="D155" s="372">
        <v>560</v>
      </c>
      <c r="E155" s="373"/>
      <c r="F155" s="374" t="s">
        <v>1361</v>
      </c>
      <c r="G155" s="373"/>
      <c r="H155" s="373"/>
      <c r="I155" s="373"/>
      <c r="J155" s="375"/>
      <c r="K155" s="373"/>
      <c r="L155" s="371"/>
      <c r="M155" s="376"/>
    </row>
    <row r="156" spans="1:13" ht="15.75" customHeight="1" x14ac:dyDescent="0.25">
      <c r="A156" s="302">
        <v>45976</v>
      </c>
      <c r="B156" s="370" t="s">
        <v>1487</v>
      </c>
      <c r="C156" s="371" t="s">
        <v>32</v>
      </c>
      <c r="D156" s="372">
        <v>80</v>
      </c>
      <c r="E156" s="373"/>
      <c r="F156" s="374" t="s">
        <v>847</v>
      </c>
      <c r="G156" s="373"/>
      <c r="H156" s="373"/>
      <c r="I156" s="373"/>
      <c r="J156" s="375"/>
      <c r="K156" s="373"/>
      <c r="L156" s="371"/>
      <c r="M156" s="376"/>
    </row>
    <row r="157" spans="1:13" ht="15.75" customHeight="1" x14ac:dyDescent="0.25">
      <c r="A157" s="302">
        <v>45976</v>
      </c>
      <c r="B157" s="370" t="s">
        <v>1488</v>
      </c>
      <c r="C157" s="371" t="s">
        <v>32</v>
      </c>
      <c r="D157" s="372">
        <v>240</v>
      </c>
      <c r="E157" s="373"/>
      <c r="F157" s="374" t="s">
        <v>1171</v>
      </c>
      <c r="G157" s="373"/>
      <c r="H157" s="373"/>
      <c r="I157" s="373"/>
      <c r="J157" s="375"/>
      <c r="K157" s="373"/>
      <c r="L157" s="371"/>
      <c r="M157" s="376"/>
    </row>
    <row r="158" spans="1:13" ht="15.75" customHeight="1" x14ac:dyDescent="0.25">
      <c r="A158" s="302">
        <v>45976</v>
      </c>
      <c r="B158" s="370" t="s">
        <v>1489</v>
      </c>
      <c r="C158" s="371" t="s">
        <v>32</v>
      </c>
      <c r="D158" s="372">
        <v>4500</v>
      </c>
      <c r="E158" s="373"/>
      <c r="F158" s="374" t="s">
        <v>741</v>
      </c>
      <c r="G158" s="373"/>
      <c r="H158" s="373"/>
      <c r="I158" s="373"/>
      <c r="J158" s="375"/>
      <c r="K158" s="373"/>
      <c r="L158" s="371"/>
      <c r="M158" s="376"/>
    </row>
    <row r="159" spans="1:13" ht="15.75" customHeight="1" x14ac:dyDescent="0.25">
      <c r="A159" s="302">
        <v>45976</v>
      </c>
      <c r="B159" s="370" t="s">
        <v>1490</v>
      </c>
      <c r="C159" s="371" t="s">
        <v>32</v>
      </c>
      <c r="D159" s="372">
        <v>2700</v>
      </c>
      <c r="E159" s="373"/>
      <c r="F159" s="374" t="s">
        <v>740</v>
      </c>
      <c r="G159" s="373"/>
      <c r="H159" s="373"/>
      <c r="I159" s="373"/>
      <c r="J159" s="375"/>
      <c r="K159" s="373"/>
      <c r="L159" s="371"/>
      <c r="M159" s="376"/>
    </row>
    <row r="160" spans="1:13" ht="15.75" customHeight="1" x14ac:dyDescent="0.25">
      <c r="A160" s="302">
        <v>45976</v>
      </c>
      <c r="B160" s="370" t="s">
        <v>1491</v>
      </c>
      <c r="C160" s="371" t="s">
        <v>32</v>
      </c>
      <c r="D160" s="372">
        <v>750</v>
      </c>
      <c r="E160" s="373"/>
      <c r="F160" s="374" t="s">
        <v>1352</v>
      </c>
      <c r="G160" s="373"/>
      <c r="H160" s="373"/>
      <c r="I160" s="373"/>
      <c r="J160" s="375"/>
      <c r="K160" s="373"/>
      <c r="L160" s="371"/>
      <c r="M160" s="376"/>
    </row>
    <row r="161" spans="1:13" ht="15.75" customHeight="1" x14ac:dyDescent="0.25">
      <c r="A161" s="302">
        <v>45976</v>
      </c>
      <c r="B161" s="370" t="s">
        <v>1492</v>
      </c>
      <c r="C161" s="371" t="s">
        <v>32</v>
      </c>
      <c r="D161" s="372">
        <v>480</v>
      </c>
      <c r="E161" s="373"/>
      <c r="F161" s="374" t="s">
        <v>1171</v>
      </c>
      <c r="G161" s="373"/>
      <c r="H161" s="373"/>
      <c r="I161" s="373"/>
      <c r="J161" s="375"/>
      <c r="K161" s="373"/>
      <c r="L161" s="371"/>
      <c r="M161" s="376"/>
    </row>
    <row r="162" spans="1:13" ht="15.75" customHeight="1" x14ac:dyDescent="0.25">
      <c r="A162" s="302">
        <v>45976</v>
      </c>
      <c r="B162" s="370"/>
      <c r="C162" s="371" t="s">
        <v>546</v>
      </c>
      <c r="D162" s="372"/>
      <c r="E162" s="373">
        <v>100</v>
      </c>
      <c r="F162" s="374"/>
      <c r="G162" s="373"/>
      <c r="H162" s="373"/>
      <c r="I162" s="373"/>
      <c r="J162" s="375"/>
      <c r="K162" s="373"/>
      <c r="L162" s="371"/>
      <c r="M162" s="376"/>
    </row>
    <row r="163" spans="1:13" ht="15.75" customHeight="1" x14ac:dyDescent="0.25">
      <c r="A163" s="302">
        <v>45976</v>
      </c>
      <c r="B163" s="370"/>
      <c r="C163" s="371" t="s">
        <v>818</v>
      </c>
      <c r="D163" s="372"/>
      <c r="E163" s="373">
        <v>80</v>
      </c>
      <c r="F163" s="374"/>
      <c r="G163" s="373"/>
      <c r="H163" s="373"/>
      <c r="I163" s="373"/>
      <c r="J163" s="375"/>
      <c r="K163" s="373"/>
      <c r="L163" s="371"/>
      <c r="M163" s="376"/>
    </row>
    <row r="164" spans="1:13" ht="15.75" customHeight="1" x14ac:dyDescent="0.25">
      <c r="A164" s="302">
        <v>45976</v>
      </c>
      <c r="B164" s="370"/>
      <c r="C164" s="371" t="s">
        <v>33</v>
      </c>
      <c r="D164" s="372"/>
      <c r="E164" s="373">
        <v>50</v>
      </c>
      <c r="F164" s="374"/>
      <c r="G164" s="373"/>
      <c r="H164" s="373"/>
      <c r="I164" s="373"/>
      <c r="J164" s="375"/>
      <c r="K164" s="373"/>
      <c r="L164" s="371"/>
      <c r="M164" s="376"/>
    </row>
    <row r="165" spans="1:13" ht="15.75" customHeight="1" x14ac:dyDescent="0.25">
      <c r="A165" s="302">
        <v>45976</v>
      </c>
      <c r="B165" s="370"/>
      <c r="C165" s="371" t="s">
        <v>682</v>
      </c>
      <c r="D165" s="372"/>
      <c r="E165" s="373">
        <v>860</v>
      </c>
      <c r="F165" s="374"/>
      <c r="G165" s="373"/>
      <c r="H165" s="373"/>
      <c r="I165" s="373"/>
      <c r="J165" s="375"/>
      <c r="K165" s="373"/>
      <c r="L165" s="371"/>
      <c r="M165" s="376"/>
    </row>
    <row r="166" spans="1:13" ht="15.75" customHeight="1" x14ac:dyDescent="0.25">
      <c r="A166" s="302">
        <v>45977</v>
      </c>
      <c r="B166" s="370" t="s">
        <v>1493</v>
      </c>
      <c r="C166" s="371" t="s">
        <v>32</v>
      </c>
      <c r="D166" s="372">
        <v>160</v>
      </c>
      <c r="E166" s="373"/>
      <c r="F166" s="374" t="s">
        <v>1188</v>
      </c>
      <c r="G166" s="373"/>
      <c r="H166" s="373"/>
      <c r="I166" s="373"/>
      <c r="J166" s="375"/>
      <c r="K166" s="373"/>
      <c r="L166" s="371"/>
      <c r="M166" s="376"/>
    </row>
    <row r="167" spans="1:13" ht="15.75" customHeight="1" x14ac:dyDescent="0.25">
      <c r="A167" s="302">
        <v>45977</v>
      </c>
      <c r="B167" s="370" t="s">
        <v>1494</v>
      </c>
      <c r="C167" s="371" t="s">
        <v>32</v>
      </c>
      <c r="D167" s="372">
        <v>160</v>
      </c>
      <c r="E167" s="373"/>
      <c r="F167" s="374" t="s">
        <v>739</v>
      </c>
      <c r="G167" s="373"/>
      <c r="H167" s="373"/>
      <c r="I167" s="373"/>
      <c r="J167" s="375"/>
      <c r="K167" s="373"/>
      <c r="L167" s="371"/>
      <c r="M167" s="376"/>
    </row>
    <row r="168" spans="1:13" ht="15.75" customHeight="1" x14ac:dyDescent="0.25">
      <c r="A168" s="302">
        <v>45977</v>
      </c>
      <c r="B168" s="370" t="s">
        <v>1495</v>
      </c>
      <c r="C168" s="371" t="s">
        <v>32</v>
      </c>
      <c r="D168" s="372">
        <v>750</v>
      </c>
      <c r="E168" s="373"/>
      <c r="F168" s="374" t="s">
        <v>804</v>
      </c>
      <c r="G168" s="373"/>
      <c r="H168" s="373"/>
      <c r="I168" s="373"/>
      <c r="J168" s="375"/>
      <c r="K168" s="373"/>
      <c r="L168" s="371"/>
      <c r="M168" s="376"/>
    </row>
    <row r="169" spans="1:13" ht="15.75" customHeight="1" x14ac:dyDescent="0.25">
      <c r="A169" s="302">
        <v>45977</v>
      </c>
      <c r="B169" s="370" t="s">
        <v>1496</v>
      </c>
      <c r="C169" s="371" t="s">
        <v>32</v>
      </c>
      <c r="D169" s="372">
        <v>150</v>
      </c>
      <c r="E169" s="373"/>
      <c r="F169" s="374" t="s">
        <v>1026</v>
      </c>
      <c r="G169" s="373"/>
      <c r="H169" s="373"/>
      <c r="I169" s="373"/>
      <c r="J169" s="375"/>
      <c r="K169" s="373"/>
      <c r="L169" s="371"/>
      <c r="M169" s="376"/>
    </row>
    <row r="170" spans="1:13" ht="15.75" customHeight="1" x14ac:dyDescent="0.25">
      <c r="A170" s="302">
        <v>45978</v>
      </c>
      <c r="B170" s="370" t="s">
        <v>1497</v>
      </c>
      <c r="C170" s="371" t="s">
        <v>32</v>
      </c>
      <c r="D170" s="372">
        <v>1440</v>
      </c>
      <c r="E170" s="373"/>
      <c r="F170" s="374" t="s">
        <v>817</v>
      </c>
      <c r="G170" s="373"/>
      <c r="H170" s="373"/>
      <c r="I170" s="373"/>
      <c r="J170" s="375"/>
      <c r="K170" s="373"/>
      <c r="L170" s="371"/>
      <c r="M170" s="376"/>
    </row>
    <row r="171" spans="1:13" ht="15.75" customHeight="1" x14ac:dyDescent="0.25">
      <c r="A171" s="302">
        <v>45978</v>
      </c>
      <c r="B171" s="370" t="s">
        <v>1498</v>
      </c>
      <c r="C171" s="371" t="s">
        <v>32</v>
      </c>
      <c r="D171" s="372">
        <v>240</v>
      </c>
      <c r="E171" s="373"/>
      <c r="F171" s="374" t="s">
        <v>1355</v>
      </c>
      <c r="G171" s="373"/>
      <c r="H171" s="373"/>
      <c r="I171" s="373"/>
      <c r="J171" s="375"/>
      <c r="K171" s="373"/>
      <c r="L171" s="371"/>
      <c r="M171" s="376"/>
    </row>
    <row r="172" spans="1:13" ht="15.75" customHeight="1" x14ac:dyDescent="0.25">
      <c r="A172" s="302">
        <v>45978</v>
      </c>
      <c r="B172" s="370" t="s">
        <v>1499</v>
      </c>
      <c r="C172" s="371" t="s">
        <v>32</v>
      </c>
      <c r="D172" s="372">
        <v>80</v>
      </c>
      <c r="E172" s="373"/>
      <c r="F172" s="374" t="s">
        <v>1103</v>
      </c>
      <c r="G172" s="373"/>
      <c r="H172" s="373"/>
      <c r="I172" s="373"/>
      <c r="J172" s="375"/>
      <c r="K172" s="373"/>
      <c r="L172" s="371"/>
      <c r="M172" s="376"/>
    </row>
    <row r="173" spans="1:13" ht="15.75" customHeight="1" x14ac:dyDescent="0.25">
      <c r="A173" s="302">
        <v>45978</v>
      </c>
      <c r="B173" s="370" t="s">
        <v>1500</v>
      </c>
      <c r="C173" s="371" t="s">
        <v>32</v>
      </c>
      <c r="D173" s="372">
        <v>720</v>
      </c>
      <c r="E173" s="373"/>
      <c r="F173" s="374" t="s">
        <v>1171</v>
      </c>
      <c r="G173" s="373"/>
      <c r="H173" s="373"/>
      <c r="I173" s="373"/>
      <c r="J173" s="375"/>
      <c r="K173" s="373"/>
      <c r="L173" s="371"/>
      <c r="M173" s="376"/>
    </row>
    <row r="174" spans="1:13" ht="15.75" customHeight="1" x14ac:dyDescent="0.25">
      <c r="A174" s="302">
        <v>45978</v>
      </c>
      <c r="B174" s="370" t="s">
        <v>1501</v>
      </c>
      <c r="C174" s="371" t="s">
        <v>32</v>
      </c>
      <c r="D174" s="372">
        <v>480</v>
      </c>
      <c r="E174" s="373"/>
      <c r="F174" s="374" t="s">
        <v>741</v>
      </c>
      <c r="G174" s="373"/>
      <c r="H174" s="373"/>
      <c r="I174" s="373"/>
      <c r="J174" s="375"/>
      <c r="K174" s="373"/>
      <c r="L174" s="371"/>
      <c r="M174" s="376"/>
    </row>
    <row r="175" spans="1:13" ht="15.75" customHeight="1" x14ac:dyDescent="0.25">
      <c r="A175" s="302">
        <v>45978</v>
      </c>
      <c r="B175" s="370" t="s">
        <v>1502</v>
      </c>
      <c r="C175" s="371" t="s">
        <v>32</v>
      </c>
      <c r="D175" s="372">
        <v>1500</v>
      </c>
      <c r="E175" s="373"/>
      <c r="F175" s="374" t="s">
        <v>1505</v>
      </c>
      <c r="G175" s="373"/>
      <c r="H175" s="373"/>
      <c r="I175" s="373"/>
      <c r="J175" s="375"/>
      <c r="K175" s="373"/>
      <c r="L175" s="371"/>
      <c r="M175" s="376"/>
    </row>
    <row r="176" spans="1:13" ht="15.75" customHeight="1" x14ac:dyDescent="0.25">
      <c r="A176" s="302">
        <v>45978</v>
      </c>
      <c r="B176" s="370" t="s">
        <v>1503</v>
      </c>
      <c r="C176" s="371" t="s">
        <v>32</v>
      </c>
      <c r="D176" s="372">
        <v>1500</v>
      </c>
      <c r="E176" s="373"/>
      <c r="F176" s="374" t="s">
        <v>740</v>
      </c>
      <c r="G176" s="373"/>
      <c r="H176" s="373"/>
      <c r="I176" s="373"/>
      <c r="J176" s="375"/>
      <c r="K176" s="373"/>
      <c r="L176" s="371"/>
      <c r="M176" s="376"/>
    </row>
    <row r="177" spans="1:13" ht="15.75" customHeight="1" x14ac:dyDescent="0.25">
      <c r="A177" s="302">
        <v>45978</v>
      </c>
      <c r="B177" s="370"/>
      <c r="C177" s="371" t="s">
        <v>33</v>
      </c>
      <c r="D177" s="372"/>
      <c r="E177" s="373">
        <v>50</v>
      </c>
      <c r="F177" s="374"/>
      <c r="G177" s="373"/>
      <c r="H177" s="373"/>
      <c r="I177" s="373"/>
      <c r="J177" s="375"/>
      <c r="K177" s="373"/>
      <c r="L177" s="371"/>
      <c r="M177" s="376"/>
    </row>
    <row r="178" spans="1:13" ht="15.75" customHeight="1" x14ac:dyDescent="0.25">
      <c r="A178" s="302">
        <v>45978</v>
      </c>
      <c r="B178" s="370"/>
      <c r="C178" s="371" t="s">
        <v>109</v>
      </c>
      <c r="D178" s="372"/>
      <c r="E178" s="373">
        <v>400</v>
      </c>
      <c r="F178" s="374"/>
      <c r="G178" s="373"/>
      <c r="H178" s="373"/>
      <c r="I178" s="373"/>
      <c r="J178" s="375"/>
      <c r="K178" s="373"/>
      <c r="L178" s="371"/>
      <c r="M178" s="376"/>
    </row>
    <row r="179" spans="1:13" ht="15.75" customHeight="1" x14ac:dyDescent="0.25">
      <c r="A179" s="302">
        <v>45979</v>
      </c>
      <c r="B179" s="370"/>
      <c r="C179" s="371" t="s">
        <v>145</v>
      </c>
      <c r="D179" s="372"/>
      <c r="E179" s="373">
        <v>3300</v>
      </c>
      <c r="F179" s="374"/>
      <c r="G179" s="373" t="s">
        <v>619</v>
      </c>
      <c r="H179" s="373">
        <v>66</v>
      </c>
      <c r="I179" s="373"/>
      <c r="J179" s="375">
        <v>50</v>
      </c>
      <c r="K179" s="373" t="s">
        <v>19</v>
      </c>
      <c r="L179" s="371"/>
      <c r="M179" s="376"/>
    </row>
    <row r="180" spans="1:13" ht="15.75" customHeight="1" x14ac:dyDescent="0.25">
      <c r="A180" s="302">
        <v>45979</v>
      </c>
      <c r="B180" s="370" t="s">
        <v>1504</v>
      </c>
      <c r="C180" s="371" t="s">
        <v>32</v>
      </c>
      <c r="D180" s="372">
        <v>480</v>
      </c>
      <c r="E180" s="373"/>
      <c r="F180" s="374" t="s">
        <v>1272</v>
      </c>
      <c r="G180" s="373"/>
      <c r="H180" s="373"/>
      <c r="I180" s="373"/>
      <c r="J180" s="375"/>
      <c r="K180" s="373"/>
      <c r="L180" s="371"/>
      <c r="M180" s="376"/>
    </row>
    <row r="181" spans="1:13" ht="15.75" customHeight="1" x14ac:dyDescent="0.25">
      <c r="A181" s="302">
        <v>45979</v>
      </c>
      <c r="B181" s="370" t="s">
        <v>1506</v>
      </c>
      <c r="C181" s="371" t="s">
        <v>32</v>
      </c>
      <c r="D181" s="372">
        <v>510</v>
      </c>
      <c r="E181" s="373"/>
      <c r="F181" s="374" t="s">
        <v>817</v>
      </c>
      <c r="G181" s="373"/>
      <c r="H181" s="373"/>
      <c r="I181" s="373"/>
      <c r="J181" s="375"/>
      <c r="K181" s="373"/>
      <c r="L181" s="371"/>
      <c r="M181" s="376"/>
    </row>
    <row r="182" spans="1:13" ht="15.75" customHeight="1" x14ac:dyDescent="0.25">
      <c r="A182" s="302">
        <v>45979</v>
      </c>
      <c r="B182" s="370" t="s">
        <v>1507</v>
      </c>
      <c r="C182" s="371" t="s">
        <v>32</v>
      </c>
      <c r="D182" s="372">
        <v>240</v>
      </c>
      <c r="E182" s="373"/>
      <c r="F182" s="374" t="s">
        <v>1355</v>
      </c>
      <c r="G182" s="373"/>
      <c r="H182" s="373"/>
      <c r="I182" s="373"/>
      <c r="J182" s="375"/>
      <c r="K182" s="373"/>
      <c r="L182" s="371"/>
      <c r="M182" s="376"/>
    </row>
    <row r="183" spans="1:13" ht="15.75" customHeight="1" x14ac:dyDescent="0.25">
      <c r="A183" s="302">
        <v>45979</v>
      </c>
      <c r="B183" s="370" t="s">
        <v>1508</v>
      </c>
      <c r="C183" s="371" t="s">
        <v>32</v>
      </c>
      <c r="D183" s="372">
        <v>80</v>
      </c>
      <c r="E183" s="373"/>
      <c r="F183" s="374" t="s">
        <v>847</v>
      </c>
      <c r="G183" s="373"/>
      <c r="H183" s="373"/>
      <c r="I183" s="373"/>
      <c r="J183" s="375"/>
      <c r="K183" s="373"/>
      <c r="L183" s="371"/>
      <c r="M183" s="376"/>
    </row>
    <row r="184" spans="1:13" ht="15.75" customHeight="1" x14ac:dyDescent="0.25">
      <c r="A184" s="302">
        <v>45979</v>
      </c>
      <c r="B184" s="370" t="s">
        <v>1509</v>
      </c>
      <c r="C184" s="371" t="s">
        <v>32</v>
      </c>
      <c r="D184" s="372">
        <v>480</v>
      </c>
      <c r="E184" s="373"/>
      <c r="F184" s="374" t="s">
        <v>753</v>
      </c>
      <c r="G184" s="373"/>
      <c r="H184" s="373"/>
      <c r="I184" s="373"/>
      <c r="J184" s="375"/>
      <c r="K184" s="373"/>
      <c r="L184" s="371"/>
      <c r="M184" s="376"/>
    </row>
    <row r="185" spans="1:13" ht="15.75" customHeight="1" x14ac:dyDescent="0.25">
      <c r="A185" s="302">
        <v>45979</v>
      </c>
      <c r="B185" s="370" t="s">
        <v>1510</v>
      </c>
      <c r="C185" s="371" t="s">
        <v>32</v>
      </c>
      <c r="D185" s="372">
        <v>1200</v>
      </c>
      <c r="E185" s="373"/>
      <c r="F185" s="374" t="s">
        <v>1171</v>
      </c>
      <c r="G185" s="373"/>
      <c r="H185" s="373"/>
      <c r="I185" s="373"/>
      <c r="J185" s="375"/>
      <c r="K185" s="373"/>
      <c r="L185" s="371"/>
      <c r="M185" s="376"/>
    </row>
    <row r="186" spans="1:13" ht="15.75" customHeight="1" x14ac:dyDescent="0.25">
      <c r="A186" s="302">
        <v>45979</v>
      </c>
      <c r="B186" s="370" t="s">
        <v>1511</v>
      </c>
      <c r="C186" s="371" t="s">
        <v>32</v>
      </c>
      <c r="D186" s="372">
        <v>320</v>
      </c>
      <c r="E186" s="373"/>
      <c r="F186" s="374" t="s">
        <v>795</v>
      </c>
      <c r="G186" s="373"/>
      <c r="H186" s="373"/>
      <c r="I186" s="373"/>
      <c r="J186" s="375"/>
      <c r="K186" s="373"/>
      <c r="L186" s="371"/>
      <c r="M186" s="376"/>
    </row>
    <row r="187" spans="1:13" ht="15.75" customHeight="1" x14ac:dyDescent="0.25">
      <c r="A187" s="302">
        <v>45979</v>
      </c>
      <c r="B187" s="370" t="s">
        <v>1512</v>
      </c>
      <c r="C187" s="371" t="s">
        <v>32</v>
      </c>
      <c r="D187" s="372">
        <v>200</v>
      </c>
      <c r="E187" s="373"/>
      <c r="F187" s="374" t="s">
        <v>1358</v>
      </c>
      <c r="G187" s="373"/>
      <c r="H187" s="373"/>
      <c r="I187" s="373"/>
      <c r="J187" s="375"/>
      <c r="K187" s="373"/>
      <c r="L187" s="371"/>
      <c r="M187" s="376"/>
    </row>
    <row r="188" spans="1:13" ht="15.75" customHeight="1" x14ac:dyDescent="0.25">
      <c r="A188" s="302">
        <v>45979</v>
      </c>
      <c r="B188" s="370" t="s">
        <v>1513</v>
      </c>
      <c r="C188" s="371" t="s">
        <v>32</v>
      </c>
      <c r="D188" s="372">
        <v>300</v>
      </c>
      <c r="E188" s="373"/>
      <c r="F188" s="374" t="s">
        <v>142</v>
      </c>
      <c r="G188" s="373"/>
      <c r="H188" s="373"/>
      <c r="I188" s="373"/>
      <c r="J188" s="375"/>
      <c r="K188" s="373"/>
      <c r="L188" s="371"/>
      <c r="M188" s="376"/>
    </row>
    <row r="189" spans="1:13" ht="15.75" customHeight="1" x14ac:dyDescent="0.25">
      <c r="A189" s="302">
        <v>45979</v>
      </c>
      <c r="B189" s="370" t="s">
        <v>1514</v>
      </c>
      <c r="C189" s="371" t="s">
        <v>32</v>
      </c>
      <c r="D189" s="372">
        <v>750</v>
      </c>
      <c r="E189" s="373"/>
      <c r="F189" s="374" t="s">
        <v>741</v>
      </c>
      <c r="G189" s="373"/>
      <c r="H189" s="373"/>
      <c r="I189" s="373"/>
      <c r="J189" s="375"/>
      <c r="K189" s="373"/>
      <c r="L189" s="371"/>
      <c r="M189" s="376"/>
    </row>
    <row r="190" spans="1:13" ht="15.75" customHeight="1" x14ac:dyDescent="0.25">
      <c r="A190" s="302">
        <v>45979</v>
      </c>
      <c r="B190" s="370" t="s">
        <v>1515</v>
      </c>
      <c r="C190" s="371" t="s">
        <v>32</v>
      </c>
      <c r="D190" s="372">
        <v>170</v>
      </c>
      <c r="E190" s="373"/>
      <c r="F190" s="374" t="s">
        <v>1349</v>
      </c>
      <c r="G190" s="373"/>
      <c r="H190" s="373"/>
      <c r="I190" s="373"/>
      <c r="J190" s="375"/>
      <c r="K190" s="373"/>
      <c r="L190" s="371"/>
      <c r="M190" s="376"/>
    </row>
    <row r="191" spans="1:13" ht="15.75" customHeight="1" x14ac:dyDescent="0.25">
      <c r="A191" s="302">
        <v>45979</v>
      </c>
      <c r="B191" s="370" t="s">
        <v>1516</v>
      </c>
      <c r="C191" s="371" t="s">
        <v>32</v>
      </c>
      <c r="D191" s="372">
        <v>750</v>
      </c>
      <c r="E191" s="373"/>
      <c r="F191" s="374" t="s">
        <v>752</v>
      </c>
      <c r="G191" s="373"/>
      <c r="H191" s="373"/>
      <c r="I191" s="373"/>
      <c r="J191" s="375"/>
      <c r="K191" s="373"/>
      <c r="L191" s="371"/>
      <c r="M191" s="376"/>
    </row>
    <row r="192" spans="1:13" ht="15.75" customHeight="1" x14ac:dyDescent="0.25">
      <c r="A192" s="302">
        <v>45979</v>
      </c>
      <c r="B192" s="370"/>
      <c r="C192" s="371" t="s">
        <v>33</v>
      </c>
      <c r="D192" s="372"/>
      <c r="E192" s="373">
        <v>50</v>
      </c>
      <c r="F192" s="374"/>
      <c r="G192" s="373"/>
      <c r="H192" s="373"/>
      <c r="I192" s="373"/>
      <c r="J192" s="375"/>
      <c r="K192" s="373"/>
      <c r="L192" s="371"/>
      <c r="M192" s="376"/>
    </row>
    <row r="193" spans="1:13" ht="15.75" customHeight="1" x14ac:dyDescent="0.25">
      <c r="A193" s="302">
        <v>45980</v>
      </c>
      <c r="B193" s="370" t="s">
        <v>1517</v>
      </c>
      <c r="C193" s="371" t="s">
        <v>32</v>
      </c>
      <c r="D193" s="372">
        <v>160</v>
      </c>
      <c r="E193" s="373"/>
      <c r="F193" s="374" t="s">
        <v>739</v>
      </c>
      <c r="G193" s="373"/>
      <c r="H193" s="373"/>
      <c r="I193" s="373"/>
      <c r="J193" s="375"/>
      <c r="K193" s="373"/>
      <c r="L193" s="371"/>
      <c r="M193" s="376"/>
    </row>
    <row r="194" spans="1:13" ht="15.75" customHeight="1" x14ac:dyDescent="0.25">
      <c r="A194" s="302">
        <v>45980</v>
      </c>
      <c r="B194" s="370" t="s">
        <v>1518</v>
      </c>
      <c r="C194" s="371" t="s">
        <v>32</v>
      </c>
      <c r="D194" s="372">
        <v>160</v>
      </c>
      <c r="E194" s="373"/>
      <c r="F194" s="374" t="s">
        <v>1188</v>
      </c>
      <c r="G194" s="373"/>
      <c r="H194" s="373"/>
      <c r="I194" s="373"/>
      <c r="J194" s="375"/>
      <c r="K194" s="373"/>
      <c r="L194" s="371"/>
      <c r="M194" s="376"/>
    </row>
    <row r="195" spans="1:13" ht="15.75" customHeight="1" x14ac:dyDescent="0.25">
      <c r="A195" s="302">
        <v>45980</v>
      </c>
      <c r="B195" s="370" t="s">
        <v>1519</v>
      </c>
      <c r="C195" s="371"/>
      <c r="D195" s="372"/>
      <c r="E195" s="373"/>
      <c r="F195" s="374"/>
      <c r="G195" s="373"/>
      <c r="H195" s="373"/>
      <c r="I195" s="373"/>
      <c r="J195" s="375"/>
      <c r="K195" s="373"/>
      <c r="L195" s="371"/>
      <c r="M195" s="376"/>
    </row>
    <row r="196" spans="1:13" ht="15.75" customHeight="1" x14ac:dyDescent="0.25">
      <c r="A196" s="302">
        <v>45980</v>
      </c>
      <c r="B196" s="370" t="s">
        <v>1520</v>
      </c>
      <c r="C196" s="371" t="s">
        <v>32</v>
      </c>
      <c r="D196" s="372">
        <v>160</v>
      </c>
      <c r="E196" s="373"/>
      <c r="F196" s="374" t="s">
        <v>1445</v>
      </c>
      <c r="G196" s="373"/>
      <c r="H196" s="373"/>
      <c r="I196" s="373"/>
      <c r="J196" s="375"/>
      <c r="K196" s="373"/>
      <c r="L196" s="371"/>
      <c r="M196" s="376"/>
    </row>
    <row r="197" spans="1:13" ht="15.75" customHeight="1" x14ac:dyDescent="0.25">
      <c r="A197" s="302">
        <v>45980</v>
      </c>
      <c r="B197" s="370" t="s">
        <v>1521</v>
      </c>
      <c r="C197" s="371" t="s">
        <v>32</v>
      </c>
      <c r="D197" s="372">
        <v>2780</v>
      </c>
      <c r="E197" s="373"/>
      <c r="F197" s="374" t="s">
        <v>1270</v>
      </c>
      <c r="G197" s="373"/>
      <c r="H197" s="373"/>
      <c r="I197" s="373"/>
      <c r="J197" s="375"/>
      <c r="K197" s="373"/>
      <c r="L197" s="371"/>
      <c r="M197" s="376"/>
    </row>
    <row r="198" spans="1:13" ht="15.75" customHeight="1" x14ac:dyDescent="0.25">
      <c r="A198" s="302">
        <v>45980</v>
      </c>
      <c r="B198" s="370" t="s">
        <v>1522</v>
      </c>
      <c r="C198" s="371" t="s">
        <v>32</v>
      </c>
      <c r="D198" s="372">
        <v>480</v>
      </c>
      <c r="E198" s="373"/>
      <c r="F198" s="374" t="s">
        <v>741</v>
      </c>
      <c r="G198" s="373"/>
      <c r="H198" s="373"/>
      <c r="I198" s="373"/>
      <c r="J198" s="375"/>
      <c r="K198" s="373"/>
      <c r="L198" s="371"/>
      <c r="M198" s="376"/>
    </row>
    <row r="199" spans="1:13" ht="15.75" customHeight="1" x14ac:dyDescent="0.25">
      <c r="A199" s="302">
        <v>45980</v>
      </c>
      <c r="B199" s="370" t="s">
        <v>1523</v>
      </c>
      <c r="C199" s="371" t="s">
        <v>32</v>
      </c>
      <c r="D199" s="372">
        <v>170</v>
      </c>
      <c r="E199" s="373"/>
      <c r="F199" s="374" t="s">
        <v>817</v>
      </c>
      <c r="G199" s="373"/>
      <c r="H199" s="373"/>
      <c r="I199" s="373"/>
      <c r="J199" s="375"/>
      <c r="K199" s="373"/>
      <c r="L199" s="371"/>
      <c r="M199" s="376"/>
    </row>
    <row r="200" spans="1:13" ht="15.75" customHeight="1" x14ac:dyDescent="0.25">
      <c r="A200" s="302">
        <v>45980</v>
      </c>
      <c r="B200" s="370"/>
      <c r="C200" s="371" t="s">
        <v>207</v>
      </c>
      <c r="D200" s="372"/>
      <c r="E200" s="373">
        <v>480</v>
      </c>
      <c r="F200" s="374"/>
      <c r="G200" s="373"/>
      <c r="H200" s="373"/>
      <c r="I200" s="373"/>
      <c r="J200" s="375"/>
      <c r="K200" s="373"/>
      <c r="L200" s="371"/>
      <c r="M200" s="376" t="s">
        <v>1529</v>
      </c>
    </row>
    <row r="201" spans="1:13" ht="15.75" customHeight="1" x14ac:dyDescent="0.25">
      <c r="A201" s="302">
        <v>45980</v>
      </c>
      <c r="B201" s="370"/>
      <c r="C201" s="371" t="s">
        <v>33</v>
      </c>
      <c r="D201" s="372"/>
      <c r="E201" s="373">
        <v>50</v>
      </c>
      <c r="F201" s="374"/>
      <c r="G201" s="373"/>
      <c r="H201" s="373"/>
      <c r="I201" s="373"/>
      <c r="J201" s="375"/>
      <c r="K201" s="373"/>
      <c r="L201" s="371"/>
      <c r="M201" s="376"/>
    </row>
    <row r="202" spans="1:13" ht="15.75" customHeight="1" x14ac:dyDescent="0.25">
      <c r="A202" s="302">
        <v>45981</v>
      </c>
      <c r="B202" s="370" t="s">
        <v>1524</v>
      </c>
      <c r="C202" s="371" t="s">
        <v>32</v>
      </c>
      <c r="D202" s="372">
        <v>680</v>
      </c>
      <c r="E202" s="373"/>
      <c r="F202" s="374" t="s">
        <v>817</v>
      </c>
      <c r="G202" s="373"/>
      <c r="H202" s="373"/>
      <c r="I202" s="373"/>
      <c r="J202" s="375"/>
      <c r="K202" s="373"/>
      <c r="L202" s="371"/>
      <c r="M202" s="376"/>
    </row>
    <row r="203" spans="1:13" ht="15.75" customHeight="1" x14ac:dyDescent="0.25">
      <c r="A203" s="302">
        <v>45981</v>
      </c>
      <c r="B203" s="370" t="s">
        <v>1525</v>
      </c>
      <c r="C203" s="371" t="s">
        <v>32</v>
      </c>
      <c r="D203" s="372">
        <v>240</v>
      </c>
      <c r="E203" s="373"/>
      <c r="F203" s="374" t="s">
        <v>1355</v>
      </c>
      <c r="G203" s="373"/>
      <c r="H203" s="373"/>
      <c r="I203" s="373"/>
      <c r="J203" s="375"/>
      <c r="K203" s="373"/>
      <c r="L203" s="371"/>
      <c r="M203" s="376"/>
    </row>
    <row r="204" spans="1:13" ht="15.75" customHeight="1" x14ac:dyDescent="0.25">
      <c r="A204" s="302">
        <v>45981</v>
      </c>
      <c r="B204" s="370" t="s">
        <v>1526</v>
      </c>
      <c r="C204" s="371" t="s">
        <v>32</v>
      </c>
      <c r="D204" s="372">
        <v>480</v>
      </c>
      <c r="E204" s="373"/>
      <c r="F204" s="374" t="s">
        <v>753</v>
      </c>
      <c r="G204" s="373"/>
      <c r="H204" s="373"/>
      <c r="I204" s="373"/>
      <c r="J204" s="375"/>
      <c r="K204" s="373"/>
      <c r="L204" s="371"/>
      <c r="M204" s="376"/>
    </row>
    <row r="205" spans="1:13" ht="15.75" customHeight="1" x14ac:dyDescent="0.25">
      <c r="A205" s="302">
        <v>45981</v>
      </c>
      <c r="B205" s="370" t="s">
        <v>1527</v>
      </c>
      <c r="C205" s="371" t="s">
        <v>32</v>
      </c>
      <c r="D205" s="372">
        <v>160</v>
      </c>
      <c r="E205" s="373"/>
      <c r="F205" s="374" t="s">
        <v>1348</v>
      </c>
      <c r="G205" s="373"/>
      <c r="H205" s="373"/>
      <c r="I205" s="373"/>
      <c r="J205" s="375"/>
      <c r="K205" s="373"/>
      <c r="L205" s="371"/>
      <c r="M205" s="376"/>
    </row>
    <row r="206" spans="1:13" ht="15.75" customHeight="1" x14ac:dyDescent="0.25">
      <c r="A206" s="302">
        <v>45981</v>
      </c>
      <c r="B206" s="370" t="s">
        <v>1528</v>
      </c>
      <c r="C206" s="371" t="s">
        <v>32</v>
      </c>
      <c r="D206" s="372">
        <v>320</v>
      </c>
      <c r="E206" s="373"/>
      <c r="F206" s="374" t="s">
        <v>1103</v>
      </c>
      <c r="G206" s="373"/>
      <c r="H206" s="373"/>
      <c r="I206" s="373"/>
      <c r="J206" s="375"/>
      <c r="K206" s="373"/>
      <c r="L206" s="371"/>
      <c r="M206" s="376"/>
    </row>
    <row r="207" spans="1:13" ht="15.75" customHeight="1" x14ac:dyDescent="0.25">
      <c r="A207" s="302">
        <v>45981</v>
      </c>
      <c r="B207" s="370" t="s">
        <v>1530</v>
      </c>
      <c r="C207" s="371" t="s">
        <v>32</v>
      </c>
      <c r="D207" s="372">
        <v>900</v>
      </c>
      <c r="E207" s="373"/>
      <c r="F207" s="374" t="s">
        <v>739</v>
      </c>
      <c r="G207" s="373"/>
      <c r="H207" s="373"/>
      <c r="I207" s="373"/>
      <c r="J207" s="375"/>
      <c r="K207" s="373"/>
      <c r="L207" s="371"/>
      <c r="M207" s="376"/>
    </row>
    <row r="208" spans="1:13" ht="15.75" customHeight="1" x14ac:dyDescent="0.25">
      <c r="A208" s="302">
        <v>45981</v>
      </c>
      <c r="B208" s="370" t="s">
        <v>1531</v>
      </c>
      <c r="C208" s="371" t="s">
        <v>32</v>
      </c>
      <c r="D208" s="372">
        <v>225</v>
      </c>
      <c r="E208" s="373"/>
      <c r="F208" s="374" t="s">
        <v>741</v>
      </c>
      <c r="G208" s="373"/>
      <c r="H208" s="373"/>
      <c r="I208" s="373"/>
      <c r="J208" s="375"/>
      <c r="K208" s="373"/>
      <c r="L208" s="371"/>
      <c r="M208" s="376"/>
    </row>
    <row r="209" spans="1:13" ht="15.75" customHeight="1" x14ac:dyDescent="0.25">
      <c r="A209" s="302">
        <v>45981</v>
      </c>
      <c r="B209" s="370" t="s">
        <v>1532</v>
      </c>
      <c r="C209" s="371" t="s">
        <v>32</v>
      </c>
      <c r="D209" s="372">
        <v>1600</v>
      </c>
      <c r="E209" s="373"/>
      <c r="F209" s="374" t="s">
        <v>740</v>
      </c>
      <c r="G209" s="373"/>
      <c r="H209" s="373"/>
      <c r="I209" s="373"/>
      <c r="J209" s="375"/>
      <c r="K209" s="373"/>
      <c r="L209" s="371"/>
      <c r="M209" s="376"/>
    </row>
    <row r="210" spans="1:13" ht="15.75" customHeight="1" x14ac:dyDescent="0.25">
      <c r="A210" s="302">
        <v>45981</v>
      </c>
      <c r="B210" s="370" t="s">
        <v>1533</v>
      </c>
      <c r="C210" s="371" t="s">
        <v>32</v>
      </c>
      <c r="D210" s="372">
        <v>1200</v>
      </c>
      <c r="E210" s="373"/>
      <c r="F210" s="374" t="s">
        <v>1026</v>
      </c>
      <c r="G210" s="373"/>
      <c r="H210" s="373"/>
      <c r="I210" s="373"/>
      <c r="J210" s="375"/>
      <c r="K210" s="373"/>
      <c r="L210" s="371"/>
      <c r="M210" s="376"/>
    </row>
    <row r="211" spans="1:13" ht="15.75" customHeight="1" x14ac:dyDescent="0.25">
      <c r="A211" s="302">
        <v>45981</v>
      </c>
      <c r="B211" s="370" t="s">
        <v>1534</v>
      </c>
      <c r="C211" s="371" t="s">
        <v>32</v>
      </c>
      <c r="D211" s="372">
        <v>60</v>
      </c>
      <c r="E211" s="373"/>
      <c r="F211" s="374" t="s">
        <v>1349</v>
      </c>
      <c r="G211" s="373"/>
      <c r="H211" s="373"/>
      <c r="I211" s="373"/>
      <c r="J211" s="375"/>
      <c r="K211" s="373"/>
      <c r="L211" s="371"/>
      <c r="M211" s="376"/>
    </row>
    <row r="212" spans="1:13" ht="15.75" customHeight="1" x14ac:dyDescent="0.25">
      <c r="A212" s="302">
        <v>45981</v>
      </c>
      <c r="B212" s="370"/>
      <c r="C212" s="371" t="s">
        <v>33</v>
      </c>
      <c r="D212" s="372"/>
      <c r="E212" s="373">
        <v>50</v>
      </c>
      <c r="F212" s="374"/>
      <c r="G212" s="373"/>
      <c r="H212" s="373"/>
      <c r="I212" s="373"/>
      <c r="J212" s="375"/>
      <c r="K212" s="373"/>
      <c r="L212" s="371"/>
      <c r="M212" s="376"/>
    </row>
    <row r="213" spans="1:13" ht="15.75" customHeight="1" x14ac:dyDescent="0.25">
      <c r="A213" s="302">
        <v>45981</v>
      </c>
      <c r="B213" s="370"/>
      <c r="C213" s="371" t="s">
        <v>168</v>
      </c>
      <c r="D213" s="372"/>
      <c r="E213" s="373">
        <v>550</v>
      </c>
      <c r="F213" s="374"/>
      <c r="G213" s="373"/>
      <c r="H213" s="373"/>
      <c r="I213" s="373"/>
      <c r="J213" s="375"/>
      <c r="K213" s="373"/>
      <c r="L213" s="371"/>
      <c r="M213" s="376"/>
    </row>
    <row r="214" spans="1:13" ht="15.75" customHeight="1" x14ac:dyDescent="0.25">
      <c r="A214" s="302">
        <v>45982</v>
      </c>
      <c r="B214" s="370" t="s">
        <v>1535</v>
      </c>
      <c r="C214" s="371" t="s">
        <v>32</v>
      </c>
      <c r="D214" s="372">
        <v>320</v>
      </c>
      <c r="E214" s="373"/>
      <c r="F214" s="374" t="s">
        <v>1355</v>
      </c>
      <c r="G214" s="373"/>
      <c r="H214" s="373"/>
      <c r="I214" s="373"/>
      <c r="J214" s="375"/>
      <c r="K214" s="373"/>
      <c r="L214" s="371"/>
      <c r="M214" s="376"/>
    </row>
    <row r="215" spans="1:13" ht="15.75" customHeight="1" x14ac:dyDescent="0.25">
      <c r="A215" s="302">
        <v>45982</v>
      </c>
      <c r="B215" s="370" t="s">
        <v>1536</v>
      </c>
      <c r="C215" s="371" t="s">
        <v>32</v>
      </c>
      <c r="D215" s="372">
        <v>320</v>
      </c>
      <c r="E215" s="373"/>
      <c r="F215" s="374" t="s">
        <v>795</v>
      </c>
      <c r="G215" s="373"/>
      <c r="H215" s="373"/>
      <c r="I215" s="373"/>
      <c r="J215" s="375"/>
      <c r="K215" s="373"/>
      <c r="L215" s="371"/>
      <c r="M215" s="376"/>
    </row>
    <row r="216" spans="1:13" ht="15.75" customHeight="1" x14ac:dyDescent="0.25">
      <c r="A216" s="302">
        <v>45982</v>
      </c>
      <c r="B216" s="370" t="s">
        <v>1537</v>
      </c>
      <c r="C216" s="371" t="s">
        <v>32</v>
      </c>
      <c r="D216" s="372">
        <v>450</v>
      </c>
      <c r="E216" s="373"/>
      <c r="F216" s="374" t="s">
        <v>1045</v>
      </c>
      <c r="G216" s="373"/>
      <c r="H216" s="373"/>
      <c r="I216" s="373"/>
      <c r="J216" s="375"/>
      <c r="K216" s="373"/>
      <c r="L216" s="371"/>
      <c r="M216" s="376"/>
    </row>
    <row r="217" spans="1:13" ht="15.75" customHeight="1" x14ac:dyDescent="0.25">
      <c r="A217" s="302">
        <v>45982</v>
      </c>
      <c r="B217" s="370" t="s">
        <v>1538</v>
      </c>
      <c r="C217" s="371" t="s">
        <v>32</v>
      </c>
      <c r="D217" s="372">
        <v>320</v>
      </c>
      <c r="E217" s="373"/>
      <c r="F217" s="374" t="s">
        <v>1188</v>
      </c>
      <c r="G217" s="373"/>
      <c r="H217" s="373"/>
      <c r="I217" s="373"/>
      <c r="J217" s="375"/>
      <c r="K217" s="373"/>
      <c r="L217" s="371"/>
      <c r="M217" s="376"/>
    </row>
    <row r="218" spans="1:13" ht="15.75" customHeight="1" x14ac:dyDescent="0.25">
      <c r="A218" s="302">
        <v>45982</v>
      </c>
      <c r="B218" s="370" t="s">
        <v>1539</v>
      </c>
      <c r="C218" s="371" t="s">
        <v>32</v>
      </c>
      <c r="D218" s="372">
        <v>160</v>
      </c>
      <c r="E218" s="373"/>
      <c r="F218" s="374" t="s">
        <v>1447</v>
      </c>
      <c r="G218" s="373"/>
      <c r="H218" s="373"/>
      <c r="I218" s="373"/>
      <c r="J218" s="375"/>
      <c r="K218" s="373"/>
      <c r="L218" s="371"/>
      <c r="M218" s="376"/>
    </row>
    <row r="219" spans="1:13" ht="15.75" customHeight="1" x14ac:dyDescent="0.25">
      <c r="A219" s="302">
        <v>45982</v>
      </c>
      <c r="B219" s="370" t="s">
        <v>1540</v>
      </c>
      <c r="C219" s="371" t="s">
        <v>32</v>
      </c>
      <c r="D219" s="372">
        <v>960</v>
      </c>
      <c r="E219" s="373"/>
      <c r="F219" s="374" t="s">
        <v>753</v>
      </c>
      <c r="G219" s="373"/>
      <c r="H219" s="373"/>
      <c r="I219" s="373"/>
      <c r="J219" s="375"/>
      <c r="K219" s="373"/>
      <c r="L219" s="371"/>
      <c r="M219" s="376"/>
    </row>
    <row r="220" spans="1:13" ht="15.75" customHeight="1" x14ac:dyDescent="0.25">
      <c r="A220" s="302">
        <v>45982</v>
      </c>
      <c r="B220" s="370" t="s">
        <v>1541</v>
      </c>
      <c r="C220" s="371" t="s">
        <v>32</v>
      </c>
      <c r="D220" s="372">
        <v>720</v>
      </c>
      <c r="E220" s="373"/>
      <c r="F220" s="374" t="s">
        <v>1171</v>
      </c>
      <c r="G220" s="373"/>
      <c r="H220" s="373"/>
      <c r="I220" s="373"/>
      <c r="J220" s="375"/>
      <c r="K220" s="373"/>
      <c r="L220" s="371"/>
      <c r="M220" s="376"/>
    </row>
    <row r="221" spans="1:13" ht="15.75" customHeight="1" x14ac:dyDescent="0.25">
      <c r="A221" s="302">
        <v>45982</v>
      </c>
      <c r="B221" s="370" t="s">
        <v>1542</v>
      </c>
      <c r="C221" s="371" t="s">
        <v>32</v>
      </c>
      <c r="D221" s="372">
        <v>1500</v>
      </c>
      <c r="E221" s="373"/>
      <c r="F221" s="374" t="s">
        <v>752</v>
      </c>
      <c r="G221" s="373"/>
      <c r="H221" s="373"/>
      <c r="I221" s="373"/>
      <c r="J221" s="375"/>
      <c r="K221" s="373"/>
      <c r="L221" s="371"/>
      <c r="M221" s="376"/>
    </row>
    <row r="222" spans="1:13" ht="15.75" customHeight="1" x14ac:dyDescent="0.25">
      <c r="A222" s="302">
        <v>45982</v>
      </c>
      <c r="B222" s="370"/>
      <c r="C222" s="371" t="s">
        <v>33</v>
      </c>
      <c r="D222" s="372"/>
      <c r="E222" s="373">
        <v>50</v>
      </c>
      <c r="F222" s="374"/>
      <c r="G222" s="373"/>
      <c r="H222" s="373"/>
      <c r="I222" s="373"/>
      <c r="J222" s="375"/>
      <c r="K222" s="373"/>
      <c r="L222" s="371"/>
      <c r="M222" s="376"/>
    </row>
    <row r="223" spans="1:13" ht="15.75" customHeight="1" x14ac:dyDescent="0.25">
      <c r="A223" s="302">
        <v>45982</v>
      </c>
      <c r="B223" s="370"/>
      <c r="C223" s="371" t="s">
        <v>682</v>
      </c>
      <c r="D223" s="372"/>
      <c r="E223" s="373">
        <v>430</v>
      </c>
      <c r="F223" s="374"/>
      <c r="G223" s="373"/>
      <c r="H223" s="373"/>
      <c r="I223" s="373"/>
      <c r="J223" s="375"/>
      <c r="K223" s="373"/>
      <c r="L223" s="371"/>
      <c r="M223" s="376"/>
    </row>
    <row r="224" spans="1:13" ht="15.75" customHeight="1" x14ac:dyDescent="0.25">
      <c r="A224" s="302">
        <v>45982</v>
      </c>
      <c r="B224" s="370"/>
      <c r="C224" s="371" t="s">
        <v>680</v>
      </c>
      <c r="D224" s="372"/>
      <c r="E224" s="373">
        <v>299</v>
      </c>
      <c r="F224" s="374"/>
      <c r="G224" s="373"/>
      <c r="H224" s="373"/>
      <c r="I224" s="373"/>
      <c r="J224" s="375"/>
      <c r="K224" s="373"/>
      <c r="L224" s="371"/>
      <c r="M224" s="376"/>
    </row>
    <row r="225" spans="1:13" ht="15.75" customHeight="1" x14ac:dyDescent="0.25">
      <c r="A225" s="302">
        <v>45982</v>
      </c>
      <c r="B225" s="370"/>
      <c r="C225" s="371" t="s">
        <v>168</v>
      </c>
      <c r="D225" s="372"/>
      <c r="E225" s="373">
        <v>350</v>
      </c>
      <c r="F225" s="374"/>
      <c r="G225" s="373"/>
      <c r="H225" s="373"/>
      <c r="I225" s="373"/>
      <c r="J225" s="375"/>
      <c r="K225" s="373"/>
      <c r="L225" s="371"/>
      <c r="M225" s="376"/>
    </row>
    <row r="226" spans="1:13" ht="15.75" customHeight="1" x14ac:dyDescent="0.25">
      <c r="A226" s="302">
        <v>45983</v>
      </c>
      <c r="B226" s="370"/>
      <c r="C226" s="371" t="s">
        <v>145</v>
      </c>
      <c r="D226" s="372"/>
      <c r="E226" s="373">
        <v>6000</v>
      </c>
      <c r="F226" s="374"/>
      <c r="G226" s="373" t="s">
        <v>619</v>
      </c>
      <c r="H226" s="373">
        <v>60</v>
      </c>
      <c r="I226" s="373"/>
      <c r="J226" s="375">
        <v>100</v>
      </c>
      <c r="K226" s="373" t="s">
        <v>19</v>
      </c>
      <c r="L226" s="371"/>
      <c r="M226" s="376"/>
    </row>
    <row r="227" spans="1:13" ht="15.75" customHeight="1" x14ac:dyDescent="0.25">
      <c r="A227" s="302">
        <v>45983</v>
      </c>
      <c r="B227" s="370" t="s">
        <v>1543</v>
      </c>
      <c r="C227" s="371" t="s">
        <v>32</v>
      </c>
      <c r="D227" s="372">
        <v>2550</v>
      </c>
      <c r="E227" s="373"/>
      <c r="F227" s="374" t="s">
        <v>1045</v>
      </c>
      <c r="G227" s="373"/>
      <c r="H227" s="373"/>
      <c r="I227" s="373"/>
      <c r="J227" s="375"/>
      <c r="K227" s="373"/>
      <c r="L227" s="371"/>
      <c r="M227" s="376"/>
    </row>
    <row r="228" spans="1:13" ht="15.75" customHeight="1" x14ac:dyDescent="0.25">
      <c r="A228" s="302">
        <v>45983</v>
      </c>
      <c r="B228" s="370" t="s">
        <v>1544</v>
      </c>
      <c r="C228" s="371" t="s">
        <v>32</v>
      </c>
      <c r="D228" s="372">
        <v>3000</v>
      </c>
      <c r="E228" s="373"/>
      <c r="F228" s="374" t="s">
        <v>752</v>
      </c>
      <c r="G228" s="373"/>
      <c r="H228" s="373"/>
      <c r="I228" s="373"/>
      <c r="J228" s="375"/>
      <c r="K228" s="373"/>
      <c r="L228" s="371"/>
      <c r="M228" s="376"/>
    </row>
    <row r="229" spans="1:13" ht="15.75" customHeight="1" x14ac:dyDescent="0.25">
      <c r="A229" s="302">
        <v>45983</v>
      </c>
      <c r="B229" s="370" t="s">
        <v>1545</v>
      </c>
      <c r="C229" s="371" t="s">
        <v>32</v>
      </c>
      <c r="D229" s="372">
        <v>240</v>
      </c>
      <c r="E229" s="373"/>
      <c r="F229" s="374" t="s">
        <v>1554</v>
      </c>
      <c r="G229" s="373"/>
      <c r="H229" s="373"/>
      <c r="I229" s="373"/>
      <c r="J229" s="375"/>
      <c r="K229" s="373"/>
      <c r="L229" s="371"/>
      <c r="M229" s="376"/>
    </row>
    <row r="230" spans="1:13" ht="15.75" customHeight="1" x14ac:dyDescent="0.25">
      <c r="A230" s="302">
        <v>45983</v>
      </c>
      <c r="B230" s="370" t="s">
        <v>1546</v>
      </c>
      <c r="C230" s="371" t="s">
        <v>32</v>
      </c>
      <c r="D230" s="372">
        <v>260</v>
      </c>
      <c r="E230" s="373"/>
      <c r="F230" s="374" t="s">
        <v>817</v>
      </c>
      <c r="G230" s="373"/>
      <c r="H230" s="373"/>
      <c r="I230" s="373"/>
      <c r="J230" s="375"/>
      <c r="K230" s="373"/>
      <c r="L230" s="371"/>
      <c r="M230" s="376"/>
    </row>
    <row r="231" spans="1:13" ht="15.75" customHeight="1" x14ac:dyDescent="0.25">
      <c r="A231" s="302">
        <v>45983</v>
      </c>
      <c r="B231" s="370" t="s">
        <v>1547</v>
      </c>
      <c r="C231" s="371" t="s">
        <v>32</v>
      </c>
      <c r="D231" s="372">
        <v>3000</v>
      </c>
      <c r="E231" s="373"/>
      <c r="F231" s="374" t="s">
        <v>1270</v>
      </c>
      <c r="G231" s="373"/>
      <c r="H231" s="373"/>
      <c r="I231" s="373"/>
      <c r="J231" s="375"/>
      <c r="K231" s="373"/>
      <c r="L231" s="371"/>
      <c r="M231" s="376"/>
    </row>
    <row r="232" spans="1:13" ht="15.75" customHeight="1" x14ac:dyDescent="0.25">
      <c r="A232" s="302">
        <v>45983</v>
      </c>
      <c r="B232" s="370" t="s">
        <v>1548</v>
      </c>
      <c r="C232" s="371" t="s">
        <v>32</v>
      </c>
      <c r="D232" s="372">
        <v>320</v>
      </c>
      <c r="E232" s="373"/>
      <c r="F232" s="374" t="s">
        <v>753</v>
      </c>
      <c r="G232" s="373"/>
      <c r="H232" s="373"/>
      <c r="I232" s="373"/>
      <c r="J232" s="375"/>
      <c r="K232" s="373"/>
      <c r="L232" s="371"/>
      <c r="M232" s="376"/>
    </row>
    <row r="233" spans="1:13" ht="15.75" customHeight="1" x14ac:dyDescent="0.25">
      <c r="A233" s="302">
        <v>45983</v>
      </c>
      <c r="B233" s="370" t="s">
        <v>1549</v>
      </c>
      <c r="C233" s="371" t="s">
        <v>32</v>
      </c>
      <c r="D233" s="372">
        <v>160</v>
      </c>
      <c r="E233" s="373"/>
      <c r="F233" s="374" t="s">
        <v>1445</v>
      </c>
      <c r="G233" s="373"/>
      <c r="H233" s="373"/>
      <c r="I233" s="373"/>
      <c r="J233" s="375"/>
      <c r="K233" s="373"/>
      <c r="L233" s="371"/>
      <c r="M233" s="376"/>
    </row>
    <row r="234" spans="1:13" ht="15.75" customHeight="1" x14ac:dyDescent="0.25">
      <c r="A234" s="302">
        <v>45983</v>
      </c>
      <c r="B234" s="370" t="s">
        <v>1550</v>
      </c>
      <c r="C234" s="371" t="s">
        <v>32</v>
      </c>
      <c r="D234" s="372">
        <v>150</v>
      </c>
      <c r="E234" s="373"/>
      <c r="F234" s="374" t="s">
        <v>1026</v>
      </c>
      <c r="G234" s="373"/>
      <c r="H234" s="373"/>
      <c r="I234" s="373"/>
      <c r="J234" s="375"/>
      <c r="K234" s="373"/>
      <c r="L234" s="371"/>
      <c r="M234" s="376"/>
    </row>
    <row r="235" spans="1:13" ht="15.75" customHeight="1" x14ac:dyDescent="0.25">
      <c r="A235" s="302">
        <v>45983</v>
      </c>
      <c r="B235" s="370" t="s">
        <v>1551</v>
      </c>
      <c r="C235" s="371" t="s">
        <v>32</v>
      </c>
      <c r="D235" s="372">
        <v>900</v>
      </c>
      <c r="E235" s="373"/>
      <c r="F235" s="374" t="s">
        <v>741</v>
      </c>
      <c r="G235" s="373"/>
      <c r="H235" s="373"/>
      <c r="I235" s="373"/>
      <c r="J235" s="375"/>
      <c r="K235" s="373"/>
      <c r="L235" s="371"/>
      <c r="M235" s="376"/>
    </row>
    <row r="236" spans="1:13" ht="15.75" customHeight="1" x14ac:dyDescent="0.25">
      <c r="A236" s="302">
        <v>45983</v>
      </c>
      <c r="B236" s="370" t="s">
        <v>1552</v>
      </c>
      <c r="C236" s="371" t="s">
        <v>32</v>
      </c>
      <c r="D236" s="372">
        <v>1500</v>
      </c>
      <c r="E236" s="373"/>
      <c r="F236" s="374" t="s">
        <v>740</v>
      </c>
      <c r="G236" s="373"/>
      <c r="H236" s="373"/>
      <c r="I236" s="373"/>
      <c r="J236" s="375"/>
      <c r="K236" s="373"/>
      <c r="L236" s="371"/>
      <c r="M236" s="376"/>
    </row>
    <row r="237" spans="1:13" ht="15.75" customHeight="1" x14ac:dyDescent="0.25">
      <c r="A237" s="302">
        <v>45983</v>
      </c>
      <c r="B237" s="370" t="s">
        <v>1553</v>
      </c>
      <c r="C237" s="371" t="s">
        <v>32</v>
      </c>
      <c r="D237" s="372">
        <v>240</v>
      </c>
      <c r="E237" s="373"/>
      <c r="F237" s="374" t="s">
        <v>1171</v>
      </c>
      <c r="G237" s="373"/>
      <c r="H237" s="373"/>
      <c r="I237" s="373"/>
      <c r="J237" s="375"/>
      <c r="K237" s="373"/>
      <c r="L237" s="371"/>
      <c r="M237" s="376"/>
    </row>
    <row r="238" spans="1:13" ht="15.75" customHeight="1" x14ac:dyDescent="0.25">
      <c r="A238" s="302">
        <v>45983</v>
      </c>
      <c r="B238" s="370"/>
      <c r="C238" s="371" t="s">
        <v>618</v>
      </c>
      <c r="D238" s="372"/>
      <c r="E238" s="373">
        <v>160</v>
      </c>
      <c r="F238" s="374"/>
      <c r="G238" s="373"/>
      <c r="H238" s="373"/>
      <c r="I238" s="373"/>
      <c r="J238" s="375"/>
      <c r="K238" s="373"/>
      <c r="L238" s="371"/>
      <c r="M238" s="376"/>
    </row>
    <row r="239" spans="1:13" ht="15.75" customHeight="1" x14ac:dyDescent="0.25">
      <c r="A239" s="302">
        <v>45983</v>
      </c>
      <c r="B239" s="370"/>
      <c r="C239" s="371" t="s">
        <v>161</v>
      </c>
      <c r="D239" s="372"/>
      <c r="E239" s="373">
        <v>100</v>
      </c>
      <c r="F239" s="374"/>
      <c r="G239" s="373"/>
      <c r="H239" s="373"/>
      <c r="I239" s="373"/>
      <c r="J239" s="375"/>
      <c r="K239" s="373"/>
      <c r="L239" s="371"/>
      <c r="M239" s="376"/>
    </row>
    <row r="240" spans="1:13" ht="15.75" customHeight="1" x14ac:dyDescent="0.25">
      <c r="A240" s="302">
        <v>45983</v>
      </c>
      <c r="B240" s="370"/>
      <c r="C240" s="371" t="s">
        <v>33</v>
      </c>
      <c r="D240" s="372"/>
      <c r="E240" s="373">
        <v>50</v>
      </c>
      <c r="F240" s="374"/>
      <c r="G240" s="373"/>
      <c r="H240" s="373"/>
      <c r="I240" s="373"/>
      <c r="J240" s="375"/>
      <c r="K240" s="373"/>
      <c r="L240" s="371"/>
      <c r="M240" s="376"/>
    </row>
    <row r="241" spans="1:13" ht="15.75" customHeight="1" x14ac:dyDescent="0.25">
      <c r="A241" s="302">
        <v>45984</v>
      </c>
      <c r="B241" s="370" t="s">
        <v>1555</v>
      </c>
      <c r="C241" s="371" t="s">
        <v>32</v>
      </c>
      <c r="D241" s="372">
        <v>3050</v>
      </c>
      <c r="E241" s="373"/>
      <c r="F241" s="374" t="s">
        <v>752</v>
      </c>
      <c r="G241" s="373"/>
      <c r="H241" s="373"/>
      <c r="I241" s="373"/>
      <c r="J241" s="375"/>
      <c r="K241" s="373"/>
      <c r="L241" s="371"/>
      <c r="M241" s="376"/>
    </row>
    <row r="242" spans="1:13" ht="15.75" customHeight="1" x14ac:dyDescent="0.25">
      <c r="A242" s="302">
        <v>45984</v>
      </c>
      <c r="B242" s="370" t="s">
        <v>1556</v>
      </c>
      <c r="C242" s="371" t="s">
        <v>32</v>
      </c>
      <c r="D242" s="372">
        <v>320</v>
      </c>
      <c r="E242" s="373"/>
      <c r="F242" s="374" t="s">
        <v>1447</v>
      </c>
      <c r="G242" s="373"/>
      <c r="H242" s="373"/>
      <c r="I242" s="373"/>
      <c r="J242" s="375"/>
      <c r="K242" s="373"/>
      <c r="L242" s="371"/>
      <c r="M242" s="376"/>
    </row>
    <row r="243" spans="1:13" ht="15.75" customHeight="1" x14ac:dyDescent="0.25">
      <c r="A243" s="302">
        <v>45984</v>
      </c>
      <c r="B243" s="370" t="s">
        <v>1557</v>
      </c>
      <c r="C243" s="371" t="s">
        <v>32</v>
      </c>
      <c r="D243" s="372">
        <v>320</v>
      </c>
      <c r="E243" s="373"/>
      <c r="F243" s="374" t="s">
        <v>753</v>
      </c>
      <c r="G243" s="373"/>
      <c r="H243" s="373"/>
      <c r="I243" s="373"/>
      <c r="J243" s="375"/>
      <c r="K243" s="373"/>
      <c r="L243" s="371"/>
      <c r="M243" s="376"/>
    </row>
    <row r="244" spans="1:13" ht="15.75" customHeight="1" x14ac:dyDescent="0.25">
      <c r="A244" s="302">
        <v>45984</v>
      </c>
      <c r="B244" s="370" t="s">
        <v>1558</v>
      </c>
      <c r="C244" s="371" t="s">
        <v>32</v>
      </c>
      <c r="D244" s="372">
        <v>170</v>
      </c>
      <c r="E244" s="373"/>
      <c r="F244" s="374" t="s">
        <v>817</v>
      </c>
      <c r="G244" s="373"/>
      <c r="H244" s="373"/>
      <c r="I244" s="373"/>
      <c r="J244" s="375"/>
      <c r="K244" s="373"/>
      <c r="L244" s="371"/>
      <c r="M244" s="376"/>
    </row>
    <row r="245" spans="1:13" ht="15.75" customHeight="1" x14ac:dyDescent="0.25">
      <c r="A245" s="302">
        <v>45984</v>
      </c>
      <c r="B245" s="370" t="s">
        <v>1559</v>
      </c>
      <c r="C245" s="371" t="s">
        <v>32</v>
      </c>
      <c r="D245" s="372">
        <v>240</v>
      </c>
      <c r="E245" s="373"/>
      <c r="F245" s="374" t="s">
        <v>1554</v>
      </c>
      <c r="G245" s="373"/>
      <c r="H245" s="373"/>
      <c r="I245" s="373"/>
      <c r="J245" s="375"/>
      <c r="K245" s="373"/>
      <c r="L245" s="371"/>
      <c r="M245" s="376"/>
    </row>
    <row r="246" spans="1:13" ht="15.75" customHeight="1" x14ac:dyDescent="0.25">
      <c r="A246" s="302">
        <v>45984</v>
      </c>
      <c r="B246" s="370" t="s">
        <v>1560</v>
      </c>
      <c r="C246" s="371" t="s">
        <v>32</v>
      </c>
      <c r="D246" s="372">
        <v>1500</v>
      </c>
      <c r="E246" s="373"/>
      <c r="F246" s="374" t="s">
        <v>794</v>
      </c>
      <c r="G246" s="373"/>
      <c r="H246" s="373"/>
      <c r="I246" s="373"/>
      <c r="J246" s="375"/>
      <c r="K246" s="373"/>
      <c r="L246" s="371"/>
      <c r="M246" s="376"/>
    </row>
    <row r="247" spans="1:13" ht="15.75" customHeight="1" x14ac:dyDescent="0.25">
      <c r="A247" s="302">
        <v>45984</v>
      </c>
      <c r="B247" s="370" t="s">
        <v>1561</v>
      </c>
      <c r="C247" s="371" t="s">
        <v>32</v>
      </c>
      <c r="D247" s="372">
        <v>160</v>
      </c>
      <c r="E247" s="373"/>
      <c r="F247" s="374" t="s">
        <v>1272</v>
      </c>
      <c r="G247" s="373"/>
      <c r="H247" s="373"/>
      <c r="I247" s="373"/>
      <c r="J247" s="375"/>
      <c r="K247" s="373"/>
      <c r="L247" s="371"/>
      <c r="M247" s="376"/>
    </row>
    <row r="248" spans="1:13" ht="15.75" customHeight="1" x14ac:dyDescent="0.25">
      <c r="A248" s="302">
        <v>45984</v>
      </c>
      <c r="B248" s="370" t="s">
        <v>1562</v>
      </c>
      <c r="C248" s="371" t="s">
        <v>32</v>
      </c>
      <c r="D248" s="372">
        <v>1350</v>
      </c>
      <c r="E248" s="373"/>
      <c r="F248" s="374" t="s">
        <v>1045</v>
      </c>
      <c r="G248" s="373"/>
      <c r="H248" s="373"/>
      <c r="I248" s="373"/>
      <c r="J248" s="375"/>
      <c r="K248" s="373"/>
      <c r="L248" s="371"/>
      <c r="M248" s="376"/>
    </row>
    <row r="249" spans="1:13" ht="15.75" customHeight="1" x14ac:dyDescent="0.25">
      <c r="A249" s="302">
        <v>45984</v>
      </c>
      <c r="B249" s="370" t="s">
        <v>1563</v>
      </c>
      <c r="C249" s="371" t="s">
        <v>32</v>
      </c>
      <c r="D249" s="372">
        <v>1500</v>
      </c>
      <c r="E249" s="373"/>
      <c r="F249" s="374" t="s">
        <v>817</v>
      </c>
      <c r="G249" s="373"/>
      <c r="H249" s="373"/>
      <c r="I249" s="373"/>
      <c r="J249" s="375"/>
      <c r="K249" s="373"/>
      <c r="L249" s="371"/>
      <c r="M249" s="376"/>
    </row>
    <row r="250" spans="1:13" ht="15.75" customHeight="1" x14ac:dyDescent="0.25">
      <c r="A250" s="302">
        <v>45984</v>
      </c>
      <c r="B250" s="370"/>
      <c r="C250" s="371" t="s">
        <v>33</v>
      </c>
      <c r="D250" s="372"/>
      <c r="E250" s="373">
        <v>20</v>
      </c>
      <c r="F250" s="374"/>
      <c r="G250" s="373"/>
      <c r="H250" s="373"/>
      <c r="I250" s="373"/>
      <c r="J250" s="375"/>
      <c r="K250" s="373"/>
      <c r="L250" s="371"/>
      <c r="M250" s="376"/>
    </row>
    <row r="251" spans="1:13" ht="15.75" customHeight="1" x14ac:dyDescent="0.25">
      <c r="A251" s="302">
        <v>45985</v>
      </c>
      <c r="B251" s="370" t="s">
        <v>1564</v>
      </c>
      <c r="C251" s="371" t="s">
        <v>32</v>
      </c>
      <c r="D251" s="372">
        <v>160</v>
      </c>
      <c r="E251" s="373"/>
      <c r="F251" s="374" t="s">
        <v>1554</v>
      </c>
      <c r="G251" s="373"/>
      <c r="H251" s="373"/>
      <c r="I251" s="373"/>
      <c r="J251" s="375"/>
      <c r="K251" s="373"/>
      <c r="L251" s="371"/>
      <c r="M251" s="376"/>
    </row>
    <row r="252" spans="1:13" ht="15.75" customHeight="1" x14ac:dyDescent="0.25">
      <c r="A252" s="302">
        <v>45985</v>
      </c>
      <c r="B252" s="370" t="s">
        <v>1565</v>
      </c>
      <c r="C252" s="371" t="s">
        <v>32</v>
      </c>
      <c r="D252" s="372">
        <v>710</v>
      </c>
      <c r="E252" s="373"/>
      <c r="F252" s="374" t="s">
        <v>817</v>
      </c>
      <c r="G252" s="373"/>
      <c r="H252" s="373"/>
      <c r="I252" s="373"/>
      <c r="J252" s="375"/>
      <c r="K252" s="373"/>
      <c r="L252" s="371"/>
      <c r="M252" s="376"/>
    </row>
    <row r="253" spans="1:13" ht="15.75" customHeight="1" x14ac:dyDescent="0.25">
      <c r="A253" s="302">
        <v>45985</v>
      </c>
      <c r="B253" s="370" t="s">
        <v>1566</v>
      </c>
      <c r="C253" s="371" t="s">
        <v>32</v>
      </c>
      <c r="D253" s="372">
        <v>480</v>
      </c>
      <c r="E253" s="373"/>
      <c r="F253" s="374" t="s">
        <v>795</v>
      </c>
      <c r="G253" s="373"/>
      <c r="H253" s="373"/>
      <c r="I253" s="373"/>
      <c r="J253" s="375"/>
      <c r="K253" s="373"/>
      <c r="L253" s="371"/>
      <c r="M253" s="376"/>
    </row>
    <row r="254" spans="1:13" ht="15.75" customHeight="1" x14ac:dyDescent="0.25">
      <c r="A254" s="302">
        <v>45985</v>
      </c>
      <c r="B254" s="370" t="s">
        <v>1567</v>
      </c>
      <c r="C254" s="371" t="s">
        <v>32</v>
      </c>
      <c r="D254" s="372">
        <v>320</v>
      </c>
      <c r="E254" s="373"/>
      <c r="F254" s="374" t="s">
        <v>753</v>
      </c>
      <c r="G254" s="373"/>
      <c r="H254" s="373"/>
      <c r="I254" s="373"/>
      <c r="J254" s="375"/>
      <c r="K254" s="373"/>
      <c r="L254" s="371"/>
      <c r="M254" s="376"/>
    </row>
    <row r="255" spans="1:13" ht="15.75" customHeight="1" x14ac:dyDescent="0.25">
      <c r="A255" s="302">
        <v>45985</v>
      </c>
      <c r="B255" s="370" t="s">
        <v>1568</v>
      </c>
      <c r="C255" s="371" t="s">
        <v>32</v>
      </c>
      <c r="D255" s="372">
        <v>2700</v>
      </c>
      <c r="E255" s="373"/>
      <c r="F255" s="374" t="s">
        <v>740</v>
      </c>
      <c r="G255" s="373"/>
      <c r="H255" s="373"/>
      <c r="I255" s="373"/>
      <c r="J255" s="375"/>
      <c r="K255" s="373"/>
      <c r="L255" s="371"/>
      <c r="M255" s="376"/>
    </row>
    <row r="256" spans="1:13" ht="15.75" customHeight="1" x14ac:dyDescent="0.25">
      <c r="A256" s="302">
        <v>45985</v>
      </c>
      <c r="B256" s="370" t="s">
        <v>1569</v>
      </c>
      <c r="C256" s="371" t="s">
        <v>32</v>
      </c>
      <c r="D256" s="372">
        <v>450</v>
      </c>
      <c r="E256" s="373"/>
      <c r="F256" s="374" t="s">
        <v>741</v>
      </c>
      <c r="G256" s="373"/>
      <c r="H256" s="373"/>
      <c r="I256" s="373"/>
      <c r="J256" s="375"/>
      <c r="K256" s="373"/>
      <c r="L256" s="371"/>
      <c r="M256" s="376"/>
    </row>
    <row r="257" spans="1:13" ht="15.75" customHeight="1" x14ac:dyDescent="0.25">
      <c r="A257" s="302">
        <v>45985</v>
      </c>
      <c r="B257" s="370" t="s">
        <v>1570</v>
      </c>
      <c r="C257" s="371" t="s">
        <v>32</v>
      </c>
      <c r="D257" s="372">
        <v>320</v>
      </c>
      <c r="E257" s="373"/>
      <c r="F257" s="374" t="s">
        <v>1272</v>
      </c>
      <c r="G257" s="373"/>
      <c r="H257" s="373"/>
      <c r="I257" s="373"/>
      <c r="J257" s="375"/>
      <c r="K257" s="373"/>
      <c r="L257" s="371"/>
      <c r="M257" s="376"/>
    </row>
    <row r="258" spans="1:13" ht="15.75" customHeight="1" x14ac:dyDescent="0.25">
      <c r="A258" s="302">
        <v>45985</v>
      </c>
      <c r="B258" s="370"/>
      <c r="C258" s="371" t="s">
        <v>682</v>
      </c>
      <c r="D258" s="372"/>
      <c r="E258" s="373">
        <v>120</v>
      </c>
      <c r="F258" s="374"/>
      <c r="G258" s="373"/>
      <c r="H258" s="373"/>
      <c r="I258" s="373"/>
      <c r="J258" s="375"/>
      <c r="K258" s="373"/>
      <c r="L258" s="371"/>
      <c r="M258" s="376"/>
    </row>
    <row r="259" spans="1:13" ht="15.75" customHeight="1" x14ac:dyDescent="0.25">
      <c r="A259" s="302">
        <v>45985</v>
      </c>
      <c r="B259" s="370"/>
      <c r="C259" s="371" t="s">
        <v>33</v>
      </c>
      <c r="D259" s="372"/>
      <c r="E259" s="373">
        <v>10</v>
      </c>
      <c r="F259" s="374"/>
      <c r="G259" s="373"/>
      <c r="H259" s="373"/>
      <c r="I259" s="373"/>
      <c r="J259" s="375"/>
      <c r="K259" s="373"/>
      <c r="L259" s="371"/>
      <c r="M259" s="376"/>
    </row>
    <row r="260" spans="1:13" ht="15.75" customHeight="1" x14ac:dyDescent="0.25">
      <c r="A260" s="302">
        <v>45985</v>
      </c>
      <c r="B260" s="370"/>
      <c r="C260" s="371" t="s">
        <v>33</v>
      </c>
      <c r="D260" s="372"/>
      <c r="E260" s="373">
        <v>50</v>
      </c>
      <c r="F260" s="374"/>
      <c r="G260" s="373"/>
      <c r="H260" s="373"/>
      <c r="I260" s="373"/>
      <c r="J260" s="375"/>
      <c r="K260" s="373"/>
      <c r="L260" s="371"/>
      <c r="M260" s="376"/>
    </row>
    <row r="261" spans="1:13" ht="15.75" customHeight="1" x14ac:dyDescent="0.25">
      <c r="A261" s="302">
        <v>45985</v>
      </c>
      <c r="B261" s="370"/>
      <c r="C261" s="371" t="s">
        <v>109</v>
      </c>
      <c r="D261" s="372"/>
      <c r="E261" s="373">
        <v>400</v>
      </c>
      <c r="F261" s="374"/>
      <c r="G261" s="373"/>
      <c r="H261" s="373"/>
      <c r="I261" s="373"/>
      <c r="J261" s="375"/>
      <c r="K261" s="373"/>
      <c r="L261" s="371"/>
      <c r="M261" s="376"/>
    </row>
    <row r="262" spans="1:13" ht="15.75" customHeight="1" x14ac:dyDescent="0.25">
      <c r="A262" s="302">
        <v>45986</v>
      </c>
      <c r="B262" s="370"/>
      <c r="C262" s="371" t="s">
        <v>147</v>
      </c>
      <c r="D262" s="372"/>
      <c r="E262" s="373">
        <v>25021</v>
      </c>
      <c r="F262" s="374"/>
      <c r="G262" s="373" t="s">
        <v>623</v>
      </c>
      <c r="H262" s="373">
        <v>60</v>
      </c>
      <c r="I262" s="373">
        <v>1501</v>
      </c>
      <c r="J262" s="375">
        <v>392</v>
      </c>
      <c r="K262" s="373" t="s">
        <v>548</v>
      </c>
      <c r="L262" s="371"/>
      <c r="M262" s="376"/>
    </row>
    <row r="263" spans="1:13" ht="15.75" customHeight="1" x14ac:dyDescent="0.25">
      <c r="A263" s="302">
        <v>45986</v>
      </c>
      <c r="B263" s="370"/>
      <c r="C263" s="371" t="s">
        <v>145</v>
      </c>
      <c r="D263" s="372"/>
      <c r="E263" s="373">
        <v>6800</v>
      </c>
      <c r="F263" s="374"/>
      <c r="G263" s="373" t="s">
        <v>619</v>
      </c>
      <c r="H263" s="373">
        <v>68</v>
      </c>
      <c r="I263" s="373"/>
      <c r="J263" s="375">
        <v>100</v>
      </c>
      <c r="K263" s="373" t="s">
        <v>19</v>
      </c>
      <c r="L263" s="371"/>
      <c r="M263" s="376"/>
    </row>
    <row r="264" spans="1:13" ht="15.75" customHeight="1" x14ac:dyDescent="0.25">
      <c r="A264" s="302">
        <v>45986</v>
      </c>
      <c r="B264" s="370" t="s">
        <v>1571</v>
      </c>
      <c r="C264" s="371" t="s">
        <v>32</v>
      </c>
      <c r="D264" s="372">
        <v>160</v>
      </c>
      <c r="E264" s="373"/>
      <c r="F264" s="374" t="s">
        <v>1554</v>
      </c>
      <c r="G264" s="373"/>
      <c r="H264" s="373"/>
      <c r="I264" s="373"/>
      <c r="J264" s="375"/>
      <c r="K264" s="373"/>
      <c r="L264" s="371"/>
      <c r="M264" s="376"/>
    </row>
    <row r="265" spans="1:13" ht="15.75" customHeight="1" x14ac:dyDescent="0.25">
      <c r="A265" s="302">
        <v>45986</v>
      </c>
      <c r="B265" s="370" t="s">
        <v>1572</v>
      </c>
      <c r="C265" s="371" t="s">
        <v>32</v>
      </c>
      <c r="D265" s="372">
        <v>320</v>
      </c>
      <c r="E265" s="373"/>
      <c r="F265" s="374" t="s">
        <v>753</v>
      </c>
      <c r="G265" s="373"/>
      <c r="H265" s="373"/>
      <c r="I265" s="373"/>
      <c r="J265" s="375"/>
      <c r="K265" s="373"/>
      <c r="L265" s="371"/>
      <c r="M265" s="376"/>
    </row>
    <row r="266" spans="1:13" ht="15.75" customHeight="1" x14ac:dyDescent="0.25">
      <c r="A266" s="302">
        <v>45986</v>
      </c>
      <c r="B266" s="370" t="s">
        <v>1573</v>
      </c>
      <c r="C266" s="371" t="s">
        <v>32</v>
      </c>
      <c r="D266" s="372">
        <v>160</v>
      </c>
      <c r="E266" s="373"/>
      <c r="F266" s="374" t="s">
        <v>1188</v>
      </c>
      <c r="G266" s="373"/>
      <c r="H266" s="373"/>
      <c r="I266" s="373"/>
      <c r="J266" s="375"/>
      <c r="K266" s="373"/>
      <c r="L266" s="371"/>
      <c r="M266" s="376"/>
    </row>
    <row r="267" spans="1:13" ht="15.75" customHeight="1" x14ac:dyDescent="0.25">
      <c r="A267" s="302">
        <v>45986</v>
      </c>
      <c r="B267" s="370" t="s">
        <v>1574</v>
      </c>
      <c r="C267" s="371" t="s">
        <v>32</v>
      </c>
      <c r="D267" s="372">
        <v>480</v>
      </c>
      <c r="E267" s="373"/>
      <c r="F267" s="374" t="s">
        <v>1171</v>
      </c>
      <c r="G267" s="373"/>
      <c r="H267" s="373"/>
      <c r="I267" s="373"/>
      <c r="J267" s="375"/>
      <c r="K267" s="373"/>
      <c r="L267" s="371"/>
      <c r="M267" s="376"/>
    </row>
    <row r="268" spans="1:13" ht="15.75" customHeight="1" x14ac:dyDescent="0.25">
      <c r="A268" s="302">
        <v>45986</v>
      </c>
      <c r="B268" s="370" t="s">
        <v>1575</v>
      </c>
      <c r="C268" s="371" t="s">
        <v>32</v>
      </c>
      <c r="D268" s="372">
        <v>160</v>
      </c>
      <c r="E268" s="373"/>
      <c r="F268" s="374" t="s">
        <v>847</v>
      </c>
      <c r="G268" s="373"/>
      <c r="H268" s="373"/>
      <c r="I268" s="373"/>
      <c r="J268" s="375"/>
      <c r="K268" s="373"/>
      <c r="L268" s="371"/>
      <c r="M268" s="376"/>
    </row>
    <row r="269" spans="1:13" ht="15.75" customHeight="1" x14ac:dyDescent="0.25">
      <c r="A269" s="302">
        <v>45986</v>
      </c>
      <c r="B269" s="370" t="s">
        <v>1576</v>
      </c>
      <c r="C269" s="371" t="s">
        <v>32</v>
      </c>
      <c r="D269" s="372">
        <v>1350</v>
      </c>
      <c r="E269" s="373"/>
      <c r="F269" s="374" t="s">
        <v>1045</v>
      </c>
      <c r="G269" s="373"/>
      <c r="H269" s="373"/>
      <c r="I269" s="373"/>
      <c r="J269" s="375"/>
      <c r="K269" s="373"/>
      <c r="L269" s="371"/>
      <c r="M269" s="376"/>
    </row>
    <row r="270" spans="1:13" ht="15.75" customHeight="1" x14ac:dyDescent="0.25">
      <c r="A270" s="302">
        <v>45986</v>
      </c>
      <c r="B270" s="370" t="s">
        <v>1577</v>
      </c>
      <c r="C270" s="371" t="s">
        <v>32</v>
      </c>
      <c r="D270" s="372">
        <v>320</v>
      </c>
      <c r="E270" s="373"/>
      <c r="F270" s="374" t="s">
        <v>741</v>
      </c>
      <c r="G270" s="373"/>
      <c r="H270" s="373"/>
      <c r="I270" s="373"/>
      <c r="J270" s="375"/>
      <c r="K270" s="373"/>
      <c r="L270" s="371"/>
      <c r="M270" s="376"/>
    </row>
    <row r="271" spans="1:13" ht="15.75" customHeight="1" x14ac:dyDescent="0.25">
      <c r="A271" s="302">
        <v>45986</v>
      </c>
      <c r="B271" s="370"/>
      <c r="C271" s="371" t="s">
        <v>33</v>
      </c>
      <c r="D271" s="372"/>
      <c r="E271" s="373">
        <v>50</v>
      </c>
      <c r="F271" s="374"/>
      <c r="G271" s="373"/>
      <c r="H271" s="373"/>
      <c r="I271" s="373"/>
      <c r="J271" s="375"/>
      <c r="K271" s="373"/>
      <c r="L271" s="371"/>
      <c r="M271" s="376"/>
    </row>
    <row r="272" spans="1:13" ht="15.75" customHeight="1" x14ac:dyDescent="0.25">
      <c r="A272" s="302">
        <v>45986</v>
      </c>
      <c r="B272" s="370"/>
      <c r="C272" s="371" t="s">
        <v>818</v>
      </c>
      <c r="D272" s="372"/>
      <c r="E272" s="373">
        <v>100</v>
      </c>
      <c r="F272" s="374"/>
      <c r="G272" s="373"/>
      <c r="H272" s="373"/>
      <c r="I272" s="373"/>
      <c r="J272" s="375"/>
      <c r="K272" s="373"/>
      <c r="L272" s="371"/>
      <c r="M272" s="376"/>
    </row>
    <row r="273" spans="1:13" ht="15.75" customHeight="1" x14ac:dyDescent="0.25">
      <c r="A273" s="302">
        <v>45986</v>
      </c>
      <c r="B273" s="370"/>
      <c r="C273" s="371" t="s">
        <v>682</v>
      </c>
      <c r="D273" s="372"/>
      <c r="E273" s="373">
        <v>1000</v>
      </c>
      <c r="F273" s="374"/>
      <c r="G273" s="373"/>
      <c r="H273" s="373"/>
      <c r="I273" s="373"/>
      <c r="J273" s="375"/>
      <c r="K273" s="373"/>
      <c r="L273" s="371"/>
      <c r="M273" s="376"/>
    </row>
    <row r="274" spans="1:13" ht="15.75" customHeight="1" x14ac:dyDescent="0.25">
      <c r="A274" s="302">
        <v>45987</v>
      </c>
      <c r="B274" s="370" t="s">
        <v>1578</v>
      </c>
      <c r="C274" s="371" t="s">
        <v>32</v>
      </c>
      <c r="D274" s="372">
        <v>240</v>
      </c>
      <c r="E274" s="373"/>
      <c r="F274" s="374" t="s">
        <v>1554</v>
      </c>
      <c r="G274" s="373"/>
      <c r="H274" s="373"/>
      <c r="I274" s="373"/>
      <c r="J274" s="375"/>
      <c r="K274" s="373"/>
      <c r="L274" s="371"/>
      <c r="M274" s="376"/>
    </row>
    <row r="275" spans="1:13" ht="15.75" customHeight="1" x14ac:dyDescent="0.25">
      <c r="A275" s="302">
        <v>45987</v>
      </c>
      <c r="B275" s="370" t="s">
        <v>1579</v>
      </c>
      <c r="C275" s="371" t="s">
        <v>32</v>
      </c>
      <c r="D275" s="372">
        <v>480</v>
      </c>
      <c r="E275" s="373"/>
      <c r="F275" s="374" t="s">
        <v>753</v>
      </c>
      <c r="G275" s="373"/>
      <c r="H275" s="373"/>
      <c r="I275" s="373"/>
      <c r="J275" s="375"/>
      <c r="K275" s="373"/>
      <c r="L275" s="371"/>
      <c r="M275" s="376"/>
    </row>
    <row r="276" spans="1:13" ht="15.75" customHeight="1" x14ac:dyDescent="0.25">
      <c r="A276" s="302">
        <v>45987</v>
      </c>
      <c r="B276" s="370" t="s">
        <v>1580</v>
      </c>
      <c r="C276" s="371" t="s">
        <v>32</v>
      </c>
      <c r="D276" s="372">
        <v>60</v>
      </c>
      <c r="E276" s="373"/>
      <c r="F276" s="374" t="s">
        <v>1349</v>
      </c>
      <c r="G276" s="373"/>
      <c r="H276" s="373"/>
      <c r="I276" s="373"/>
      <c r="J276" s="375"/>
      <c r="K276" s="373"/>
      <c r="L276" s="371"/>
      <c r="M276" s="376"/>
    </row>
    <row r="277" spans="1:13" ht="15.75" customHeight="1" x14ac:dyDescent="0.25">
      <c r="A277" s="302">
        <v>45987</v>
      </c>
      <c r="B277" s="370" t="s">
        <v>1581</v>
      </c>
      <c r="C277" s="371" t="s">
        <v>32</v>
      </c>
      <c r="D277" s="372">
        <v>200</v>
      </c>
      <c r="E277" s="373"/>
      <c r="F277" s="374" t="s">
        <v>1358</v>
      </c>
      <c r="G277" s="373"/>
      <c r="H277" s="373"/>
      <c r="I277" s="373"/>
      <c r="J277" s="375"/>
      <c r="K277" s="373"/>
      <c r="L277" s="371"/>
      <c r="M277" s="376"/>
    </row>
    <row r="278" spans="1:13" ht="15.75" customHeight="1" x14ac:dyDescent="0.25">
      <c r="A278" s="302">
        <v>45987</v>
      </c>
      <c r="B278" s="370" t="s">
        <v>1582</v>
      </c>
      <c r="C278" s="371" t="s">
        <v>32</v>
      </c>
      <c r="D278" s="372">
        <v>750</v>
      </c>
      <c r="E278" s="373"/>
      <c r="F278" s="374" t="s">
        <v>741</v>
      </c>
      <c r="G278" s="373"/>
      <c r="H278" s="373"/>
      <c r="I278" s="373"/>
      <c r="J278" s="375"/>
      <c r="K278" s="373"/>
      <c r="L278" s="371"/>
      <c r="M278" s="376"/>
    </row>
    <row r="279" spans="1:13" ht="15.75" customHeight="1" x14ac:dyDescent="0.25">
      <c r="A279" s="302">
        <v>45987</v>
      </c>
      <c r="B279" s="370" t="s">
        <v>1583</v>
      </c>
      <c r="C279" s="371" t="s">
        <v>32</v>
      </c>
      <c r="D279" s="372">
        <v>6000</v>
      </c>
      <c r="E279" s="373"/>
      <c r="F279" s="374" t="s">
        <v>1348</v>
      </c>
      <c r="G279" s="373"/>
      <c r="H279" s="373"/>
      <c r="I279" s="373"/>
      <c r="J279" s="375"/>
      <c r="K279" s="373"/>
      <c r="L279" s="371"/>
      <c r="M279" s="376"/>
    </row>
    <row r="280" spans="1:13" ht="15.75" customHeight="1" x14ac:dyDescent="0.25">
      <c r="A280" s="302">
        <v>45987</v>
      </c>
      <c r="B280" s="370" t="s">
        <v>1584</v>
      </c>
      <c r="C280" s="371" t="s">
        <v>32</v>
      </c>
      <c r="D280" s="372">
        <v>170</v>
      </c>
      <c r="E280" s="373"/>
      <c r="F280" s="374" t="s">
        <v>817</v>
      </c>
      <c r="G280" s="373"/>
      <c r="H280" s="373"/>
      <c r="I280" s="373"/>
      <c r="J280" s="375"/>
      <c r="K280" s="373"/>
      <c r="L280" s="371"/>
      <c r="M280" s="376"/>
    </row>
    <row r="281" spans="1:13" ht="15.75" customHeight="1" x14ac:dyDescent="0.25">
      <c r="A281" s="302">
        <v>45987</v>
      </c>
      <c r="B281" s="370" t="s">
        <v>1585</v>
      </c>
      <c r="C281" s="371" t="s">
        <v>32</v>
      </c>
      <c r="D281" s="372">
        <v>80</v>
      </c>
      <c r="E281" s="373"/>
      <c r="F281" s="374" t="s">
        <v>847</v>
      </c>
      <c r="G281" s="373"/>
      <c r="H281" s="373"/>
      <c r="I281" s="373"/>
      <c r="J281" s="375"/>
      <c r="K281" s="373"/>
      <c r="L281" s="371"/>
      <c r="M281" s="376"/>
    </row>
    <row r="282" spans="1:13" ht="15.75" customHeight="1" x14ac:dyDescent="0.25">
      <c r="A282" s="302">
        <v>45987</v>
      </c>
      <c r="B282" s="370" t="s">
        <v>1586</v>
      </c>
      <c r="C282" s="371" t="s">
        <v>32</v>
      </c>
      <c r="D282" s="372">
        <v>1350</v>
      </c>
      <c r="E282" s="373"/>
      <c r="F282" s="374" t="s">
        <v>1045</v>
      </c>
      <c r="G282" s="373"/>
      <c r="H282" s="373"/>
      <c r="I282" s="373"/>
      <c r="J282" s="375"/>
      <c r="K282" s="373"/>
      <c r="L282" s="371"/>
      <c r="M282" s="376"/>
    </row>
    <row r="283" spans="1:13" ht="15.75" customHeight="1" x14ac:dyDescent="0.25">
      <c r="A283" s="302">
        <v>45987</v>
      </c>
      <c r="B283" s="370"/>
      <c r="C283" s="371" t="s">
        <v>33</v>
      </c>
      <c r="D283" s="372"/>
      <c r="E283" s="373">
        <v>50</v>
      </c>
      <c r="F283" s="374"/>
      <c r="G283" s="373"/>
      <c r="H283" s="373"/>
      <c r="I283" s="373"/>
      <c r="J283" s="375"/>
      <c r="K283" s="373"/>
      <c r="L283" s="371"/>
      <c r="M283" s="376"/>
    </row>
    <row r="284" spans="1:13" ht="15.75" customHeight="1" x14ac:dyDescent="0.25">
      <c r="A284" s="302">
        <v>45988</v>
      </c>
      <c r="B284" s="370" t="s">
        <v>1587</v>
      </c>
      <c r="C284" s="371" t="s">
        <v>32</v>
      </c>
      <c r="D284" s="372">
        <v>160</v>
      </c>
      <c r="E284" s="373"/>
      <c r="F284" s="374" t="s">
        <v>1554</v>
      </c>
      <c r="G284" s="373"/>
      <c r="H284" s="373"/>
      <c r="I284" s="373"/>
      <c r="J284" s="375"/>
      <c r="K284" s="373"/>
      <c r="L284" s="371"/>
      <c r="M284" s="376"/>
    </row>
    <row r="285" spans="1:13" ht="15.75" customHeight="1" x14ac:dyDescent="0.25">
      <c r="A285" s="302">
        <v>45988</v>
      </c>
      <c r="B285" s="370" t="s">
        <v>1588</v>
      </c>
      <c r="C285" s="371" t="s">
        <v>32</v>
      </c>
      <c r="D285" s="372">
        <v>320</v>
      </c>
      <c r="E285" s="373"/>
      <c r="F285" s="374" t="s">
        <v>753</v>
      </c>
      <c r="G285" s="373"/>
      <c r="H285" s="373"/>
      <c r="I285" s="373"/>
      <c r="J285" s="375"/>
      <c r="K285" s="373"/>
      <c r="L285" s="371"/>
      <c r="M285" s="376"/>
    </row>
    <row r="286" spans="1:13" ht="15.75" customHeight="1" x14ac:dyDescent="0.25">
      <c r="A286" s="302">
        <v>45988</v>
      </c>
      <c r="B286" s="370" t="s">
        <v>1589</v>
      </c>
      <c r="C286" s="371" t="s">
        <v>32</v>
      </c>
      <c r="D286" s="372">
        <v>1350</v>
      </c>
      <c r="E286" s="373"/>
      <c r="F286" s="374" t="s">
        <v>1045</v>
      </c>
      <c r="G286" s="373"/>
      <c r="H286" s="373"/>
      <c r="I286" s="373"/>
      <c r="J286" s="375"/>
      <c r="K286" s="373"/>
      <c r="L286" s="371"/>
      <c r="M286" s="376"/>
    </row>
    <row r="287" spans="1:13" ht="15.75" customHeight="1" x14ac:dyDescent="0.25">
      <c r="A287" s="302">
        <v>45988</v>
      </c>
      <c r="B287" s="370" t="s">
        <v>1590</v>
      </c>
      <c r="C287" s="371" t="s">
        <v>32</v>
      </c>
      <c r="D287" s="372">
        <v>2250</v>
      </c>
      <c r="E287" s="373"/>
      <c r="F287" s="374" t="s">
        <v>752</v>
      </c>
      <c r="G287" s="373"/>
      <c r="H287" s="373"/>
      <c r="I287" s="373"/>
      <c r="J287" s="375"/>
      <c r="K287" s="373"/>
      <c r="L287" s="371"/>
      <c r="M287" s="376"/>
    </row>
    <row r="288" spans="1:13" ht="15.75" customHeight="1" x14ac:dyDescent="0.25">
      <c r="A288" s="302">
        <v>45988</v>
      </c>
      <c r="B288" s="370" t="s">
        <v>1591</v>
      </c>
      <c r="C288" s="371" t="s">
        <v>32</v>
      </c>
      <c r="D288" s="372">
        <v>90</v>
      </c>
      <c r="E288" s="373"/>
      <c r="F288" s="374" t="s">
        <v>1349</v>
      </c>
      <c r="G288" s="373"/>
      <c r="H288" s="373"/>
      <c r="I288" s="373"/>
      <c r="J288" s="375"/>
      <c r="K288" s="373"/>
      <c r="L288" s="371"/>
      <c r="M288" s="376"/>
    </row>
    <row r="289" spans="1:13" ht="15.75" customHeight="1" x14ac:dyDescent="0.25">
      <c r="A289" s="302">
        <v>45988</v>
      </c>
      <c r="B289" s="370"/>
      <c r="C289" s="371" t="s">
        <v>546</v>
      </c>
      <c r="D289" s="372"/>
      <c r="E289" s="373">
        <v>300</v>
      </c>
      <c r="F289" s="374"/>
      <c r="G289" s="373"/>
      <c r="H289" s="373"/>
      <c r="I289" s="373"/>
      <c r="J289" s="375"/>
      <c r="K289" s="373"/>
      <c r="L289" s="371"/>
      <c r="M289" s="376"/>
    </row>
    <row r="290" spans="1:13" ht="15.75" customHeight="1" x14ac:dyDescent="0.25">
      <c r="A290" s="302">
        <v>45988</v>
      </c>
      <c r="B290" s="370"/>
      <c r="C290" s="371" t="s">
        <v>33</v>
      </c>
      <c r="D290" s="372"/>
      <c r="E290" s="373">
        <v>50</v>
      </c>
      <c r="F290" s="374"/>
      <c r="G290" s="373"/>
      <c r="H290" s="373"/>
      <c r="I290" s="373"/>
      <c r="J290" s="375"/>
      <c r="K290" s="373"/>
      <c r="L290" s="371"/>
      <c r="M290" s="376"/>
    </row>
    <row r="291" spans="1:13" ht="15.75" customHeight="1" x14ac:dyDescent="0.25">
      <c r="A291" s="302">
        <v>45988</v>
      </c>
      <c r="B291" s="370"/>
      <c r="C291" s="371" t="s">
        <v>680</v>
      </c>
      <c r="D291" s="372"/>
      <c r="E291" s="373">
        <v>110</v>
      </c>
      <c r="F291" s="374"/>
      <c r="G291" s="373"/>
      <c r="H291" s="373"/>
      <c r="I291" s="373"/>
      <c r="J291" s="375"/>
      <c r="K291" s="373"/>
      <c r="L291" s="371"/>
      <c r="M291" s="376"/>
    </row>
    <row r="292" spans="1:13" ht="15.75" customHeight="1" x14ac:dyDescent="0.25">
      <c r="A292" s="302">
        <v>45989</v>
      </c>
      <c r="B292" s="370" t="s">
        <v>1592</v>
      </c>
      <c r="C292" s="371" t="s">
        <v>32</v>
      </c>
      <c r="D292" s="372">
        <v>240</v>
      </c>
      <c r="E292" s="373"/>
      <c r="F292" s="374" t="s">
        <v>1554</v>
      </c>
      <c r="G292" s="373"/>
      <c r="H292" s="373"/>
      <c r="I292" s="373"/>
      <c r="J292" s="375"/>
      <c r="K292" s="373"/>
      <c r="L292" s="371"/>
      <c r="M292" s="376"/>
    </row>
    <row r="293" spans="1:13" ht="15.75" customHeight="1" x14ac:dyDescent="0.25">
      <c r="A293" s="302">
        <v>45989</v>
      </c>
      <c r="B293" s="370" t="s">
        <v>1593</v>
      </c>
      <c r="C293" s="371" t="s">
        <v>32</v>
      </c>
      <c r="D293" s="372">
        <v>320</v>
      </c>
      <c r="E293" s="373"/>
      <c r="F293" s="374" t="s">
        <v>753</v>
      </c>
      <c r="G293" s="373"/>
      <c r="H293" s="373"/>
      <c r="I293" s="373"/>
      <c r="J293" s="375"/>
      <c r="K293" s="373"/>
      <c r="L293" s="371"/>
      <c r="M293" s="376"/>
    </row>
    <row r="294" spans="1:13" ht="15.75" customHeight="1" x14ac:dyDescent="0.25">
      <c r="A294" s="302">
        <v>45989</v>
      </c>
      <c r="B294" s="370" t="s">
        <v>1594</v>
      </c>
      <c r="C294" s="371" t="s">
        <v>32</v>
      </c>
      <c r="D294" s="372">
        <v>170</v>
      </c>
      <c r="E294" s="373"/>
      <c r="F294" s="374" t="s">
        <v>817</v>
      </c>
      <c r="G294" s="373"/>
      <c r="H294" s="373"/>
      <c r="I294" s="373"/>
      <c r="J294" s="375"/>
      <c r="K294" s="373"/>
      <c r="L294" s="371"/>
      <c r="M294" s="376"/>
    </row>
    <row r="295" spans="1:13" ht="15.75" customHeight="1" x14ac:dyDescent="0.25">
      <c r="A295" s="302">
        <v>45989</v>
      </c>
      <c r="B295" s="370" t="s">
        <v>1595</v>
      </c>
      <c r="C295" s="371" t="s">
        <v>32</v>
      </c>
      <c r="D295" s="372">
        <v>1350</v>
      </c>
      <c r="E295" s="373"/>
      <c r="F295" s="374" t="s">
        <v>1045</v>
      </c>
      <c r="G295" s="373"/>
      <c r="H295" s="373"/>
      <c r="I295" s="373"/>
      <c r="J295" s="375"/>
      <c r="K295" s="373"/>
      <c r="L295" s="371"/>
      <c r="M295" s="376"/>
    </row>
    <row r="296" spans="1:13" ht="15.75" customHeight="1" x14ac:dyDescent="0.25">
      <c r="A296" s="302">
        <v>45989</v>
      </c>
      <c r="B296" s="370" t="s">
        <v>1596</v>
      </c>
      <c r="C296" s="371" t="s">
        <v>32</v>
      </c>
      <c r="D296" s="372">
        <v>430</v>
      </c>
      <c r="E296" s="373"/>
      <c r="F296" s="374" t="s">
        <v>1349</v>
      </c>
      <c r="G296" s="373"/>
      <c r="H296" s="373"/>
      <c r="I296" s="373"/>
      <c r="J296" s="375"/>
      <c r="K296" s="373"/>
      <c r="L296" s="371"/>
      <c r="M296" s="376"/>
    </row>
    <row r="297" spans="1:13" ht="15.75" customHeight="1" x14ac:dyDescent="0.25">
      <c r="A297" s="302">
        <v>45989</v>
      </c>
      <c r="B297" s="370" t="s">
        <v>1597</v>
      </c>
      <c r="C297" s="371" t="s">
        <v>32</v>
      </c>
      <c r="D297" s="372">
        <v>750</v>
      </c>
      <c r="E297" s="373"/>
      <c r="F297" s="374" t="s">
        <v>752</v>
      </c>
      <c r="G297" s="373"/>
      <c r="H297" s="373"/>
      <c r="I297" s="373"/>
      <c r="J297" s="375"/>
      <c r="K297" s="373"/>
      <c r="L297" s="371"/>
      <c r="M297" s="376"/>
    </row>
    <row r="298" spans="1:13" ht="15.75" customHeight="1" x14ac:dyDescent="0.25">
      <c r="A298" s="302">
        <v>45989</v>
      </c>
      <c r="B298" s="370" t="s">
        <v>1598</v>
      </c>
      <c r="C298" s="371" t="s">
        <v>32</v>
      </c>
      <c r="D298" s="372">
        <v>1600</v>
      </c>
      <c r="E298" s="373"/>
      <c r="F298" s="374" t="s">
        <v>740</v>
      </c>
      <c r="G298" s="373"/>
      <c r="H298" s="373"/>
      <c r="I298" s="373"/>
      <c r="J298" s="375"/>
      <c r="K298" s="373"/>
      <c r="L298" s="371"/>
      <c r="M298" s="376"/>
    </row>
    <row r="299" spans="1:13" ht="15.75" customHeight="1" x14ac:dyDescent="0.25">
      <c r="A299" s="302">
        <v>45989</v>
      </c>
      <c r="B299" s="370"/>
      <c r="C299" s="371" t="s">
        <v>33</v>
      </c>
      <c r="D299" s="372"/>
      <c r="E299" s="373">
        <v>50</v>
      </c>
      <c r="F299" s="374"/>
      <c r="G299" s="373"/>
      <c r="H299" s="373"/>
      <c r="I299" s="373"/>
      <c r="J299" s="375"/>
      <c r="K299" s="373"/>
      <c r="L299" s="371"/>
      <c r="M299" s="376"/>
    </row>
    <row r="300" spans="1:13" ht="15.75" customHeight="1" x14ac:dyDescent="0.25">
      <c r="A300" s="302">
        <v>45990</v>
      </c>
      <c r="B300" s="370" t="s">
        <v>1599</v>
      </c>
      <c r="C300" s="371" t="s">
        <v>32</v>
      </c>
      <c r="D300" s="372">
        <v>1990</v>
      </c>
      <c r="E300" s="373"/>
      <c r="F300" s="374" t="s">
        <v>817</v>
      </c>
      <c r="G300" s="373"/>
      <c r="H300" s="373"/>
      <c r="I300" s="373"/>
      <c r="J300" s="375"/>
      <c r="K300" s="373"/>
      <c r="L300" s="371"/>
      <c r="M300" s="376"/>
    </row>
    <row r="301" spans="1:13" ht="15.75" customHeight="1" x14ac:dyDescent="0.25">
      <c r="A301" s="302">
        <v>45990</v>
      </c>
      <c r="B301" s="370" t="s">
        <v>1600</v>
      </c>
      <c r="C301" s="371" t="s">
        <v>32</v>
      </c>
      <c r="D301" s="372">
        <v>2570</v>
      </c>
      <c r="E301" s="373"/>
      <c r="F301" s="374" t="s">
        <v>1176</v>
      </c>
      <c r="G301" s="373"/>
      <c r="H301" s="373"/>
      <c r="I301" s="373"/>
      <c r="J301" s="375"/>
      <c r="K301" s="373"/>
      <c r="L301" s="371"/>
      <c r="M301" s="376"/>
    </row>
    <row r="302" spans="1:13" ht="15.75" customHeight="1" x14ac:dyDescent="0.25">
      <c r="A302" s="302">
        <v>45990</v>
      </c>
      <c r="B302" s="370" t="s">
        <v>1601</v>
      </c>
      <c r="C302" s="371" t="s">
        <v>32</v>
      </c>
      <c r="D302" s="372">
        <v>3600</v>
      </c>
      <c r="E302" s="373"/>
      <c r="F302" s="374" t="s">
        <v>1045</v>
      </c>
      <c r="G302" s="373"/>
      <c r="H302" s="373"/>
      <c r="I302" s="373"/>
      <c r="J302" s="375"/>
      <c r="K302" s="373"/>
      <c r="L302" s="371"/>
      <c r="M302" s="376"/>
    </row>
    <row r="303" spans="1:13" ht="15.75" customHeight="1" x14ac:dyDescent="0.25">
      <c r="A303" s="302">
        <v>45990</v>
      </c>
      <c r="B303" s="370" t="s">
        <v>1602</v>
      </c>
      <c r="C303" s="371" t="s">
        <v>32</v>
      </c>
      <c r="D303" s="372">
        <v>225</v>
      </c>
      <c r="E303" s="373"/>
      <c r="F303" s="374" t="s">
        <v>741</v>
      </c>
      <c r="G303" s="373"/>
      <c r="H303" s="373"/>
      <c r="I303" s="373"/>
      <c r="J303" s="375"/>
      <c r="K303" s="373"/>
      <c r="L303" s="371"/>
      <c r="M303" s="376"/>
    </row>
    <row r="304" spans="1:13" ht="15.75" customHeight="1" x14ac:dyDescent="0.25">
      <c r="A304" s="302">
        <v>45990</v>
      </c>
      <c r="B304" s="370" t="s">
        <v>1603</v>
      </c>
      <c r="C304" s="371" t="s">
        <v>32</v>
      </c>
      <c r="D304" s="372">
        <v>480</v>
      </c>
      <c r="E304" s="373"/>
      <c r="F304" s="374" t="s">
        <v>753</v>
      </c>
      <c r="G304" s="373"/>
      <c r="H304" s="373"/>
      <c r="I304" s="373"/>
      <c r="J304" s="375"/>
      <c r="K304" s="373"/>
      <c r="L304" s="371"/>
      <c r="M304" s="376"/>
    </row>
    <row r="305" spans="1:13" ht="15.75" customHeight="1" x14ac:dyDescent="0.25">
      <c r="A305" s="302">
        <v>45990</v>
      </c>
      <c r="B305" s="370" t="s">
        <v>1604</v>
      </c>
      <c r="C305" s="371" t="s">
        <v>32</v>
      </c>
      <c r="D305" s="372">
        <v>240</v>
      </c>
      <c r="E305" s="373"/>
      <c r="F305" s="374" t="s">
        <v>1361</v>
      </c>
      <c r="G305" s="373"/>
      <c r="H305" s="373"/>
      <c r="I305" s="373"/>
      <c r="J305" s="375"/>
      <c r="K305" s="373"/>
      <c r="L305" s="371"/>
      <c r="M305" s="376"/>
    </row>
    <row r="306" spans="1:13" ht="15.75" customHeight="1" x14ac:dyDescent="0.25">
      <c r="A306" s="302">
        <v>45990</v>
      </c>
      <c r="B306" s="370"/>
      <c r="C306" s="371" t="s">
        <v>33</v>
      </c>
      <c r="D306" s="372"/>
      <c r="E306" s="373">
        <v>50</v>
      </c>
      <c r="F306" s="374"/>
      <c r="G306" s="373"/>
      <c r="H306" s="373"/>
      <c r="I306" s="373"/>
      <c r="J306" s="375"/>
      <c r="K306" s="373"/>
      <c r="L306" s="371"/>
      <c r="M306" s="376"/>
    </row>
    <row r="307" spans="1:13" ht="15.75" customHeight="1" x14ac:dyDescent="0.25">
      <c r="A307" s="302">
        <v>45991</v>
      </c>
      <c r="B307" s="370" t="s">
        <v>1605</v>
      </c>
      <c r="C307" s="371" t="s">
        <v>32</v>
      </c>
      <c r="D307" s="372">
        <v>320</v>
      </c>
      <c r="E307" s="373"/>
      <c r="F307" s="374" t="s">
        <v>795</v>
      </c>
      <c r="G307" s="373"/>
      <c r="H307" s="373"/>
      <c r="I307" s="373"/>
      <c r="J307" s="375"/>
      <c r="K307" s="373"/>
      <c r="L307" s="371"/>
      <c r="M307" s="376"/>
    </row>
    <row r="308" spans="1:13" ht="15.75" customHeight="1" x14ac:dyDescent="0.25">
      <c r="A308" s="302">
        <v>45991</v>
      </c>
      <c r="B308" s="370" t="s">
        <v>1606</v>
      </c>
      <c r="C308" s="371" t="s">
        <v>32</v>
      </c>
      <c r="D308" s="372">
        <v>320</v>
      </c>
      <c r="E308" s="373"/>
      <c r="F308" s="374" t="s">
        <v>1188</v>
      </c>
      <c r="G308" s="373"/>
      <c r="H308" s="373"/>
      <c r="I308" s="373"/>
      <c r="J308" s="375"/>
      <c r="K308" s="373"/>
      <c r="L308" s="371"/>
      <c r="M308" s="376"/>
    </row>
    <row r="309" spans="1:13" ht="15.75" customHeight="1" x14ac:dyDescent="0.25">
      <c r="A309" s="302">
        <v>45991</v>
      </c>
      <c r="B309" s="370" t="s">
        <v>1607</v>
      </c>
      <c r="C309" s="371" t="s">
        <v>32</v>
      </c>
      <c r="D309" s="372">
        <v>320</v>
      </c>
      <c r="E309" s="373"/>
      <c r="F309" s="374" t="s">
        <v>847</v>
      </c>
      <c r="G309" s="373"/>
      <c r="H309" s="373"/>
      <c r="I309" s="373"/>
      <c r="J309" s="375"/>
      <c r="K309" s="373"/>
      <c r="L309" s="371"/>
      <c r="M309" s="376"/>
    </row>
    <row r="310" spans="1:13" ht="15.75" customHeight="1" x14ac:dyDescent="0.25">
      <c r="A310" s="302">
        <v>45991</v>
      </c>
      <c r="B310" s="370" t="s">
        <v>1608</v>
      </c>
      <c r="C310" s="371" t="s">
        <v>32</v>
      </c>
      <c r="D310" s="372">
        <v>160</v>
      </c>
      <c r="E310" s="373"/>
      <c r="F310" s="374" t="s">
        <v>1445</v>
      </c>
      <c r="G310" s="373"/>
      <c r="H310" s="373"/>
      <c r="I310" s="373"/>
      <c r="J310" s="375"/>
      <c r="K310" s="373"/>
      <c r="L310" s="371"/>
      <c r="M310" s="376"/>
    </row>
    <row r="311" spans="1:13" ht="15.75" customHeight="1" x14ac:dyDescent="0.25">
      <c r="A311" s="302">
        <v>45991</v>
      </c>
      <c r="B311" s="370" t="s">
        <v>1609</v>
      </c>
      <c r="C311" s="371" t="s">
        <v>32</v>
      </c>
      <c r="D311" s="372">
        <v>4050</v>
      </c>
      <c r="E311" s="373"/>
      <c r="F311" s="374" t="s">
        <v>1612</v>
      </c>
      <c r="G311" s="373"/>
      <c r="H311" s="373"/>
      <c r="I311" s="373"/>
      <c r="J311" s="375"/>
      <c r="K311" s="373"/>
      <c r="L311" s="371"/>
      <c r="M311" s="376"/>
    </row>
    <row r="312" spans="1:13" ht="15.75" customHeight="1" x14ac:dyDescent="0.25">
      <c r="A312" s="302">
        <v>45991</v>
      </c>
      <c r="B312" s="370" t="s">
        <v>1610</v>
      </c>
      <c r="C312" s="371" t="s">
        <v>32</v>
      </c>
      <c r="D312" s="372">
        <v>395</v>
      </c>
      <c r="E312" s="373"/>
      <c r="F312" s="374" t="s">
        <v>741</v>
      </c>
      <c r="G312" s="373"/>
      <c r="H312" s="373"/>
      <c r="I312" s="373"/>
      <c r="J312" s="375"/>
      <c r="K312" s="373"/>
      <c r="L312" s="371"/>
      <c r="M312" s="376"/>
    </row>
    <row r="313" spans="1:13" ht="15.75" customHeight="1" x14ac:dyDescent="0.25">
      <c r="A313" s="302">
        <v>45991</v>
      </c>
      <c r="B313" s="370" t="s">
        <v>1611</v>
      </c>
      <c r="C313" s="371" t="s">
        <v>32</v>
      </c>
      <c r="D313" s="372">
        <v>1500</v>
      </c>
      <c r="E313" s="373"/>
      <c r="F313" s="374" t="s">
        <v>740</v>
      </c>
      <c r="G313" s="373"/>
      <c r="H313" s="373"/>
      <c r="I313" s="373"/>
      <c r="J313" s="375"/>
      <c r="K313" s="373"/>
      <c r="L313" s="371"/>
      <c r="M313" s="376"/>
    </row>
    <row r="314" spans="1:13" ht="15.75" customHeight="1" x14ac:dyDescent="0.25">
      <c r="A314" s="302">
        <v>45991</v>
      </c>
      <c r="B314" s="370"/>
      <c r="C314" s="371" t="s">
        <v>109</v>
      </c>
      <c r="D314" s="372"/>
      <c r="E314" s="373">
        <v>400</v>
      </c>
      <c r="F314" s="374"/>
      <c r="G314" s="373"/>
      <c r="H314" s="373"/>
      <c r="I314" s="373"/>
      <c r="J314" s="375"/>
      <c r="K314" s="373"/>
      <c r="L314" s="371"/>
      <c r="M314" s="376"/>
    </row>
    <row r="315" spans="1:13" ht="15.75" customHeight="1" x14ac:dyDescent="0.25">
      <c r="A315" s="302">
        <v>45991</v>
      </c>
      <c r="B315" s="370"/>
      <c r="C315" s="371" t="s">
        <v>161</v>
      </c>
      <c r="D315" s="372"/>
      <c r="E315" s="373">
        <v>1300</v>
      </c>
      <c r="F315" s="374"/>
      <c r="G315" s="373"/>
      <c r="H315" s="373"/>
      <c r="I315" s="373"/>
      <c r="J315" s="375"/>
      <c r="K315" s="373"/>
      <c r="L315" s="371"/>
      <c r="M315" s="376" t="s">
        <v>110</v>
      </c>
    </row>
    <row r="316" spans="1:13" ht="15.75" customHeight="1" x14ac:dyDescent="0.25">
      <c r="A316" s="302">
        <v>45991</v>
      </c>
      <c r="B316" s="370"/>
      <c r="C316" s="371" t="s">
        <v>161</v>
      </c>
      <c r="D316" s="372"/>
      <c r="E316" s="373">
        <v>5000</v>
      </c>
      <c r="F316" s="374"/>
      <c r="G316" s="373"/>
      <c r="H316" s="373"/>
      <c r="I316" s="373"/>
      <c r="J316" s="375"/>
      <c r="K316" s="373"/>
      <c r="L316" s="371"/>
      <c r="M316" s="376" t="s">
        <v>1013</v>
      </c>
    </row>
    <row r="317" spans="1:13" ht="15.75" customHeight="1" x14ac:dyDescent="0.25">
      <c r="A317" s="302">
        <v>45991</v>
      </c>
      <c r="B317" s="370"/>
      <c r="C317" s="371" t="s">
        <v>161</v>
      </c>
      <c r="D317" s="372"/>
      <c r="E317" s="373">
        <v>10000</v>
      </c>
      <c r="F317" s="374"/>
      <c r="G317" s="373"/>
      <c r="H317" s="373"/>
      <c r="I317" s="373"/>
      <c r="J317" s="375"/>
      <c r="K317" s="373"/>
      <c r="L317" s="371"/>
      <c r="M317" s="376" t="s">
        <v>1014</v>
      </c>
    </row>
    <row r="318" spans="1:13" ht="15.75" customHeight="1" x14ac:dyDescent="0.25">
      <c r="A318" s="36"/>
      <c r="B318" s="36"/>
      <c r="C318" s="7" t="s">
        <v>126</v>
      </c>
      <c r="D318" s="9">
        <f>SUM(D3:D317)</f>
        <v>178135</v>
      </c>
      <c r="E318" s="36" t="s">
        <v>706</v>
      </c>
      <c r="F318" s="250" t="s">
        <v>706</v>
      </c>
      <c r="G318" s="36" t="s">
        <v>706</v>
      </c>
      <c r="H318" s="36" t="s">
        <v>706</v>
      </c>
      <c r="I318" s="36" t="s">
        <v>706</v>
      </c>
      <c r="J318" s="223" t="s">
        <v>706</v>
      </c>
      <c r="K318" s="36" t="s">
        <v>706</v>
      </c>
      <c r="L318" s="36" t="s">
        <v>706</v>
      </c>
      <c r="M318" s="36" t="s">
        <v>706</v>
      </c>
    </row>
    <row r="319" spans="1:13" ht="15.75" customHeight="1" x14ac:dyDescent="0.25">
      <c r="A319" s="36"/>
      <c r="B319" s="36"/>
      <c r="C319" s="39" t="s">
        <v>21</v>
      </c>
      <c r="D319" s="40">
        <f>SUM(D318,D2)</f>
        <v>217304</v>
      </c>
      <c r="E319" s="40">
        <f>SUM(E2:E318)</f>
        <v>117139.5</v>
      </c>
      <c r="F319" s="257"/>
      <c r="G319" s="40"/>
      <c r="H319" s="40"/>
      <c r="I319" s="40"/>
      <c r="J319" s="228"/>
      <c r="K319" s="40"/>
      <c r="L319" s="36"/>
      <c r="M319" s="36"/>
    </row>
    <row r="320" spans="1:13" ht="15.75" customHeight="1" x14ac:dyDescent="0.25">
      <c r="A320" s="10"/>
      <c r="B320" s="10"/>
      <c r="C320" s="10"/>
      <c r="D320" s="10"/>
      <c r="E320" s="10"/>
      <c r="F320" s="258"/>
      <c r="G320" s="10"/>
      <c r="H320" s="10"/>
      <c r="I320" s="10"/>
      <c r="J320" s="229"/>
      <c r="K320" s="10"/>
      <c r="L320" s="10"/>
      <c r="M320" s="10"/>
    </row>
    <row r="321" spans="1:13" ht="15.75" customHeight="1" x14ac:dyDescent="0.25">
      <c r="A321" s="10"/>
      <c r="B321" s="10"/>
      <c r="C321" s="29" t="s">
        <v>127</v>
      </c>
      <c r="D321" s="41">
        <f>D318-E319</f>
        <v>60995.5</v>
      </c>
      <c r="E321" s="10"/>
      <c r="F321" s="258"/>
      <c r="G321" s="10"/>
      <c r="H321" s="10"/>
      <c r="I321" s="10"/>
      <c r="J321" s="229"/>
      <c r="K321" s="10"/>
      <c r="L321" s="10"/>
      <c r="M321" s="10"/>
    </row>
    <row r="322" spans="1:13" ht="15.75" customHeight="1" x14ac:dyDescent="0.25">
      <c r="A322" s="10"/>
      <c r="B322" s="10"/>
      <c r="C322" s="29" t="s">
        <v>60</v>
      </c>
      <c r="D322" s="30">
        <f>D319-E319</f>
        <v>100164.5</v>
      </c>
      <c r="E322" s="10"/>
      <c r="F322" s="258"/>
      <c r="G322" s="10"/>
      <c r="H322" s="10"/>
      <c r="I322" s="10"/>
      <c r="J322" s="229"/>
      <c r="K322" s="10"/>
      <c r="L322" s="10"/>
      <c r="M322" s="10"/>
    </row>
    <row r="323" spans="1:13" ht="15.75" customHeight="1" x14ac:dyDescent="0.25"/>
    <row r="324" spans="1:13" ht="15.75" customHeight="1" x14ac:dyDescent="0.25">
      <c r="C324" s="119" t="s">
        <v>196</v>
      </c>
      <c r="D324" s="120"/>
    </row>
    <row r="325" spans="1:13" ht="15.75" customHeight="1" x14ac:dyDescent="0.25"/>
    <row r="326" spans="1:13" ht="15.75" customHeight="1" x14ac:dyDescent="0.25"/>
    <row r="327" spans="1:13" ht="15.75" customHeight="1" x14ac:dyDescent="0.25">
      <c r="C327" s="188" t="s">
        <v>1664</v>
      </c>
      <c r="D327" s="390">
        <f>'Oct 2025 - Sales'!D352</f>
        <v>39169</v>
      </c>
    </row>
    <row r="328" spans="1:13" ht="15.75" customHeight="1" x14ac:dyDescent="0.25">
      <c r="C328" s="188" t="s">
        <v>1665</v>
      </c>
      <c r="D328" s="390">
        <f>D321</f>
        <v>60995.5</v>
      </c>
    </row>
    <row r="329" spans="1:13" ht="15.75" customHeight="1" x14ac:dyDescent="0.25">
      <c r="C329" s="188" t="s">
        <v>21</v>
      </c>
      <c r="D329" s="391">
        <f>SUM(D327:D328)</f>
        <v>100164.5</v>
      </c>
    </row>
    <row r="330" spans="1:13" ht="15.75" customHeight="1" x14ac:dyDescent="0.25"/>
    <row r="331" spans="1:13" ht="15.75" customHeight="1" x14ac:dyDescent="0.25">
      <c r="C331" s="143" t="s">
        <v>1669</v>
      </c>
      <c r="D331" s="392"/>
    </row>
    <row r="332" spans="1:13" ht="15.75" customHeight="1" x14ac:dyDescent="0.25">
      <c r="C332" s="393" t="s">
        <v>1666</v>
      </c>
      <c r="D332" s="391">
        <f>D327/2</f>
        <v>19584.5</v>
      </c>
    </row>
    <row r="333" spans="1:13" ht="15.75" customHeight="1" x14ac:dyDescent="0.25">
      <c r="C333" s="393" t="s">
        <v>1667</v>
      </c>
      <c r="D333" s="391">
        <f>D327/4</f>
        <v>9792.25</v>
      </c>
    </row>
    <row r="334" spans="1:13" ht="15.75" customHeight="1" x14ac:dyDescent="0.25">
      <c r="C334" s="393" t="s">
        <v>1668</v>
      </c>
      <c r="D334" s="391">
        <f>D327/4</f>
        <v>9792.25</v>
      </c>
    </row>
    <row r="335" spans="1:13" ht="15.75" customHeight="1" x14ac:dyDescent="0.25"/>
    <row r="336" spans="1:13"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row r="1015" ht="15.75" customHeight="1" x14ac:dyDescent="0.25"/>
    <row r="1016" ht="15.75" customHeight="1" x14ac:dyDescent="0.25"/>
    <row r="1017" ht="15.75" customHeight="1" x14ac:dyDescent="0.25"/>
    <row r="1018" ht="15.75" customHeight="1" x14ac:dyDescent="0.25"/>
    <row r="1019" ht="15.75" customHeight="1" x14ac:dyDescent="0.25"/>
    <row r="1020" ht="15.75" customHeight="1" x14ac:dyDescent="0.25"/>
    <row r="1021" ht="15.75" customHeight="1" x14ac:dyDescent="0.25"/>
    <row r="1022" ht="15.75" customHeight="1" x14ac:dyDescent="0.25"/>
    <row r="1023" ht="15.75" customHeight="1" x14ac:dyDescent="0.25"/>
    <row r="1024" ht="15.75" customHeight="1" x14ac:dyDescent="0.25"/>
    <row r="1025" ht="15.75" customHeight="1" x14ac:dyDescent="0.25"/>
    <row r="1026" ht="15.75" customHeight="1" x14ac:dyDescent="0.25"/>
    <row r="1027" ht="15.75" customHeight="1" x14ac:dyDescent="0.25"/>
    <row r="1028" ht="15.75" customHeight="1" x14ac:dyDescent="0.25"/>
    <row r="1029" ht="15.75" customHeight="1" x14ac:dyDescent="0.25"/>
    <row r="1030" ht="15.75" customHeight="1" x14ac:dyDescent="0.25"/>
    <row r="1031" ht="15.75" customHeight="1" x14ac:dyDescent="0.25"/>
    <row r="1032" ht="15.75" customHeight="1" x14ac:dyDescent="0.25"/>
    <row r="1033" ht="15.75" customHeight="1" x14ac:dyDescent="0.25"/>
    <row r="1034" ht="15.75" customHeight="1" x14ac:dyDescent="0.25"/>
    <row r="1035" ht="15.75" customHeight="1" x14ac:dyDescent="0.25"/>
    <row r="1036" ht="15.75" customHeight="1" x14ac:dyDescent="0.25"/>
    <row r="1037" ht="15.75" customHeight="1" x14ac:dyDescent="0.25"/>
    <row r="1038" ht="15.75" customHeight="1" x14ac:dyDescent="0.25"/>
    <row r="1039" ht="15.75" customHeight="1" x14ac:dyDescent="0.25"/>
    <row r="1040" ht="15.75" customHeight="1" x14ac:dyDescent="0.25"/>
    <row r="1041" ht="15.75" customHeight="1" x14ac:dyDescent="0.25"/>
    <row r="1042" ht="15.75" customHeight="1" x14ac:dyDescent="0.25"/>
    <row r="1043" ht="15.75" customHeight="1" x14ac:dyDescent="0.25"/>
    <row r="1044" ht="15.75" customHeight="1" x14ac:dyDescent="0.25"/>
    <row r="1045" ht="15.75" customHeight="1" x14ac:dyDescent="0.25"/>
    <row r="1046" ht="15.75" customHeight="1" x14ac:dyDescent="0.25"/>
    <row r="1047" ht="15.75" customHeight="1" x14ac:dyDescent="0.25"/>
    <row r="1048" ht="15.75" customHeight="1" x14ac:dyDescent="0.25"/>
    <row r="1049" ht="15.75" customHeight="1" x14ac:dyDescent="0.25"/>
    <row r="1050" ht="15.75" customHeight="1" x14ac:dyDescent="0.25"/>
    <row r="1051" ht="15.75" customHeight="1" x14ac:dyDescent="0.25"/>
    <row r="1052" ht="15.75" customHeight="1" x14ac:dyDescent="0.25"/>
    <row r="1053" ht="15.75" customHeight="1" x14ac:dyDescent="0.25"/>
    <row r="1054" ht="15.75" customHeight="1" x14ac:dyDescent="0.25"/>
    <row r="1055" ht="15.75" customHeight="1" x14ac:dyDescent="0.25"/>
    <row r="1056" ht="15.75" customHeight="1" x14ac:dyDescent="0.25"/>
    <row r="1057" ht="15.75" customHeight="1" x14ac:dyDescent="0.25"/>
    <row r="1058" ht="15.75" customHeight="1" x14ac:dyDescent="0.25"/>
    <row r="1059" ht="15.75" customHeight="1" x14ac:dyDescent="0.25"/>
    <row r="1060" ht="15.75" customHeight="1" x14ac:dyDescent="0.25"/>
    <row r="1061" ht="15.75" customHeight="1" x14ac:dyDescent="0.25"/>
    <row r="1062" ht="15.75" customHeight="1" x14ac:dyDescent="0.25"/>
    <row r="1063" ht="15.75" customHeight="1" x14ac:dyDescent="0.25"/>
    <row r="1064" ht="15.75" customHeight="1" x14ac:dyDescent="0.25"/>
    <row r="1065" ht="15.75" customHeight="1" x14ac:dyDescent="0.25"/>
    <row r="1066" ht="15.75" customHeight="1" x14ac:dyDescent="0.25"/>
    <row r="1067" ht="15.75" customHeight="1" x14ac:dyDescent="0.25"/>
    <row r="1068" ht="15.75" customHeight="1" x14ac:dyDescent="0.25"/>
    <row r="1069" ht="15.75" customHeight="1" x14ac:dyDescent="0.25"/>
    <row r="1070" ht="15.75" customHeight="1" x14ac:dyDescent="0.25"/>
    <row r="1071" ht="15.75" customHeight="1" x14ac:dyDescent="0.25"/>
    <row r="1072" ht="15.75" customHeight="1" x14ac:dyDescent="0.25"/>
    <row r="1073" ht="15.75" customHeight="1" x14ac:dyDescent="0.25"/>
    <row r="1074" ht="15.75" customHeight="1" x14ac:dyDescent="0.25"/>
    <row r="1075" ht="15.75" customHeight="1" x14ac:dyDescent="0.25"/>
    <row r="1076" ht="15.75" customHeight="1" x14ac:dyDescent="0.25"/>
    <row r="1077" ht="15.75" customHeight="1" x14ac:dyDescent="0.25"/>
    <row r="1078" ht="15.75" customHeight="1" x14ac:dyDescent="0.25"/>
    <row r="1079" ht="15.75" customHeight="1" x14ac:dyDescent="0.25"/>
    <row r="1080" ht="15.75" customHeight="1" x14ac:dyDescent="0.25"/>
    <row r="1081" ht="15.75" customHeight="1" x14ac:dyDescent="0.25"/>
    <row r="1082" ht="15.75" customHeight="1" x14ac:dyDescent="0.25"/>
    <row r="1083" ht="15.75" customHeight="1" x14ac:dyDescent="0.25"/>
    <row r="1084" ht="15.75" customHeight="1" x14ac:dyDescent="0.25"/>
    <row r="1085" ht="15.75" customHeight="1" x14ac:dyDescent="0.25"/>
    <row r="1086" ht="15.75" customHeight="1" x14ac:dyDescent="0.25"/>
    <row r="1087" ht="15.75" customHeight="1" x14ac:dyDescent="0.25"/>
    <row r="1088" ht="15.75" customHeight="1" x14ac:dyDescent="0.25"/>
    <row r="1089" ht="15.75" customHeight="1" x14ac:dyDescent="0.25"/>
    <row r="1090" ht="15.75" customHeight="1" x14ac:dyDescent="0.25"/>
    <row r="1091" ht="15.75" customHeight="1" x14ac:dyDescent="0.25"/>
    <row r="1092" ht="15.75" customHeight="1" x14ac:dyDescent="0.25"/>
    <row r="1093" ht="15.75" customHeight="1" x14ac:dyDescent="0.25"/>
    <row r="1094" ht="15.75" customHeight="1" x14ac:dyDescent="0.25"/>
    <row r="1095" ht="15.75" customHeight="1" x14ac:dyDescent="0.25"/>
    <row r="1096" ht="15.75" customHeight="1" x14ac:dyDescent="0.25"/>
    <row r="1097" ht="15.75" customHeight="1" x14ac:dyDescent="0.25"/>
    <row r="1098" ht="15.75" customHeight="1" x14ac:dyDescent="0.25"/>
    <row r="1099" ht="15.75" customHeight="1" x14ac:dyDescent="0.25"/>
    <row r="1100" ht="15.75" customHeight="1" x14ac:dyDescent="0.25"/>
    <row r="1101" ht="15.75" customHeight="1" x14ac:dyDescent="0.25"/>
    <row r="1102" ht="15.75" customHeight="1" x14ac:dyDescent="0.25"/>
    <row r="1103" ht="15.75" customHeight="1" x14ac:dyDescent="0.25"/>
    <row r="1104" ht="15.75" customHeight="1" x14ac:dyDescent="0.25"/>
    <row r="1105" ht="15.75" customHeight="1" x14ac:dyDescent="0.25"/>
    <row r="1106" ht="15.75" customHeight="1" x14ac:dyDescent="0.25"/>
    <row r="1107" ht="15.75" customHeight="1" x14ac:dyDescent="0.25"/>
    <row r="1108" ht="15.75" customHeight="1" x14ac:dyDescent="0.25"/>
    <row r="1109" ht="15.75" customHeight="1" x14ac:dyDescent="0.25"/>
    <row r="1110" ht="15.75" customHeight="1" x14ac:dyDescent="0.25"/>
    <row r="1111" ht="15.75" customHeight="1" x14ac:dyDescent="0.25"/>
    <row r="1112" ht="15.75" customHeight="1" x14ac:dyDescent="0.25"/>
    <row r="1113" ht="15.75" customHeight="1" x14ac:dyDescent="0.25"/>
    <row r="1114" ht="15.75" customHeight="1" x14ac:dyDescent="0.25"/>
    <row r="1115" ht="15.75" customHeight="1" x14ac:dyDescent="0.25"/>
    <row r="1116" ht="15.75" customHeight="1" x14ac:dyDescent="0.25"/>
    <row r="1117" ht="15.75" customHeight="1" x14ac:dyDescent="0.25"/>
    <row r="1118" ht="15.75" customHeight="1" x14ac:dyDescent="0.25"/>
    <row r="1119" ht="15.75" customHeight="1" x14ac:dyDescent="0.25"/>
    <row r="1120" ht="15.75" customHeight="1" x14ac:dyDescent="0.25"/>
    <row r="1121" ht="15.75" customHeight="1" x14ac:dyDescent="0.25"/>
    <row r="1122" ht="15.75" customHeight="1" x14ac:dyDescent="0.25"/>
    <row r="1123" ht="15.75" customHeight="1" x14ac:dyDescent="0.25"/>
    <row r="1124" ht="15.75" customHeight="1" x14ac:dyDescent="0.25"/>
    <row r="1125" ht="15.75" customHeight="1" x14ac:dyDescent="0.25"/>
    <row r="1126" ht="15.75" customHeight="1" x14ac:dyDescent="0.25"/>
    <row r="1127" ht="15.75" customHeight="1" x14ac:dyDescent="0.25"/>
    <row r="1128" ht="15.75" customHeight="1" x14ac:dyDescent="0.25"/>
    <row r="1129" ht="15.75" customHeight="1" x14ac:dyDescent="0.25"/>
    <row r="1130" ht="15.75" customHeight="1" x14ac:dyDescent="0.25"/>
    <row r="1131" ht="15.75" customHeight="1" x14ac:dyDescent="0.25"/>
    <row r="1132" ht="15.75" customHeight="1" x14ac:dyDescent="0.25"/>
    <row r="1133" ht="15.75" customHeight="1" x14ac:dyDescent="0.25"/>
    <row r="1134" ht="15.75" customHeight="1" x14ac:dyDescent="0.25"/>
    <row r="1135" ht="15.75" customHeight="1" x14ac:dyDescent="0.25"/>
    <row r="1136" ht="15.75" customHeight="1" x14ac:dyDescent="0.25"/>
    <row r="1137" ht="15.75" customHeight="1" x14ac:dyDescent="0.25"/>
    <row r="1138" ht="15.75" customHeight="1" x14ac:dyDescent="0.25"/>
    <row r="1139" ht="15.75" customHeight="1" x14ac:dyDescent="0.25"/>
    <row r="1140" ht="15.75" customHeight="1" x14ac:dyDescent="0.25"/>
    <row r="1141" ht="15.75" customHeight="1" x14ac:dyDescent="0.25"/>
    <row r="1142" ht="15.75" customHeight="1" x14ac:dyDescent="0.25"/>
    <row r="1143" ht="15.75" customHeight="1" x14ac:dyDescent="0.25"/>
    <row r="1144" ht="15.75" customHeight="1" x14ac:dyDescent="0.25"/>
    <row r="1145" ht="15.75" customHeight="1" x14ac:dyDescent="0.25"/>
    <row r="1146" ht="15.75" customHeight="1" x14ac:dyDescent="0.25"/>
    <row r="1147" ht="15.75" customHeight="1" x14ac:dyDescent="0.25"/>
    <row r="1148" ht="15.75" customHeight="1" x14ac:dyDescent="0.25"/>
    <row r="1149" ht="15.75" customHeight="1" x14ac:dyDescent="0.25"/>
    <row r="1150" ht="15.75" customHeight="1" x14ac:dyDescent="0.25"/>
    <row r="1151" ht="15.75" customHeight="1" x14ac:dyDescent="0.25"/>
    <row r="1152" ht="15.75" customHeight="1" x14ac:dyDescent="0.25"/>
    <row r="1153" ht="15.75" customHeight="1" x14ac:dyDescent="0.25"/>
    <row r="1154" ht="15.75" customHeight="1" x14ac:dyDescent="0.25"/>
    <row r="1155" ht="15.75" customHeight="1" x14ac:dyDescent="0.25"/>
    <row r="1156" ht="15.75" customHeight="1" x14ac:dyDescent="0.25"/>
    <row r="1157" ht="15.75" customHeight="1" x14ac:dyDescent="0.25"/>
    <row r="1158" ht="15.75" customHeight="1" x14ac:dyDescent="0.25"/>
    <row r="1159" ht="15.75" customHeight="1" x14ac:dyDescent="0.25"/>
    <row r="1160" ht="15.75" customHeight="1" x14ac:dyDescent="0.25"/>
    <row r="1161" ht="15.75" customHeight="1" x14ac:dyDescent="0.25"/>
    <row r="1162" ht="15.75" customHeight="1" x14ac:dyDescent="0.25"/>
    <row r="1163" ht="15.75" customHeight="1" x14ac:dyDescent="0.25"/>
    <row r="1164" ht="15.75" customHeight="1" x14ac:dyDescent="0.25"/>
    <row r="1165" ht="15.75" customHeight="1" x14ac:dyDescent="0.25"/>
    <row r="1166" ht="15.75" customHeight="1" x14ac:dyDescent="0.25"/>
    <row r="1167" ht="15.75" customHeight="1" x14ac:dyDescent="0.25"/>
    <row r="1168" ht="15.75" customHeight="1" x14ac:dyDescent="0.25"/>
    <row r="1169" ht="15.75" customHeight="1" x14ac:dyDescent="0.25"/>
    <row r="1170" ht="15.75" customHeight="1" x14ac:dyDescent="0.25"/>
    <row r="1171" ht="15.75" customHeight="1" x14ac:dyDescent="0.25"/>
    <row r="1172" ht="15.75" customHeight="1" x14ac:dyDescent="0.25"/>
    <row r="1173" ht="15.75" customHeight="1" x14ac:dyDescent="0.25"/>
    <row r="1174" ht="15.75" customHeight="1" x14ac:dyDescent="0.25"/>
    <row r="1175" ht="15.75" customHeight="1" x14ac:dyDescent="0.25"/>
    <row r="1176" ht="15.75" customHeight="1" x14ac:dyDescent="0.25"/>
    <row r="1177" ht="15.75" customHeight="1" x14ac:dyDescent="0.25"/>
    <row r="1178" ht="15.75" customHeight="1" x14ac:dyDescent="0.25"/>
    <row r="1179" ht="15.75" customHeight="1" x14ac:dyDescent="0.25"/>
    <row r="1180" ht="15.75" customHeight="1" x14ac:dyDescent="0.25"/>
    <row r="1181" ht="15.75" customHeight="1" x14ac:dyDescent="0.25"/>
    <row r="1182" ht="15.75" customHeight="1" x14ac:dyDescent="0.25"/>
    <row r="1183" ht="15.75" customHeight="1" x14ac:dyDescent="0.25"/>
    <row r="1184" ht="15.75" customHeight="1" x14ac:dyDescent="0.25"/>
    <row r="1185" ht="15.75" customHeight="1" x14ac:dyDescent="0.25"/>
    <row r="1186" ht="15.75" customHeight="1" x14ac:dyDescent="0.25"/>
    <row r="1187" ht="15.75" customHeight="1" x14ac:dyDescent="0.25"/>
  </sheetData>
  <sortState ref="S53:T90">
    <sortCondition descending="1" ref="T53:T90"/>
  </sortState>
  <dataConsolidate/>
  <conditionalFormatting sqref="D324">
    <cfRule type="cellIs" dxfId="16630" priority="4551" operator="lessThan">
      <formula>0</formula>
    </cfRule>
    <cfRule type="cellIs" dxfId="16629" priority="4552" operator="greaterThan">
      <formula>0</formula>
    </cfRule>
  </conditionalFormatting>
  <conditionalFormatting sqref="A2:M2 E21:M22 B15:M15 C3:M14 C16:M20 C23:M68 B17:B86 B69:M164 A87:A164 E204:M205 C204:C205 C206:M213 A204:B213 A165:M203 A214:M317">
    <cfRule type="expression" dxfId="16628" priority="4550">
      <formula>$C2="Advance"</formula>
    </cfRule>
  </conditionalFormatting>
  <conditionalFormatting sqref="E21:M22 B2:M2 B15:M15 C3:M14 C16:M20 C23:M68 B17:B86 C204:C205 E204:M205 C206:M213 B69:M203 B204:B221 B214:M317">
    <cfRule type="expression" dxfId="16627" priority="4539">
      <formula>$C2="Delivery charge"</formula>
    </cfRule>
    <cfRule type="expression" dxfId="16626" priority="4542">
      <formula>$C2="Staff Salary"</formula>
    </cfRule>
    <cfRule type="expression" dxfId="16625" priority="4543">
      <formula>$C2="Rent"</formula>
    </cfRule>
    <cfRule type="expression" dxfId="16624" priority="4544">
      <formula>$C2="Petrol"</formula>
    </cfRule>
    <cfRule type="expression" dxfId="16623" priority="4545">
      <formula>$C2="Bills"</formula>
    </cfRule>
    <cfRule type="expression" dxfId="16622" priority="4546">
      <formula>$C2="Sales"</formula>
    </cfRule>
    <cfRule type="expression" dxfId="16621" priority="4547">
      <formula>$C2="Expences"</formula>
    </cfRule>
    <cfRule type="expression" dxfId="16620" priority="4548">
      <formula>$C2="Garlic Purchase"</formula>
    </cfRule>
    <cfRule type="expression" dxfId="16619" priority="4549">
      <formula>$C2="Ginger Purchase"</formula>
    </cfRule>
  </conditionalFormatting>
  <conditionalFormatting sqref="A3">
    <cfRule type="expression" dxfId="16618" priority="4541">
      <formula>$C3="Advance"</formula>
    </cfRule>
  </conditionalFormatting>
  <conditionalFormatting sqref="C21:D22">
    <cfRule type="expression" dxfId="16617" priority="4538">
      <formula>$C21="Advance"</formula>
    </cfRule>
  </conditionalFormatting>
  <conditionalFormatting sqref="C21:D22">
    <cfRule type="expression" dxfId="16616" priority="4529">
      <formula>$C21="Delivery charge"</formula>
    </cfRule>
    <cfRule type="expression" dxfId="16615" priority="4530">
      <formula>$C21="Staff Salary"</formula>
    </cfRule>
    <cfRule type="expression" dxfId="16614" priority="4531">
      <formula>$C21="Rent"</formula>
    </cfRule>
    <cfRule type="expression" dxfId="16613" priority="4532">
      <formula>$C21="Petrol"</formula>
    </cfRule>
    <cfRule type="expression" dxfId="16612" priority="4533">
      <formula>$C21="Bills"</formula>
    </cfRule>
    <cfRule type="expression" dxfId="16611" priority="4534">
      <formula>$C21="Sales"</formula>
    </cfRule>
    <cfRule type="expression" dxfId="16610" priority="4535">
      <formula>$C21="Expences"</formula>
    </cfRule>
    <cfRule type="expression" dxfId="16609" priority="4536">
      <formula>$C21="Garlic Purchase"</formula>
    </cfRule>
    <cfRule type="expression" dxfId="16608" priority="4537">
      <formula>$C21="Ginger Purchase"</formula>
    </cfRule>
  </conditionalFormatting>
  <conditionalFormatting sqref="B13 B15:B19">
    <cfRule type="expression" dxfId="16607" priority="4305">
      <formula>$C13="Advance"</formula>
    </cfRule>
  </conditionalFormatting>
  <conditionalFormatting sqref="B38 B40:B42 B44 B46:B50 B52 B54 B56 B58 B60 B62:B64 B66 B68:B69 B71:B72 B75:B76 B78:B79 B81:B82 B84 B86">
    <cfRule type="expression" dxfId="16606" priority="2734">
      <formula>$C38="Advance"</formula>
    </cfRule>
  </conditionalFormatting>
  <conditionalFormatting sqref="B23 B26 B3:B20">
    <cfRule type="expression" dxfId="16605" priority="4527">
      <formula>$C3="Advance"</formula>
    </cfRule>
  </conditionalFormatting>
  <conditionalFormatting sqref="B23 B26 B3:B20">
    <cfRule type="expression" dxfId="16604" priority="4518">
      <formula>$C3="Delivery charge"</formula>
    </cfRule>
    <cfRule type="expression" dxfId="16603" priority="4519">
      <formula>$C3="Staff Salary"</formula>
    </cfRule>
    <cfRule type="expression" dxfId="16602" priority="4520">
      <formula>$C3="Rent"</formula>
    </cfRule>
    <cfRule type="expression" dxfId="16601" priority="4521">
      <formula>$C3="Petrol"</formula>
    </cfRule>
    <cfRule type="expression" dxfId="16600" priority="4522">
      <formula>$C3="Bills"</formula>
    </cfRule>
    <cfRule type="expression" dxfId="16599" priority="4523">
      <formula>$C3="Sales"</formula>
    </cfRule>
    <cfRule type="expression" dxfId="16598" priority="4524">
      <formula>$C3="Expences"</formula>
    </cfRule>
    <cfRule type="expression" dxfId="16597" priority="4525">
      <formula>$C3="Garlic Purchase"</formula>
    </cfRule>
    <cfRule type="expression" dxfId="16596" priority="4526">
      <formula>$C3="Ginger Purchase"</formula>
    </cfRule>
  </conditionalFormatting>
  <conditionalFormatting sqref="B3 B5 B7 B9 B11 B13 B15:B17 B19">
    <cfRule type="expression" dxfId="16595" priority="4508">
      <formula>$C3="Delivery charge"</formula>
    </cfRule>
    <cfRule type="expression" dxfId="16594" priority="4509">
      <formula>$C3="Staff Salary"</formula>
    </cfRule>
    <cfRule type="expression" dxfId="16593" priority="4510">
      <formula>$C3="Rent"</formula>
    </cfRule>
    <cfRule type="expression" dxfId="16592" priority="4511">
      <formula>$C3="Petrol"</formula>
    </cfRule>
    <cfRule type="expression" dxfId="16591" priority="4512">
      <formula>$C3="Bills"</formula>
    </cfRule>
    <cfRule type="expression" dxfId="16590" priority="4513">
      <formula>$C3="Sales"</formula>
    </cfRule>
    <cfRule type="expression" dxfId="16589" priority="4514">
      <formula>$C3="Expences"</formula>
    </cfRule>
    <cfRule type="expression" dxfId="16588" priority="4515">
      <formula>$C3="Garlic Purchase"</formula>
    </cfRule>
    <cfRule type="expression" dxfId="16587" priority="4516">
      <formula>$C3="Ginger Purchase"</formula>
    </cfRule>
  </conditionalFormatting>
  <conditionalFormatting sqref="B3 B5 B7 B9 B11 B13 B15:B17 B19">
    <cfRule type="expression" dxfId="16586" priority="4517">
      <formula>$C3="Advance"</formula>
    </cfRule>
  </conditionalFormatting>
  <conditionalFormatting sqref="B4 B20 B23 B26 B6 B8 B10 B12 B14 B16:B18">
    <cfRule type="expression" dxfId="16585" priority="4498">
      <formula>$C4="Delivery charge"</formula>
    </cfRule>
    <cfRule type="expression" dxfId="16584" priority="4499">
      <formula>$C4="Staff Salary"</formula>
    </cfRule>
    <cfRule type="expression" dxfId="16583" priority="4500">
      <formula>$C4="Rent"</formula>
    </cfRule>
    <cfRule type="expression" dxfId="16582" priority="4501">
      <formula>$C4="Petrol"</formula>
    </cfRule>
    <cfRule type="expression" dxfId="16581" priority="4502">
      <formula>$C4="Bills"</formula>
    </cfRule>
    <cfRule type="expression" dxfId="16580" priority="4503">
      <formula>$C4="Sales"</formula>
    </cfRule>
    <cfRule type="expression" dxfId="16579" priority="4504">
      <formula>$C4="Expences"</formula>
    </cfRule>
    <cfRule type="expression" dxfId="16578" priority="4505">
      <formula>$C4="Garlic Purchase"</formula>
    </cfRule>
    <cfRule type="expression" dxfId="16577" priority="4506">
      <formula>$C4="Ginger Purchase"</formula>
    </cfRule>
  </conditionalFormatting>
  <conditionalFormatting sqref="B4 B20 B23 B26 B6 B8 B10 B12 B14 B16:B18">
    <cfRule type="expression" dxfId="16576" priority="4507">
      <formula>$C4="Advance"</formula>
    </cfRule>
  </conditionalFormatting>
  <conditionalFormatting sqref="B4 B20 B23 B26 B6 B8 B10 B12 B14 B16:B18">
    <cfRule type="expression" dxfId="16575" priority="4488">
      <formula>$C4="Delivery charge"</formula>
    </cfRule>
    <cfRule type="expression" dxfId="16574" priority="4489">
      <formula>$C4="Staff Salary"</formula>
    </cfRule>
    <cfRule type="expression" dxfId="16573" priority="4490">
      <formula>$C4="Rent"</formula>
    </cfRule>
    <cfRule type="expression" dxfId="16572" priority="4491">
      <formula>$C4="Petrol"</formula>
    </cfRule>
    <cfRule type="expression" dxfId="16571" priority="4492">
      <formula>$C4="Bills"</formula>
    </cfRule>
    <cfRule type="expression" dxfId="16570" priority="4493">
      <formula>$C4="Sales"</formula>
    </cfRule>
    <cfRule type="expression" dxfId="16569" priority="4494">
      <formula>$C4="Expences"</formula>
    </cfRule>
    <cfRule type="expression" dxfId="16568" priority="4495">
      <formula>$C4="Garlic Purchase"</formula>
    </cfRule>
    <cfRule type="expression" dxfId="16567" priority="4496">
      <formula>$C4="Ginger Purchase"</formula>
    </cfRule>
  </conditionalFormatting>
  <conditionalFormatting sqref="B4 B20 B23 B26 B6 B8 B10 B12 B14 B16:B18">
    <cfRule type="expression" dxfId="16566" priority="4497">
      <formula>$C4="Advance"</formula>
    </cfRule>
  </conditionalFormatting>
  <conditionalFormatting sqref="B4 B20 B23 B26 B6 B8 B10 B12 B14 B16:B18">
    <cfRule type="expression" dxfId="16565" priority="4478">
      <formula>$C4="Delivery charge"</formula>
    </cfRule>
    <cfRule type="expression" dxfId="16564" priority="4479">
      <formula>$C4="Staff Salary"</formula>
    </cfRule>
    <cfRule type="expression" dxfId="16563" priority="4480">
      <formula>$C4="Rent"</formula>
    </cfRule>
    <cfRule type="expression" dxfId="16562" priority="4481">
      <formula>$C4="Petrol"</formula>
    </cfRule>
    <cfRule type="expression" dxfId="16561" priority="4482">
      <formula>$C4="Bills"</formula>
    </cfRule>
    <cfRule type="expression" dxfId="16560" priority="4483">
      <formula>$C4="Sales"</formula>
    </cfRule>
    <cfRule type="expression" dxfId="16559" priority="4484">
      <formula>$C4="Expences"</formula>
    </cfRule>
    <cfRule type="expression" dxfId="16558" priority="4485">
      <formula>$C4="Garlic Purchase"</formula>
    </cfRule>
    <cfRule type="expression" dxfId="16557" priority="4486">
      <formula>$C4="Ginger Purchase"</formula>
    </cfRule>
  </conditionalFormatting>
  <conditionalFormatting sqref="B4 B20 B23 B26 B6 B8 B10 B12 B14 B16:B18">
    <cfRule type="expression" dxfId="16556" priority="4487">
      <formula>$C4="Advance"</formula>
    </cfRule>
  </conditionalFormatting>
  <conditionalFormatting sqref="B4 B20 B23 B26 B6 B8 B10 B12 B14 B16:B18">
    <cfRule type="expression" dxfId="16555" priority="4468">
      <formula>$C4="Delivery charge"</formula>
    </cfRule>
    <cfRule type="expression" dxfId="16554" priority="4469">
      <formula>$C4="Staff Salary"</formula>
    </cfRule>
    <cfRule type="expression" dxfId="16553" priority="4470">
      <formula>$C4="Rent"</formula>
    </cfRule>
    <cfRule type="expression" dxfId="16552" priority="4471">
      <formula>$C4="Petrol"</formula>
    </cfRule>
    <cfRule type="expression" dxfId="16551" priority="4472">
      <formula>$C4="Bills"</formula>
    </cfRule>
    <cfRule type="expression" dxfId="16550" priority="4473">
      <formula>$C4="Sales"</formula>
    </cfRule>
    <cfRule type="expression" dxfId="16549" priority="4474">
      <formula>$C4="Expences"</formula>
    </cfRule>
    <cfRule type="expression" dxfId="16548" priority="4475">
      <formula>$C4="Garlic Purchase"</formula>
    </cfRule>
    <cfRule type="expression" dxfId="16547" priority="4476">
      <formula>$C4="Ginger Purchase"</formula>
    </cfRule>
  </conditionalFormatting>
  <conditionalFormatting sqref="B4 B20 B23 B26 B6 B8 B10 B12 B14 B16:B18">
    <cfRule type="expression" dxfId="16546" priority="4477">
      <formula>$C4="Advance"</formula>
    </cfRule>
  </conditionalFormatting>
  <conditionalFormatting sqref="B12">
    <cfRule type="expression" dxfId="16545" priority="4458">
      <formula>$C12="Delivery charge"</formula>
    </cfRule>
    <cfRule type="expression" dxfId="16544" priority="4459">
      <formula>$C12="Staff Salary"</formula>
    </cfRule>
    <cfRule type="expression" dxfId="16543" priority="4460">
      <formula>$C12="Rent"</formula>
    </cfRule>
    <cfRule type="expression" dxfId="16542" priority="4461">
      <formula>$C12="Petrol"</formula>
    </cfRule>
    <cfRule type="expression" dxfId="16541" priority="4462">
      <formula>$C12="Bills"</formula>
    </cfRule>
    <cfRule type="expression" dxfId="16540" priority="4463">
      <formula>$C12="Sales"</formula>
    </cfRule>
    <cfRule type="expression" dxfId="16539" priority="4464">
      <formula>$C12="Expences"</formula>
    </cfRule>
    <cfRule type="expression" dxfId="16538" priority="4465">
      <formula>$C12="Garlic Purchase"</formula>
    </cfRule>
    <cfRule type="expression" dxfId="16537" priority="4466">
      <formula>$C12="Ginger Purchase"</formula>
    </cfRule>
  </conditionalFormatting>
  <conditionalFormatting sqref="B12">
    <cfRule type="expression" dxfId="16536" priority="4467">
      <formula>$C12="Advance"</formula>
    </cfRule>
  </conditionalFormatting>
  <conditionalFormatting sqref="B11 B13 B16 B19">
    <cfRule type="expression" dxfId="16535" priority="4448">
      <formula>$C11="Delivery charge"</formula>
    </cfRule>
    <cfRule type="expression" dxfId="16534" priority="4449">
      <formula>$C11="Staff Salary"</formula>
    </cfRule>
    <cfRule type="expression" dxfId="16533" priority="4450">
      <formula>$C11="Rent"</formula>
    </cfRule>
    <cfRule type="expression" dxfId="16532" priority="4451">
      <formula>$C11="Petrol"</formula>
    </cfRule>
    <cfRule type="expression" dxfId="16531" priority="4452">
      <formula>$C11="Bills"</formula>
    </cfRule>
    <cfRule type="expression" dxfId="16530" priority="4453">
      <formula>$C11="Sales"</formula>
    </cfRule>
    <cfRule type="expression" dxfId="16529" priority="4454">
      <formula>$C11="Expences"</formula>
    </cfRule>
    <cfRule type="expression" dxfId="16528" priority="4455">
      <formula>$C11="Garlic Purchase"</formula>
    </cfRule>
    <cfRule type="expression" dxfId="16527" priority="4456">
      <formula>$C11="Ginger Purchase"</formula>
    </cfRule>
  </conditionalFormatting>
  <conditionalFormatting sqref="B11 B13 B16 B19">
    <cfRule type="expression" dxfId="16526" priority="4457">
      <formula>$C11="Advance"</formula>
    </cfRule>
  </conditionalFormatting>
  <conditionalFormatting sqref="B11 B13 B16 B19">
    <cfRule type="expression" dxfId="16525" priority="4438">
      <formula>$C11="Delivery charge"</formula>
    </cfRule>
    <cfRule type="expression" dxfId="16524" priority="4439">
      <formula>$C11="Staff Salary"</formula>
    </cfRule>
    <cfRule type="expression" dxfId="16523" priority="4440">
      <formula>$C11="Rent"</formula>
    </cfRule>
    <cfRule type="expression" dxfId="16522" priority="4441">
      <formula>$C11="Petrol"</formula>
    </cfRule>
    <cfRule type="expression" dxfId="16521" priority="4442">
      <formula>$C11="Bills"</formula>
    </cfRule>
    <cfRule type="expression" dxfId="16520" priority="4443">
      <formula>$C11="Sales"</formula>
    </cfRule>
    <cfRule type="expression" dxfId="16519" priority="4444">
      <formula>$C11="Expences"</formula>
    </cfRule>
    <cfRule type="expression" dxfId="16518" priority="4445">
      <formula>$C11="Garlic Purchase"</formula>
    </cfRule>
    <cfRule type="expression" dxfId="16517" priority="4446">
      <formula>$C11="Ginger Purchase"</formula>
    </cfRule>
  </conditionalFormatting>
  <conditionalFormatting sqref="B11 B13 B16 B19">
    <cfRule type="expression" dxfId="16516" priority="4447">
      <formula>$C11="Advance"</formula>
    </cfRule>
  </conditionalFormatting>
  <conditionalFormatting sqref="B11 B13 B16 B19">
    <cfRule type="expression" dxfId="16515" priority="4428">
      <formula>$C11="Delivery charge"</formula>
    </cfRule>
    <cfRule type="expression" dxfId="16514" priority="4429">
      <formula>$C11="Staff Salary"</formula>
    </cfRule>
    <cfRule type="expression" dxfId="16513" priority="4430">
      <formula>$C11="Rent"</formula>
    </cfRule>
    <cfRule type="expression" dxfId="16512" priority="4431">
      <formula>$C11="Petrol"</formula>
    </cfRule>
    <cfRule type="expression" dxfId="16511" priority="4432">
      <formula>$C11="Bills"</formula>
    </cfRule>
    <cfRule type="expression" dxfId="16510" priority="4433">
      <formula>$C11="Sales"</formula>
    </cfRule>
    <cfRule type="expression" dxfId="16509" priority="4434">
      <formula>$C11="Expences"</formula>
    </cfRule>
    <cfRule type="expression" dxfId="16508" priority="4435">
      <formula>$C11="Garlic Purchase"</formula>
    </cfRule>
    <cfRule type="expression" dxfId="16507" priority="4436">
      <formula>$C11="Ginger Purchase"</formula>
    </cfRule>
  </conditionalFormatting>
  <conditionalFormatting sqref="B11 B13 B16 B19">
    <cfRule type="expression" dxfId="16506" priority="4437">
      <formula>$C11="Advance"</formula>
    </cfRule>
  </conditionalFormatting>
  <conditionalFormatting sqref="B11 B13 B16 B19">
    <cfRule type="expression" dxfId="16505" priority="4418">
      <formula>$C11="Delivery charge"</formula>
    </cfRule>
    <cfRule type="expression" dxfId="16504" priority="4419">
      <formula>$C11="Staff Salary"</formula>
    </cfRule>
    <cfRule type="expression" dxfId="16503" priority="4420">
      <formula>$C11="Rent"</formula>
    </cfRule>
    <cfRule type="expression" dxfId="16502" priority="4421">
      <formula>$C11="Petrol"</formula>
    </cfRule>
    <cfRule type="expression" dxfId="16501" priority="4422">
      <formula>$C11="Bills"</formula>
    </cfRule>
    <cfRule type="expression" dxfId="16500" priority="4423">
      <formula>$C11="Sales"</formula>
    </cfRule>
    <cfRule type="expression" dxfId="16499" priority="4424">
      <formula>$C11="Expences"</formula>
    </cfRule>
    <cfRule type="expression" dxfId="16498" priority="4425">
      <formula>$C11="Garlic Purchase"</formula>
    </cfRule>
    <cfRule type="expression" dxfId="16497" priority="4426">
      <formula>$C11="Ginger Purchase"</formula>
    </cfRule>
  </conditionalFormatting>
  <conditionalFormatting sqref="B11 B13 B16 B19">
    <cfRule type="expression" dxfId="16496" priority="4427">
      <formula>$C11="Advance"</formula>
    </cfRule>
  </conditionalFormatting>
  <conditionalFormatting sqref="B14 B12 B20 B23 B26 B16:B18">
    <cfRule type="expression" dxfId="16495" priority="4416">
      <formula>$C12="Advance"</formula>
    </cfRule>
  </conditionalFormatting>
  <conditionalFormatting sqref="B14 B12 B20 B23 B26 B16:B18">
    <cfRule type="expression" dxfId="16494" priority="4407">
      <formula>$C12="Delivery charge"</formula>
    </cfRule>
    <cfRule type="expression" dxfId="16493" priority="4408">
      <formula>$C12="Staff Salary"</formula>
    </cfRule>
    <cfRule type="expression" dxfId="16492" priority="4409">
      <formula>$C12="Rent"</formula>
    </cfRule>
    <cfRule type="expression" dxfId="16491" priority="4410">
      <formula>$C12="Petrol"</formula>
    </cfRule>
    <cfRule type="expression" dxfId="16490" priority="4411">
      <formula>$C12="Bills"</formula>
    </cfRule>
    <cfRule type="expression" dxfId="16489" priority="4412">
      <formula>$C12="Sales"</formula>
    </cfRule>
    <cfRule type="expression" dxfId="16488" priority="4413">
      <formula>$C12="Expences"</formula>
    </cfRule>
    <cfRule type="expression" dxfId="16487" priority="4414">
      <formula>$C12="Garlic Purchase"</formula>
    </cfRule>
    <cfRule type="expression" dxfId="16486" priority="4415">
      <formula>$C12="Ginger Purchase"</formula>
    </cfRule>
  </conditionalFormatting>
  <conditionalFormatting sqref="B13 B16 B19">
    <cfRule type="expression" dxfId="16485" priority="4397">
      <formula>$C13="Delivery charge"</formula>
    </cfRule>
    <cfRule type="expression" dxfId="16484" priority="4398">
      <formula>$C13="Staff Salary"</formula>
    </cfRule>
    <cfRule type="expression" dxfId="16483" priority="4399">
      <formula>$C13="Rent"</formula>
    </cfRule>
    <cfRule type="expression" dxfId="16482" priority="4400">
      <formula>$C13="Petrol"</formula>
    </cfRule>
    <cfRule type="expression" dxfId="16481" priority="4401">
      <formula>$C13="Bills"</formula>
    </cfRule>
    <cfRule type="expression" dxfId="16480" priority="4402">
      <formula>$C13="Sales"</formula>
    </cfRule>
    <cfRule type="expression" dxfId="16479" priority="4403">
      <formula>$C13="Expences"</formula>
    </cfRule>
    <cfRule type="expression" dxfId="16478" priority="4404">
      <formula>$C13="Garlic Purchase"</formula>
    </cfRule>
    <cfRule type="expression" dxfId="16477" priority="4405">
      <formula>$C13="Ginger Purchase"</formula>
    </cfRule>
  </conditionalFormatting>
  <conditionalFormatting sqref="B13 B16 B19">
    <cfRule type="expression" dxfId="16476" priority="4406">
      <formula>$C13="Advance"</formula>
    </cfRule>
  </conditionalFormatting>
  <conditionalFormatting sqref="B13 B16 B19">
    <cfRule type="expression" dxfId="16475" priority="4387">
      <formula>$C13="Delivery charge"</formula>
    </cfRule>
    <cfRule type="expression" dxfId="16474" priority="4388">
      <formula>$C13="Staff Salary"</formula>
    </cfRule>
    <cfRule type="expression" dxfId="16473" priority="4389">
      <formula>$C13="Rent"</formula>
    </cfRule>
    <cfRule type="expression" dxfId="16472" priority="4390">
      <formula>$C13="Petrol"</formula>
    </cfRule>
    <cfRule type="expression" dxfId="16471" priority="4391">
      <formula>$C13="Bills"</formula>
    </cfRule>
    <cfRule type="expression" dxfId="16470" priority="4392">
      <formula>$C13="Sales"</formula>
    </cfRule>
    <cfRule type="expression" dxfId="16469" priority="4393">
      <formula>$C13="Expences"</formula>
    </cfRule>
    <cfRule type="expression" dxfId="16468" priority="4394">
      <formula>$C13="Garlic Purchase"</formula>
    </cfRule>
    <cfRule type="expression" dxfId="16467" priority="4395">
      <formula>$C13="Ginger Purchase"</formula>
    </cfRule>
  </conditionalFormatting>
  <conditionalFormatting sqref="B13 B16 B19">
    <cfRule type="expression" dxfId="16466" priority="4396">
      <formula>$C13="Advance"</formula>
    </cfRule>
  </conditionalFormatting>
  <conditionalFormatting sqref="B13 B16 B19">
    <cfRule type="expression" dxfId="16465" priority="4377">
      <formula>$C13="Delivery charge"</formula>
    </cfRule>
    <cfRule type="expression" dxfId="16464" priority="4378">
      <formula>$C13="Staff Salary"</formula>
    </cfRule>
    <cfRule type="expression" dxfId="16463" priority="4379">
      <formula>$C13="Rent"</formula>
    </cfRule>
    <cfRule type="expression" dxfId="16462" priority="4380">
      <formula>$C13="Petrol"</formula>
    </cfRule>
    <cfRule type="expression" dxfId="16461" priority="4381">
      <formula>$C13="Bills"</formula>
    </cfRule>
    <cfRule type="expression" dxfId="16460" priority="4382">
      <formula>$C13="Sales"</formula>
    </cfRule>
    <cfRule type="expression" dxfId="16459" priority="4383">
      <formula>$C13="Expences"</formula>
    </cfRule>
    <cfRule type="expression" dxfId="16458" priority="4384">
      <formula>$C13="Garlic Purchase"</formula>
    </cfRule>
    <cfRule type="expression" dxfId="16457" priority="4385">
      <formula>$C13="Ginger Purchase"</formula>
    </cfRule>
  </conditionalFormatting>
  <conditionalFormatting sqref="B13 B16 B19">
    <cfRule type="expression" dxfId="16456" priority="4386">
      <formula>$C13="Advance"</formula>
    </cfRule>
  </conditionalFormatting>
  <conditionalFormatting sqref="B13 B16 B19">
    <cfRule type="expression" dxfId="16455" priority="4367">
      <formula>$C13="Delivery charge"</formula>
    </cfRule>
    <cfRule type="expression" dxfId="16454" priority="4368">
      <formula>$C13="Staff Salary"</formula>
    </cfRule>
    <cfRule type="expression" dxfId="16453" priority="4369">
      <formula>$C13="Rent"</formula>
    </cfRule>
    <cfRule type="expression" dxfId="16452" priority="4370">
      <formula>$C13="Petrol"</formula>
    </cfRule>
    <cfRule type="expression" dxfId="16451" priority="4371">
      <formula>$C13="Bills"</formula>
    </cfRule>
    <cfRule type="expression" dxfId="16450" priority="4372">
      <formula>$C13="Sales"</formula>
    </cfRule>
    <cfRule type="expression" dxfId="16449" priority="4373">
      <formula>$C13="Expences"</formula>
    </cfRule>
    <cfRule type="expression" dxfId="16448" priority="4374">
      <formula>$C13="Garlic Purchase"</formula>
    </cfRule>
    <cfRule type="expression" dxfId="16447" priority="4375">
      <formula>$C13="Ginger Purchase"</formula>
    </cfRule>
  </conditionalFormatting>
  <conditionalFormatting sqref="B13 B16 B19">
    <cfRule type="expression" dxfId="16446" priority="4376">
      <formula>$C13="Advance"</formula>
    </cfRule>
  </conditionalFormatting>
  <conditionalFormatting sqref="B13 B16 B19">
    <cfRule type="expression" dxfId="16445" priority="4357">
      <formula>$C13="Delivery charge"</formula>
    </cfRule>
    <cfRule type="expression" dxfId="16444" priority="4358">
      <formula>$C13="Staff Salary"</formula>
    </cfRule>
    <cfRule type="expression" dxfId="16443" priority="4359">
      <formula>$C13="Rent"</formula>
    </cfRule>
    <cfRule type="expression" dxfId="16442" priority="4360">
      <formula>$C13="Petrol"</formula>
    </cfRule>
    <cfRule type="expression" dxfId="16441" priority="4361">
      <formula>$C13="Bills"</formula>
    </cfRule>
    <cfRule type="expression" dxfId="16440" priority="4362">
      <formula>$C13="Sales"</formula>
    </cfRule>
    <cfRule type="expression" dxfId="16439" priority="4363">
      <formula>$C13="Expences"</formula>
    </cfRule>
    <cfRule type="expression" dxfId="16438" priority="4364">
      <formula>$C13="Garlic Purchase"</formula>
    </cfRule>
    <cfRule type="expression" dxfId="16437" priority="4365">
      <formula>$C13="Ginger Purchase"</formula>
    </cfRule>
  </conditionalFormatting>
  <conditionalFormatting sqref="B13 B16 B19">
    <cfRule type="expression" dxfId="16436" priority="4366">
      <formula>$C13="Advance"</formula>
    </cfRule>
  </conditionalFormatting>
  <conditionalFormatting sqref="B12 B14 B20 B23 B26 B16:B18">
    <cfRule type="expression" dxfId="16435" priority="4347">
      <formula>$C12="Delivery charge"</formula>
    </cfRule>
    <cfRule type="expression" dxfId="16434" priority="4348">
      <formula>$C12="Staff Salary"</formula>
    </cfRule>
    <cfRule type="expression" dxfId="16433" priority="4349">
      <formula>$C12="Rent"</formula>
    </cfRule>
    <cfRule type="expression" dxfId="16432" priority="4350">
      <formula>$C12="Petrol"</formula>
    </cfRule>
    <cfRule type="expression" dxfId="16431" priority="4351">
      <formula>$C12="Bills"</formula>
    </cfRule>
    <cfRule type="expression" dxfId="16430" priority="4352">
      <formula>$C12="Sales"</formula>
    </cfRule>
    <cfRule type="expression" dxfId="16429" priority="4353">
      <formula>$C12="Expences"</formula>
    </cfRule>
    <cfRule type="expression" dxfId="16428" priority="4354">
      <formula>$C12="Garlic Purchase"</formula>
    </cfRule>
    <cfRule type="expression" dxfId="16427" priority="4355">
      <formula>$C12="Ginger Purchase"</formula>
    </cfRule>
  </conditionalFormatting>
  <conditionalFormatting sqref="B12 B14 B20 B23 B26 B16:B18">
    <cfRule type="expression" dxfId="16426" priority="4356">
      <formula>$C12="Advance"</formula>
    </cfRule>
  </conditionalFormatting>
  <conditionalFormatting sqref="B12 B14 B20 B23 B26 B16:B18">
    <cfRule type="expression" dxfId="16425" priority="4337">
      <formula>$C12="Delivery charge"</formula>
    </cfRule>
    <cfRule type="expression" dxfId="16424" priority="4338">
      <formula>$C12="Staff Salary"</formula>
    </cfRule>
    <cfRule type="expression" dxfId="16423" priority="4339">
      <formula>$C12="Rent"</formula>
    </cfRule>
    <cfRule type="expression" dxfId="16422" priority="4340">
      <formula>$C12="Petrol"</formula>
    </cfRule>
    <cfRule type="expression" dxfId="16421" priority="4341">
      <formula>$C12="Bills"</formula>
    </cfRule>
    <cfRule type="expression" dxfId="16420" priority="4342">
      <formula>$C12="Sales"</formula>
    </cfRule>
    <cfRule type="expression" dxfId="16419" priority="4343">
      <formula>$C12="Expences"</formula>
    </cfRule>
    <cfRule type="expression" dxfId="16418" priority="4344">
      <formula>$C12="Garlic Purchase"</formula>
    </cfRule>
    <cfRule type="expression" dxfId="16417" priority="4345">
      <formula>$C12="Ginger Purchase"</formula>
    </cfRule>
  </conditionalFormatting>
  <conditionalFormatting sqref="B12 B14 B20 B23 B26 B16:B18">
    <cfRule type="expression" dxfId="16416" priority="4346">
      <formula>$C12="Advance"</formula>
    </cfRule>
  </conditionalFormatting>
  <conditionalFormatting sqref="B12 B14 B20 B23 B26 B16:B18">
    <cfRule type="expression" dxfId="16415" priority="4327">
      <formula>$C12="Delivery charge"</formula>
    </cfRule>
    <cfRule type="expression" dxfId="16414" priority="4328">
      <formula>$C12="Staff Salary"</formula>
    </cfRule>
    <cfRule type="expression" dxfId="16413" priority="4329">
      <formula>$C12="Rent"</formula>
    </cfRule>
    <cfRule type="expression" dxfId="16412" priority="4330">
      <formula>$C12="Petrol"</formula>
    </cfRule>
    <cfRule type="expression" dxfId="16411" priority="4331">
      <formula>$C12="Bills"</formula>
    </cfRule>
    <cfRule type="expression" dxfId="16410" priority="4332">
      <formula>$C12="Sales"</formula>
    </cfRule>
    <cfRule type="expression" dxfId="16409" priority="4333">
      <formula>$C12="Expences"</formula>
    </cfRule>
    <cfRule type="expression" dxfId="16408" priority="4334">
      <formula>$C12="Garlic Purchase"</formula>
    </cfRule>
    <cfRule type="expression" dxfId="16407" priority="4335">
      <formula>$C12="Ginger Purchase"</formula>
    </cfRule>
  </conditionalFormatting>
  <conditionalFormatting sqref="B12 B14 B20 B23 B26 B16:B18">
    <cfRule type="expression" dxfId="16406" priority="4336">
      <formula>$C12="Advance"</formula>
    </cfRule>
  </conditionalFormatting>
  <conditionalFormatting sqref="B12 B14 B20 B23 B26 B16:B18">
    <cfRule type="expression" dxfId="16405" priority="4317">
      <formula>$C12="Delivery charge"</formula>
    </cfRule>
    <cfRule type="expression" dxfId="16404" priority="4318">
      <formula>$C12="Staff Salary"</formula>
    </cfRule>
    <cfRule type="expression" dxfId="16403" priority="4319">
      <formula>$C12="Rent"</formula>
    </cfRule>
    <cfRule type="expression" dxfId="16402" priority="4320">
      <formula>$C12="Petrol"</formula>
    </cfRule>
    <cfRule type="expression" dxfId="16401" priority="4321">
      <formula>$C12="Bills"</formula>
    </cfRule>
    <cfRule type="expression" dxfId="16400" priority="4322">
      <formula>$C12="Sales"</formula>
    </cfRule>
    <cfRule type="expression" dxfId="16399" priority="4323">
      <formula>$C12="Expences"</formula>
    </cfRule>
    <cfRule type="expression" dxfId="16398" priority="4324">
      <formula>$C12="Garlic Purchase"</formula>
    </cfRule>
    <cfRule type="expression" dxfId="16397" priority="4325">
      <formula>$C12="Ginger Purchase"</formula>
    </cfRule>
  </conditionalFormatting>
  <conditionalFormatting sqref="B12 B14 B20 B23 B26 B16:B18">
    <cfRule type="expression" dxfId="16396" priority="4326">
      <formula>$C12="Advance"</formula>
    </cfRule>
  </conditionalFormatting>
  <conditionalFormatting sqref="B14 B20 B23 B26 B16:B18">
    <cfRule type="expression" dxfId="16395" priority="4306">
      <formula>$C14="Delivery charge"</formula>
    </cfRule>
    <cfRule type="expression" dxfId="16394" priority="4307">
      <formula>$C14="Staff Salary"</formula>
    </cfRule>
    <cfRule type="expression" dxfId="16393" priority="4308">
      <formula>$C14="Rent"</formula>
    </cfRule>
    <cfRule type="expression" dxfId="16392" priority="4309">
      <formula>$C14="Petrol"</formula>
    </cfRule>
    <cfRule type="expression" dxfId="16391" priority="4310">
      <formula>$C14="Bills"</formula>
    </cfRule>
    <cfRule type="expression" dxfId="16390" priority="4311">
      <formula>$C14="Sales"</formula>
    </cfRule>
    <cfRule type="expression" dxfId="16389" priority="4312">
      <formula>$C14="Expences"</formula>
    </cfRule>
    <cfRule type="expression" dxfId="16388" priority="4313">
      <formula>$C14="Garlic Purchase"</formula>
    </cfRule>
    <cfRule type="expression" dxfId="16387" priority="4314">
      <formula>$C14="Ginger Purchase"</formula>
    </cfRule>
  </conditionalFormatting>
  <conditionalFormatting sqref="B14 B20 B23 B26 B16:B18">
    <cfRule type="expression" dxfId="16386" priority="4315">
      <formula>$C14="Advance"</formula>
    </cfRule>
  </conditionalFormatting>
  <conditionalFormatting sqref="B13 B15:B19">
    <cfRule type="expression" dxfId="16385" priority="4296">
      <formula>$C13="Delivery charge"</formula>
    </cfRule>
    <cfRule type="expression" dxfId="16384" priority="4297">
      <formula>$C13="Staff Salary"</formula>
    </cfRule>
    <cfRule type="expression" dxfId="16383" priority="4298">
      <formula>$C13="Rent"</formula>
    </cfRule>
    <cfRule type="expression" dxfId="16382" priority="4299">
      <formula>$C13="Petrol"</formula>
    </cfRule>
    <cfRule type="expression" dxfId="16381" priority="4300">
      <formula>$C13="Bills"</formula>
    </cfRule>
    <cfRule type="expression" dxfId="16380" priority="4301">
      <formula>$C13="Sales"</formula>
    </cfRule>
    <cfRule type="expression" dxfId="16379" priority="4302">
      <formula>$C13="Expences"</formula>
    </cfRule>
    <cfRule type="expression" dxfId="16378" priority="4303">
      <formula>$C13="Garlic Purchase"</formula>
    </cfRule>
    <cfRule type="expression" dxfId="16377" priority="4304">
      <formula>$C13="Ginger Purchase"</formula>
    </cfRule>
  </conditionalFormatting>
  <conditionalFormatting sqref="B13 B15:B19">
    <cfRule type="expression" dxfId="16376" priority="4286">
      <formula>$C13="Delivery charge"</formula>
    </cfRule>
    <cfRule type="expression" dxfId="16375" priority="4287">
      <formula>$C13="Staff Salary"</formula>
    </cfRule>
    <cfRule type="expression" dxfId="16374" priority="4288">
      <formula>$C13="Rent"</formula>
    </cfRule>
    <cfRule type="expression" dxfId="16373" priority="4289">
      <formula>$C13="Petrol"</formula>
    </cfRule>
    <cfRule type="expression" dxfId="16372" priority="4290">
      <formula>$C13="Bills"</formula>
    </cfRule>
    <cfRule type="expression" dxfId="16371" priority="4291">
      <formula>$C13="Sales"</formula>
    </cfRule>
    <cfRule type="expression" dxfId="16370" priority="4292">
      <formula>$C13="Expences"</formula>
    </cfRule>
    <cfRule type="expression" dxfId="16369" priority="4293">
      <formula>$C13="Garlic Purchase"</formula>
    </cfRule>
    <cfRule type="expression" dxfId="16368" priority="4294">
      <formula>$C13="Ginger Purchase"</formula>
    </cfRule>
  </conditionalFormatting>
  <conditionalFormatting sqref="B13 B15:B19">
    <cfRule type="expression" dxfId="16367" priority="4295">
      <formula>$C13="Advance"</formula>
    </cfRule>
  </conditionalFormatting>
  <conditionalFormatting sqref="B13 B15:B19">
    <cfRule type="expression" dxfId="16366" priority="4276">
      <formula>$C13="Delivery charge"</formula>
    </cfRule>
    <cfRule type="expression" dxfId="16365" priority="4277">
      <formula>$C13="Staff Salary"</formula>
    </cfRule>
    <cfRule type="expression" dxfId="16364" priority="4278">
      <formula>$C13="Rent"</formula>
    </cfRule>
    <cfRule type="expression" dxfId="16363" priority="4279">
      <formula>$C13="Petrol"</formula>
    </cfRule>
    <cfRule type="expression" dxfId="16362" priority="4280">
      <formula>$C13="Bills"</formula>
    </cfRule>
    <cfRule type="expression" dxfId="16361" priority="4281">
      <formula>$C13="Sales"</formula>
    </cfRule>
    <cfRule type="expression" dxfId="16360" priority="4282">
      <formula>$C13="Expences"</formula>
    </cfRule>
    <cfRule type="expression" dxfId="16359" priority="4283">
      <formula>$C13="Garlic Purchase"</formula>
    </cfRule>
    <cfRule type="expression" dxfId="16358" priority="4284">
      <formula>$C13="Ginger Purchase"</formula>
    </cfRule>
  </conditionalFormatting>
  <conditionalFormatting sqref="B13 B15:B19">
    <cfRule type="expression" dxfId="16357" priority="4285">
      <formula>$C13="Advance"</formula>
    </cfRule>
  </conditionalFormatting>
  <conditionalFormatting sqref="B13 B15:B19">
    <cfRule type="expression" dxfId="16356" priority="4266">
      <formula>$C13="Delivery charge"</formula>
    </cfRule>
    <cfRule type="expression" dxfId="16355" priority="4267">
      <formula>$C13="Staff Salary"</formula>
    </cfRule>
    <cfRule type="expression" dxfId="16354" priority="4268">
      <formula>$C13="Rent"</formula>
    </cfRule>
    <cfRule type="expression" dxfId="16353" priority="4269">
      <formula>$C13="Petrol"</formula>
    </cfRule>
    <cfRule type="expression" dxfId="16352" priority="4270">
      <formula>$C13="Bills"</formula>
    </cfRule>
    <cfRule type="expression" dxfId="16351" priority="4271">
      <formula>$C13="Sales"</formula>
    </cfRule>
    <cfRule type="expression" dxfId="16350" priority="4272">
      <formula>$C13="Expences"</formula>
    </cfRule>
    <cfRule type="expression" dxfId="16349" priority="4273">
      <formula>$C13="Garlic Purchase"</formula>
    </cfRule>
    <cfRule type="expression" dxfId="16348" priority="4274">
      <formula>$C13="Ginger Purchase"</formula>
    </cfRule>
  </conditionalFormatting>
  <conditionalFormatting sqref="B13 B15:B19">
    <cfRule type="expression" dxfId="16347" priority="4275">
      <formula>$C13="Advance"</formula>
    </cfRule>
  </conditionalFormatting>
  <conditionalFormatting sqref="B13 B16 B19">
    <cfRule type="expression" dxfId="16346" priority="4256">
      <formula>$C13="Delivery charge"</formula>
    </cfRule>
    <cfRule type="expression" dxfId="16345" priority="4257">
      <formula>$C13="Staff Salary"</formula>
    </cfRule>
    <cfRule type="expression" dxfId="16344" priority="4258">
      <formula>$C13="Rent"</formula>
    </cfRule>
    <cfRule type="expression" dxfId="16343" priority="4259">
      <formula>$C13="Petrol"</formula>
    </cfRule>
    <cfRule type="expression" dxfId="16342" priority="4260">
      <formula>$C13="Bills"</formula>
    </cfRule>
    <cfRule type="expression" dxfId="16341" priority="4261">
      <formula>$C13="Sales"</formula>
    </cfRule>
    <cfRule type="expression" dxfId="16340" priority="4262">
      <formula>$C13="Expences"</formula>
    </cfRule>
    <cfRule type="expression" dxfId="16339" priority="4263">
      <formula>$C13="Garlic Purchase"</formula>
    </cfRule>
    <cfRule type="expression" dxfId="16338" priority="4264">
      <formula>$C13="Ginger Purchase"</formula>
    </cfRule>
  </conditionalFormatting>
  <conditionalFormatting sqref="B13 B16 B19">
    <cfRule type="expression" dxfId="16337" priority="4265">
      <formula>$C13="Advance"</formula>
    </cfRule>
  </conditionalFormatting>
  <conditionalFormatting sqref="B14 B20 B23 B26 B16:B18">
    <cfRule type="expression" dxfId="16336" priority="4246">
      <formula>$C14="Delivery charge"</formula>
    </cfRule>
    <cfRule type="expression" dxfId="16335" priority="4247">
      <formula>$C14="Staff Salary"</formula>
    </cfRule>
    <cfRule type="expression" dxfId="16334" priority="4248">
      <formula>$C14="Rent"</formula>
    </cfRule>
    <cfRule type="expression" dxfId="16333" priority="4249">
      <formula>$C14="Petrol"</formula>
    </cfRule>
    <cfRule type="expression" dxfId="16332" priority="4250">
      <formula>$C14="Bills"</formula>
    </cfRule>
    <cfRule type="expression" dxfId="16331" priority="4251">
      <formula>$C14="Sales"</formula>
    </cfRule>
    <cfRule type="expression" dxfId="16330" priority="4252">
      <formula>$C14="Expences"</formula>
    </cfRule>
    <cfRule type="expression" dxfId="16329" priority="4253">
      <formula>$C14="Garlic Purchase"</formula>
    </cfRule>
    <cfRule type="expression" dxfId="16328" priority="4254">
      <formula>$C14="Ginger Purchase"</formula>
    </cfRule>
  </conditionalFormatting>
  <conditionalFormatting sqref="B14 B20 B23 B26 B16:B18">
    <cfRule type="expression" dxfId="16327" priority="4255">
      <formula>$C14="Advance"</formula>
    </cfRule>
  </conditionalFormatting>
  <conditionalFormatting sqref="B14 B20 B23 B26 B16:B18">
    <cfRule type="expression" dxfId="16326" priority="4236">
      <formula>$C14="Delivery charge"</formula>
    </cfRule>
    <cfRule type="expression" dxfId="16325" priority="4237">
      <formula>$C14="Staff Salary"</formula>
    </cfRule>
    <cfRule type="expression" dxfId="16324" priority="4238">
      <formula>$C14="Rent"</formula>
    </cfRule>
    <cfRule type="expression" dxfId="16323" priority="4239">
      <formula>$C14="Petrol"</formula>
    </cfRule>
    <cfRule type="expression" dxfId="16322" priority="4240">
      <formula>$C14="Bills"</formula>
    </cfRule>
    <cfRule type="expression" dxfId="16321" priority="4241">
      <formula>$C14="Sales"</formula>
    </cfRule>
    <cfRule type="expression" dxfId="16320" priority="4242">
      <formula>$C14="Expences"</formula>
    </cfRule>
    <cfRule type="expression" dxfId="16319" priority="4243">
      <formula>$C14="Garlic Purchase"</formula>
    </cfRule>
    <cfRule type="expression" dxfId="16318" priority="4244">
      <formula>$C14="Ginger Purchase"</formula>
    </cfRule>
  </conditionalFormatting>
  <conditionalFormatting sqref="B14 B20 B23 B26 B16:B18">
    <cfRule type="expression" dxfId="16317" priority="4245">
      <formula>$C14="Advance"</formula>
    </cfRule>
  </conditionalFormatting>
  <conditionalFormatting sqref="B14 B20 B23 B26 B16:B18">
    <cfRule type="expression" dxfId="16316" priority="4226">
      <formula>$C14="Delivery charge"</formula>
    </cfRule>
    <cfRule type="expression" dxfId="16315" priority="4227">
      <formula>$C14="Staff Salary"</formula>
    </cfRule>
    <cfRule type="expression" dxfId="16314" priority="4228">
      <formula>$C14="Rent"</formula>
    </cfRule>
    <cfRule type="expression" dxfId="16313" priority="4229">
      <formula>$C14="Petrol"</formula>
    </cfRule>
    <cfRule type="expression" dxfId="16312" priority="4230">
      <formula>$C14="Bills"</formula>
    </cfRule>
    <cfRule type="expression" dxfId="16311" priority="4231">
      <formula>$C14="Sales"</formula>
    </cfRule>
    <cfRule type="expression" dxfId="16310" priority="4232">
      <formula>$C14="Expences"</formula>
    </cfRule>
    <cfRule type="expression" dxfId="16309" priority="4233">
      <formula>$C14="Garlic Purchase"</formula>
    </cfRule>
    <cfRule type="expression" dxfId="16308" priority="4234">
      <formula>$C14="Ginger Purchase"</formula>
    </cfRule>
  </conditionalFormatting>
  <conditionalFormatting sqref="B14 B20 B23 B26 B16:B18">
    <cfRule type="expression" dxfId="16307" priority="4235">
      <formula>$C14="Advance"</formula>
    </cfRule>
  </conditionalFormatting>
  <conditionalFormatting sqref="B14 B20 B23 B26 B16:B18">
    <cfRule type="expression" dxfId="16306" priority="4216">
      <formula>$C14="Delivery charge"</formula>
    </cfRule>
    <cfRule type="expression" dxfId="16305" priority="4217">
      <formula>$C14="Staff Salary"</formula>
    </cfRule>
    <cfRule type="expression" dxfId="16304" priority="4218">
      <formula>$C14="Rent"</formula>
    </cfRule>
    <cfRule type="expression" dxfId="16303" priority="4219">
      <formula>$C14="Petrol"</formula>
    </cfRule>
    <cfRule type="expression" dxfId="16302" priority="4220">
      <formula>$C14="Bills"</formula>
    </cfRule>
    <cfRule type="expression" dxfId="16301" priority="4221">
      <formula>$C14="Sales"</formula>
    </cfRule>
    <cfRule type="expression" dxfId="16300" priority="4222">
      <formula>$C14="Expences"</formula>
    </cfRule>
    <cfRule type="expression" dxfId="16299" priority="4223">
      <formula>$C14="Garlic Purchase"</formula>
    </cfRule>
    <cfRule type="expression" dxfId="16298" priority="4224">
      <formula>$C14="Ginger Purchase"</formula>
    </cfRule>
  </conditionalFormatting>
  <conditionalFormatting sqref="B14 B20 B23 B26 B16:B18">
    <cfRule type="expression" dxfId="16297" priority="4225">
      <formula>$C14="Advance"</formula>
    </cfRule>
  </conditionalFormatting>
  <conditionalFormatting sqref="B13 B15:B19">
    <cfRule type="expression" dxfId="16296" priority="4206">
      <formula>$C13="Delivery charge"</formula>
    </cfRule>
    <cfRule type="expression" dxfId="16295" priority="4207">
      <formula>$C13="Staff Salary"</formula>
    </cfRule>
    <cfRule type="expression" dxfId="16294" priority="4208">
      <formula>$C13="Rent"</formula>
    </cfRule>
    <cfRule type="expression" dxfId="16293" priority="4209">
      <formula>$C13="Petrol"</formula>
    </cfRule>
    <cfRule type="expression" dxfId="16292" priority="4210">
      <formula>$C13="Bills"</formula>
    </cfRule>
    <cfRule type="expression" dxfId="16291" priority="4211">
      <formula>$C13="Sales"</formula>
    </cfRule>
    <cfRule type="expression" dxfId="16290" priority="4212">
      <formula>$C13="Expences"</formula>
    </cfRule>
    <cfRule type="expression" dxfId="16289" priority="4213">
      <formula>$C13="Garlic Purchase"</formula>
    </cfRule>
    <cfRule type="expression" dxfId="16288" priority="4214">
      <formula>$C13="Ginger Purchase"</formula>
    </cfRule>
  </conditionalFormatting>
  <conditionalFormatting sqref="B13 B15:B19">
    <cfRule type="expression" dxfId="16287" priority="4215">
      <formula>$C13="Advance"</formula>
    </cfRule>
  </conditionalFormatting>
  <conditionalFormatting sqref="B14 B20 B23 B26 B16:B18">
    <cfRule type="expression" dxfId="16286" priority="4196">
      <formula>$C14="Delivery charge"</formula>
    </cfRule>
    <cfRule type="expression" dxfId="16285" priority="4197">
      <formula>$C14="Staff Salary"</formula>
    </cfRule>
    <cfRule type="expression" dxfId="16284" priority="4198">
      <formula>$C14="Rent"</formula>
    </cfRule>
    <cfRule type="expression" dxfId="16283" priority="4199">
      <formula>$C14="Petrol"</formula>
    </cfRule>
    <cfRule type="expression" dxfId="16282" priority="4200">
      <formula>$C14="Bills"</formula>
    </cfRule>
    <cfRule type="expression" dxfId="16281" priority="4201">
      <formula>$C14="Sales"</formula>
    </cfRule>
    <cfRule type="expression" dxfId="16280" priority="4202">
      <formula>$C14="Expences"</formula>
    </cfRule>
    <cfRule type="expression" dxfId="16279" priority="4203">
      <formula>$C14="Garlic Purchase"</formula>
    </cfRule>
    <cfRule type="expression" dxfId="16278" priority="4204">
      <formula>$C14="Ginger Purchase"</formula>
    </cfRule>
  </conditionalFormatting>
  <conditionalFormatting sqref="B14 B20 B23 B26 B16:B18">
    <cfRule type="expression" dxfId="16277" priority="4205">
      <formula>$C14="Advance"</formula>
    </cfRule>
  </conditionalFormatting>
  <conditionalFormatting sqref="B14 B20 B23 B26 B16:B18">
    <cfRule type="expression" dxfId="16276" priority="4186">
      <formula>$C14="Delivery charge"</formula>
    </cfRule>
    <cfRule type="expression" dxfId="16275" priority="4187">
      <formula>$C14="Staff Salary"</formula>
    </cfRule>
    <cfRule type="expression" dxfId="16274" priority="4188">
      <formula>$C14="Rent"</formula>
    </cfRule>
    <cfRule type="expression" dxfId="16273" priority="4189">
      <formula>$C14="Petrol"</formula>
    </cfRule>
    <cfRule type="expression" dxfId="16272" priority="4190">
      <formula>$C14="Bills"</formula>
    </cfRule>
    <cfRule type="expression" dxfId="16271" priority="4191">
      <formula>$C14="Sales"</formula>
    </cfRule>
    <cfRule type="expression" dxfId="16270" priority="4192">
      <formula>$C14="Expences"</formula>
    </cfRule>
    <cfRule type="expression" dxfId="16269" priority="4193">
      <formula>$C14="Garlic Purchase"</formula>
    </cfRule>
    <cfRule type="expression" dxfId="16268" priority="4194">
      <formula>$C14="Ginger Purchase"</formula>
    </cfRule>
  </conditionalFormatting>
  <conditionalFormatting sqref="B14 B20 B23 B26 B16:B18">
    <cfRule type="expression" dxfId="16267" priority="4195">
      <formula>$C14="Advance"</formula>
    </cfRule>
  </conditionalFormatting>
  <conditionalFormatting sqref="B14 B20 B23 B26 B16:B18">
    <cfRule type="expression" dxfId="16266" priority="4176">
      <formula>$C14="Delivery charge"</formula>
    </cfRule>
    <cfRule type="expression" dxfId="16265" priority="4177">
      <formula>$C14="Staff Salary"</formula>
    </cfRule>
    <cfRule type="expression" dxfId="16264" priority="4178">
      <formula>$C14="Rent"</formula>
    </cfRule>
    <cfRule type="expression" dxfId="16263" priority="4179">
      <formula>$C14="Petrol"</formula>
    </cfRule>
    <cfRule type="expression" dxfId="16262" priority="4180">
      <formula>$C14="Bills"</formula>
    </cfRule>
    <cfRule type="expression" dxfId="16261" priority="4181">
      <formula>$C14="Sales"</formula>
    </cfRule>
    <cfRule type="expression" dxfId="16260" priority="4182">
      <formula>$C14="Expences"</formula>
    </cfRule>
    <cfRule type="expression" dxfId="16259" priority="4183">
      <formula>$C14="Garlic Purchase"</formula>
    </cfRule>
    <cfRule type="expression" dxfId="16258" priority="4184">
      <formula>$C14="Ginger Purchase"</formula>
    </cfRule>
  </conditionalFormatting>
  <conditionalFormatting sqref="B14 B20 B23 B26 B16:B18">
    <cfRule type="expression" dxfId="16257" priority="4185">
      <formula>$C14="Advance"</formula>
    </cfRule>
  </conditionalFormatting>
  <conditionalFormatting sqref="B14 B20 B23 B26 B16:B18">
    <cfRule type="expression" dxfId="16256" priority="4166">
      <formula>$C14="Delivery charge"</formula>
    </cfRule>
    <cfRule type="expression" dxfId="16255" priority="4167">
      <formula>$C14="Staff Salary"</formula>
    </cfRule>
    <cfRule type="expression" dxfId="16254" priority="4168">
      <formula>$C14="Rent"</formula>
    </cfRule>
    <cfRule type="expression" dxfId="16253" priority="4169">
      <formula>$C14="Petrol"</formula>
    </cfRule>
    <cfRule type="expression" dxfId="16252" priority="4170">
      <formula>$C14="Bills"</formula>
    </cfRule>
    <cfRule type="expression" dxfId="16251" priority="4171">
      <formula>$C14="Sales"</formula>
    </cfRule>
    <cfRule type="expression" dxfId="16250" priority="4172">
      <formula>$C14="Expences"</formula>
    </cfRule>
    <cfRule type="expression" dxfId="16249" priority="4173">
      <formula>$C14="Garlic Purchase"</formula>
    </cfRule>
    <cfRule type="expression" dxfId="16248" priority="4174">
      <formula>$C14="Ginger Purchase"</formula>
    </cfRule>
  </conditionalFormatting>
  <conditionalFormatting sqref="B14 B20 B23 B26 B16:B18">
    <cfRule type="expression" dxfId="16247" priority="4175">
      <formula>$C14="Advance"</formula>
    </cfRule>
  </conditionalFormatting>
  <conditionalFormatting sqref="B14 B20 B23 B26 B16:B18">
    <cfRule type="expression" dxfId="16246" priority="4156">
      <formula>$C14="Delivery charge"</formula>
    </cfRule>
    <cfRule type="expression" dxfId="16245" priority="4157">
      <formula>$C14="Staff Salary"</formula>
    </cfRule>
    <cfRule type="expression" dxfId="16244" priority="4158">
      <formula>$C14="Rent"</formula>
    </cfRule>
    <cfRule type="expression" dxfId="16243" priority="4159">
      <formula>$C14="Petrol"</formula>
    </cfRule>
    <cfRule type="expression" dxfId="16242" priority="4160">
      <formula>$C14="Bills"</formula>
    </cfRule>
    <cfRule type="expression" dxfId="16241" priority="4161">
      <formula>$C14="Sales"</formula>
    </cfRule>
    <cfRule type="expression" dxfId="16240" priority="4162">
      <formula>$C14="Expences"</formula>
    </cfRule>
    <cfRule type="expression" dxfId="16239" priority="4163">
      <formula>$C14="Garlic Purchase"</formula>
    </cfRule>
    <cfRule type="expression" dxfId="16238" priority="4164">
      <formula>$C14="Ginger Purchase"</formula>
    </cfRule>
  </conditionalFormatting>
  <conditionalFormatting sqref="B14 B20 B23 B26 B16:B18">
    <cfRule type="expression" dxfId="16237" priority="4165">
      <formula>$C14="Advance"</formula>
    </cfRule>
  </conditionalFormatting>
  <conditionalFormatting sqref="B13 B15:B19">
    <cfRule type="expression" dxfId="16236" priority="4146">
      <formula>$C13="Delivery charge"</formula>
    </cfRule>
    <cfRule type="expression" dxfId="16235" priority="4147">
      <formula>$C13="Staff Salary"</formula>
    </cfRule>
    <cfRule type="expression" dxfId="16234" priority="4148">
      <formula>$C13="Rent"</formula>
    </cfRule>
    <cfRule type="expression" dxfId="16233" priority="4149">
      <formula>$C13="Petrol"</formula>
    </cfRule>
    <cfRule type="expression" dxfId="16232" priority="4150">
      <formula>$C13="Bills"</formula>
    </cfRule>
    <cfRule type="expression" dxfId="16231" priority="4151">
      <formula>$C13="Sales"</formula>
    </cfRule>
    <cfRule type="expression" dxfId="16230" priority="4152">
      <formula>$C13="Expences"</formula>
    </cfRule>
    <cfRule type="expression" dxfId="16229" priority="4153">
      <formula>$C13="Garlic Purchase"</formula>
    </cfRule>
    <cfRule type="expression" dxfId="16228" priority="4154">
      <formula>$C13="Ginger Purchase"</formula>
    </cfRule>
  </conditionalFormatting>
  <conditionalFormatting sqref="B13 B15:B19">
    <cfRule type="expression" dxfId="16227" priority="4155">
      <formula>$C13="Advance"</formula>
    </cfRule>
  </conditionalFormatting>
  <conditionalFormatting sqref="B13 B15:B19">
    <cfRule type="expression" dxfId="16226" priority="4136">
      <formula>$C13="Delivery charge"</formula>
    </cfRule>
    <cfRule type="expression" dxfId="16225" priority="4137">
      <formula>$C13="Staff Salary"</formula>
    </cfRule>
    <cfRule type="expression" dxfId="16224" priority="4138">
      <formula>$C13="Rent"</formula>
    </cfRule>
    <cfRule type="expression" dxfId="16223" priority="4139">
      <formula>$C13="Petrol"</formula>
    </cfRule>
    <cfRule type="expression" dxfId="16222" priority="4140">
      <formula>$C13="Bills"</formula>
    </cfRule>
    <cfRule type="expression" dxfId="16221" priority="4141">
      <formula>$C13="Sales"</formula>
    </cfRule>
    <cfRule type="expression" dxfId="16220" priority="4142">
      <formula>$C13="Expences"</formula>
    </cfRule>
    <cfRule type="expression" dxfId="16219" priority="4143">
      <formula>$C13="Garlic Purchase"</formula>
    </cfRule>
    <cfRule type="expression" dxfId="16218" priority="4144">
      <formula>$C13="Ginger Purchase"</formula>
    </cfRule>
  </conditionalFormatting>
  <conditionalFormatting sqref="B13 B15:B19">
    <cfRule type="expression" dxfId="16217" priority="4145">
      <formula>$C13="Advance"</formula>
    </cfRule>
  </conditionalFormatting>
  <conditionalFormatting sqref="B13 B15:B19">
    <cfRule type="expression" dxfId="16216" priority="4126">
      <formula>$C13="Delivery charge"</formula>
    </cfRule>
    <cfRule type="expression" dxfId="16215" priority="4127">
      <formula>$C13="Staff Salary"</formula>
    </cfRule>
    <cfRule type="expression" dxfId="16214" priority="4128">
      <formula>$C13="Rent"</formula>
    </cfRule>
    <cfRule type="expression" dxfId="16213" priority="4129">
      <formula>$C13="Petrol"</formula>
    </cfRule>
    <cfRule type="expression" dxfId="16212" priority="4130">
      <formula>$C13="Bills"</formula>
    </cfRule>
    <cfRule type="expression" dxfId="16211" priority="4131">
      <formula>$C13="Sales"</formula>
    </cfRule>
    <cfRule type="expression" dxfId="16210" priority="4132">
      <formula>$C13="Expences"</formula>
    </cfRule>
    <cfRule type="expression" dxfId="16209" priority="4133">
      <formula>$C13="Garlic Purchase"</formula>
    </cfRule>
    <cfRule type="expression" dxfId="16208" priority="4134">
      <formula>$C13="Ginger Purchase"</formula>
    </cfRule>
  </conditionalFormatting>
  <conditionalFormatting sqref="B13 B15:B19">
    <cfRule type="expression" dxfId="16207" priority="4135">
      <formula>$C13="Advance"</formula>
    </cfRule>
  </conditionalFormatting>
  <conditionalFormatting sqref="B13 B15:B19">
    <cfRule type="expression" dxfId="16206" priority="4116">
      <formula>$C13="Delivery charge"</formula>
    </cfRule>
    <cfRule type="expression" dxfId="16205" priority="4117">
      <formula>$C13="Staff Salary"</formula>
    </cfRule>
    <cfRule type="expression" dxfId="16204" priority="4118">
      <formula>$C13="Rent"</formula>
    </cfRule>
    <cfRule type="expression" dxfId="16203" priority="4119">
      <formula>$C13="Petrol"</formula>
    </cfRule>
    <cfRule type="expression" dxfId="16202" priority="4120">
      <formula>$C13="Bills"</formula>
    </cfRule>
    <cfRule type="expression" dxfId="16201" priority="4121">
      <formula>$C13="Sales"</formula>
    </cfRule>
    <cfRule type="expression" dxfId="16200" priority="4122">
      <formula>$C13="Expences"</formula>
    </cfRule>
    <cfRule type="expression" dxfId="16199" priority="4123">
      <formula>$C13="Garlic Purchase"</formula>
    </cfRule>
    <cfRule type="expression" dxfId="16198" priority="4124">
      <formula>$C13="Ginger Purchase"</formula>
    </cfRule>
  </conditionalFormatting>
  <conditionalFormatting sqref="B13 B15:B19">
    <cfRule type="expression" dxfId="16197" priority="4125">
      <formula>$C13="Advance"</formula>
    </cfRule>
  </conditionalFormatting>
  <conditionalFormatting sqref="B21 B23:B86">
    <cfRule type="expression" dxfId="16196" priority="4115">
      <formula>$C21="Advance"</formula>
    </cfRule>
  </conditionalFormatting>
  <conditionalFormatting sqref="B21 B23:B86">
    <cfRule type="expression" dxfId="16195" priority="4106">
      <formula>$C21="Delivery charge"</formula>
    </cfRule>
    <cfRule type="expression" dxfId="16194" priority="4107">
      <formula>$C21="Staff Salary"</formula>
    </cfRule>
    <cfRule type="expression" dxfId="16193" priority="4108">
      <formula>$C21="Rent"</formula>
    </cfRule>
    <cfRule type="expression" dxfId="16192" priority="4109">
      <formula>$C21="Petrol"</formula>
    </cfRule>
    <cfRule type="expression" dxfId="16191" priority="4110">
      <formula>$C21="Bills"</formula>
    </cfRule>
    <cfRule type="expression" dxfId="16190" priority="4111">
      <formula>$C21="Sales"</formula>
    </cfRule>
    <cfRule type="expression" dxfId="16189" priority="4112">
      <formula>$C21="Expences"</formula>
    </cfRule>
    <cfRule type="expression" dxfId="16188" priority="4113">
      <formula>$C21="Garlic Purchase"</formula>
    </cfRule>
    <cfRule type="expression" dxfId="16187" priority="4114">
      <formula>$C21="Ginger Purchase"</formula>
    </cfRule>
  </conditionalFormatting>
  <conditionalFormatting sqref="B22 B24:B86">
    <cfRule type="expression" dxfId="16186" priority="4096">
      <formula>$C22="Delivery charge"</formula>
    </cfRule>
    <cfRule type="expression" dxfId="16185" priority="4097">
      <formula>$C22="Staff Salary"</formula>
    </cfRule>
    <cfRule type="expression" dxfId="16184" priority="4098">
      <formula>$C22="Rent"</formula>
    </cfRule>
    <cfRule type="expression" dxfId="16183" priority="4099">
      <formula>$C22="Petrol"</formula>
    </cfRule>
    <cfRule type="expression" dxfId="16182" priority="4100">
      <formula>$C22="Bills"</formula>
    </cfRule>
    <cfRule type="expression" dxfId="16181" priority="4101">
      <formula>$C22="Sales"</formula>
    </cfRule>
    <cfRule type="expression" dxfId="16180" priority="4102">
      <formula>$C22="Expences"</formula>
    </cfRule>
    <cfRule type="expression" dxfId="16179" priority="4103">
      <formula>$C22="Garlic Purchase"</formula>
    </cfRule>
    <cfRule type="expression" dxfId="16178" priority="4104">
      <formula>$C22="Ginger Purchase"</formula>
    </cfRule>
  </conditionalFormatting>
  <conditionalFormatting sqref="B22 B24:B86">
    <cfRule type="expression" dxfId="16177" priority="4105">
      <formula>$C22="Advance"</formula>
    </cfRule>
  </conditionalFormatting>
  <conditionalFormatting sqref="B22 B24:B86">
    <cfRule type="expression" dxfId="16176" priority="4086">
      <formula>$C22="Delivery charge"</formula>
    </cfRule>
    <cfRule type="expression" dxfId="16175" priority="4087">
      <formula>$C22="Staff Salary"</formula>
    </cfRule>
    <cfRule type="expression" dxfId="16174" priority="4088">
      <formula>$C22="Rent"</formula>
    </cfRule>
    <cfRule type="expression" dxfId="16173" priority="4089">
      <formula>$C22="Petrol"</formula>
    </cfRule>
    <cfRule type="expression" dxfId="16172" priority="4090">
      <formula>$C22="Bills"</formula>
    </cfRule>
    <cfRule type="expression" dxfId="16171" priority="4091">
      <formula>$C22="Sales"</formula>
    </cfRule>
    <cfRule type="expression" dxfId="16170" priority="4092">
      <formula>$C22="Expences"</formula>
    </cfRule>
    <cfRule type="expression" dxfId="16169" priority="4093">
      <formula>$C22="Garlic Purchase"</formula>
    </cfRule>
    <cfRule type="expression" dxfId="16168" priority="4094">
      <formula>$C22="Ginger Purchase"</formula>
    </cfRule>
  </conditionalFormatting>
  <conditionalFormatting sqref="B22 B24:B86">
    <cfRule type="expression" dxfId="16167" priority="4095">
      <formula>$C22="Advance"</formula>
    </cfRule>
  </conditionalFormatting>
  <conditionalFormatting sqref="B22 B24:B86">
    <cfRule type="expression" dxfId="16166" priority="4076">
      <formula>$C22="Delivery charge"</formula>
    </cfRule>
    <cfRule type="expression" dxfId="16165" priority="4077">
      <formula>$C22="Staff Salary"</formula>
    </cfRule>
    <cfRule type="expression" dxfId="16164" priority="4078">
      <formula>$C22="Rent"</formula>
    </cfRule>
    <cfRule type="expression" dxfId="16163" priority="4079">
      <formula>$C22="Petrol"</formula>
    </cfRule>
    <cfRule type="expression" dxfId="16162" priority="4080">
      <formula>$C22="Bills"</formula>
    </cfRule>
    <cfRule type="expression" dxfId="16161" priority="4081">
      <formula>$C22="Sales"</formula>
    </cfRule>
    <cfRule type="expression" dxfId="16160" priority="4082">
      <formula>$C22="Expences"</formula>
    </cfRule>
    <cfRule type="expression" dxfId="16159" priority="4083">
      <formula>$C22="Garlic Purchase"</formula>
    </cfRule>
    <cfRule type="expression" dxfId="16158" priority="4084">
      <formula>$C22="Ginger Purchase"</formula>
    </cfRule>
  </conditionalFormatting>
  <conditionalFormatting sqref="B22 B24:B86">
    <cfRule type="expression" dxfId="16157" priority="4085">
      <formula>$C22="Advance"</formula>
    </cfRule>
  </conditionalFormatting>
  <conditionalFormatting sqref="B22 B24:B86">
    <cfRule type="expression" dxfId="16156" priority="4066">
      <formula>$C22="Delivery charge"</formula>
    </cfRule>
    <cfRule type="expression" dxfId="16155" priority="4067">
      <formula>$C22="Staff Salary"</formula>
    </cfRule>
    <cfRule type="expression" dxfId="16154" priority="4068">
      <formula>$C22="Rent"</formula>
    </cfRule>
    <cfRule type="expression" dxfId="16153" priority="4069">
      <formula>$C22="Petrol"</formula>
    </cfRule>
    <cfRule type="expression" dxfId="16152" priority="4070">
      <formula>$C22="Bills"</formula>
    </cfRule>
    <cfRule type="expression" dxfId="16151" priority="4071">
      <formula>$C22="Sales"</formula>
    </cfRule>
    <cfRule type="expression" dxfId="16150" priority="4072">
      <formula>$C22="Expences"</formula>
    </cfRule>
    <cfRule type="expression" dxfId="16149" priority="4073">
      <formula>$C22="Garlic Purchase"</formula>
    </cfRule>
    <cfRule type="expression" dxfId="16148" priority="4074">
      <formula>$C22="Ginger Purchase"</formula>
    </cfRule>
  </conditionalFormatting>
  <conditionalFormatting sqref="B22 B24:B86">
    <cfRule type="expression" dxfId="16147" priority="4075">
      <formula>$C22="Advance"</formula>
    </cfRule>
  </conditionalFormatting>
  <conditionalFormatting sqref="B22 B24:B86">
    <cfRule type="expression" dxfId="16146" priority="4056">
      <formula>$C22="Delivery charge"</formula>
    </cfRule>
    <cfRule type="expression" dxfId="16145" priority="4057">
      <formula>$C22="Staff Salary"</formula>
    </cfRule>
    <cfRule type="expression" dxfId="16144" priority="4058">
      <formula>$C22="Rent"</formula>
    </cfRule>
    <cfRule type="expression" dxfId="16143" priority="4059">
      <formula>$C22="Petrol"</formula>
    </cfRule>
    <cfRule type="expression" dxfId="16142" priority="4060">
      <formula>$C22="Bills"</formula>
    </cfRule>
    <cfRule type="expression" dxfId="16141" priority="4061">
      <formula>$C22="Sales"</formula>
    </cfRule>
    <cfRule type="expression" dxfId="16140" priority="4062">
      <formula>$C22="Expences"</formula>
    </cfRule>
    <cfRule type="expression" dxfId="16139" priority="4063">
      <formula>$C22="Garlic Purchase"</formula>
    </cfRule>
    <cfRule type="expression" dxfId="16138" priority="4064">
      <formula>$C22="Ginger Purchase"</formula>
    </cfRule>
  </conditionalFormatting>
  <conditionalFormatting sqref="B22 B24:B86">
    <cfRule type="expression" dxfId="16137" priority="4065">
      <formula>$C22="Advance"</formula>
    </cfRule>
  </conditionalFormatting>
  <conditionalFormatting sqref="B22 B24:B86">
    <cfRule type="expression" dxfId="16136" priority="4046">
      <formula>$C22="Delivery charge"</formula>
    </cfRule>
    <cfRule type="expression" dxfId="16135" priority="4047">
      <formula>$C22="Staff Salary"</formula>
    </cfRule>
    <cfRule type="expression" dxfId="16134" priority="4048">
      <formula>$C22="Rent"</formula>
    </cfRule>
    <cfRule type="expression" dxfId="16133" priority="4049">
      <formula>$C22="Petrol"</formula>
    </cfRule>
    <cfRule type="expression" dxfId="16132" priority="4050">
      <formula>$C22="Bills"</formula>
    </cfRule>
    <cfRule type="expression" dxfId="16131" priority="4051">
      <formula>$C22="Sales"</formula>
    </cfRule>
    <cfRule type="expression" dxfId="16130" priority="4052">
      <formula>$C22="Expences"</formula>
    </cfRule>
    <cfRule type="expression" dxfId="16129" priority="4053">
      <formula>$C22="Garlic Purchase"</formula>
    </cfRule>
    <cfRule type="expression" dxfId="16128" priority="4054">
      <formula>$C22="Ginger Purchase"</formula>
    </cfRule>
  </conditionalFormatting>
  <conditionalFormatting sqref="B22 B24:B86">
    <cfRule type="expression" dxfId="16127" priority="4055">
      <formula>$C22="Advance"</formula>
    </cfRule>
  </conditionalFormatting>
  <conditionalFormatting sqref="B22 B24:B86">
    <cfRule type="expression" dxfId="16126" priority="4036">
      <formula>$C22="Delivery charge"</formula>
    </cfRule>
    <cfRule type="expression" dxfId="16125" priority="4037">
      <formula>$C22="Staff Salary"</formula>
    </cfRule>
    <cfRule type="expression" dxfId="16124" priority="4038">
      <formula>$C22="Rent"</formula>
    </cfRule>
    <cfRule type="expression" dxfId="16123" priority="4039">
      <formula>$C22="Petrol"</formula>
    </cfRule>
    <cfRule type="expression" dxfId="16122" priority="4040">
      <formula>$C22="Bills"</formula>
    </cfRule>
    <cfRule type="expression" dxfId="16121" priority="4041">
      <formula>$C22="Sales"</formula>
    </cfRule>
    <cfRule type="expression" dxfId="16120" priority="4042">
      <formula>$C22="Expences"</formula>
    </cfRule>
    <cfRule type="expression" dxfId="16119" priority="4043">
      <formula>$C22="Garlic Purchase"</formula>
    </cfRule>
    <cfRule type="expression" dxfId="16118" priority="4044">
      <formula>$C22="Ginger Purchase"</formula>
    </cfRule>
  </conditionalFormatting>
  <conditionalFormatting sqref="B22 B24:B86">
    <cfRule type="expression" dxfId="16117" priority="4045">
      <formula>$C22="Advance"</formula>
    </cfRule>
  </conditionalFormatting>
  <conditionalFormatting sqref="B22 B24:B86">
    <cfRule type="expression" dxfId="16116" priority="4026">
      <formula>$C22="Delivery charge"</formula>
    </cfRule>
    <cfRule type="expression" dxfId="16115" priority="4027">
      <formula>$C22="Staff Salary"</formula>
    </cfRule>
    <cfRule type="expression" dxfId="16114" priority="4028">
      <formula>$C22="Rent"</formula>
    </cfRule>
    <cfRule type="expression" dxfId="16113" priority="4029">
      <formula>$C22="Petrol"</formula>
    </cfRule>
    <cfRule type="expression" dxfId="16112" priority="4030">
      <formula>$C22="Bills"</formula>
    </cfRule>
    <cfRule type="expression" dxfId="16111" priority="4031">
      <formula>$C22="Sales"</formula>
    </cfRule>
    <cfRule type="expression" dxfId="16110" priority="4032">
      <formula>$C22="Expences"</formula>
    </cfRule>
    <cfRule type="expression" dxfId="16109" priority="4033">
      <formula>$C22="Garlic Purchase"</formula>
    </cfRule>
    <cfRule type="expression" dxfId="16108" priority="4034">
      <formula>$C22="Ginger Purchase"</formula>
    </cfRule>
  </conditionalFormatting>
  <conditionalFormatting sqref="B22 B24:B86">
    <cfRule type="expression" dxfId="16107" priority="4035">
      <formula>$C22="Advance"</formula>
    </cfRule>
  </conditionalFormatting>
  <conditionalFormatting sqref="B22 B24:B86">
    <cfRule type="expression" dxfId="16106" priority="4016">
      <formula>$C22="Delivery charge"</formula>
    </cfRule>
    <cfRule type="expression" dxfId="16105" priority="4017">
      <formula>$C22="Staff Salary"</formula>
    </cfRule>
    <cfRule type="expression" dxfId="16104" priority="4018">
      <formula>$C22="Rent"</formula>
    </cfRule>
    <cfRule type="expression" dxfId="16103" priority="4019">
      <formula>$C22="Petrol"</formula>
    </cfRule>
    <cfRule type="expression" dxfId="16102" priority="4020">
      <formula>$C22="Bills"</formula>
    </cfRule>
    <cfRule type="expression" dxfId="16101" priority="4021">
      <formula>$C22="Sales"</formula>
    </cfRule>
    <cfRule type="expression" dxfId="16100" priority="4022">
      <formula>$C22="Expences"</formula>
    </cfRule>
    <cfRule type="expression" dxfId="16099" priority="4023">
      <formula>$C22="Garlic Purchase"</formula>
    </cfRule>
    <cfRule type="expression" dxfId="16098" priority="4024">
      <formula>$C22="Ginger Purchase"</formula>
    </cfRule>
  </conditionalFormatting>
  <conditionalFormatting sqref="B22 B24:B86">
    <cfRule type="expression" dxfId="16097" priority="4025">
      <formula>$C22="Advance"</formula>
    </cfRule>
  </conditionalFormatting>
  <conditionalFormatting sqref="B22 B24:B86">
    <cfRule type="expression" dxfId="16096" priority="4006">
      <formula>$C22="Delivery charge"</formula>
    </cfRule>
    <cfRule type="expression" dxfId="16095" priority="4007">
      <formula>$C22="Staff Salary"</formula>
    </cfRule>
    <cfRule type="expression" dxfId="16094" priority="4008">
      <formula>$C22="Rent"</formula>
    </cfRule>
    <cfRule type="expression" dxfId="16093" priority="4009">
      <formula>$C22="Petrol"</formula>
    </cfRule>
    <cfRule type="expression" dxfId="16092" priority="4010">
      <formula>$C22="Bills"</formula>
    </cfRule>
    <cfRule type="expression" dxfId="16091" priority="4011">
      <formula>$C22="Sales"</formula>
    </cfRule>
    <cfRule type="expression" dxfId="16090" priority="4012">
      <formula>$C22="Expences"</formula>
    </cfRule>
    <cfRule type="expression" dxfId="16089" priority="4013">
      <formula>$C22="Garlic Purchase"</formula>
    </cfRule>
    <cfRule type="expression" dxfId="16088" priority="4014">
      <formula>$C22="Ginger Purchase"</formula>
    </cfRule>
  </conditionalFormatting>
  <conditionalFormatting sqref="B22 B24:B86">
    <cfRule type="expression" dxfId="16087" priority="4015">
      <formula>$C22="Advance"</formula>
    </cfRule>
  </conditionalFormatting>
  <conditionalFormatting sqref="B22 B24:B86">
    <cfRule type="expression" dxfId="16086" priority="3996">
      <formula>$C22="Delivery charge"</formula>
    </cfRule>
    <cfRule type="expression" dxfId="16085" priority="3997">
      <formula>$C22="Staff Salary"</formula>
    </cfRule>
    <cfRule type="expression" dxfId="16084" priority="3998">
      <formula>$C22="Rent"</formula>
    </cfRule>
    <cfRule type="expression" dxfId="16083" priority="3999">
      <formula>$C22="Petrol"</formula>
    </cfRule>
    <cfRule type="expression" dxfId="16082" priority="4000">
      <formula>$C22="Bills"</formula>
    </cfRule>
    <cfRule type="expression" dxfId="16081" priority="4001">
      <formula>$C22="Sales"</formula>
    </cfRule>
    <cfRule type="expression" dxfId="16080" priority="4002">
      <formula>$C22="Expences"</formula>
    </cfRule>
    <cfRule type="expression" dxfId="16079" priority="4003">
      <formula>$C22="Garlic Purchase"</formula>
    </cfRule>
    <cfRule type="expression" dxfId="16078" priority="4004">
      <formula>$C22="Ginger Purchase"</formula>
    </cfRule>
  </conditionalFormatting>
  <conditionalFormatting sqref="B22 B24:B86">
    <cfRule type="expression" dxfId="16077" priority="4005">
      <formula>$C22="Advance"</formula>
    </cfRule>
  </conditionalFormatting>
  <conditionalFormatting sqref="B20 B23 B26">
    <cfRule type="expression" dxfId="16076" priority="3995">
      <formula>$C20="Advance"</formula>
    </cfRule>
  </conditionalFormatting>
  <conditionalFormatting sqref="B20 B23 B26">
    <cfRule type="expression" dxfId="16075" priority="3986">
      <formula>$C20="Delivery charge"</formula>
    </cfRule>
    <cfRule type="expression" dxfId="16074" priority="3987">
      <formula>$C20="Staff Salary"</formula>
    </cfRule>
    <cfRule type="expression" dxfId="16073" priority="3988">
      <formula>$C20="Rent"</formula>
    </cfRule>
    <cfRule type="expression" dxfId="16072" priority="3989">
      <formula>$C20="Petrol"</formula>
    </cfRule>
    <cfRule type="expression" dxfId="16071" priority="3990">
      <formula>$C20="Bills"</formula>
    </cfRule>
    <cfRule type="expression" dxfId="16070" priority="3991">
      <formula>$C20="Sales"</formula>
    </cfRule>
    <cfRule type="expression" dxfId="16069" priority="3992">
      <formula>$C20="Expences"</formula>
    </cfRule>
    <cfRule type="expression" dxfId="16068" priority="3993">
      <formula>$C20="Garlic Purchase"</formula>
    </cfRule>
    <cfRule type="expression" dxfId="16067" priority="3994">
      <formula>$C20="Ginger Purchase"</formula>
    </cfRule>
  </conditionalFormatting>
  <conditionalFormatting sqref="B21 B23:B86">
    <cfRule type="expression" dxfId="16066" priority="3976">
      <formula>$C21="Delivery charge"</formula>
    </cfRule>
    <cfRule type="expression" dxfId="16065" priority="3977">
      <formula>$C21="Staff Salary"</formula>
    </cfRule>
    <cfRule type="expression" dxfId="16064" priority="3978">
      <formula>$C21="Rent"</formula>
    </cfRule>
    <cfRule type="expression" dxfId="16063" priority="3979">
      <formula>$C21="Petrol"</formula>
    </cfRule>
    <cfRule type="expression" dxfId="16062" priority="3980">
      <formula>$C21="Bills"</formula>
    </cfRule>
    <cfRule type="expression" dxfId="16061" priority="3981">
      <formula>$C21="Sales"</formula>
    </cfRule>
    <cfRule type="expression" dxfId="16060" priority="3982">
      <formula>$C21="Expences"</formula>
    </cfRule>
    <cfRule type="expression" dxfId="16059" priority="3983">
      <formula>$C21="Garlic Purchase"</formula>
    </cfRule>
    <cfRule type="expression" dxfId="16058" priority="3984">
      <formula>$C21="Ginger Purchase"</formula>
    </cfRule>
  </conditionalFormatting>
  <conditionalFormatting sqref="B21 B23:B86">
    <cfRule type="expression" dxfId="16057" priority="3985">
      <formula>$C21="Advance"</formula>
    </cfRule>
  </conditionalFormatting>
  <conditionalFormatting sqref="B22 B24:B86">
    <cfRule type="expression" dxfId="16056" priority="3966">
      <formula>$C22="Delivery charge"</formula>
    </cfRule>
    <cfRule type="expression" dxfId="16055" priority="3967">
      <formula>$C22="Staff Salary"</formula>
    </cfRule>
    <cfRule type="expression" dxfId="16054" priority="3968">
      <formula>$C22="Rent"</formula>
    </cfRule>
    <cfRule type="expression" dxfId="16053" priority="3969">
      <formula>$C22="Petrol"</formula>
    </cfRule>
    <cfRule type="expression" dxfId="16052" priority="3970">
      <formula>$C22="Bills"</formula>
    </cfRule>
    <cfRule type="expression" dxfId="16051" priority="3971">
      <formula>$C22="Sales"</formula>
    </cfRule>
    <cfRule type="expression" dxfId="16050" priority="3972">
      <formula>$C22="Expences"</formula>
    </cfRule>
    <cfRule type="expression" dxfId="16049" priority="3973">
      <formula>$C22="Garlic Purchase"</formula>
    </cfRule>
    <cfRule type="expression" dxfId="16048" priority="3974">
      <formula>$C22="Ginger Purchase"</formula>
    </cfRule>
  </conditionalFormatting>
  <conditionalFormatting sqref="B22 B24:B86">
    <cfRule type="expression" dxfId="16047" priority="3975">
      <formula>$C22="Advance"</formula>
    </cfRule>
  </conditionalFormatting>
  <conditionalFormatting sqref="B22 B24:B86">
    <cfRule type="expression" dxfId="16046" priority="3956">
      <formula>$C22="Delivery charge"</formula>
    </cfRule>
    <cfRule type="expression" dxfId="16045" priority="3957">
      <formula>$C22="Staff Salary"</formula>
    </cfRule>
    <cfRule type="expression" dxfId="16044" priority="3958">
      <formula>$C22="Rent"</formula>
    </cfRule>
    <cfRule type="expression" dxfId="16043" priority="3959">
      <formula>$C22="Petrol"</formula>
    </cfRule>
    <cfRule type="expression" dxfId="16042" priority="3960">
      <formula>$C22="Bills"</formula>
    </cfRule>
    <cfRule type="expression" dxfId="16041" priority="3961">
      <formula>$C22="Sales"</formula>
    </cfRule>
    <cfRule type="expression" dxfId="16040" priority="3962">
      <formula>$C22="Expences"</formula>
    </cfRule>
    <cfRule type="expression" dxfId="16039" priority="3963">
      <formula>$C22="Garlic Purchase"</formula>
    </cfRule>
    <cfRule type="expression" dxfId="16038" priority="3964">
      <formula>$C22="Ginger Purchase"</formula>
    </cfRule>
  </conditionalFormatting>
  <conditionalFormatting sqref="B22 B24:B86">
    <cfRule type="expression" dxfId="16037" priority="3965">
      <formula>$C22="Advance"</formula>
    </cfRule>
  </conditionalFormatting>
  <conditionalFormatting sqref="B22 B24:B86">
    <cfRule type="expression" dxfId="16036" priority="3946">
      <formula>$C22="Delivery charge"</formula>
    </cfRule>
    <cfRule type="expression" dxfId="16035" priority="3947">
      <formula>$C22="Staff Salary"</formula>
    </cfRule>
    <cfRule type="expression" dxfId="16034" priority="3948">
      <formula>$C22="Rent"</formula>
    </cfRule>
    <cfRule type="expression" dxfId="16033" priority="3949">
      <formula>$C22="Petrol"</formula>
    </cfRule>
    <cfRule type="expression" dxfId="16032" priority="3950">
      <formula>$C22="Bills"</formula>
    </cfRule>
    <cfRule type="expression" dxfId="16031" priority="3951">
      <formula>$C22="Sales"</formula>
    </cfRule>
    <cfRule type="expression" dxfId="16030" priority="3952">
      <formula>$C22="Expences"</formula>
    </cfRule>
    <cfRule type="expression" dxfId="16029" priority="3953">
      <formula>$C22="Garlic Purchase"</formula>
    </cfRule>
    <cfRule type="expression" dxfId="16028" priority="3954">
      <formula>$C22="Ginger Purchase"</formula>
    </cfRule>
  </conditionalFormatting>
  <conditionalFormatting sqref="B22 B24:B86">
    <cfRule type="expression" dxfId="16027" priority="3955">
      <formula>$C22="Advance"</formula>
    </cfRule>
  </conditionalFormatting>
  <conditionalFormatting sqref="B22 B24:B86">
    <cfRule type="expression" dxfId="16026" priority="3936">
      <formula>$C22="Delivery charge"</formula>
    </cfRule>
    <cfRule type="expression" dxfId="16025" priority="3937">
      <formula>$C22="Staff Salary"</formula>
    </cfRule>
    <cfRule type="expression" dxfId="16024" priority="3938">
      <formula>$C22="Rent"</formula>
    </cfRule>
    <cfRule type="expression" dxfId="16023" priority="3939">
      <formula>$C22="Petrol"</formula>
    </cfRule>
    <cfRule type="expression" dxfId="16022" priority="3940">
      <formula>$C22="Bills"</formula>
    </cfRule>
    <cfRule type="expression" dxfId="16021" priority="3941">
      <formula>$C22="Sales"</formula>
    </cfRule>
    <cfRule type="expression" dxfId="16020" priority="3942">
      <formula>$C22="Expences"</formula>
    </cfRule>
    <cfRule type="expression" dxfId="16019" priority="3943">
      <formula>$C22="Garlic Purchase"</formula>
    </cfRule>
    <cfRule type="expression" dxfId="16018" priority="3944">
      <formula>$C22="Ginger Purchase"</formula>
    </cfRule>
  </conditionalFormatting>
  <conditionalFormatting sqref="B22 B24:B86">
    <cfRule type="expression" dxfId="16017" priority="3945">
      <formula>$C22="Advance"</formula>
    </cfRule>
  </conditionalFormatting>
  <conditionalFormatting sqref="B21 B23:B86">
    <cfRule type="expression" dxfId="16016" priority="3926">
      <formula>$C21="Delivery charge"</formula>
    </cfRule>
    <cfRule type="expression" dxfId="16015" priority="3927">
      <formula>$C21="Staff Salary"</formula>
    </cfRule>
    <cfRule type="expression" dxfId="16014" priority="3928">
      <formula>$C21="Rent"</formula>
    </cfRule>
    <cfRule type="expression" dxfId="16013" priority="3929">
      <formula>$C21="Petrol"</formula>
    </cfRule>
    <cfRule type="expression" dxfId="16012" priority="3930">
      <formula>$C21="Bills"</formula>
    </cfRule>
    <cfRule type="expression" dxfId="16011" priority="3931">
      <formula>$C21="Sales"</formula>
    </cfRule>
    <cfRule type="expression" dxfId="16010" priority="3932">
      <formula>$C21="Expences"</formula>
    </cfRule>
    <cfRule type="expression" dxfId="16009" priority="3933">
      <formula>$C21="Garlic Purchase"</formula>
    </cfRule>
    <cfRule type="expression" dxfId="16008" priority="3934">
      <formula>$C21="Ginger Purchase"</formula>
    </cfRule>
  </conditionalFormatting>
  <conditionalFormatting sqref="B21 B23:B86">
    <cfRule type="expression" dxfId="16007" priority="3935">
      <formula>$C21="Advance"</formula>
    </cfRule>
  </conditionalFormatting>
  <conditionalFormatting sqref="B21 B23:B86">
    <cfRule type="expression" dxfId="16006" priority="3916">
      <formula>$C21="Delivery charge"</formula>
    </cfRule>
    <cfRule type="expression" dxfId="16005" priority="3917">
      <formula>$C21="Staff Salary"</formula>
    </cfRule>
    <cfRule type="expression" dxfId="16004" priority="3918">
      <formula>$C21="Rent"</formula>
    </cfRule>
    <cfRule type="expression" dxfId="16003" priority="3919">
      <formula>$C21="Petrol"</formula>
    </cfRule>
    <cfRule type="expression" dxfId="16002" priority="3920">
      <formula>$C21="Bills"</formula>
    </cfRule>
    <cfRule type="expression" dxfId="16001" priority="3921">
      <formula>$C21="Sales"</formula>
    </cfRule>
    <cfRule type="expression" dxfId="16000" priority="3922">
      <formula>$C21="Expences"</formula>
    </cfRule>
    <cfRule type="expression" dxfId="15999" priority="3923">
      <formula>$C21="Garlic Purchase"</formula>
    </cfRule>
    <cfRule type="expression" dxfId="15998" priority="3924">
      <formula>$C21="Ginger Purchase"</formula>
    </cfRule>
  </conditionalFormatting>
  <conditionalFormatting sqref="B21 B23:B86">
    <cfRule type="expression" dxfId="15997" priority="3925">
      <formula>$C21="Advance"</formula>
    </cfRule>
  </conditionalFormatting>
  <conditionalFormatting sqref="B21 B23:B86">
    <cfRule type="expression" dxfId="15996" priority="3906">
      <formula>$C21="Delivery charge"</formula>
    </cfRule>
    <cfRule type="expression" dxfId="15995" priority="3907">
      <formula>$C21="Staff Salary"</formula>
    </cfRule>
    <cfRule type="expression" dxfId="15994" priority="3908">
      <formula>$C21="Rent"</formula>
    </cfRule>
    <cfRule type="expression" dxfId="15993" priority="3909">
      <formula>$C21="Petrol"</formula>
    </cfRule>
    <cfRule type="expression" dxfId="15992" priority="3910">
      <formula>$C21="Bills"</formula>
    </cfRule>
    <cfRule type="expression" dxfId="15991" priority="3911">
      <formula>$C21="Sales"</formula>
    </cfRule>
    <cfRule type="expression" dxfId="15990" priority="3912">
      <formula>$C21="Expences"</formula>
    </cfRule>
    <cfRule type="expression" dxfId="15989" priority="3913">
      <formula>$C21="Garlic Purchase"</formula>
    </cfRule>
    <cfRule type="expression" dxfId="15988" priority="3914">
      <formula>$C21="Ginger Purchase"</formula>
    </cfRule>
  </conditionalFormatting>
  <conditionalFormatting sqref="B21 B23:B86">
    <cfRule type="expression" dxfId="15987" priority="3915">
      <formula>$C21="Advance"</formula>
    </cfRule>
  </conditionalFormatting>
  <conditionalFormatting sqref="B21 B23:B86">
    <cfRule type="expression" dxfId="15986" priority="3896">
      <formula>$C21="Delivery charge"</formula>
    </cfRule>
    <cfRule type="expression" dxfId="15985" priority="3897">
      <formula>$C21="Staff Salary"</formula>
    </cfRule>
    <cfRule type="expression" dxfId="15984" priority="3898">
      <formula>$C21="Rent"</formula>
    </cfRule>
    <cfRule type="expression" dxfId="15983" priority="3899">
      <formula>$C21="Petrol"</formula>
    </cfRule>
    <cfRule type="expression" dxfId="15982" priority="3900">
      <formula>$C21="Bills"</formula>
    </cfRule>
    <cfRule type="expression" dxfId="15981" priority="3901">
      <formula>$C21="Sales"</formula>
    </cfRule>
    <cfRule type="expression" dxfId="15980" priority="3902">
      <formula>$C21="Expences"</formula>
    </cfRule>
    <cfRule type="expression" dxfId="15979" priority="3903">
      <formula>$C21="Garlic Purchase"</formula>
    </cfRule>
    <cfRule type="expression" dxfId="15978" priority="3904">
      <formula>$C21="Ginger Purchase"</formula>
    </cfRule>
  </conditionalFormatting>
  <conditionalFormatting sqref="B21 B23:B86">
    <cfRule type="expression" dxfId="15977" priority="3905">
      <formula>$C21="Advance"</formula>
    </cfRule>
  </conditionalFormatting>
  <conditionalFormatting sqref="B22 B24:B86">
    <cfRule type="expression" dxfId="15976" priority="3886">
      <formula>$C22="Delivery charge"</formula>
    </cfRule>
    <cfRule type="expression" dxfId="15975" priority="3887">
      <formula>$C22="Staff Salary"</formula>
    </cfRule>
    <cfRule type="expression" dxfId="15974" priority="3888">
      <formula>$C22="Rent"</formula>
    </cfRule>
    <cfRule type="expression" dxfId="15973" priority="3889">
      <formula>$C22="Petrol"</formula>
    </cfRule>
    <cfRule type="expression" dxfId="15972" priority="3890">
      <formula>$C22="Bills"</formula>
    </cfRule>
    <cfRule type="expression" dxfId="15971" priority="3891">
      <formula>$C22="Sales"</formula>
    </cfRule>
    <cfRule type="expression" dxfId="15970" priority="3892">
      <formula>$C22="Expences"</formula>
    </cfRule>
    <cfRule type="expression" dxfId="15969" priority="3893">
      <formula>$C22="Garlic Purchase"</formula>
    </cfRule>
    <cfRule type="expression" dxfId="15968" priority="3894">
      <formula>$C22="Ginger Purchase"</formula>
    </cfRule>
  </conditionalFormatting>
  <conditionalFormatting sqref="B22 B24:B86">
    <cfRule type="expression" dxfId="15967" priority="3895">
      <formula>$C22="Advance"</formula>
    </cfRule>
  </conditionalFormatting>
  <conditionalFormatting sqref="B21 B23:B86">
    <cfRule type="expression" dxfId="15966" priority="3876">
      <formula>$C21="Delivery charge"</formula>
    </cfRule>
    <cfRule type="expression" dxfId="15965" priority="3877">
      <formula>$C21="Staff Salary"</formula>
    </cfRule>
    <cfRule type="expression" dxfId="15964" priority="3878">
      <formula>$C21="Rent"</formula>
    </cfRule>
    <cfRule type="expression" dxfId="15963" priority="3879">
      <formula>$C21="Petrol"</formula>
    </cfRule>
    <cfRule type="expression" dxfId="15962" priority="3880">
      <formula>$C21="Bills"</formula>
    </cfRule>
    <cfRule type="expression" dxfId="15961" priority="3881">
      <formula>$C21="Sales"</formula>
    </cfRule>
    <cfRule type="expression" dxfId="15960" priority="3882">
      <formula>$C21="Expences"</formula>
    </cfRule>
    <cfRule type="expression" dxfId="15959" priority="3883">
      <formula>$C21="Garlic Purchase"</formula>
    </cfRule>
    <cfRule type="expression" dxfId="15958" priority="3884">
      <formula>$C21="Ginger Purchase"</formula>
    </cfRule>
  </conditionalFormatting>
  <conditionalFormatting sqref="B21 B23:B86">
    <cfRule type="expression" dxfId="15957" priority="3885">
      <formula>$C21="Advance"</formula>
    </cfRule>
  </conditionalFormatting>
  <conditionalFormatting sqref="B21 B23:B86">
    <cfRule type="expression" dxfId="15956" priority="3866">
      <formula>$C21="Delivery charge"</formula>
    </cfRule>
    <cfRule type="expression" dxfId="15955" priority="3867">
      <formula>$C21="Staff Salary"</formula>
    </cfRule>
    <cfRule type="expression" dxfId="15954" priority="3868">
      <formula>$C21="Rent"</formula>
    </cfRule>
    <cfRule type="expression" dxfId="15953" priority="3869">
      <formula>$C21="Petrol"</formula>
    </cfRule>
    <cfRule type="expression" dxfId="15952" priority="3870">
      <formula>$C21="Bills"</formula>
    </cfRule>
    <cfRule type="expression" dxfId="15951" priority="3871">
      <formula>$C21="Sales"</formula>
    </cfRule>
    <cfRule type="expression" dxfId="15950" priority="3872">
      <formula>$C21="Expences"</formula>
    </cfRule>
    <cfRule type="expression" dxfId="15949" priority="3873">
      <formula>$C21="Garlic Purchase"</formula>
    </cfRule>
    <cfRule type="expression" dxfId="15948" priority="3874">
      <formula>$C21="Ginger Purchase"</formula>
    </cfRule>
  </conditionalFormatting>
  <conditionalFormatting sqref="B21 B23:B86">
    <cfRule type="expression" dxfId="15947" priority="3875">
      <formula>$C21="Advance"</formula>
    </cfRule>
  </conditionalFormatting>
  <conditionalFormatting sqref="B21 B23:B86">
    <cfRule type="expression" dxfId="15946" priority="3856">
      <formula>$C21="Delivery charge"</formula>
    </cfRule>
    <cfRule type="expression" dxfId="15945" priority="3857">
      <formula>$C21="Staff Salary"</formula>
    </cfRule>
    <cfRule type="expression" dxfId="15944" priority="3858">
      <formula>$C21="Rent"</formula>
    </cfRule>
    <cfRule type="expression" dxfId="15943" priority="3859">
      <formula>$C21="Petrol"</formula>
    </cfRule>
    <cfRule type="expression" dxfId="15942" priority="3860">
      <formula>$C21="Bills"</formula>
    </cfRule>
    <cfRule type="expression" dxfId="15941" priority="3861">
      <formula>$C21="Sales"</formula>
    </cfRule>
    <cfRule type="expression" dxfId="15940" priority="3862">
      <formula>$C21="Expences"</formula>
    </cfRule>
    <cfRule type="expression" dxfId="15939" priority="3863">
      <formula>$C21="Garlic Purchase"</formula>
    </cfRule>
    <cfRule type="expression" dxfId="15938" priority="3864">
      <formula>$C21="Ginger Purchase"</formula>
    </cfRule>
  </conditionalFormatting>
  <conditionalFormatting sqref="B21 B23:B86">
    <cfRule type="expression" dxfId="15937" priority="3865">
      <formula>$C21="Advance"</formula>
    </cfRule>
  </conditionalFormatting>
  <conditionalFormatting sqref="B21 B23:B86">
    <cfRule type="expression" dxfId="15936" priority="3846">
      <formula>$C21="Delivery charge"</formula>
    </cfRule>
    <cfRule type="expression" dxfId="15935" priority="3847">
      <formula>$C21="Staff Salary"</formula>
    </cfRule>
    <cfRule type="expression" dxfId="15934" priority="3848">
      <formula>$C21="Rent"</formula>
    </cfRule>
    <cfRule type="expression" dxfId="15933" priority="3849">
      <formula>$C21="Petrol"</formula>
    </cfRule>
    <cfRule type="expression" dxfId="15932" priority="3850">
      <formula>$C21="Bills"</formula>
    </cfRule>
    <cfRule type="expression" dxfId="15931" priority="3851">
      <formula>$C21="Sales"</formula>
    </cfRule>
    <cfRule type="expression" dxfId="15930" priority="3852">
      <formula>$C21="Expences"</formula>
    </cfRule>
    <cfRule type="expression" dxfId="15929" priority="3853">
      <formula>$C21="Garlic Purchase"</formula>
    </cfRule>
    <cfRule type="expression" dxfId="15928" priority="3854">
      <formula>$C21="Ginger Purchase"</formula>
    </cfRule>
  </conditionalFormatting>
  <conditionalFormatting sqref="B21 B23:B86">
    <cfRule type="expression" dxfId="15927" priority="3855">
      <formula>$C21="Advance"</formula>
    </cfRule>
  </conditionalFormatting>
  <conditionalFormatting sqref="B21 B23:B86">
    <cfRule type="expression" dxfId="15926" priority="3836">
      <formula>$C21="Delivery charge"</formula>
    </cfRule>
    <cfRule type="expression" dxfId="15925" priority="3837">
      <formula>$C21="Staff Salary"</formula>
    </cfRule>
    <cfRule type="expression" dxfId="15924" priority="3838">
      <formula>$C21="Rent"</formula>
    </cfRule>
    <cfRule type="expression" dxfId="15923" priority="3839">
      <formula>$C21="Petrol"</formula>
    </cfRule>
    <cfRule type="expression" dxfId="15922" priority="3840">
      <formula>$C21="Bills"</formula>
    </cfRule>
    <cfRule type="expression" dxfId="15921" priority="3841">
      <formula>$C21="Sales"</formula>
    </cfRule>
    <cfRule type="expression" dxfId="15920" priority="3842">
      <formula>$C21="Expences"</formula>
    </cfRule>
    <cfRule type="expression" dxfId="15919" priority="3843">
      <formula>$C21="Garlic Purchase"</formula>
    </cfRule>
    <cfRule type="expression" dxfId="15918" priority="3844">
      <formula>$C21="Ginger Purchase"</formula>
    </cfRule>
  </conditionalFormatting>
  <conditionalFormatting sqref="B21 B23:B86">
    <cfRule type="expression" dxfId="15917" priority="3845">
      <formula>$C21="Advance"</formula>
    </cfRule>
  </conditionalFormatting>
  <conditionalFormatting sqref="B22 B24:B86">
    <cfRule type="expression" dxfId="15916" priority="3826">
      <formula>$C22="Delivery charge"</formula>
    </cfRule>
    <cfRule type="expression" dxfId="15915" priority="3827">
      <formula>$C22="Staff Salary"</formula>
    </cfRule>
    <cfRule type="expression" dxfId="15914" priority="3828">
      <formula>$C22="Rent"</formula>
    </cfRule>
    <cfRule type="expression" dxfId="15913" priority="3829">
      <formula>$C22="Petrol"</formula>
    </cfRule>
    <cfRule type="expression" dxfId="15912" priority="3830">
      <formula>$C22="Bills"</formula>
    </cfRule>
    <cfRule type="expression" dxfId="15911" priority="3831">
      <formula>$C22="Sales"</formula>
    </cfRule>
    <cfRule type="expression" dxfId="15910" priority="3832">
      <formula>$C22="Expences"</formula>
    </cfRule>
    <cfRule type="expression" dxfId="15909" priority="3833">
      <formula>$C22="Garlic Purchase"</formula>
    </cfRule>
    <cfRule type="expression" dxfId="15908" priority="3834">
      <formula>$C22="Ginger Purchase"</formula>
    </cfRule>
  </conditionalFormatting>
  <conditionalFormatting sqref="B22 B24:B86">
    <cfRule type="expression" dxfId="15907" priority="3835">
      <formula>$C22="Advance"</formula>
    </cfRule>
  </conditionalFormatting>
  <conditionalFormatting sqref="B22 B24:B86">
    <cfRule type="expression" dxfId="15906" priority="3816">
      <formula>$C22="Delivery charge"</formula>
    </cfRule>
    <cfRule type="expression" dxfId="15905" priority="3817">
      <formula>$C22="Staff Salary"</formula>
    </cfRule>
    <cfRule type="expression" dxfId="15904" priority="3818">
      <formula>$C22="Rent"</formula>
    </cfRule>
    <cfRule type="expression" dxfId="15903" priority="3819">
      <formula>$C22="Petrol"</formula>
    </cfRule>
    <cfRule type="expression" dxfId="15902" priority="3820">
      <formula>$C22="Bills"</formula>
    </cfRule>
    <cfRule type="expression" dxfId="15901" priority="3821">
      <formula>$C22="Sales"</formula>
    </cfRule>
    <cfRule type="expression" dxfId="15900" priority="3822">
      <formula>$C22="Expences"</formula>
    </cfRule>
    <cfRule type="expression" dxfId="15899" priority="3823">
      <formula>$C22="Garlic Purchase"</formula>
    </cfRule>
    <cfRule type="expression" dxfId="15898" priority="3824">
      <formula>$C22="Ginger Purchase"</formula>
    </cfRule>
  </conditionalFormatting>
  <conditionalFormatting sqref="B22 B24:B86">
    <cfRule type="expression" dxfId="15897" priority="3825">
      <formula>$C22="Advance"</formula>
    </cfRule>
  </conditionalFormatting>
  <conditionalFormatting sqref="B22 B24:B86">
    <cfRule type="expression" dxfId="15896" priority="3806">
      <formula>$C22="Delivery charge"</formula>
    </cfRule>
    <cfRule type="expression" dxfId="15895" priority="3807">
      <formula>$C22="Staff Salary"</formula>
    </cfRule>
    <cfRule type="expression" dxfId="15894" priority="3808">
      <formula>$C22="Rent"</formula>
    </cfRule>
    <cfRule type="expression" dxfId="15893" priority="3809">
      <formula>$C22="Petrol"</formula>
    </cfRule>
    <cfRule type="expression" dxfId="15892" priority="3810">
      <formula>$C22="Bills"</formula>
    </cfRule>
    <cfRule type="expression" dxfId="15891" priority="3811">
      <formula>$C22="Sales"</formula>
    </cfRule>
    <cfRule type="expression" dxfId="15890" priority="3812">
      <formula>$C22="Expences"</formula>
    </cfRule>
    <cfRule type="expression" dxfId="15889" priority="3813">
      <formula>$C22="Garlic Purchase"</formula>
    </cfRule>
    <cfRule type="expression" dxfId="15888" priority="3814">
      <formula>$C22="Ginger Purchase"</formula>
    </cfRule>
  </conditionalFormatting>
  <conditionalFormatting sqref="B22 B24:B86">
    <cfRule type="expression" dxfId="15887" priority="3815">
      <formula>$C22="Advance"</formula>
    </cfRule>
  </conditionalFormatting>
  <conditionalFormatting sqref="B22 B24:B86">
    <cfRule type="expression" dxfId="15886" priority="3796">
      <formula>$C22="Delivery charge"</formula>
    </cfRule>
    <cfRule type="expression" dxfId="15885" priority="3797">
      <formula>$C22="Staff Salary"</formula>
    </cfRule>
    <cfRule type="expression" dxfId="15884" priority="3798">
      <formula>$C22="Rent"</formula>
    </cfRule>
    <cfRule type="expression" dxfId="15883" priority="3799">
      <formula>$C22="Petrol"</formula>
    </cfRule>
    <cfRule type="expression" dxfId="15882" priority="3800">
      <formula>$C22="Bills"</formula>
    </cfRule>
    <cfRule type="expression" dxfId="15881" priority="3801">
      <formula>$C22="Sales"</formula>
    </cfRule>
    <cfRule type="expression" dxfId="15880" priority="3802">
      <formula>$C22="Expences"</formula>
    </cfRule>
    <cfRule type="expression" dxfId="15879" priority="3803">
      <formula>$C22="Garlic Purchase"</formula>
    </cfRule>
    <cfRule type="expression" dxfId="15878" priority="3804">
      <formula>$C22="Ginger Purchase"</formula>
    </cfRule>
  </conditionalFormatting>
  <conditionalFormatting sqref="B22 B24:B86">
    <cfRule type="expression" dxfId="15877" priority="3805">
      <formula>$C22="Advance"</formula>
    </cfRule>
  </conditionalFormatting>
  <conditionalFormatting sqref="B22 B24:B86">
    <cfRule type="expression" dxfId="15876" priority="3786">
      <formula>$C22="Delivery charge"</formula>
    </cfRule>
    <cfRule type="expression" dxfId="15875" priority="3787">
      <formula>$C22="Staff Salary"</formula>
    </cfRule>
    <cfRule type="expression" dxfId="15874" priority="3788">
      <formula>$C22="Rent"</formula>
    </cfRule>
    <cfRule type="expression" dxfId="15873" priority="3789">
      <formula>$C22="Petrol"</formula>
    </cfRule>
    <cfRule type="expression" dxfId="15872" priority="3790">
      <formula>$C22="Bills"</formula>
    </cfRule>
    <cfRule type="expression" dxfId="15871" priority="3791">
      <formula>$C22="Sales"</formula>
    </cfRule>
    <cfRule type="expression" dxfId="15870" priority="3792">
      <formula>$C22="Expences"</formula>
    </cfRule>
    <cfRule type="expression" dxfId="15869" priority="3793">
      <formula>$C22="Garlic Purchase"</formula>
    </cfRule>
    <cfRule type="expression" dxfId="15868" priority="3794">
      <formula>$C22="Ginger Purchase"</formula>
    </cfRule>
  </conditionalFormatting>
  <conditionalFormatting sqref="B22 B24:B86">
    <cfRule type="expression" dxfId="15867" priority="3795">
      <formula>$C22="Advance"</formula>
    </cfRule>
  </conditionalFormatting>
  <conditionalFormatting sqref="B21 B23:B86">
    <cfRule type="expression" dxfId="15866" priority="3776">
      <formula>$C21="Delivery charge"</formula>
    </cfRule>
    <cfRule type="expression" dxfId="15865" priority="3777">
      <formula>$C21="Staff Salary"</formula>
    </cfRule>
    <cfRule type="expression" dxfId="15864" priority="3778">
      <formula>$C21="Rent"</formula>
    </cfRule>
    <cfRule type="expression" dxfId="15863" priority="3779">
      <formula>$C21="Petrol"</formula>
    </cfRule>
    <cfRule type="expression" dxfId="15862" priority="3780">
      <formula>$C21="Bills"</formula>
    </cfRule>
    <cfRule type="expression" dxfId="15861" priority="3781">
      <formula>$C21="Sales"</formula>
    </cfRule>
    <cfRule type="expression" dxfId="15860" priority="3782">
      <formula>$C21="Expences"</formula>
    </cfRule>
    <cfRule type="expression" dxfId="15859" priority="3783">
      <formula>$C21="Garlic Purchase"</formula>
    </cfRule>
    <cfRule type="expression" dxfId="15858" priority="3784">
      <formula>$C21="Ginger Purchase"</formula>
    </cfRule>
  </conditionalFormatting>
  <conditionalFormatting sqref="B21 B23:B86">
    <cfRule type="expression" dxfId="15857" priority="3785">
      <formula>$C21="Advance"</formula>
    </cfRule>
  </conditionalFormatting>
  <conditionalFormatting sqref="B22 B24:B86">
    <cfRule type="expression" dxfId="15856" priority="3766">
      <formula>$C22="Delivery charge"</formula>
    </cfRule>
    <cfRule type="expression" dxfId="15855" priority="3767">
      <formula>$C22="Staff Salary"</formula>
    </cfRule>
    <cfRule type="expression" dxfId="15854" priority="3768">
      <formula>$C22="Rent"</formula>
    </cfRule>
    <cfRule type="expression" dxfId="15853" priority="3769">
      <formula>$C22="Petrol"</formula>
    </cfRule>
    <cfRule type="expression" dxfId="15852" priority="3770">
      <formula>$C22="Bills"</formula>
    </cfRule>
    <cfRule type="expression" dxfId="15851" priority="3771">
      <formula>$C22="Sales"</formula>
    </cfRule>
    <cfRule type="expression" dxfId="15850" priority="3772">
      <formula>$C22="Expences"</formula>
    </cfRule>
    <cfRule type="expression" dxfId="15849" priority="3773">
      <formula>$C22="Garlic Purchase"</formula>
    </cfRule>
    <cfRule type="expression" dxfId="15848" priority="3774">
      <formula>$C22="Ginger Purchase"</formula>
    </cfRule>
  </conditionalFormatting>
  <conditionalFormatting sqref="B22 B24:B86">
    <cfRule type="expression" dxfId="15847" priority="3775">
      <formula>$C22="Advance"</formula>
    </cfRule>
  </conditionalFormatting>
  <conditionalFormatting sqref="B22 B24:B86">
    <cfRule type="expression" dxfId="15846" priority="3756">
      <formula>$C22="Delivery charge"</formula>
    </cfRule>
    <cfRule type="expression" dxfId="15845" priority="3757">
      <formula>$C22="Staff Salary"</formula>
    </cfRule>
    <cfRule type="expression" dxfId="15844" priority="3758">
      <formula>$C22="Rent"</formula>
    </cfRule>
    <cfRule type="expression" dxfId="15843" priority="3759">
      <formula>$C22="Petrol"</formula>
    </cfRule>
    <cfRule type="expression" dxfId="15842" priority="3760">
      <formula>$C22="Bills"</formula>
    </cfRule>
    <cfRule type="expression" dxfId="15841" priority="3761">
      <formula>$C22="Sales"</formula>
    </cfRule>
    <cfRule type="expression" dxfId="15840" priority="3762">
      <formula>$C22="Expences"</formula>
    </cfRule>
    <cfRule type="expression" dxfId="15839" priority="3763">
      <formula>$C22="Garlic Purchase"</formula>
    </cfRule>
    <cfRule type="expression" dxfId="15838" priority="3764">
      <formula>$C22="Ginger Purchase"</formula>
    </cfRule>
  </conditionalFormatting>
  <conditionalFormatting sqref="B22 B24:B86">
    <cfRule type="expression" dxfId="15837" priority="3765">
      <formula>$C22="Advance"</formula>
    </cfRule>
  </conditionalFormatting>
  <conditionalFormatting sqref="B22 B24:B86">
    <cfRule type="expression" dxfId="15836" priority="3746">
      <formula>$C22="Delivery charge"</formula>
    </cfRule>
    <cfRule type="expression" dxfId="15835" priority="3747">
      <formula>$C22="Staff Salary"</formula>
    </cfRule>
    <cfRule type="expression" dxfId="15834" priority="3748">
      <formula>$C22="Rent"</formula>
    </cfRule>
    <cfRule type="expression" dxfId="15833" priority="3749">
      <formula>$C22="Petrol"</formula>
    </cfRule>
    <cfRule type="expression" dxfId="15832" priority="3750">
      <formula>$C22="Bills"</formula>
    </cfRule>
    <cfRule type="expression" dxfId="15831" priority="3751">
      <formula>$C22="Sales"</formula>
    </cfRule>
    <cfRule type="expression" dxfId="15830" priority="3752">
      <formula>$C22="Expences"</formula>
    </cfRule>
    <cfRule type="expression" dxfId="15829" priority="3753">
      <formula>$C22="Garlic Purchase"</formula>
    </cfRule>
    <cfRule type="expression" dxfId="15828" priority="3754">
      <formula>$C22="Ginger Purchase"</formula>
    </cfRule>
  </conditionalFormatting>
  <conditionalFormatting sqref="B22 B24:B86">
    <cfRule type="expression" dxfId="15827" priority="3755">
      <formula>$C22="Advance"</formula>
    </cfRule>
  </conditionalFormatting>
  <conditionalFormatting sqref="B22 B24:B86">
    <cfRule type="expression" dxfId="15826" priority="3736">
      <formula>$C22="Delivery charge"</formula>
    </cfRule>
    <cfRule type="expression" dxfId="15825" priority="3737">
      <formula>$C22="Staff Salary"</formula>
    </cfRule>
    <cfRule type="expression" dxfId="15824" priority="3738">
      <formula>$C22="Rent"</formula>
    </cfRule>
    <cfRule type="expression" dxfId="15823" priority="3739">
      <formula>$C22="Petrol"</formula>
    </cfRule>
    <cfRule type="expression" dxfId="15822" priority="3740">
      <formula>$C22="Bills"</formula>
    </cfRule>
    <cfRule type="expression" dxfId="15821" priority="3741">
      <formula>$C22="Sales"</formula>
    </cfRule>
    <cfRule type="expression" dxfId="15820" priority="3742">
      <formula>$C22="Expences"</formula>
    </cfRule>
    <cfRule type="expression" dxfId="15819" priority="3743">
      <formula>$C22="Garlic Purchase"</formula>
    </cfRule>
    <cfRule type="expression" dxfId="15818" priority="3744">
      <formula>$C22="Ginger Purchase"</formula>
    </cfRule>
  </conditionalFormatting>
  <conditionalFormatting sqref="B22 B24:B86">
    <cfRule type="expression" dxfId="15817" priority="3745">
      <formula>$C22="Advance"</formula>
    </cfRule>
  </conditionalFormatting>
  <conditionalFormatting sqref="B22 B24:B86">
    <cfRule type="expression" dxfId="15816" priority="3726">
      <formula>$C22="Delivery charge"</formula>
    </cfRule>
    <cfRule type="expression" dxfId="15815" priority="3727">
      <formula>$C22="Staff Salary"</formula>
    </cfRule>
    <cfRule type="expression" dxfId="15814" priority="3728">
      <formula>$C22="Rent"</formula>
    </cfRule>
    <cfRule type="expression" dxfId="15813" priority="3729">
      <formula>$C22="Petrol"</formula>
    </cfRule>
    <cfRule type="expression" dxfId="15812" priority="3730">
      <formula>$C22="Bills"</formula>
    </cfRule>
    <cfRule type="expression" dxfId="15811" priority="3731">
      <formula>$C22="Sales"</formula>
    </cfRule>
    <cfRule type="expression" dxfId="15810" priority="3732">
      <formula>$C22="Expences"</formula>
    </cfRule>
    <cfRule type="expression" dxfId="15809" priority="3733">
      <formula>$C22="Garlic Purchase"</formula>
    </cfRule>
    <cfRule type="expression" dxfId="15808" priority="3734">
      <formula>$C22="Ginger Purchase"</formula>
    </cfRule>
  </conditionalFormatting>
  <conditionalFormatting sqref="B22 B24:B86">
    <cfRule type="expression" dxfId="15807" priority="3735">
      <formula>$C22="Advance"</formula>
    </cfRule>
  </conditionalFormatting>
  <conditionalFormatting sqref="B22 B24:B86">
    <cfRule type="expression" dxfId="15806" priority="3716">
      <formula>$C22="Delivery charge"</formula>
    </cfRule>
    <cfRule type="expression" dxfId="15805" priority="3717">
      <formula>$C22="Staff Salary"</formula>
    </cfRule>
    <cfRule type="expression" dxfId="15804" priority="3718">
      <formula>$C22="Rent"</formula>
    </cfRule>
    <cfRule type="expression" dxfId="15803" priority="3719">
      <formula>$C22="Petrol"</formula>
    </cfRule>
    <cfRule type="expression" dxfId="15802" priority="3720">
      <formula>$C22="Bills"</formula>
    </cfRule>
    <cfRule type="expression" dxfId="15801" priority="3721">
      <formula>$C22="Sales"</formula>
    </cfRule>
    <cfRule type="expression" dxfId="15800" priority="3722">
      <formula>$C22="Expences"</formula>
    </cfRule>
    <cfRule type="expression" dxfId="15799" priority="3723">
      <formula>$C22="Garlic Purchase"</formula>
    </cfRule>
    <cfRule type="expression" dxfId="15798" priority="3724">
      <formula>$C22="Ginger Purchase"</formula>
    </cfRule>
  </conditionalFormatting>
  <conditionalFormatting sqref="B22 B24:B86">
    <cfRule type="expression" dxfId="15797" priority="3725">
      <formula>$C22="Advance"</formula>
    </cfRule>
  </conditionalFormatting>
  <conditionalFormatting sqref="B22 B24:B86">
    <cfRule type="expression" dxfId="15796" priority="3706">
      <formula>$C22="Delivery charge"</formula>
    </cfRule>
    <cfRule type="expression" dxfId="15795" priority="3707">
      <formula>$C22="Staff Salary"</formula>
    </cfRule>
    <cfRule type="expression" dxfId="15794" priority="3708">
      <formula>$C22="Rent"</formula>
    </cfRule>
    <cfRule type="expression" dxfId="15793" priority="3709">
      <formula>$C22="Petrol"</formula>
    </cfRule>
    <cfRule type="expression" dxfId="15792" priority="3710">
      <formula>$C22="Bills"</formula>
    </cfRule>
    <cfRule type="expression" dxfId="15791" priority="3711">
      <formula>$C22="Sales"</formula>
    </cfRule>
    <cfRule type="expression" dxfId="15790" priority="3712">
      <formula>$C22="Expences"</formula>
    </cfRule>
    <cfRule type="expression" dxfId="15789" priority="3713">
      <formula>$C22="Garlic Purchase"</formula>
    </cfRule>
    <cfRule type="expression" dxfId="15788" priority="3714">
      <formula>$C22="Ginger Purchase"</formula>
    </cfRule>
  </conditionalFormatting>
  <conditionalFormatting sqref="B22 B24:B86">
    <cfRule type="expression" dxfId="15787" priority="3715">
      <formula>$C22="Advance"</formula>
    </cfRule>
  </conditionalFormatting>
  <conditionalFormatting sqref="B22 B24:B86">
    <cfRule type="expression" dxfId="15786" priority="3696">
      <formula>$C22="Delivery charge"</formula>
    </cfRule>
    <cfRule type="expression" dxfId="15785" priority="3697">
      <formula>$C22="Staff Salary"</formula>
    </cfRule>
    <cfRule type="expression" dxfId="15784" priority="3698">
      <formula>$C22="Rent"</formula>
    </cfRule>
    <cfRule type="expression" dxfId="15783" priority="3699">
      <formula>$C22="Petrol"</formula>
    </cfRule>
    <cfRule type="expression" dxfId="15782" priority="3700">
      <formula>$C22="Bills"</formula>
    </cfRule>
    <cfRule type="expression" dxfId="15781" priority="3701">
      <formula>$C22="Sales"</formula>
    </cfRule>
    <cfRule type="expression" dxfId="15780" priority="3702">
      <formula>$C22="Expences"</formula>
    </cfRule>
    <cfRule type="expression" dxfId="15779" priority="3703">
      <formula>$C22="Garlic Purchase"</formula>
    </cfRule>
    <cfRule type="expression" dxfId="15778" priority="3704">
      <formula>$C22="Ginger Purchase"</formula>
    </cfRule>
  </conditionalFormatting>
  <conditionalFormatting sqref="B22 B24:B86">
    <cfRule type="expression" dxfId="15777" priority="3705">
      <formula>$C22="Advance"</formula>
    </cfRule>
  </conditionalFormatting>
  <conditionalFormatting sqref="B22 B24:B86">
    <cfRule type="expression" dxfId="15776" priority="3686">
      <formula>$C22="Delivery charge"</formula>
    </cfRule>
    <cfRule type="expression" dxfId="15775" priority="3687">
      <formula>$C22="Staff Salary"</formula>
    </cfRule>
    <cfRule type="expression" dxfId="15774" priority="3688">
      <formula>$C22="Rent"</formula>
    </cfRule>
    <cfRule type="expression" dxfId="15773" priority="3689">
      <formula>$C22="Petrol"</formula>
    </cfRule>
    <cfRule type="expression" dxfId="15772" priority="3690">
      <formula>$C22="Bills"</formula>
    </cfRule>
    <cfRule type="expression" dxfId="15771" priority="3691">
      <formula>$C22="Sales"</formula>
    </cfRule>
    <cfRule type="expression" dxfId="15770" priority="3692">
      <formula>$C22="Expences"</formula>
    </cfRule>
    <cfRule type="expression" dxfId="15769" priority="3693">
      <formula>$C22="Garlic Purchase"</formula>
    </cfRule>
    <cfRule type="expression" dxfId="15768" priority="3694">
      <formula>$C22="Ginger Purchase"</formula>
    </cfRule>
  </conditionalFormatting>
  <conditionalFormatting sqref="B22 B24:B86">
    <cfRule type="expression" dxfId="15767" priority="3695">
      <formula>$C22="Advance"</formula>
    </cfRule>
  </conditionalFormatting>
  <conditionalFormatting sqref="B25 B27:B29 B31 B33 B35 B37 B40 B43 B46 B48 B50 B52 B54 B56 B58 B60 B62:B64 B66 B68:B69 B71:B72 B75:B76 B78:B79 B81:B82 B84 B86">
    <cfRule type="expression" dxfId="15766" priority="3684">
      <formula>$C25="Advance"</formula>
    </cfRule>
  </conditionalFormatting>
  <conditionalFormatting sqref="B25 B27:B29 B31 B33 B35 B37 B40 B43 B46 B48 B50 B52 B54 B56 B58 B60 B62:B64 B66 B68:B69 B71:B72 B75:B76 B78:B79 B81:B82 B84 B86">
    <cfRule type="expression" dxfId="15765" priority="3675">
      <formula>$C25="Delivery charge"</formula>
    </cfRule>
    <cfRule type="expression" dxfId="15764" priority="3676">
      <formula>$C25="Staff Salary"</formula>
    </cfRule>
    <cfRule type="expression" dxfId="15763" priority="3677">
      <formula>$C25="Rent"</formula>
    </cfRule>
    <cfRule type="expression" dxfId="15762" priority="3678">
      <formula>$C25="Petrol"</formula>
    </cfRule>
    <cfRule type="expression" dxfId="15761" priority="3679">
      <formula>$C25="Bills"</formula>
    </cfRule>
    <cfRule type="expression" dxfId="15760" priority="3680">
      <formula>$C25="Sales"</formula>
    </cfRule>
    <cfRule type="expression" dxfId="15759" priority="3681">
      <formula>$C25="Expences"</formula>
    </cfRule>
    <cfRule type="expression" dxfId="15758" priority="3682">
      <formula>$C25="Garlic Purchase"</formula>
    </cfRule>
    <cfRule type="expression" dxfId="15757" priority="3683">
      <formula>$C25="Ginger Purchase"</formula>
    </cfRule>
  </conditionalFormatting>
  <conditionalFormatting sqref="B25 B27:B29 B31 B33 B35 B37 B40 B43 B46 B48 B50 B52 B54 B56 B58 B60 B62:B64 B66 B68:B69 B71:B72 B75:B76 B78:B79 B81:B82 B84 B86">
    <cfRule type="expression" dxfId="15756" priority="3665">
      <formula>$C25="Delivery charge"</formula>
    </cfRule>
    <cfRule type="expression" dxfId="15755" priority="3666">
      <formula>$C25="Staff Salary"</formula>
    </cfRule>
    <cfRule type="expression" dxfId="15754" priority="3667">
      <formula>$C25="Rent"</formula>
    </cfRule>
    <cfRule type="expression" dxfId="15753" priority="3668">
      <formula>$C25="Petrol"</formula>
    </cfRule>
    <cfRule type="expression" dxfId="15752" priority="3669">
      <formula>$C25="Bills"</formula>
    </cfRule>
    <cfRule type="expression" dxfId="15751" priority="3670">
      <formula>$C25="Sales"</formula>
    </cfRule>
    <cfRule type="expression" dxfId="15750" priority="3671">
      <formula>$C25="Expences"</formula>
    </cfRule>
    <cfRule type="expression" dxfId="15749" priority="3672">
      <formula>$C25="Garlic Purchase"</formula>
    </cfRule>
    <cfRule type="expression" dxfId="15748" priority="3673">
      <formula>$C25="Ginger Purchase"</formula>
    </cfRule>
  </conditionalFormatting>
  <conditionalFormatting sqref="B25 B27:B29 B31 B33 B35 B37 B40 B43 B46 B48 B50 B52 B54 B56 B58 B60 B62:B64 B66 B68:B69 B71:B72 B75:B76 B78:B79 B81:B82 B84 B86">
    <cfRule type="expression" dxfId="15747" priority="3674">
      <formula>$C25="Advance"</formula>
    </cfRule>
  </conditionalFormatting>
  <conditionalFormatting sqref="B25 B27:B29 B31 B33 B35 B37 B40 B43 B46 B48 B50 B52 B54 B56 B58 B60 B62:B64 B66 B68:B69 B71:B72 B75:B76 B78:B79 B81:B82 B84 B86">
    <cfRule type="expression" dxfId="15746" priority="3655">
      <formula>$C25="Delivery charge"</formula>
    </cfRule>
    <cfRule type="expression" dxfId="15745" priority="3656">
      <formula>$C25="Staff Salary"</formula>
    </cfRule>
    <cfRule type="expression" dxfId="15744" priority="3657">
      <formula>$C25="Rent"</formula>
    </cfRule>
    <cfRule type="expression" dxfId="15743" priority="3658">
      <formula>$C25="Petrol"</formula>
    </cfRule>
    <cfRule type="expression" dxfId="15742" priority="3659">
      <formula>$C25="Bills"</formula>
    </cfRule>
    <cfRule type="expression" dxfId="15741" priority="3660">
      <formula>$C25="Sales"</formula>
    </cfRule>
    <cfRule type="expression" dxfId="15740" priority="3661">
      <formula>$C25="Expences"</formula>
    </cfRule>
    <cfRule type="expression" dxfId="15739" priority="3662">
      <formula>$C25="Garlic Purchase"</formula>
    </cfRule>
    <cfRule type="expression" dxfId="15738" priority="3663">
      <formula>$C25="Ginger Purchase"</formula>
    </cfRule>
  </conditionalFormatting>
  <conditionalFormatting sqref="B25 B27:B29 B31 B33 B35 B37 B40 B43 B46 B48 B50 B52 B54 B56 B58 B60 B62:B64 B66 B68:B69 B71:B72 B75:B76 B78:B79 B81:B82 B84 B86">
    <cfRule type="expression" dxfId="15737" priority="3664">
      <formula>$C25="Advance"</formula>
    </cfRule>
  </conditionalFormatting>
  <conditionalFormatting sqref="B25 B27:B29 B31 B33 B35 B37 B40 B43 B46 B48 B50 B52 B54 B56 B58 B60 B62:B64 B66 B68:B69 B71:B72 B75:B76 B78:B79 B81:B82 B84 B86">
    <cfRule type="expression" dxfId="15736" priority="3645">
      <formula>$C25="Delivery charge"</formula>
    </cfRule>
    <cfRule type="expression" dxfId="15735" priority="3646">
      <formula>$C25="Staff Salary"</formula>
    </cfRule>
    <cfRule type="expression" dxfId="15734" priority="3647">
      <formula>$C25="Rent"</formula>
    </cfRule>
    <cfRule type="expression" dxfId="15733" priority="3648">
      <formula>$C25="Petrol"</formula>
    </cfRule>
    <cfRule type="expression" dxfId="15732" priority="3649">
      <formula>$C25="Bills"</formula>
    </cfRule>
    <cfRule type="expression" dxfId="15731" priority="3650">
      <formula>$C25="Sales"</formula>
    </cfRule>
    <cfRule type="expression" dxfId="15730" priority="3651">
      <formula>$C25="Expences"</formula>
    </cfRule>
    <cfRule type="expression" dxfId="15729" priority="3652">
      <formula>$C25="Garlic Purchase"</formula>
    </cfRule>
    <cfRule type="expression" dxfId="15728" priority="3653">
      <formula>$C25="Ginger Purchase"</formula>
    </cfRule>
  </conditionalFormatting>
  <conditionalFormatting sqref="B25 B27:B29 B31 B33 B35 B37 B40 B43 B46 B48 B50 B52 B54 B56 B58 B60 B62:B64 B66 B68:B69 B71:B72 B75:B76 B78:B79 B81:B82 B84 B86">
    <cfRule type="expression" dxfId="15727" priority="3654">
      <formula>$C25="Advance"</formula>
    </cfRule>
  </conditionalFormatting>
  <conditionalFormatting sqref="B25 B27:B29 B31 B33 B35 B37 B40 B43 B46 B48 B50 B52 B54 B56 B58 B60 B62:B64 B66 B68:B69 B71:B72 B75:B76 B78:B79 B81:B82 B84 B86">
    <cfRule type="expression" dxfId="15726" priority="3635">
      <formula>$C25="Delivery charge"</formula>
    </cfRule>
    <cfRule type="expression" dxfId="15725" priority="3636">
      <formula>$C25="Staff Salary"</formula>
    </cfRule>
    <cfRule type="expression" dxfId="15724" priority="3637">
      <formula>$C25="Rent"</formula>
    </cfRule>
    <cfRule type="expression" dxfId="15723" priority="3638">
      <formula>$C25="Petrol"</formula>
    </cfRule>
    <cfRule type="expression" dxfId="15722" priority="3639">
      <formula>$C25="Bills"</formula>
    </cfRule>
    <cfRule type="expression" dxfId="15721" priority="3640">
      <formula>$C25="Sales"</formula>
    </cfRule>
    <cfRule type="expression" dxfId="15720" priority="3641">
      <formula>$C25="Expences"</formula>
    </cfRule>
    <cfRule type="expression" dxfId="15719" priority="3642">
      <formula>$C25="Garlic Purchase"</formula>
    </cfRule>
    <cfRule type="expression" dxfId="15718" priority="3643">
      <formula>$C25="Ginger Purchase"</formula>
    </cfRule>
  </conditionalFormatting>
  <conditionalFormatting sqref="B25 B27:B29 B31 B33 B35 B37 B40 B43 B46 B48 B50 B52 B54 B56 B58 B60 B62:B64 B66 B68:B69 B71:B72 B75:B76 B78:B79 B81:B82 B84 B86">
    <cfRule type="expression" dxfId="15717" priority="3644">
      <formula>$C25="Advance"</formula>
    </cfRule>
  </conditionalFormatting>
  <conditionalFormatting sqref="B25 B27:B29 B31 B33 B35 B37 B40 B43 B46 B48 B50 B52 B54 B56 B58 B60 B62:B64 B66 B68:B69 B71:B72 B75:B76 B78:B79 B81:B82 B84 B86">
    <cfRule type="expression" dxfId="15716" priority="3625">
      <formula>$C25="Delivery charge"</formula>
    </cfRule>
    <cfRule type="expression" dxfId="15715" priority="3626">
      <formula>$C25="Staff Salary"</formula>
    </cfRule>
    <cfRule type="expression" dxfId="15714" priority="3627">
      <formula>$C25="Rent"</formula>
    </cfRule>
    <cfRule type="expression" dxfId="15713" priority="3628">
      <formula>$C25="Petrol"</formula>
    </cfRule>
    <cfRule type="expression" dxfId="15712" priority="3629">
      <formula>$C25="Bills"</formula>
    </cfRule>
    <cfRule type="expression" dxfId="15711" priority="3630">
      <formula>$C25="Sales"</formula>
    </cfRule>
    <cfRule type="expression" dxfId="15710" priority="3631">
      <formula>$C25="Expences"</formula>
    </cfRule>
    <cfRule type="expression" dxfId="15709" priority="3632">
      <formula>$C25="Garlic Purchase"</formula>
    </cfRule>
    <cfRule type="expression" dxfId="15708" priority="3633">
      <formula>$C25="Ginger Purchase"</formula>
    </cfRule>
  </conditionalFormatting>
  <conditionalFormatting sqref="B25 B27:B29 B31 B33 B35 B37 B40 B43 B46 B48 B50 B52 B54 B56 B58 B60 B62:B64 B66 B68:B69 B71:B72 B75:B76 B78:B79 B81:B82 B84 B86">
    <cfRule type="expression" dxfId="15707" priority="3634">
      <formula>$C25="Advance"</formula>
    </cfRule>
  </conditionalFormatting>
  <conditionalFormatting sqref="B25 B27:B29 B31 B33 B35 B37 B40 B43 B46 B48 B50 B52 B54 B56 B58 B60 B62:B64 B66 B68:B69 B71:B72 B75:B76 B78:B79 B81:B82 B84 B86">
    <cfRule type="expression" dxfId="15706" priority="3615">
      <formula>$C25="Delivery charge"</formula>
    </cfRule>
    <cfRule type="expression" dxfId="15705" priority="3616">
      <formula>$C25="Staff Salary"</formula>
    </cfRule>
    <cfRule type="expression" dxfId="15704" priority="3617">
      <formula>$C25="Rent"</formula>
    </cfRule>
    <cfRule type="expression" dxfId="15703" priority="3618">
      <formula>$C25="Petrol"</formula>
    </cfRule>
    <cfRule type="expression" dxfId="15702" priority="3619">
      <formula>$C25="Bills"</formula>
    </cfRule>
    <cfRule type="expression" dxfId="15701" priority="3620">
      <formula>$C25="Sales"</formula>
    </cfRule>
    <cfRule type="expression" dxfId="15700" priority="3621">
      <formula>$C25="Expences"</formula>
    </cfRule>
    <cfRule type="expression" dxfId="15699" priority="3622">
      <formula>$C25="Garlic Purchase"</formula>
    </cfRule>
    <cfRule type="expression" dxfId="15698" priority="3623">
      <formula>$C25="Ginger Purchase"</formula>
    </cfRule>
  </conditionalFormatting>
  <conditionalFormatting sqref="B25 B27:B29 B31 B33 B35 B37 B40 B43 B46 B48 B50 B52 B54 B56 B58 B60 B62:B64 B66 B68:B69 B71:B72 B75:B76 B78:B79 B81:B82 B84 B86">
    <cfRule type="expression" dxfId="15697" priority="3624">
      <formula>$C25="Advance"</formula>
    </cfRule>
  </conditionalFormatting>
  <conditionalFormatting sqref="B25 B27:B29 B31 B33 B35 B37 B40 B43 B46 B48 B50 B52 B54 B56 B58 B60 B62:B64 B66 B68:B69 B71:B72 B75:B76 B78:B79 B81:B82 B84 B86">
    <cfRule type="expression" dxfId="15696" priority="3605">
      <formula>$C25="Delivery charge"</formula>
    </cfRule>
    <cfRule type="expression" dxfId="15695" priority="3606">
      <formula>$C25="Staff Salary"</formula>
    </cfRule>
    <cfRule type="expression" dxfId="15694" priority="3607">
      <formula>$C25="Rent"</formula>
    </cfRule>
    <cfRule type="expression" dxfId="15693" priority="3608">
      <formula>$C25="Petrol"</formula>
    </cfRule>
    <cfRule type="expression" dxfId="15692" priority="3609">
      <formula>$C25="Bills"</formula>
    </cfRule>
    <cfRule type="expression" dxfId="15691" priority="3610">
      <formula>$C25="Sales"</formula>
    </cfRule>
    <cfRule type="expression" dxfId="15690" priority="3611">
      <formula>$C25="Expences"</formula>
    </cfRule>
    <cfRule type="expression" dxfId="15689" priority="3612">
      <formula>$C25="Garlic Purchase"</formula>
    </cfRule>
    <cfRule type="expression" dxfId="15688" priority="3613">
      <formula>$C25="Ginger Purchase"</formula>
    </cfRule>
  </conditionalFormatting>
  <conditionalFormatting sqref="B25 B27:B29 B31 B33 B35 B37 B40 B43 B46 B48 B50 B52 B54 B56 B58 B60 B62:B64 B66 B68:B69 B71:B72 B75:B76 B78:B79 B81:B82 B84 B86">
    <cfRule type="expression" dxfId="15687" priority="3614">
      <formula>$C25="Advance"</formula>
    </cfRule>
  </conditionalFormatting>
  <conditionalFormatting sqref="B25 B27:B29 B31 B33 B35 B37 B40 B43 B46 B48 B50 B52 B54 B56 B58 B60 B62:B64 B66 B68:B69 B71:B72 B75:B76 B78:B79 B81:B82 B84 B86">
    <cfRule type="expression" dxfId="15686" priority="3595">
      <formula>$C25="Delivery charge"</formula>
    </cfRule>
    <cfRule type="expression" dxfId="15685" priority="3596">
      <formula>$C25="Staff Salary"</formula>
    </cfRule>
    <cfRule type="expression" dxfId="15684" priority="3597">
      <formula>$C25="Rent"</formula>
    </cfRule>
    <cfRule type="expression" dxfId="15683" priority="3598">
      <formula>$C25="Petrol"</formula>
    </cfRule>
    <cfRule type="expression" dxfId="15682" priority="3599">
      <formula>$C25="Bills"</formula>
    </cfRule>
    <cfRule type="expression" dxfId="15681" priority="3600">
      <formula>$C25="Sales"</formula>
    </cfRule>
    <cfRule type="expression" dxfId="15680" priority="3601">
      <formula>$C25="Expences"</formula>
    </cfRule>
    <cfRule type="expression" dxfId="15679" priority="3602">
      <formula>$C25="Garlic Purchase"</formula>
    </cfRule>
    <cfRule type="expression" dxfId="15678" priority="3603">
      <formula>$C25="Ginger Purchase"</formula>
    </cfRule>
  </conditionalFormatting>
  <conditionalFormatting sqref="B25 B27:B29 B31 B33 B35 B37 B40 B43 B46 B48 B50 B52 B54 B56 B58 B60 B62:B64 B66 B68:B69 B71:B72 B75:B76 B78:B79 B81:B82 B84 B86">
    <cfRule type="expression" dxfId="15677" priority="3604">
      <formula>$C25="Advance"</formula>
    </cfRule>
  </conditionalFormatting>
  <conditionalFormatting sqref="B25 B27:B29 B31 B33 B35 B37 B40 B43 B46 B48 B50 B52 B54 B56 B58 B60 B62:B64 B66 B68:B69 B71:B72 B75:B76 B78:B79 B81:B82 B84 B86">
    <cfRule type="expression" dxfId="15676" priority="3585">
      <formula>$C25="Delivery charge"</formula>
    </cfRule>
    <cfRule type="expression" dxfId="15675" priority="3586">
      <formula>$C25="Staff Salary"</formula>
    </cfRule>
    <cfRule type="expression" dxfId="15674" priority="3587">
      <formula>$C25="Rent"</formula>
    </cfRule>
    <cfRule type="expression" dxfId="15673" priority="3588">
      <formula>$C25="Petrol"</formula>
    </cfRule>
    <cfRule type="expression" dxfId="15672" priority="3589">
      <formula>$C25="Bills"</formula>
    </cfRule>
    <cfRule type="expression" dxfId="15671" priority="3590">
      <formula>$C25="Sales"</formula>
    </cfRule>
    <cfRule type="expression" dxfId="15670" priority="3591">
      <formula>$C25="Expences"</formula>
    </cfRule>
    <cfRule type="expression" dxfId="15669" priority="3592">
      <formula>$C25="Garlic Purchase"</formula>
    </cfRule>
    <cfRule type="expression" dxfId="15668" priority="3593">
      <formula>$C25="Ginger Purchase"</formula>
    </cfRule>
  </conditionalFormatting>
  <conditionalFormatting sqref="B25 B27:B29 B31 B33 B35 B37 B40 B43 B46 B48 B50 B52 B54 B56 B58 B60 B62:B64 B66 B68:B69 B71:B72 B75:B76 B78:B79 B81:B82 B84 B86">
    <cfRule type="expression" dxfId="15667" priority="3594">
      <formula>$C25="Advance"</formula>
    </cfRule>
  </conditionalFormatting>
  <conditionalFormatting sqref="B25 B27:B29 B31 B33 B35 B37 B40 B43 B46 B48 B50 B52 B54 B56 B58 B60 B62:B64 B66 B68:B69 B71:B72 B75:B76 B78:B79 B81:B82 B84 B86">
    <cfRule type="expression" dxfId="15666" priority="3575">
      <formula>$C25="Delivery charge"</formula>
    </cfRule>
    <cfRule type="expression" dxfId="15665" priority="3576">
      <formula>$C25="Staff Salary"</formula>
    </cfRule>
    <cfRule type="expression" dxfId="15664" priority="3577">
      <formula>$C25="Rent"</formula>
    </cfRule>
    <cfRule type="expression" dxfId="15663" priority="3578">
      <formula>$C25="Petrol"</formula>
    </cfRule>
    <cfRule type="expression" dxfId="15662" priority="3579">
      <formula>$C25="Bills"</formula>
    </cfRule>
    <cfRule type="expression" dxfId="15661" priority="3580">
      <formula>$C25="Sales"</formula>
    </cfRule>
    <cfRule type="expression" dxfId="15660" priority="3581">
      <formula>$C25="Expences"</formula>
    </cfRule>
    <cfRule type="expression" dxfId="15659" priority="3582">
      <formula>$C25="Garlic Purchase"</formula>
    </cfRule>
    <cfRule type="expression" dxfId="15658" priority="3583">
      <formula>$C25="Ginger Purchase"</formula>
    </cfRule>
  </conditionalFormatting>
  <conditionalFormatting sqref="B25 B27:B29 B31 B33 B35 B37 B40 B43 B46 B48 B50 B52 B54 B56 B58 B60 B62:B64 B66 B68:B69 B71:B72 B75:B76 B78:B79 B81:B82 B84 B86">
    <cfRule type="expression" dxfId="15657" priority="3584">
      <formula>$C25="Advance"</formula>
    </cfRule>
  </conditionalFormatting>
  <conditionalFormatting sqref="B25 B27:B29 B31 B33 B35 B37 B40 B43 B46 B48 B50 B52 B54 B56 B58 B60 B62:B64 B66 B68:B69 B71:B72 B75:B76 B78:B79 B81:B82 B84 B86">
    <cfRule type="expression" dxfId="15656" priority="3565">
      <formula>$C25="Delivery charge"</formula>
    </cfRule>
    <cfRule type="expression" dxfId="15655" priority="3566">
      <formula>$C25="Staff Salary"</formula>
    </cfRule>
    <cfRule type="expression" dxfId="15654" priority="3567">
      <formula>$C25="Rent"</formula>
    </cfRule>
    <cfRule type="expression" dxfId="15653" priority="3568">
      <formula>$C25="Petrol"</formula>
    </cfRule>
    <cfRule type="expression" dxfId="15652" priority="3569">
      <formula>$C25="Bills"</formula>
    </cfRule>
    <cfRule type="expression" dxfId="15651" priority="3570">
      <formula>$C25="Sales"</formula>
    </cfRule>
    <cfRule type="expression" dxfId="15650" priority="3571">
      <formula>$C25="Expences"</formula>
    </cfRule>
    <cfRule type="expression" dxfId="15649" priority="3572">
      <formula>$C25="Garlic Purchase"</formula>
    </cfRule>
    <cfRule type="expression" dxfId="15648" priority="3573">
      <formula>$C25="Ginger Purchase"</formula>
    </cfRule>
  </conditionalFormatting>
  <conditionalFormatting sqref="B25 B27:B29 B31 B33 B35 B37 B40 B43 B46 B48 B50 B52 B54 B56 B58 B60 B62:B64 B66 B68:B69 B71:B72 B75:B76 B78:B79 B81:B82 B84 B86">
    <cfRule type="expression" dxfId="15647" priority="3574">
      <formula>$C25="Advance"</formula>
    </cfRule>
  </conditionalFormatting>
  <conditionalFormatting sqref="B25 B27:B29 B31 B33 B35 B37 B40 B43 B46 B48 B50 B52 B54 B56 B58 B60 B62:B64 B66 B68:B69 B71:B72 B75:B76 B78:B79 B81:B82 B84 B86">
    <cfRule type="expression" dxfId="15646" priority="3555">
      <formula>$C25="Delivery charge"</formula>
    </cfRule>
    <cfRule type="expression" dxfId="15645" priority="3556">
      <formula>$C25="Staff Salary"</formula>
    </cfRule>
    <cfRule type="expression" dxfId="15644" priority="3557">
      <formula>$C25="Rent"</formula>
    </cfRule>
    <cfRule type="expression" dxfId="15643" priority="3558">
      <formula>$C25="Petrol"</formula>
    </cfRule>
    <cfRule type="expression" dxfId="15642" priority="3559">
      <formula>$C25="Bills"</formula>
    </cfRule>
    <cfRule type="expression" dxfId="15641" priority="3560">
      <formula>$C25="Sales"</formula>
    </cfRule>
    <cfRule type="expression" dxfId="15640" priority="3561">
      <formula>$C25="Expences"</formula>
    </cfRule>
    <cfRule type="expression" dxfId="15639" priority="3562">
      <formula>$C25="Garlic Purchase"</formula>
    </cfRule>
    <cfRule type="expression" dxfId="15638" priority="3563">
      <formula>$C25="Ginger Purchase"</formula>
    </cfRule>
  </conditionalFormatting>
  <conditionalFormatting sqref="B25 B27:B29 B31 B33 B35 B37 B40 B43 B46 B48 B50 B52 B54 B56 B58 B60 B62:B64 B66 B68:B69 B71:B72 B75:B76 B78:B79 B81:B82 B84 B86">
    <cfRule type="expression" dxfId="15637" priority="3564">
      <formula>$C25="Advance"</formula>
    </cfRule>
  </conditionalFormatting>
  <conditionalFormatting sqref="B25 B27:B29 B31 B33 B35 B37 B40 B43 B46 B48 B50 B52 B54 B56 B58 B60 B62:B64 B66 B68:B69 B71:B72 B75:B76 B78:B79 B81:B82 B84 B86">
    <cfRule type="expression" dxfId="15636" priority="3545">
      <formula>$C25="Delivery charge"</formula>
    </cfRule>
    <cfRule type="expression" dxfId="15635" priority="3546">
      <formula>$C25="Staff Salary"</formula>
    </cfRule>
    <cfRule type="expression" dxfId="15634" priority="3547">
      <formula>$C25="Rent"</formula>
    </cfRule>
    <cfRule type="expression" dxfId="15633" priority="3548">
      <formula>$C25="Petrol"</formula>
    </cfRule>
    <cfRule type="expression" dxfId="15632" priority="3549">
      <formula>$C25="Bills"</formula>
    </cfRule>
    <cfRule type="expression" dxfId="15631" priority="3550">
      <formula>$C25="Sales"</formula>
    </cfRule>
    <cfRule type="expression" dxfId="15630" priority="3551">
      <formula>$C25="Expences"</formula>
    </cfRule>
    <cfRule type="expression" dxfId="15629" priority="3552">
      <formula>$C25="Garlic Purchase"</formula>
    </cfRule>
    <cfRule type="expression" dxfId="15628" priority="3553">
      <formula>$C25="Ginger Purchase"</formula>
    </cfRule>
  </conditionalFormatting>
  <conditionalFormatting sqref="B25 B27:B29 B31 B33 B35 B37 B40 B43 B46 B48 B50 B52 B54 B56 B58 B60 B62:B64 B66 B68:B69 B71:B72 B75:B76 B78:B79 B81:B82 B84 B86">
    <cfRule type="expression" dxfId="15627" priority="3554">
      <formula>$C25="Advance"</formula>
    </cfRule>
  </conditionalFormatting>
  <conditionalFormatting sqref="B25 B27:B29 B31 B33 B35 B37 B40 B43 B46 B48 B50 B52 B54 B56 B58 B60 B62:B64 B66 B68:B69 B71:B72 B75:B76 B78:B79 B81:B82 B84 B86">
    <cfRule type="expression" dxfId="15626" priority="3535">
      <formula>$C25="Delivery charge"</formula>
    </cfRule>
    <cfRule type="expression" dxfId="15625" priority="3536">
      <formula>$C25="Staff Salary"</formula>
    </cfRule>
    <cfRule type="expression" dxfId="15624" priority="3537">
      <formula>$C25="Rent"</formula>
    </cfRule>
    <cfRule type="expression" dxfId="15623" priority="3538">
      <formula>$C25="Petrol"</formula>
    </cfRule>
    <cfRule type="expression" dxfId="15622" priority="3539">
      <formula>$C25="Bills"</formula>
    </cfRule>
    <cfRule type="expression" dxfId="15621" priority="3540">
      <formula>$C25="Sales"</formula>
    </cfRule>
    <cfRule type="expression" dxfId="15620" priority="3541">
      <formula>$C25="Expences"</formula>
    </cfRule>
    <cfRule type="expression" dxfId="15619" priority="3542">
      <formula>$C25="Garlic Purchase"</formula>
    </cfRule>
    <cfRule type="expression" dxfId="15618" priority="3543">
      <formula>$C25="Ginger Purchase"</formula>
    </cfRule>
  </conditionalFormatting>
  <conditionalFormatting sqref="B25 B27:B29 B31 B33 B35 B37 B40 B43 B46 B48 B50 B52 B54 B56 B58 B60 B62:B64 B66 B68:B69 B71:B72 B75:B76 B78:B79 B81:B82 B84 B86">
    <cfRule type="expression" dxfId="15617" priority="3544">
      <formula>$C25="Advance"</formula>
    </cfRule>
  </conditionalFormatting>
  <conditionalFormatting sqref="B25 B27:B29 B31 B33 B35 B37 B40 B43 B46 B48 B50 B52 B54 B56 B58 B60 B62:B64 B66 B68:B69 B71:B72 B75:B76 B78:B79 B81:B82 B84 B86">
    <cfRule type="expression" dxfId="15616" priority="3525">
      <formula>$C25="Delivery charge"</formula>
    </cfRule>
    <cfRule type="expression" dxfId="15615" priority="3526">
      <formula>$C25="Staff Salary"</formula>
    </cfRule>
    <cfRule type="expression" dxfId="15614" priority="3527">
      <formula>$C25="Rent"</formula>
    </cfRule>
    <cfRule type="expression" dxfId="15613" priority="3528">
      <formula>$C25="Petrol"</formula>
    </cfRule>
    <cfRule type="expression" dxfId="15612" priority="3529">
      <formula>$C25="Bills"</formula>
    </cfRule>
    <cfRule type="expression" dxfId="15611" priority="3530">
      <formula>$C25="Sales"</formula>
    </cfRule>
    <cfRule type="expression" dxfId="15610" priority="3531">
      <formula>$C25="Expences"</formula>
    </cfRule>
    <cfRule type="expression" dxfId="15609" priority="3532">
      <formula>$C25="Garlic Purchase"</formula>
    </cfRule>
    <cfRule type="expression" dxfId="15608" priority="3533">
      <formula>$C25="Ginger Purchase"</formula>
    </cfRule>
  </conditionalFormatting>
  <conditionalFormatting sqref="B25 B27:B29 B31 B33 B35 B37 B40 B43 B46 B48 B50 B52 B54 B56 B58 B60 B62:B64 B66 B68:B69 B71:B72 B75:B76 B78:B79 B81:B82 B84 B86">
    <cfRule type="expression" dxfId="15607" priority="3534">
      <formula>$C25="Advance"</formula>
    </cfRule>
  </conditionalFormatting>
  <conditionalFormatting sqref="B25 B27:B29 B31 B33 B35 B37 B40 B43 B46 B48 B50 B52 B54 B56 B58 B60 B62:B64 B66 B68:B69 B71:B72 B75:B76 B78:B79 B81:B82 B84 B86">
    <cfRule type="expression" dxfId="15606" priority="3515">
      <formula>$C25="Delivery charge"</formula>
    </cfRule>
    <cfRule type="expression" dxfId="15605" priority="3516">
      <formula>$C25="Staff Salary"</formula>
    </cfRule>
    <cfRule type="expression" dxfId="15604" priority="3517">
      <formula>$C25="Rent"</formula>
    </cfRule>
    <cfRule type="expression" dxfId="15603" priority="3518">
      <formula>$C25="Petrol"</formula>
    </cfRule>
    <cfRule type="expression" dxfId="15602" priority="3519">
      <formula>$C25="Bills"</formula>
    </cfRule>
    <cfRule type="expression" dxfId="15601" priority="3520">
      <formula>$C25="Sales"</formula>
    </cfRule>
    <cfRule type="expression" dxfId="15600" priority="3521">
      <formula>$C25="Expences"</formula>
    </cfRule>
    <cfRule type="expression" dxfId="15599" priority="3522">
      <formula>$C25="Garlic Purchase"</formula>
    </cfRule>
    <cfRule type="expression" dxfId="15598" priority="3523">
      <formula>$C25="Ginger Purchase"</formula>
    </cfRule>
  </conditionalFormatting>
  <conditionalFormatting sqref="B25 B27:B29 B31 B33 B35 B37 B40 B43 B46 B48 B50 B52 B54 B56 B58 B60 B62:B64 B66 B68:B69 B71:B72 B75:B76 B78:B79 B81:B82 B84 B86">
    <cfRule type="expression" dxfId="15597" priority="3524">
      <formula>$C25="Advance"</formula>
    </cfRule>
  </conditionalFormatting>
  <conditionalFormatting sqref="B25 B27:B29 B31 B33 B35 B37 B40 B43 B46 B48 B50 B52 B54 B56 B58 B60 B62:B64 B66 B68:B69 B71:B72 B75:B76 B78:B79 B81:B82 B84 B86">
    <cfRule type="expression" dxfId="15596" priority="3505">
      <formula>$C25="Delivery charge"</formula>
    </cfRule>
    <cfRule type="expression" dxfId="15595" priority="3506">
      <formula>$C25="Staff Salary"</formula>
    </cfRule>
    <cfRule type="expression" dxfId="15594" priority="3507">
      <formula>$C25="Rent"</formula>
    </cfRule>
    <cfRule type="expression" dxfId="15593" priority="3508">
      <formula>$C25="Petrol"</formula>
    </cfRule>
    <cfRule type="expression" dxfId="15592" priority="3509">
      <formula>$C25="Bills"</formula>
    </cfRule>
    <cfRule type="expression" dxfId="15591" priority="3510">
      <formula>$C25="Sales"</formula>
    </cfRule>
    <cfRule type="expression" dxfId="15590" priority="3511">
      <formula>$C25="Expences"</formula>
    </cfRule>
    <cfRule type="expression" dxfId="15589" priority="3512">
      <formula>$C25="Garlic Purchase"</formula>
    </cfRule>
    <cfRule type="expression" dxfId="15588" priority="3513">
      <formula>$C25="Ginger Purchase"</formula>
    </cfRule>
  </conditionalFormatting>
  <conditionalFormatting sqref="B25 B27:B29 B31 B33 B35 B37 B40 B43 B46 B48 B50 B52 B54 B56 B58 B60 B62:B64 B66 B68:B69 B71:B72 B75:B76 B78:B79 B81:B82 B84 B86">
    <cfRule type="expression" dxfId="15587" priority="3514">
      <formula>$C25="Advance"</formula>
    </cfRule>
  </conditionalFormatting>
  <conditionalFormatting sqref="B25 B27:B29 B31 B33 B35 B37 B40 B43 B46 B48 B50 B52 B54 B56 B58 B60 B62:B64 B66 B68:B69 B71:B72 B75:B76 B78:B79 B81:B82 B84 B86">
    <cfRule type="expression" dxfId="15586" priority="3495">
      <formula>$C25="Delivery charge"</formula>
    </cfRule>
    <cfRule type="expression" dxfId="15585" priority="3496">
      <formula>$C25="Staff Salary"</formula>
    </cfRule>
    <cfRule type="expression" dxfId="15584" priority="3497">
      <formula>$C25="Rent"</formula>
    </cfRule>
    <cfRule type="expression" dxfId="15583" priority="3498">
      <formula>$C25="Petrol"</formula>
    </cfRule>
    <cfRule type="expression" dxfId="15582" priority="3499">
      <formula>$C25="Bills"</formula>
    </cfRule>
    <cfRule type="expression" dxfId="15581" priority="3500">
      <formula>$C25="Sales"</formula>
    </cfRule>
    <cfRule type="expression" dxfId="15580" priority="3501">
      <formula>$C25="Expences"</formula>
    </cfRule>
    <cfRule type="expression" dxfId="15579" priority="3502">
      <formula>$C25="Garlic Purchase"</formula>
    </cfRule>
    <cfRule type="expression" dxfId="15578" priority="3503">
      <formula>$C25="Ginger Purchase"</formula>
    </cfRule>
  </conditionalFormatting>
  <conditionalFormatting sqref="B25 B27:B29 B31 B33 B35 B37 B40 B43 B46 B48 B50 B52 B54 B56 B58 B60 B62:B64 B66 B68:B69 B71:B72 B75:B76 B78:B79 B81:B82 B84 B86">
    <cfRule type="expression" dxfId="15577" priority="3504">
      <formula>$C25="Advance"</formula>
    </cfRule>
  </conditionalFormatting>
  <conditionalFormatting sqref="B25 B27:B29 B31 B33 B35 B37 B40 B43 B46 B48 B50 B52 B54 B56 B58 B60 B62:B64 B66 B68:B69 B71:B72 B75:B76 B78:B79 B81:B82 B84 B86">
    <cfRule type="expression" dxfId="15576" priority="3485">
      <formula>$C25="Delivery charge"</formula>
    </cfRule>
    <cfRule type="expression" dxfId="15575" priority="3486">
      <formula>$C25="Staff Salary"</formula>
    </cfRule>
    <cfRule type="expression" dxfId="15574" priority="3487">
      <formula>$C25="Rent"</formula>
    </cfRule>
    <cfRule type="expression" dxfId="15573" priority="3488">
      <formula>$C25="Petrol"</formula>
    </cfRule>
    <cfRule type="expression" dxfId="15572" priority="3489">
      <formula>$C25="Bills"</formula>
    </cfRule>
    <cfRule type="expression" dxfId="15571" priority="3490">
      <formula>$C25="Sales"</formula>
    </cfRule>
    <cfRule type="expression" dxfId="15570" priority="3491">
      <formula>$C25="Expences"</formula>
    </cfRule>
    <cfRule type="expression" dxfId="15569" priority="3492">
      <formula>$C25="Garlic Purchase"</formula>
    </cfRule>
    <cfRule type="expression" dxfId="15568" priority="3493">
      <formula>$C25="Ginger Purchase"</formula>
    </cfRule>
  </conditionalFormatting>
  <conditionalFormatting sqref="B25 B27:B29 B31 B33 B35 B37 B40 B43 B46 B48 B50 B52 B54 B56 B58 B60 B62:B64 B66 B68:B69 B71:B72 B75:B76 B78:B79 B81:B82 B84 B86">
    <cfRule type="expression" dxfId="15567" priority="3494">
      <formula>$C25="Advance"</formula>
    </cfRule>
  </conditionalFormatting>
  <conditionalFormatting sqref="B23 B26 B29 B31 B33 B35 B37 B39:B41 B43 B45:B86">
    <cfRule type="expression" dxfId="15566" priority="3484">
      <formula>$C23="Advance"</formula>
    </cfRule>
  </conditionalFormatting>
  <conditionalFormatting sqref="B23 B26 B29 B31 B33 B35 B37 B39:B41 B43 B45:B86">
    <cfRule type="expression" dxfId="15565" priority="3475">
      <formula>$C23="Delivery charge"</formula>
    </cfRule>
    <cfRule type="expression" dxfId="15564" priority="3476">
      <formula>$C23="Staff Salary"</formula>
    </cfRule>
    <cfRule type="expression" dxfId="15563" priority="3477">
      <formula>$C23="Rent"</formula>
    </cfRule>
    <cfRule type="expression" dxfId="15562" priority="3478">
      <formula>$C23="Petrol"</formula>
    </cfRule>
    <cfRule type="expression" dxfId="15561" priority="3479">
      <formula>$C23="Bills"</formula>
    </cfRule>
    <cfRule type="expression" dxfId="15560" priority="3480">
      <formula>$C23="Sales"</formula>
    </cfRule>
    <cfRule type="expression" dxfId="15559" priority="3481">
      <formula>$C23="Expences"</formula>
    </cfRule>
    <cfRule type="expression" dxfId="15558" priority="3482">
      <formula>$C23="Garlic Purchase"</formula>
    </cfRule>
    <cfRule type="expression" dxfId="15557" priority="3483">
      <formula>$C23="Ginger Purchase"</formula>
    </cfRule>
  </conditionalFormatting>
  <conditionalFormatting sqref="B24 B26:B28 B30 B32 B34 B36 B38:B42 B44:B86">
    <cfRule type="expression" dxfId="15556" priority="3465">
      <formula>$C24="Delivery charge"</formula>
    </cfRule>
    <cfRule type="expression" dxfId="15555" priority="3466">
      <formula>$C24="Staff Salary"</formula>
    </cfRule>
    <cfRule type="expression" dxfId="15554" priority="3467">
      <formula>$C24="Rent"</formula>
    </cfRule>
    <cfRule type="expression" dxfId="15553" priority="3468">
      <formula>$C24="Petrol"</formula>
    </cfRule>
    <cfRule type="expression" dxfId="15552" priority="3469">
      <formula>$C24="Bills"</formula>
    </cfRule>
    <cfRule type="expression" dxfId="15551" priority="3470">
      <formula>$C24="Sales"</formula>
    </cfRule>
    <cfRule type="expression" dxfId="15550" priority="3471">
      <formula>$C24="Expences"</formula>
    </cfRule>
    <cfRule type="expression" dxfId="15549" priority="3472">
      <formula>$C24="Garlic Purchase"</formula>
    </cfRule>
    <cfRule type="expression" dxfId="15548" priority="3473">
      <formula>$C24="Ginger Purchase"</formula>
    </cfRule>
  </conditionalFormatting>
  <conditionalFormatting sqref="B24 B26:B28 B30 B32 B34 B36 B38:B42 B44:B86">
    <cfRule type="expression" dxfId="15547" priority="3474">
      <formula>$C24="Advance"</formula>
    </cfRule>
  </conditionalFormatting>
  <conditionalFormatting sqref="B24 B26:B28 B30 B32 B34 B36 B38:B42 B44:B86">
    <cfRule type="expression" dxfId="15546" priority="3455">
      <formula>$C24="Delivery charge"</formula>
    </cfRule>
    <cfRule type="expression" dxfId="15545" priority="3456">
      <formula>$C24="Staff Salary"</formula>
    </cfRule>
    <cfRule type="expression" dxfId="15544" priority="3457">
      <formula>$C24="Rent"</formula>
    </cfRule>
    <cfRule type="expression" dxfId="15543" priority="3458">
      <formula>$C24="Petrol"</formula>
    </cfRule>
    <cfRule type="expression" dxfId="15542" priority="3459">
      <formula>$C24="Bills"</formula>
    </cfRule>
    <cfRule type="expression" dxfId="15541" priority="3460">
      <formula>$C24="Sales"</formula>
    </cfRule>
    <cfRule type="expression" dxfId="15540" priority="3461">
      <formula>$C24="Expences"</formula>
    </cfRule>
    <cfRule type="expression" dxfId="15539" priority="3462">
      <formula>$C24="Garlic Purchase"</formula>
    </cfRule>
    <cfRule type="expression" dxfId="15538" priority="3463">
      <formula>$C24="Ginger Purchase"</formula>
    </cfRule>
  </conditionalFormatting>
  <conditionalFormatting sqref="B24 B26:B28 B30 B32 B34 B36 B38:B42 B44:B86">
    <cfRule type="expression" dxfId="15537" priority="3464">
      <formula>$C24="Advance"</formula>
    </cfRule>
  </conditionalFormatting>
  <conditionalFormatting sqref="B24 B26:B28 B30 B32 B34 B36 B38:B42 B44:B86">
    <cfRule type="expression" dxfId="15536" priority="3445">
      <formula>$C24="Delivery charge"</formula>
    </cfRule>
    <cfRule type="expression" dxfId="15535" priority="3446">
      <formula>$C24="Staff Salary"</formula>
    </cfRule>
    <cfRule type="expression" dxfId="15534" priority="3447">
      <formula>$C24="Rent"</formula>
    </cfRule>
    <cfRule type="expression" dxfId="15533" priority="3448">
      <formula>$C24="Petrol"</formula>
    </cfRule>
    <cfRule type="expression" dxfId="15532" priority="3449">
      <formula>$C24="Bills"</formula>
    </cfRule>
    <cfRule type="expression" dxfId="15531" priority="3450">
      <formula>$C24="Sales"</formula>
    </cfRule>
    <cfRule type="expression" dxfId="15530" priority="3451">
      <formula>$C24="Expences"</formula>
    </cfRule>
    <cfRule type="expression" dxfId="15529" priority="3452">
      <formula>$C24="Garlic Purchase"</formula>
    </cfRule>
    <cfRule type="expression" dxfId="15528" priority="3453">
      <formula>$C24="Ginger Purchase"</formula>
    </cfRule>
  </conditionalFormatting>
  <conditionalFormatting sqref="B24 B26:B28 B30 B32 B34 B36 B38:B42 B44:B86">
    <cfRule type="expression" dxfId="15527" priority="3454">
      <formula>$C24="Advance"</formula>
    </cfRule>
  </conditionalFormatting>
  <conditionalFormatting sqref="B24 B26:B28 B30 B32 B34 B36 B38:B42 B44:B86">
    <cfRule type="expression" dxfId="15526" priority="3435">
      <formula>$C24="Delivery charge"</formula>
    </cfRule>
    <cfRule type="expression" dxfId="15525" priority="3436">
      <formula>$C24="Staff Salary"</formula>
    </cfRule>
    <cfRule type="expression" dxfId="15524" priority="3437">
      <formula>$C24="Rent"</formula>
    </cfRule>
    <cfRule type="expression" dxfId="15523" priority="3438">
      <formula>$C24="Petrol"</formula>
    </cfRule>
    <cfRule type="expression" dxfId="15522" priority="3439">
      <formula>$C24="Bills"</formula>
    </cfRule>
    <cfRule type="expression" dxfId="15521" priority="3440">
      <formula>$C24="Sales"</formula>
    </cfRule>
    <cfRule type="expression" dxfId="15520" priority="3441">
      <formula>$C24="Expences"</formula>
    </cfRule>
    <cfRule type="expression" dxfId="15519" priority="3442">
      <formula>$C24="Garlic Purchase"</formula>
    </cfRule>
    <cfRule type="expression" dxfId="15518" priority="3443">
      <formula>$C24="Ginger Purchase"</formula>
    </cfRule>
  </conditionalFormatting>
  <conditionalFormatting sqref="B24 B26:B28 B30 B32 B34 B36 B38:B42 B44:B86">
    <cfRule type="expression" dxfId="15517" priority="3444">
      <formula>$C24="Advance"</formula>
    </cfRule>
  </conditionalFormatting>
  <conditionalFormatting sqref="B24 B26:B28 B30 B32 B34 B36 B38:B42 B44:B86">
    <cfRule type="expression" dxfId="15516" priority="3425">
      <formula>$C24="Delivery charge"</formula>
    </cfRule>
    <cfRule type="expression" dxfId="15515" priority="3426">
      <formula>$C24="Staff Salary"</formula>
    </cfRule>
    <cfRule type="expression" dxfId="15514" priority="3427">
      <formula>$C24="Rent"</formula>
    </cfRule>
    <cfRule type="expression" dxfId="15513" priority="3428">
      <formula>$C24="Petrol"</formula>
    </cfRule>
    <cfRule type="expression" dxfId="15512" priority="3429">
      <formula>$C24="Bills"</formula>
    </cfRule>
    <cfRule type="expression" dxfId="15511" priority="3430">
      <formula>$C24="Sales"</formula>
    </cfRule>
    <cfRule type="expression" dxfId="15510" priority="3431">
      <formula>$C24="Expences"</formula>
    </cfRule>
    <cfRule type="expression" dxfId="15509" priority="3432">
      <formula>$C24="Garlic Purchase"</formula>
    </cfRule>
    <cfRule type="expression" dxfId="15508" priority="3433">
      <formula>$C24="Ginger Purchase"</formula>
    </cfRule>
  </conditionalFormatting>
  <conditionalFormatting sqref="B24 B26:B28 B30 B32 B34 B36 B38:B42 B44:B86">
    <cfRule type="expression" dxfId="15507" priority="3434">
      <formula>$C24="Advance"</formula>
    </cfRule>
  </conditionalFormatting>
  <conditionalFormatting sqref="B24 B26:B28 B30 B32 B34 B36 B38:B42 B44:B86">
    <cfRule type="expression" dxfId="15506" priority="3415">
      <formula>$C24="Delivery charge"</formula>
    </cfRule>
    <cfRule type="expression" dxfId="15505" priority="3416">
      <formula>$C24="Staff Salary"</formula>
    </cfRule>
    <cfRule type="expression" dxfId="15504" priority="3417">
      <formula>$C24="Rent"</formula>
    </cfRule>
    <cfRule type="expression" dxfId="15503" priority="3418">
      <formula>$C24="Petrol"</formula>
    </cfRule>
    <cfRule type="expression" dxfId="15502" priority="3419">
      <formula>$C24="Bills"</formula>
    </cfRule>
    <cfRule type="expression" dxfId="15501" priority="3420">
      <formula>$C24="Sales"</formula>
    </cfRule>
    <cfRule type="expression" dxfId="15500" priority="3421">
      <formula>$C24="Expences"</formula>
    </cfRule>
    <cfRule type="expression" dxfId="15499" priority="3422">
      <formula>$C24="Garlic Purchase"</formula>
    </cfRule>
    <cfRule type="expression" dxfId="15498" priority="3423">
      <formula>$C24="Ginger Purchase"</formula>
    </cfRule>
  </conditionalFormatting>
  <conditionalFormatting sqref="B24 B26:B28 B30 B32 B34 B36 B38:B42 B44:B86">
    <cfRule type="expression" dxfId="15497" priority="3424">
      <formula>$C24="Advance"</formula>
    </cfRule>
  </conditionalFormatting>
  <conditionalFormatting sqref="B24 B26:B28 B30 B32 B34 B36 B38:B42 B44:B86">
    <cfRule type="expression" dxfId="15496" priority="3405">
      <formula>$C24="Delivery charge"</formula>
    </cfRule>
    <cfRule type="expression" dxfId="15495" priority="3406">
      <formula>$C24="Staff Salary"</formula>
    </cfRule>
    <cfRule type="expression" dxfId="15494" priority="3407">
      <formula>$C24="Rent"</formula>
    </cfRule>
    <cfRule type="expression" dxfId="15493" priority="3408">
      <formula>$C24="Petrol"</formula>
    </cfRule>
    <cfRule type="expression" dxfId="15492" priority="3409">
      <formula>$C24="Bills"</formula>
    </cfRule>
    <cfRule type="expression" dxfId="15491" priority="3410">
      <formula>$C24="Sales"</formula>
    </cfRule>
    <cfRule type="expression" dxfId="15490" priority="3411">
      <formula>$C24="Expences"</formula>
    </cfRule>
    <cfRule type="expression" dxfId="15489" priority="3412">
      <formula>$C24="Garlic Purchase"</formula>
    </cfRule>
    <cfRule type="expression" dxfId="15488" priority="3413">
      <formula>$C24="Ginger Purchase"</formula>
    </cfRule>
  </conditionalFormatting>
  <conditionalFormatting sqref="B24 B26:B28 B30 B32 B34 B36 B38:B42 B44:B86">
    <cfRule type="expression" dxfId="15487" priority="3414">
      <formula>$C24="Advance"</formula>
    </cfRule>
  </conditionalFormatting>
  <conditionalFormatting sqref="B24 B26:B28 B30 B32 B34 B36 B38:B42 B44:B86">
    <cfRule type="expression" dxfId="15486" priority="3395">
      <formula>$C24="Delivery charge"</formula>
    </cfRule>
    <cfRule type="expression" dxfId="15485" priority="3396">
      <formula>$C24="Staff Salary"</formula>
    </cfRule>
    <cfRule type="expression" dxfId="15484" priority="3397">
      <formula>$C24="Rent"</formula>
    </cfRule>
    <cfRule type="expression" dxfId="15483" priority="3398">
      <formula>$C24="Petrol"</formula>
    </cfRule>
    <cfRule type="expression" dxfId="15482" priority="3399">
      <formula>$C24="Bills"</formula>
    </cfRule>
    <cfRule type="expression" dxfId="15481" priority="3400">
      <formula>$C24="Sales"</formula>
    </cfRule>
    <cfRule type="expression" dxfId="15480" priority="3401">
      <formula>$C24="Expences"</formula>
    </cfRule>
    <cfRule type="expression" dxfId="15479" priority="3402">
      <formula>$C24="Garlic Purchase"</formula>
    </cfRule>
    <cfRule type="expression" dxfId="15478" priority="3403">
      <formula>$C24="Ginger Purchase"</formula>
    </cfRule>
  </conditionalFormatting>
  <conditionalFormatting sqref="B24 B26:B28 B30 B32 B34 B36 B38:B42 B44:B86">
    <cfRule type="expression" dxfId="15477" priority="3404">
      <formula>$C24="Advance"</formula>
    </cfRule>
  </conditionalFormatting>
  <conditionalFormatting sqref="B24 B26:B28 B30 B32 B34 B36 B38:B42 B44:B86">
    <cfRule type="expression" dxfId="15476" priority="3385">
      <formula>$C24="Delivery charge"</formula>
    </cfRule>
    <cfRule type="expression" dxfId="15475" priority="3386">
      <formula>$C24="Staff Salary"</formula>
    </cfRule>
    <cfRule type="expression" dxfId="15474" priority="3387">
      <formula>$C24="Rent"</formula>
    </cfRule>
    <cfRule type="expression" dxfId="15473" priority="3388">
      <formula>$C24="Petrol"</formula>
    </cfRule>
    <cfRule type="expression" dxfId="15472" priority="3389">
      <formula>$C24="Bills"</formula>
    </cfRule>
    <cfRule type="expression" dxfId="15471" priority="3390">
      <formula>$C24="Sales"</formula>
    </cfRule>
    <cfRule type="expression" dxfId="15470" priority="3391">
      <formula>$C24="Expences"</formula>
    </cfRule>
    <cfRule type="expression" dxfId="15469" priority="3392">
      <formula>$C24="Garlic Purchase"</formula>
    </cfRule>
    <cfRule type="expression" dxfId="15468" priority="3393">
      <formula>$C24="Ginger Purchase"</formula>
    </cfRule>
  </conditionalFormatting>
  <conditionalFormatting sqref="B24 B26:B28 B30 B32 B34 B36 B38:B42 B44:B86">
    <cfRule type="expression" dxfId="15467" priority="3394">
      <formula>$C24="Advance"</formula>
    </cfRule>
  </conditionalFormatting>
  <conditionalFormatting sqref="B24 B26:B28 B30 B32 B34 B36 B38:B42 B44:B86">
    <cfRule type="expression" dxfId="15466" priority="3375">
      <formula>$C24="Delivery charge"</formula>
    </cfRule>
    <cfRule type="expression" dxfId="15465" priority="3376">
      <formula>$C24="Staff Salary"</formula>
    </cfRule>
    <cfRule type="expression" dxfId="15464" priority="3377">
      <formula>$C24="Rent"</formula>
    </cfRule>
    <cfRule type="expression" dxfId="15463" priority="3378">
      <formula>$C24="Petrol"</formula>
    </cfRule>
    <cfRule type="expression" dxfId="15462" priority="3379">
      <formula>$C24="Bills"</formula>
    </cfRule>
    <cfRule type="expression" dxfId="15461" priority="3380">
      <formula>$C24="Sales"</formula>
    </cfRule>
    <cfRule type="expression" dxfId="15460" priority="3381">
      <formula>$C24="Expences"</formula>
    </cfRule>
    <cfRule type="expression" dxfId="15459" priority="3382">
      <formula>$C24="Garlic Purchase"</formula>
    </cfRule>
    <cfRule type="expression" dxfId="15458" priority="3383">
      <formula>$C24="Ginger Purchase"</formula>
    </cfRule>
  </conditionalFormatting>
  <conditionalFormatting sqref="B24 B26:B28 B30 B32 B34 B36 B38:B42 B44:B86">
    <cfRule type="expression" dxfId="15457" priority="3384">
      <formula>$C24="Advance"</formula>
    </cfRule>
  </conditionalFormatting>
  <conditionalFormatting sqref="B24 B26:B28 B30 B32 B34 B36 B38:B42 B44:B86">
    <cfRule type="expression" dxfId="15456" priority="3365">
      <formula>$C24="Delivery charge"</formula>
    </cfRule>
    <cfRule type="expression" dxfId="15455" priority="3366">
      <formula>$C24="Staff Salary"</formula>
    </cfRule>
    <cfRule type="expression" dxfId="15454" priority="3367">
      <formula>$C24="Rent"</formula>
    </cfRule>
    <cfRule type="expression" dxfId="15453" priority="3368">
      <formula>$C24="Petrol"</formula>
    </cfRule>
    <cfRule type="expression" dxfId="15452" priority="3369">
      <formula>$C24="Bills"</formula>
    </cfRule>
    <cfRule type="expression" dxfId="15451" priority="3370">
      <formula>$C24="Sales"</formula>
    </cfRule>
    <cfRule type="expression" dxfId="15450" priority="3371">
      <formula>$C24="Expences"</formula>
    </cfRule>
    <cfRule type="expression" dxfId="15449" priority="3372">
      <formula>$C24="Garlic Purchase"</formula>
    </cfRule>
    <cfRule type="expression" dxfId="15448" priority="3373">
      <formula>$C24="Ginger Purchase"</formula>
    </cfRule>
  </conditionalFormatting>
  <conditionalFormatting sqref="B24 B26:B28 B30 B32 B34 B36 B38:B42 B44:B86">
    <cfRule type="expression" dxfId="15447" priority="3374">
      <formula>$C24="Advance"</formula>
    </cfRule>
  </conditionalFormatting>
  <conditionalFormatting sqref="B25 B27:B29 B31 B33 B35 B37 B40 B43 B46 B48 B50 B52 B54 B56 B58 B60 B62:B64 B66 B68:B69 B71:B72 B75:B76 B78:B79 B81:B82 B84 B86">
    <cfRule type="expression" dxfId="15446" priority="3364">
      <formula>$C25="Advance"</formula>
    </cfRule>
  </conditionalFormatting>
  <conditionalFormatting sqref="B25 B27:B29 B31 B33 B35 B37 B40 B43 B46 B48 B50 B52 B54 B56 B58 B60 B62:B64 B66 B68:B69 B71:B72 B75:B76 B78:B79 B81:B82 B84 B86">
    <cfRule type="expression" dxfId="15445" priority="3355">
      <formula>$C25="Delivery charge"</formula>
    </cfRule>
    <cfRule type="expression" dxfId="15444" priority="3356">
      <formula>$C25="Staff Salary"</formula>
    </cfRule>
    <cfRule type="expression" dxfId="15443" priority="3357">
      <formula>$C25="Rent"</formula>
    </cfRule>
    <cfRule type="expression" dxfId="15442" priority="3358">
      <formula>$C25="Petrol"</formula>
    </cfRule>
    <cfRule type="expression" dxfId="15441" priority="3359">
      <formula>$C25="Bills"</formula>
    </cfRule>
    <cfRule type="expression" dxfId="15440" priority="3360">
      <formula>$C25="Sales"</formula>
    </cfRule>
    <cfRule type="expression" dxfId="15439" priority="3361">
      <formula>$C25="Expences"</formula>
    </cfRule>
    <cfRule type="expression" dxfId="15438" priority="3362">
      <formula>$C25="Garlic Purchase"</formula>
    </cfRule>
    <cfRule type="expression" dxfId="15437" priority="3363">
      <formula>$C25="Ginger Purchase"</formula>
    </cfRule>
  </conditionalFormatting>
  <conditionalFormatting sqref="B23 B26 B29 B31 B33 B35 B37 B39:B41 B43 B45:B86">
    <cfRule type="expression" dxfId="15436" priority="3345">
      <formula>$C23="Delivery charge"</formula>
    </cfRule>
    <cfRule type="expression" dxfId="15435" priority="3346">
      <formula>$C23="Staff Salary"</formula>
    </cfRule>
    <cfRule type="expression" dxfId="15434" priority="3347">
      <formula>$C23="Rent"</formula>
    </cfRule>
    <cfRule type="expression" dxfId="15433" priority="3348">
      <formula>$C23="Petrol"</formula>
    </cfRule>
    <cfRule type="expression" dxfId="15432" priority="3349">
      <formula>$C23="Bills"</formula>
    </cfRule>
    <cfRule type="expression" dxfId="15431" priority="3350">
      <formula>$C23="Sales"</formula>
    </cfRule>
    <cfRule type="expression" dxfId="15430" priority="3351">
      <formula>$C23="Expences"</formula>
    </cfRule>
    <cfRule type="expression" dxfId="15429" priority="3352">
      <formula>$C23="Garlic Purchase"</formula>
    </cfRule>
    <cfRule type="expression" dxfId="15428" priority="3353">
      <formula>$C23="Ginger Purchase"</formula>
    </cfRule>
  </conditionalFormatting>
  <conditionalFormatting sqref="B23 B26 B29 B31 B33 B35 B37 B39:B41 B43 B45:B86">
    <cfRule type="expression" dxfId="15427" priority="3354">
      <formula>$C23="Advance"</formula>
    </cfRule>
  </conditionalFormatting>
  <conditionalFormatting sqref="B24 B26:B28 B30 B32 B34 B36 B38:B42 B44:B86">
    <cfRule type="expression" dxfId="15426" priority="3335">
      <formula>$C24="Delivery charge"</formula>
    </cfRule>
    <cfRule type="expression" dxfId="15425" priority="3336">
      <formula>$C24="Staff Salary"</formula>
    </cfRule>
    <cfRule type="expression" dxfId="15424" priority="3337">
      <formula>$C24="Rent"</formula>
    </cfRule>
    <cfRule type="expression" dxfId="15423" priority="3338">
      <formula>$C24="Petrol"</formula>
    </cfRule>
    <cfRule type="expression" dxfId="15422" priority="3339">
      <formula>$C24="Bills"</formula>
    </cfRule>
    <cfRule type="expression" dxfId="15421" priority="3340">
      <formula>$C24="Sales"</formula>
    </cfRule>
    <cfRule type="expression" dxfId="15420" priority="3341">
      <formula>$C24="Expences"</formula>
    </cfRule>
    <cfRule type="expression" dxfId="15419" priority="3342">
      <formula>$C24="Garlic Purchase"</formula>
    </cfRule>
    <cfRule type="expression" dxfId="15418" priority="3343">
      <formula>$C24="Ginger Purchase"</formula>
    </cfRule>
  </conditionalFormatting>
  <conditionalFormatting sqref="B24 B26:B28 B30 B32 B34 B36 B38:B42 B44:B86">
    <cfRule type="expression" dxfId="15417" priority="3344">
      <formula>$C24="Advance"</formula>
    </cfRule>
  </conditionalFormatting>
  <conditionalFormatting sqref="B24 B26:B28 B30 B32 B34 B36 B38:B42 B44:B86">
    <cfRule type="expression" dxfId="15416" priority="3325">
      <formula>$C24="Delivery charge"</formula>
    </cfRule>
    <cfRule type="expression" dxfId="15415" priority="3326">
      <formula>$C24="Staff Salary"</formula>
    </cfRule>
    <cfRule type="expression" dxfId="15414" priority="3327">
      <formula>$C24="Rent"</formula>
    </cfRule>
    <cfRule type="expression" dxfId="15413" priority="3328">
      <formula>$C24="Petrol"</formula>
    </cfRule>
    <cfRule type="expression" dxfId="15412" priority="3329">
      <formula>$C24="Bills"</formula>
    </cfRule>
    <cfRule type="expression" dxfId="15411" priority="3330">
      <formula>$C24="Sales"</formula>
    </cfRule>
    <cfRule type="expression" dxfId="15410" priority="3331">
      <formula>$C24="Expences"</formula>
    </cfRule>
    <cfRule type="expression" dxfId="15409" priority="3332">
      <formula>$C24="Garlic Purchase"</formula>
    </cfRule>
    <cfRule type="expression" dxfId="15408" priority="3333">
      <formula>$C24="Ginger Purchase"</formula>
    </cfRule>
  </conditionalFormatting>
  <conditionalFormatting sqref="B24 B26:B28 B30 B32 B34 B36 B38:B42 B44:B86">
    <cfRule type="expression" dxfId="15407" priority="3334">
      <formula>$C24="Advance"</formula>
    </cfRule>
  </conditionalFormatting>
  <conditionalFormatting sqref="B24 B26:B28 B30 B32 B34 B36 B38:B42 B44:B86">
    <cfRule type="expression" dxfId="15406" priority="3315">
      <formula>$C24="Delivery charge"</formula>
    </cfRule>
    <cfRule type="expression" dxfId="15405" priority="3316">
      <formula>$C24="Staff Salary"</formula>
    </cfRule>
    <cfRule type="expression" dxfId="15404" priority="3317">
      <formula>$C24="Rent"</formula>
    </cfRule>
    <cfRule type="expression" dxfId="15403" priority="3318">
      <formula>$C24="Petrol"</formula>
    </cfRule>
    <cfRule type="expression" dxfId="15402" priority="3319">
      <formula>$C24="Bills"</formula>
    </cfRule>
    <cfRule type="expression" dxfId="15401" priority="3320">
      <formula>$C24="Sales"</formula>
    </cfRule>
    <cfRule type="expression" dxfId="15400" priority="3321">
      <formula>$C24="Expences"</formula>
    </cfRule>
    <cfRule type="expression" dxfId="15399" priority="3322">
      <formula>$C24="Garlic Purchase"</formula>
    </cfRule>
    <cfRule type="expression" dxfId="15398" priority="3323">
      <formula>$C24="Ginger Purchase"</formula>
    </cfRule>
  </conditionalFormatting>
  <conditionalFormatting sqref="B24 B26:B28 B30 B32 B34 B36 B38:B42 B44:B86">
    <cfRule type="expression" dxfId="15397" priority="3324">
      <formula>$C24="Advance"</formula>
    </cfRule>
  </conditionalFormatting>
  <conditionalFormatting sqref="B24 B26:B28 B30 B32 B34 B36 B38:B42 B44:B86">
    <cfRule type="expression" dxfId="15396" priority="3305">
      <formula>$C24="Delivery charge"</formula>
    </cfRule>
    <cfRule type="expression" dxfId="15395" priority="3306">
      <formula>$C24="Staff Salary"</formula>
    </cfRule>
    <cfRule type="expression" dxfId="15394" priority="3307">
      <formula>$C24="Rent"</formula>
    </cfRule>
    <cfRule type="expression" dxfId="15393" priority="3308">
      <formula>$C24="Petrol"</formula>
    </cfRule>
    <cfRule type="expression" dxfId="15392" priority="3309">
      <formula>$C24="Bills"</formula>
    </cfRule>
    <cfRule type="expression" dxfId="15391" priority="3310">
      <formula>$C24="Sales"</formula>
    </cfRule>
    <cfRule type="expression" dxfId="15390" priority="3311">
      <formula>$C24="Expences"</formula>
    </cfRule>
    <cfRule type="expression" dxfId="15389" priority="3312">
      <formula>$C24="Garlic Purchase"</formula>
    </cfRule>
    <cfRule type="expression" dxfId="15388" priority="3313">
      <formula>$C24="Ginger Purchase"</formula>
    </cfRule>
  </conditionalFormatting>
  <conditionalFormatting sqref="B24 B26:B28 B30 B32 B34 B36 B38:B42 B44:B86">
    <cfRule type="expression" dxfId="15387" priority="3314">
      <formula>$C24="Advance"</formula>
    </cfRule>
  </conditionalFormatting>
  <conditionalFormatting sqref="B23 B26 B29 B31 B33 B35 B37 B39:B41 B43 B45:B86">
    <cfRule type="expression" dxfId="15386" priority="3295">
      <formula>$C23="Delivery charge"</formula>
    </cfRule>
    <cfRule type="expression" dxfId="15385" priority="3296">
      <formula>$C23="Staff Salary"</formula>
    </cfRule>
    <cfRule type="expression" dxfId="15384" priority="3297">
      <formula>$C23="Rent"</formula>
    </cfRule>
    <cfRule type="expression" dxfId="15383" priority="3298">
      <formula>$C23="Petrol"</formula>
    </cfRule>
    <cfRule type="expression" dxfId="15382" priority="3299">
      <formula>$C23="Bills"</formula>
    </cfRule>
    <cfRule type="expression" dxfId="15381" priority="3300">
      <formula>$C23="Sales"</formula>
    </cfRule>
    <cfRule type="expression" dxfId="15380" priority="3301">
      <formula>$C23="Expences"</formula>
    </cfRule>
    <cfRule type="expression" dxfId="15379" priority="3302">
      <formula>$C23="Garlic Purchase"</formula>
    </cfRule>
    <cfRule type="expression" dxfId="15378" priority="3303">
      <formula>$C23="Ginger Purchase"</formula>
    </cfRule>
  </conditionalFormatting>
  <conditionalFormatting sqref="B23 B26 B29 B31 B33 B35 B37 B39:B41 B43 B45:B86">
    <cfRule type="expression" dxfId="15377" priority="3304">
      <formula>$C23="Advance"</formula>
    </cfRule>
  </conditionalFormatting>
  <conditionalFormatting sqref="B23 B26 B29 B31 B33 B35 B37 B39:B41 B43 B45:B86">
    <cfRule type="expression" dxfId="15376" priority="3285">
      <formula>$C23="Delivery charge"</formula>
    </cfRule>
    <cfRule type="expression" dxfId="15375" priority="3286">
      <formula>$C23="Staff Salary"</formula>
    </cfRule>
    <cfRule type="expression" dxfId="15374" priority="3287">
      <formula>$C23="Rent"</formula>
    </cfRule>
    <cfRule type="expression" dxfId="15373" priority="3288">
      <formula>$C23="Petrol"</formula>
    </cfRule>
    <cfRule type="expression" dxfId="15372" priority="3289">
      <formula>$C23="Bills"</formula>
    </cfRule>
    <cfRule type="expression" dxfId="15371" priority="3290">
      <formula>$C23="Sales"</formula>
    </cfRule>
    <cfRule type="expression" dxfId="15370" priority="3291">
      <formula>$C23="Expences"</formula>
    </cfRule>
    <cfRule type="expression" dxfId="15369" priority="3292">
      <formula>$C23="Garlic Purchase"</formula>
    </cfRule>
    <cfRule type="expression" dxfId="15368" priority="3293">
      <formula>$C23="Ginger Purchase"</formula>
    </cfRule>
  </conditionalFormatting>
  <conditionalFormatting sqref="B23 B26 B29 B31 B33 B35 B37 B39:B41 B43 B45:B86">
    <cfRule type="expression" dxfId="15367" priority="3294">
      <formula>$C23="Advance"</formula>
    </cfRule>
  </conditionalFormatting>
  <conditionalFormatting sqref="B23 B26 B29 B31 B33 B35 B37 B39:B41 B43 B45:B86">
    <cfRule type="expression" dxfId="15366" priority="3275">
      <formula>$C23="Delivery charge"</formula>
    </cfRule>
    <cfRule type="expression" dxfId="15365" priority="3276">
      <formula>$C23="Staff Salary"</formula>
    </cfRule>
    <cfRule type="expression" dxfId="15364" priority="3277">
      <formula>$C23="Rent"</formula>
    </cfRule>
    <cfRule type="expression" dxfId="15363" priority="3278">
      <formula>$C23="Petrol"</formula>
    </cfRule>
    <cfRule type="expression" dxfId="15362" priority="3279">
      <formula>$C23="Bills"</formula>
    </cfRule>
    <cfRule type="expression" dxfId="15361" priority="3280">
      <formula>$C23="Sales"</formula>
    </cfRule>
    <cfRule type="expression" dxfId="15360" priority="3281">
      <formula>$C23="Expences"</formula>
    </cfRule>
    <cfRule type="expression" dxfId="15359" priority="3282">
      <formula>$C23="Garlic Purchase"</formula>
    </cfRule>
    <cfRule type="expression" dxfId="15358" priority="3283">
      <formula>$C23="Ginger Purchase"</formula>
    </cfRule>
  </conditionalFormatting>
  <conditionalFormatting sqref="B23 B26 B29 B31 B33 B35 B37 B39:B41 B43 B45:B86">
    <cfRule type="expression" dxfId="15357" priority="3284">
      <formula>$C23="Advance"</formula>
    </cfRule>
  </conditionalFormatting>
  <conditionalFormatting sqref="B23 B26 B29 B31 B33 B35 B37 B39:B41 B43 B45:B86">
    <cfRule type="expression" dxfId="15356" priority="3265">
      <formula>$C23="Delivery charge"</formula>
    </cfRule>
    <cfRule type="expression" dxfId="15355" priority="3266">
      <formula>$C23="Staff Salary"</formula>
    </cfRule>
    <cfRule type="expression" dxfId="15354" priority="3267">
      <formula>$C23="Rent"</formula>
    </cfRule>
    <cfRule type="expression" dxfId="15353" priority="3268">
      <formula>$C23="Petrol"</formula>
    </cfRule>
    <cfRule type="expression" dxfId="15352" priority="3269">
      <formula>$C23="Bills"</formula>
    </cfRule>
    <cfRule type="expression" dxfId="15351" priority="3270">
      <formula>$C23="Sales"</formula>
    </cfRule>
    <cfRule type="expression" dxfId="15350" priority="3271">
      <formula>$C23="Expences"</formula>
    </cfRule>
    <cfRule type="expression" dxfId="15349" priority="3272">
      <formula>$C23="Garlic Purchase"</formula>
    </cfRule>
    <cfRule type="expression" dxfId="15348" priority="3273">
      <formula>$C23="Ginger Purchase"</formula>
    </cfRule>
  </conditionalFormatting>
  <conditionalFormatting sqref="B23 B26 B29 B31 B33 B35 B37 B39:B41 B43 B45:B86">
    <cfRule type="expression" dxfId="15347" priority="3274">
      <formula>$C23="Advance"</formula>
    </cfRule>
  </conditionalFormatting>
  <conditionalFormatting sqref="B24 B26:B28 B30 B32 B34 B36 B38:B42 B44:B86">
    <cfRule type="expression" dxfId="15346" priority="3255">
      <formula>$C24="Delivery charge"</formula>
    </cfRule>
    <cfRule type="expression" dxfId="15345" priority="3256">
      <formula>$C24="Staff Salary"</formula>
    </cfRule>
    <cfRule type="expression" dxfId="15344" priority="3257">
      <formula>$C24="Rent"</formula>
    </cfRule>
    <cfRule type="expression" dxfId="15343" priority="3258">
      <formula>$C24="Petrol"</formula>
    </cfRule>
    <cfRule type="expression" dxfId="15342" priority="3259">
      <formula>$C24="Bills"</formula>
    </cfRule>
    <cfRule type="expression" dxfId="15341" priority="3260">
      <formula>$C24="Sales"</formula>
    </cfRule>
    <cfRule type="expression" dxfId="15340" priority="3261">
      <formula>$C24="Expences"</formula>
    </cfRule>
    <cfRule type="expression" dxfId="15339" priority="3262">
      <formula>$C24="Garlic Purchase"</formula>
    </cfRule>
    <cfRule type="expression" dxfId="15338" priority="3263">
      <formula>$C24="Ginger Purchase"</formula>
    </cfRule>
  </conditionalFormatting>
  <conditionalFormatting sqref="B24 B26:B28 B30 B32 B34 B36 B38:B42 B44:B86">
    <cfRule type="expression" dxfId="15337" priority="3264">
      <formula>$C24="Advance"</formula>
    </cfRule>
  </conditionalFormatting>
  <conditionalFormatting sqref="B23 B26 B29 B31 B33 B35 B37 B39:B41 B43 B45:B86">
    <cfRule type="expression" dxfId="15336" priority="3245">
      <formula>$C23="Delivery charge"</formula>
    </cfRule>
    <cfRule type="expression" dxfId="15335" priority="3246">
      <formula>$C23="Staff Salary"</formula>
    </cfRule>
    <cfRule type="expression" dxfId="15334" priority="3247">
      <formula>$C23="Rent"</formula>
    </cfRule>
    <cfRule type="expression" dxfId="15333" priority="3248">
      <formula>$C23="Petrol"</formula>
    </cfRule>
    <cfRule type="expression" dxfId="15332" priority="3249">
      <formula>$C23="Bills"</formula>
    </cfRule>
    <cfRule type="expression" dxfId="15331" priority="3250">
      <formula>$C23="Sales"</formula>
    </cfRule>
    <cfRule type="expression" dxfId="15330" priority="3251">
      <formula>$C23="Expences"</formula>
    </cfRule>
    <cfRule type="expression" dxfId="15329" priority="3252">
      <formula>$C23="Garlic Purchase"</formula>
    </cfRule>
    <cfRule type="expression" dxfId="15328" priority="3253">
      <formula>$C23="Ginger Purchase"</formula>
    </cfRule>
  </conditionalFormatting>
  <conditionalFormatting sqref="B23 B26 B29 B31 B33 B35 B37 B39:B41 B43 B45:B86">
    <cfRule type="expression" dxfId="15327" priority="3254">
      <formula>$C23="Advance"</formula>
    </cfRule>
  </conditionalFormatting>
  <conditionalFormatting sqref="B23 B26 B29 B31 B33 B35 B37 B39:B41 B43 B45:B86">
    <cfRule type="expression" dxfId="15326" priority="3235">
      <formula>$C23="Delivery charge"</formula>
    </cfRule>
    <cfRule type="expression" dxfId="15325" priority="3236">
      <formula>$C23="Staff Salary"</formula>
    </cfRule>
    <cfRule type="expression" dxfId="15324" priority="3237">
      <formula>$C23="Rent"</formula>
    </cfRule>
    <cfRule type="expression" dxfId="15323" priority="3238">
      <formula>$C23="Petrol"</formula>
    </cfRule>
    <cfRule type="expression" dxfId="15322" priority="3239">
      <formula>$C23="Bills"</formula>
    </cfRule>
    <cfRule type="expression" dxfId="15321" priority="3240">
      <formula>$C23="Sales"</formula>
    </cfRule>
    <cfRule type="expression" dxfId="15320" priority="3241">
      <formula>$C23="Expences"</formula>
    </cfRule>
    <cfRule type="expression" dxfId="15319" priority="3242">
      <formula>$C23="Garlic Purchase"</formula>
    </cfRule>
    <cfRule type="expression" dxfId="15318" priority="3243">
      <formula>$C23="Ginger Purchase"</formula>
    </cfRule>
  </conditionalFormatting>
  <conditionalFormatting sqref="B23 B26 B29 B31 B33 B35 B37 B39:B41 B43 B45:B86">
    <cfRule type="expression" dxfId="15317" priority="3244">
      <formula>$C23="Advance"</formula>
    </cfRule>
  </conditionalFormatting>
  <conditionalFormatting sqref="B23 B26 B29 B31 B33 B35 B37 B39:B41 B43 B45:B86">
    <cfRule type="expression" dxfId="15316" priority="3225">
      <formula>$C23="Delivery charge"</formula>
    </cfRule>
    <cfRule type="expression" dxfId="15315" priority="3226">
      <formula>$C23="Staff Salary"</formula>
    </cfRule>
    <cfRule type="expression" dxfId="15314" priority="3227">
      <formula>$C23="Rent"</formula>
    </cfRule>
    <cfRule type="expression" dxfId="15313" priority="3228">
      <formula>$C23="Petrol"</formula>
    </cfRule>
    <cfRule type="expression" dxfId="15312" priority="3229">
      <formula>$C23="Bills"</formula>
    </cfRule>
    <cfRule type="expression" dxfId="15311" priority="3230">
      <formula>$C23="Sales"</formula>
    </cfRule>
    <cfRule type="expression" dxfId="15310" priority="3231">
      <formula>$C23="Expences"</formula>
    </cfRule>
    <cfRule type="expression" dxfId="15309" priority="3232">
      <formula>$C23="Garlic Purchase"</formula>
    </cfRule>
    <cfRule type="expression" dxfId="15308" priority="3233">
      <formula>$C23="Ginger Purchase"</formula>
    </cfRule>
  </conditionalFormatting>
  <conditionalFormatting sqref="B23 B26 B29 B31 B33 B35 B37 B39:B41 B43 B45:B86">
    <cfRule type="expression" dxfId="15307" priority="3234">
      <formula>$C23="Advance"</formula>
    </cfRule>
  </conditionalFormatting>
  <conditionalFormatting sqref="B23 B26 B29 B31 B33 B35 B37 B39:B41 B43 B45:B86">
    <cfRule type="expression" dxfId="15306" priority="3215">
      <formula>$C23="Delivery charge"</formula>
    </cfRule>
    <cfRule type="expression" dxfId="15305" priority="3216">
      <formula>$C23="Staff Salary"</formula>
    </cfRule>
    <cfRule type="expression" dxfId="15304" priority="3217">
      <formula>$C23="Rent"</formula>
    </cfRule>
    <cfRule type="expression" dxfId="15303" priority="3218">
      <formula>$C23="Petrol"</formula>
    </cfRule>
    <cfRule type="expression" dxfId="15302" priority="3219">
      <formula>$C23="Bills"</formula>
    </cfRule>
    <cfRule type="expression" dxfId="15301" priority="3220">
      <formula>$C23="Sales"</formula>
    </cfRule>
    <cfRule type="expression" dxfId="15300" priority="3221">
      <formula>$C23="Expences"</formula>
    </cfRule>
    <cfRule type="expression" dxfId="15299" priority="3222">
      <formula>$C23="Garlic Purchase"</formula>
    </cfRule>
    <cfRule type="expression" dxfId="15298" priority="3223">
      <formula>$C23="Ginger Purchase"</formula>
    </cfRule>
  </conditionalFormatting>
  <conditionalFormatting sqref="B23 B26 B29 B31 B33 B35 B37 B39:B41 B43 B45:B86">
    <cfRule type="expression" dxfId="15297" priority="3224">
      <formula>$C23="Advance"</formula>
    </cfRule>
  </conditionalFormatting>
  <conditionalFormatting sqref="B23 B26 B29 B31 B33 B35 B37 B39:B41 B43 B45:B86">
    <cfRule type="expression" dxfId="15296" priority="3205">
      <formula>$C23="Delivery charge"</formula>
    </cfRule>
    <cfRule type="expression" dxfId="15295" priority="3206">
      <formula>$C23="Staff Salary"</formula>
    </cfRule>
    <cfRule type="expression" dxfId="15294" priority="3207">
      <formula>$C23="Rent"</formula>
    </cfRule>
    <cfRule type="expression" dxfId="15293" priority="3208">
      <formula>$C23="Petrol"</formula>
    </cfRule>
    <cfRule type="expression" dxfId="15292" priority="3209">
      <formula>$C23="Bills"</formula>
    </cfRule>
    <cfRule type="expression" dxfId="15291" priority="3210">
      <formula>$C23="Sales"</formula>
    </cfRule>
    <cfRule type="expression" dxfId="15290" priority="3211">
      <formula>$C23="Expences"</formula>
    </cfRule>
    <cfRule type="expression" dxfId="15289" priority="3212">
      <formula>$C23="Garlic Purchase"</formula>
    </cfRule>
    <cfRule type="expression" dxfId="15288" priority="3213">
      <formula>$C23="Ginger Purchase"</formula>
    </cfRule>
  </conditionalFormatting>
  <conditionalFormatting sqref="B23 B26 B29 B31 B33 B35 B37 B39:B41 B43 B45:B86">
    <cfRule type="expression" dxfId="15287" priority="3214">
      <formula>$C23="Advance"</formula>
    </cfRule>
  </conditionalFormatting>
  <conditionalFormatting sqref="B24 B26:B28 B30 B32 B34 B36 B38:B42 B44:B86">
    <cfRule type="expression" dxfId="15286" priority="3195">
      <formula>$C24="Delivery charge"</formula>
    </cfRule>
    <cfRule type="expression" dxfId="15285" priority="3196">
      <formula>$C24="Staff Salary"</formula>
    </cfRule>
    <cfRule type="expression" dxfId="15284" priority="3197">
      <formula>$C24="Rent"</formula>
    </cfRule>
    <cfRule type="expression" dxfId="15283" priority="3198">
      <formula>$C24="Petrol"</formula>
    </cfRule>
    <cfRule type="expression" dxfId="15282" priority="3199">
      <formula>$C24="Bills"</formula>
    </cfRule>
    <cfRule type="expression" dxfId="15281" priority="3200">
      <formula>$C24="Sales"</formula>
    </cfRule>
    <cfRule type="expression" dxfId="15280" priority="3201">
      <formula>$C24="Expences"</formula>
    </cfRule>
    <cfRule type="expression" dxfId="15279" priority="3202">
      <formula>$C24="Garlic Purchase"</formula>
    </cfRule>
    <cfRule type="expression" dxfId="15278" priority="3203">
      <formula>$C24="Ginger Purchase"</formula>
    </cfRule>
  </conditionalFormatting>
  <conditionalFormatting sqref="B24 B26:B28 B30 B32 B34 B36 B38:B42 B44:B86">
    <cfRule type="expression" dxfId="15277" priority="3204">
      <formula>$C24="Advance"</formula>
    </cfRule>
  </conditionalFormatting>
  <conditionalFormatting sqref="B24 B26:B28 B30 B32 B34 B36 B38:B42 B44:B86">
    <cfRule type="expression" dxfId="15276" priority="3185">
      <formula>$C24="Delivery charge"</formula>
    </cfRule>
    <cfRule type="expression" dxfId="15275" priority="3186">
      <formula>$C24="Staff Salary"</formula>
    </cfRule>
    <cfRule type="expression" dxfId="15274" priority="3187">
      <formula>$C24="Rent"</formula>
    </cfRule>
    <cfRule type="expression" dxfId="15273" priority="3188">
      <formula>$C24="Petrol"</formula>
    </cfRule>
    <cfRule type="expression" dxfId="15272" priority="3189">
      <formula>$C24="Bills"</formula>
    </cfRule>
    <cfRule type="expression" dxfId="15271" priority="3190">
      <formula>$C24="Sales"</formula>
    </cfRule>
    <cfRule type="expression" dxfId="15270" priority="3191">
      <formula>$C24="Expences"</formula>
    </cfRule>
    <cfRule type="expression" dxfId="15269" priority="3192">
      <formula>$C24="Garlic Purchase"</formula>
    </cfRule>
    <cfRule type="expression" dxfId="15268" priority="3193">
      <formula>$C24="Ginger Purchase"</formula>
    </cfRule>
  </conditionalFormatting>
  <conditionalFormatting sqref="B24 B26:B28 B30 B32 B34 B36 B38:B42 B44:B86">
    <cfRule type="expression" dxfId="15267" priority="3194">
      <formula>$C24="Advance"</formula>
    </cfRule>
  </conditionalFormatting>
  <conditionalFormatting sqref="B24 B26:B28 B30 B32 B34 B36 B38:B42 B44:B86">
    <cfRule type="expression" dxfId="15266" priority="3175">
      <formula>$C24="Delivery charge"</formula>
    </cfRule>
    <cfRule type="expression" dxfId="15265" priority="3176">
      <formula>$C24="Staff Salary"</formula>
    </cfRule>
    <cfRule type="expression" dxfId="15264" priority="3177">
      <formula>$C24="Rent"</formula>
    </cfRule>
    <cfRule type="expression" dxfId="15263" priority="3178">
      <formula>$C24="Petrol"</formula>
    </cfRule>
    <cfRule type="expression" dxfId="15262" priority="3179">
      <formula>$C24="Bills"</formula>
    </cfRule>
    <cfRule type="expression" dxfId="15261" priority="3180">
      <formula>$C24="Sales"</formula>
    </cfRule>
    <cfRule type="expression" dxfId="15260" priority="3181">
      <formula>$C24="Expences"</formula>
    </cfRule>
    <cfRule type="expression" dxfId="15259" priority="3182">
      <formula>$C24="Garlic Purchase"</formula>
    </cfRule>
    <cfRule type="expression" dxfId="15258" priority="3183">
      <formula>$C24="Ginger Purchase"</formula>
    </cfRule>
  </conditionalFormatting>
  <conditionalFormatting sqref="B24 B26:B28 B30 B32 B34 B36 B38:B42 B44:B86">
    <cfRule type="expression" dxfId="15257" priority="3184">
      <formula>$C24="Advance"</formula>
    </cfRule>
  </conditionalFormatting>
  <conditionalFormatting sqref="B24 B26:B28 B30 B32 B34 B36 B38:B42 B44:B86">
    <cfRule type="expression" dxfId="15256" priority="3165">
      <formula>$C24="Delivery charge"</formula>
    </cfRule>
    <cfRule type="expression" dxfId="15255" priority="3166">
      <formula>$C24="Staff Salary"</formula>
    </cfRule>
    <cfRule type="expression" dxfId="15254" priority="3167">
      <formula>$C24="Rent"</formula>
    </cfRule>
    <cfRule type="expression" dxfId="15253" priority="3168">
      <formula>$C24="Petrol"</formula>
    </cfRule>
    <cfRule type="expression" dxfId="15252" priority="3169">
      <formula>$C24="Bills"</formula>
    </cfRule>
    <cfRule type="expression" dxfId="15251" priority="3170">
      <formula>$C24="Sales"</formula>
    </cfRule>
    <cfRule type="expression" dxfId="15250" priority="3171">
      <formula>$C24="Expences"</formula>
    </cfRule>
    <cfRule type="expression" dxfId="15249" priority="3172">
      <formula>$C24="Garlic Purchase"</formula>
    </cfRule>
    <cfRule type="expression" dxfId="15248" priority="3173">
      <formula>$C24="Ginger Purchase"</formula>
    </cfRule>
  </conditionalFormatting>
  <conditionalFormatting sqref="B24 B26:B28 B30 B32 B34 B36 B38:B42 B44:B86">
    <cfRule type="expression" dxfId="15247" priority="3174">
      <formula>$C24="Advance"</formula>
    </cfRule>
  </conditionalFormatting>
  <conditionalFormatting sqref="B24 B26:B28 B30 B32 B34 B36 B38:B42 B44:B86">
    <cfRule type="expression" dxfId="15246" priority="3155">
      <formula>$C24="Delivery charge"</formula>
    </cfRule>
    <cfRule type="expression" dxfId="15245" priority="3156">
      <formula>$C24="Staff Salary"</formula>
    </cfRule>
    <cfRule type="expression" dxfId="15244" priority="3157">
      <formula>$C24="Rent"</formula>
    </cfRule>
    <cfRule type="expression" dxfId="15243" priority="3158">
      <formula>$C24="Petrol"</formula>
    </cfRule>
    <cfRule type="expression" dxfId="15242" priority="3159">
      <formula>$C24="Bills"</formula>
    </cfRule>
    <cfRule type="expression" dxfId="15241" priority="3160">
      <formula>$C24="Sales"</formula>
    </cfRule>
    <cfRule type="expression" dxfId="15240" priority="3161">
      <formula>$C24="Expences"</formula>
    </cfRule>
    <cfRule type="expression" dxfId="15239" priority="3162">
      <formula>$C24="Garlic Purchase"</formula>
    </cfRule>
    <cfRule type="expression" dxfId="15238" priority="3163">
      <formula>$C24="Ginger Purchase"</formula>
    </cfRule>
  </conditionalFormatting>
  <conditionalFormatting sqref="B24 B26:B28 B30 B32 B34 B36 B38:B42 B44:B86">
    <cfRule type="expression" dxfId="15237" priority="3164">
      <formula>$C24="Advance"</formula>
    </cfRule>
  </conditionalFormatting>
  <conditionalFormatting sqref="B23 B26 B29 B31 B33 B35 B37 B39:B41 B43 B45:B86">
    <cfRule type="expression" dxfId="15236" priority="3145">
      <formula>$C23="Delivery charge"</formula>
    </cfRule>
    <cfRule type="expression" dxfId="15235" priority="3146">
      <formula>$C23="Staff Salary"</formula>
    </cfRule>
    <cfRule type="expression" dxfId="15234" priority="3147">
      <formula>$C23="Rent"</formula>
    </cfRule>
    <cfRule type="expression" dxfId="15233" priority="3148">
      <formula>$C23="Petrol"</formula>
    </cfRule>
    <cfRule type="expression" dxfId="15232" priority="3149">
      <formula>$C23="Bills"</formula>
    </cfRule>
    <cfRule type="expression" dxfId="15231" priority="3150">
      <formula>$C23="Sales"</formula>
    </cfRule>
    <cfRule type="expression" dxfId="15230" priority="3151">
      <formula>$C23="Expences"</formula>
    </cfRule>
    <cfRule type="expression" dxfId="15229" priority="3152">
      <formula>$C23="Garlic Purchase"</formula>
    </cfRule>
    <cfRule type="expression" dxfId="15228" priority="3153">
      <formula>$C23="Ginger Purchase"</formula>
    </cfRule>
  </conditionalFormatting>
  <conditionalFormatting sqref="B23 B26 B29 B31 B33 B35 B37 B39:B41 B43 B45:B86">
    <cfRule type="expression" dxfId="15227" priority="3154">
      <formula>$C23="Advance"</formula>
    </cfRule>
  </conditionalFormatting>
  <conditionalFormatting sqref="B24 B26:B28 B30 B32 B34 B36 B38:B42 B44:B86">
    <cfRule type="expression" dxfId="15226" priority="3135">
      <formula>$C24="Delivery charge"</formula>
    </cfRule>
    <cfRule type="expression" dxfId="15225" priority="3136">
      <formula>$C24="Staff Salary"</formula>
    </cfRule>
    <cfRule type="expression" dxfId="15224" priority="3137">
      <formula>$C24="Rent"</formula>
    </cfRule>
    <cfRule type="expression" dxfId="15223" priority="3138">
      <formula>$C24="Petrol"</formula>
    </cfRule>
    <cfRule type="expression" dxfId="15222" priority="3139">
      <formula>$C24="Bills"</formula>
    </cfRule>
    <cfRule type="expression" dxfId="15221" priority="3140">
      <formula>$C24="Sales"</formula>
    </cfRule>
    <cfRule type="expression" dxfId="15220" priority="3141">
      <formula>$C24="Expences"</formula>
    </cfRule>
    <cfRule type="expression" dxfId="15219" priority="3142">
      <formula>$C24="Garlic Purchase"</formula>
    </cfRule>
    <cfRule type="expression" dxfId="15218" priority="3143">
      <formula>$C24="Ginger Purchase"</formula>
    </cfRule>
  </conditionalFormatting>
  <conditionalFormatting sqref="B24 B26:B28 B30 B32 B34 B36 B38:B42 B44:B86">
    <cfRule type="expression" dxfId="15217" priority="3144">
      <formula>$C24="Advance"</formula>
    </cfRule>
  </conditionalFormatting>
  <conditionalFormatting sqref="B24 B26:B28 B30 B32 B34 B36 B38:B42 B44:B86">
    <cfRule type="expression" dxfId="15216" priority="3125">
      <formula>$C24="Delivery charge"</formula>
    </cfRule>
    <cfRule type="expression" dxfId="15215" priority="3126">
      <formula>$C24="Staff Salary"</formula>
    </cfRule>
    <cfRule type="expression" dxfId="15214" priority="3127">
      <formula>$C24="Rent"</formula>
    </cfRule>
    <cfRule type="expression" dxfId="15213" priority="3128">
      <formula>$C24="Petrol"</formula>
    </cfRule>
    <cfRule type="expression" dxfId="15212" priority="3129">
      <formula>$C24="Bills"</formula>
    </cfRule>
    <cfRule type="expression" dxfId="15211" priority="3130">
      <formula>$C24="Sales"</formula>
    </cfRule>
    <cfRule type="expression" dxfId="15210" priority="3131">
      <formula>$C24="Expences"</formula>
    </cfRule>
    <cfRule type="expression" dxfId="15209" priority="3132">
      <formula>$C24="Garlic Purchase"</formula>
    </cfRule>
    <cfRule type="expression" dxfId="15208" priority="3133">
      <formula>$C24="Ginger Purchase"</formula>
    </cfRule>
  </conditionalFormatting>
  <conditionalFormatting sqref="B24 B26:B28 B30 B32 B34 B36 B38:B42 B44:B86">
    <cfRule type="expression" dxfId="15207" priority="3134">
      <formula>$C24="Advance"</formula>
    </cfRule>
  </conditionalFormatting>
  <conditionalFormatting sqref="B24 B26:B28 B30 B32 B34 B36 B38:B42 B44:B86">
    <cfRule type="expression" dxfId="15206" priority="3115">
      <formula>$C24="Delivery charge"</formula>
    </cfRule>
    <cfRule type="expression" dxfId="15205" priority="3116">
      <formula>$C24="Staff Salary"</formula>
    </cfRule>
    <cfRule type="expression" dxfId="15204" priority="3117">
      <formula>$C24="Rent"</formula>
    </cfRule>
    <cfRule type="expression" dxfId="15203" priority="3118">
      <formula>$C24="Petrol"</formula>
    </cfRule>
    <cfRule type="expression" dxfId="15202" priority="3119">
      <formula>$C24="Bills"</formula>
    </cfRule>
    <cfRule type="expression" dxfId="15201" priority="3120">
      <formula>$C24="Sales"</formula>
    </cfRule>
    <cfRule type="expression" dxfId="15200" priority="3121">
      <formula>$C24="Expences"</formula>
    </cfRule>
    <cfRule type="expression" dxfId="15199" priority="3122">
      <formula>$C24="Garlic Purchase"</formula>
    </cfRule>
    <cfRule type="expression" dxfId="15198" priority="3123">
      <formula>$C24="Ginger Purchase"</formula>
    </cfRule>
  </conditionalFormatting>
  <conditionalFormatting sqref="B24 B26:B28 B30 B32 B34 B36 B38:B42 B44:B86">
    <cfRule type="expression" dxfId="15197" priority="3124">
      <formula>$C24="Advance"</formula>
    </cfRule>
  </conditionalFormatting>
  <conditionalFormatting sqref="B24 B26:B28 B30 B32 B34 B36 B38:B42 B44:B86">
    <cfRule type="expression" dxfId="15196" priority="3105">
      <formula>$C24="Delivery charge"</formula>
    </cfRule>
    <cfRule type="expression" dxfId="15195" priority="3106">
      <formula>$C24="Staff Salary"</formula>
    </cfRule>
    <cfRule type="expression" dxfId="15194" priority="3107">
      <formula>$C24="Rent"</formula>
    </cfRule>
    <cfRule type="expression" dxfId="15193" priority="3108">
      <formula>$C24="Petrol"</formula>
    </cfRule>
    <cfRule type="expression" dxfId="15192" priority="3109">
      <formula>$C24="Bills"</formula>
    </cfRule>
    <cfRule type="expression" dxfId="15191" priority="3110">
      <formula>$C24="Sales"</formula>
    </cfRule>
    <cfRule type="expression" dxfId="15190" priority="3111">
      <formula>$C24="Expences"</formula>
    </cfRule>
    <cfRule type="expression" dxfId="15189" priority="3112">
      <formula>$C24="Garlic Purchase"</formula>
    </cfRule>
    <cfRule type="expression" dxfId="15188" priority="3113">
      <formula>$C24="Ginger Purchase"</formula>
    </cfRule>
  </conditionalFormatting>
  <conditionalFormatting sqref="B24 B26:B28 B30 B32 B34 B36 B38:B42 B44:B86">
    <cfRule type="expression" dxfId="15187" priority="3114">
      <formula>$C24="Advance"</formula>
    </cfRule>
  </conditionalFormatting>
  <conditionalFormatting sqref="B24 B26:B28 B30 B32 B34 B36 B38:B42 B44:B86">
    <cfRule type="expression" dxfId="15186" priority="3095">
      <formula>$C24="Delivery charge"</formula>
    </cfRule>
    <cfRule type="expression" dxfId="15185" priority="3096">
      <formula>$C24="Staff Salary"</formula>
    </cfRule>
    <cfRule type="expression" dxfId="15184" priority="3097">
      <formula>$C24="Rent"</formula>
    </cfRule>
    <cfRule type="expression" dxfId="15183" priority="3098">
      <formula>$C24="Petrol"</formula>
    </cfRule>
    <cfRule type="expression" dxfId="15182" priority="3099">
      <formula>$C24="Bills"</formula>
    </cfRule>
    <cfRule type="expression" dxfId="15181" priority="3100">
      <formula>$C24="Sales"</formula>
    </cfRule>
    <cfRule type="expression" dxfId="15180" priority="3101">
      <formula>$C24="Expences"</formula>
    </cfRule>
    <cfRule type="expression" dxfId="15179" priority="3102">
      <formula>$C24="Garlic Purchase"</formula>
    </cfRule>
    <cfRule type="expression" dxfId="15178" priority="3103">
      <formula>$C24="Ginger Purchase"</formula>
    </cfRule>
  </conditionalFormatting>
  <conditionalFormatting sqref="B24 B26:B28 B30 B32 B34 B36 B38:B42 B44:B86">
    <cfRule type="expression" dxfId="15177" priority="3104">
      <formula>$C24="Advance"</formula>
    </cfRule>
  </conditionalFormatting>
  <conditionalFormatting sqref="B24 B26:B28 B30 B32 B34 B36 B38:B42 B44:B86">
    <cfRule type="expression" dxfId="15176" priority="3085">
      <formula>$C24="Delivery charge"</formula>
    </cfRule>
    <cfRule type="expression" dxfId="15175" priority="3086">
      <formula>$C24="Staff Salary"</formula>
    </cfRule>
    <cfRule type="expression" dxfId="15174" priority="3087">
      <formula>$C24="Rent"</formula>
    </cfRule>
    <cfRule type="expression" dxfId="15173" priority="3088">
      <formula>$C24="Petrol"</formula>
    </cfRule>
    <cfRule type="expression" dxfId="15172" priority="3089">
      <formula>$C24="Bills"</formula>
    </cfRule>
    <cfRule type="expression" dxfId="15171" priority="3090">
      <formula>$C24="Sales"</formula>
    </cfRule>
    <cfRule type="expression" dxfId="15170" priority="3091">
      <formula>$C24="Expences"</formula>
    </cfRule>
    <cfRule type="expression" dxfId="15169" priority="3092">
      <formula>$C24="Garlic Purchase"</formula>
    </cfRule>
    <cfRule type="expression" dxfId="15168" priority="3093">
      <formula>$C24="Ginger Purchase"</formula>
    </cfRule>
  </conditionalFormatting>
  <conditionalFormatting sqref="B24 B26:B28 B30 B32 B34 B36 B38:B42 B44:B86">
    <cfRule type="expression" dxfId="15167" priority="3094">
      <formula>$C24="Advance"</formula>
    </cfRule>
  </conditionalFormatting>
  <conditionalFormatting sqref="B24 B26:B28 B30 B32 B34 B36 B38:B42 B44:B86">
    <cfRule type="expression" dxfId="15166" priority="3075">
      <formula>$C24="Delivery charge"</formula>
    </cfRule>
    <cfRule type="expression" dxfId="15165" priority="3076">
      <formula>$C24="Staff Salary"</formula>
    </cfRule>
    <cfRule type="expression" dxfId="15164" priority="3077">
      <formula>$C24="Rent"</formula>
    </cfRule>
    <cfRule type="expression" dxfId="15163" priority="3078">
      <formula>$C24="Petrol"</formula>
    </cfRule>
    <cfRule type="expression" dxfId="15162" priority="3079">
      <formula>$C24="Bills"</formula>
    </cfRule>
    <cfRule type="expression" dxfId="15161" priority="3080">
      <formula>$C24="Sales"</formula>
    </cfRule>
    <cfRule type="expression" dxfId="15160" priority="3081">
      <formula>$C24="Expences"</formula>
    </cfRule>
    <cfRule type="expression" dxfId="15159" priority="3082">
      <formula>$C24="Garlic Purchase"</formula>
    </cfRule>
    <cfRule type="expression" dxfId="15158" priority="3083">
      <formula>$C24="Ginger Purchase"</formula>
    </cfRule>
  </conditionalFormatting>
  <conditionalFormatting sqref="B24 B26:B28 B30 B32 B34 B36 B38:B42 B44:B86">
    <cfRule type="expression" dxfId="15157" priority="3084">
      <formula>$C24="Advance"</formula>
    </cfRule>
  </conditionalFormatting>
  <conditionalFormatting sqref="B24 B26:B28 B30 B32 B34 B36 B38:B42 B44:B86">
    <cfRule type="expression" dxfId="15156" priority="3065">
      <formula>$C24="Delivery charge"</formula>
    </cfRule>
    <cfRule type="expression" dxfId="15155" priority="3066">
      <formula>$C24="Staff Salary"</formula>
    </cfRule>
    <cfRule type="expression" dxfId="15154" priority="3067">
      <formula>$C24="Rent"</formula>
    </cfRule>
    <cfRule type="expression" dxfId="15153" priority="3068">
      <formula>$C24="Petrol"</formula>
    </cfRule>
    <cfRule type="expression" dxfId="15152" priority="3069">
      <formula>$C24="Bills"</formula>
    </cfRule>
    <cfRule type="expression" dxfId="15151" priority="3070">
      <formula>$C24="Sales"</formula>
    </cfRule>
    <cfRule type="expression" dxfId="15150" priority="3071">
      <formula>$C24="Expences"</formula>
    </cfRule>
    <cfRule type="expression" dxfId="15149" priority="3072">
      <formula>$C24="Garlic Purchase"</formula>
    </cfRule>
    <cfRule type="expression" dxfId="15148" priority="3073">
      <formula>$C24="Ginger Purchase"</formula>
    </cfRule>
  </conditionalFormatting>
  <conditionalFormatting sqref="B24 B26:B28 B30 B32 B34 B36 B38:B42 B44:B86">
    <cfRule type="expression" dxfId="15147" priority="3074">
      <formula>$C24="Advance"</formula>
    </cfRule>
  </conditionalFormatting>
  <conditionalFormatting sqref="B24 B26:B28 B30 B32 B34 B36 B38:B42 B44:B86">
    <cfRule type="expression" dxfId="15146" priority="3055">
      <formula>$C24="Delivery charge"</formula>
    </cfRule>
    <cfRule type="expression" dxfId="15145" priority="3056">
      <formula>$C24="Staff Salary"</formula>
    </cfRule>
    <cfRule type="expression" dxfId="15144" priority="3057">
      <formula>$C24="Rent"</formula>
    </cfRule>
    <cfRule type="expression" dxfId="15143" priority="3058">
      <formula>$C24="Petrol"</formula>
    </cfRule>
    <cfRule type="expression" dxfId="15142" priority="3059">
      <formula>$C24="Bills"</formula>
    </cfRule>
    <cfRule type="expression" dxfId="15141" priority="3060">
      <formula>$C24="Sales"</formula>
    </cfRule>
    <cfRule type="expression" dxfId="15140" priority="3061">
      <formula>$C24="Expences"</formula>
    </cfRule>
    <cfRule type="expression" dxfId="15139" priority="3062">
      <formula>$C24="Garlic Purchase"</formula>
    </cfRule>
    <cfRule type="expression" dxfId="15138" priority="3063">
      <formula>$C24="Ginger Purchase"</formula>
    </cfRule>
  </conditionalFormatting>
  <conditionalFormatting sqref="B24 B26:B28 B30 B32 B34 B36 B38:B42 B44:B86">
    <cfRule type="expression" dxfId="15137" priority="3064">
      <formula>$C24="Advance"</formula>
    </cfRule>
  </conditionalFormatting>
  <conditionalFormatting sqref="B38 B40:B42 B44 B46:B50 B52 B54 B56 B58 B60 B62:B64 B66 B68:B69 B71:B72 B75:B76 B78:B79 B81:B82 B84 B86">
    <cfRule type="expression" dxfId="15136" priority="3054">
      <formula>$C38="Advance"</formula>
    </cfRule>
  </conditionalFormatting>
  <conditionalFormatting sqref="B38 B40:B42 B44 B46:B50 B52 B54 B56 B58 B60 B62:B64 B66 B68:B69 B71:B72 B75:B76 B78:B79 B81:B82 B84 B86">
    <cfRule type="expression" dxfId="15135" priority="3045">
      <formula>$C38="Delivery charge"</formula>
    </cfRule>
    <cfRule type="expression" dxfId="15134" priority="3046">
      <formula>$C38="Staff Salary"</formula>
    </cfRule>
    <cfRule type="expression" dxfId="15133" priority="3047">
      <formula>$C38="Rent"</formula>
    </cfRule>
    <cfRule type="expression" dxfId="15132" priority="3048">
      <formula>$C38="Petrol"</formula>
    </cfRule>
    <cfRule type="expression" dxfId="15131" priority="3049">
      <formula>$C38="Bills"</formula>
    </cfRule>
    <cfRule type="expression" dxfId="15130" priority="3050">
      <formula>$C38="Sales"</formula>
    </cfRule>
    <cfRule type="expression" dxfId="15129" priority="3051">
      <formula>$C38="Expences"</formula>
    </cfRule>
    <cfRule type="expression" dxfId="15128" priority="3052">
      <formula>$C38="Garlic Purchase"</formula>
    </cfRule>
    <cfRule type="expression" dxfId="15127" priority="3053">
      <formula>$C38="Ginger Purchase"</formula>
    </cfRule>
  </conditionalFormatting>
  <conditionalFormatting sqref="B37 B39:B41 B43 B45:B86">
    <cfRule type="expression" dxfId="15126" priority="3035">
      <formula>$C37="Delivery charge"</formula>
    </cfRule>
    <cfRule type="expression" dxfId="15125" priority="3036">
      <formula>$C37="Staff Salary"</formula>
    </cfRule>
    <cfRule type="expression" dxfId="15124" priority="3037">
      <formula>$C37="Rent"</formula>
    </cfRule>
    <cfRule type="expression" dxfId="15123" priority="3038">
      <formula>$C37="Petrol"</formula>
    </cfRule>
    <cfRule type="expression" dxfId="15122" priority="3039">
      <formula>$C37="Bills"</formula>
    </cfRule>
    <cfRule type="expression" dxfId="15121" priority="3040">
      <formula>$C37="Sales"</formula>
    </cfRule>
    <cfRule type="expression" dxfId="15120" priority="3041">
      <formula>$C37="Expences"</formula>
    </cfRule>
    <cfRule type="expression" dxfId="15119" priority="3042">
      <formula>$C37="Garlic Purchase"</formula>
    </cfRule>
    <cfRule type="expression" dxfId="15118" priority="3043">
      <formula>$C37="Ginger Purchase"</formula>
    </cfRule>
  </conditionalFormatting>
  <conditionalFormatting sqref="B37 B39:B41 B43 B45:B86">
    <cfRule type="expression" dxfId="15117" priority="3044">
      <formula>$C37="Advance"</formula>
    </cfRule>
  </conditionalFormatting>
  <conditionalFormatting sqref="B37 B39:B41 B43 B45:B86">
    <cfRule type="expression" dxfId="15116" priority="3025">
      <formula>$C37="Delivery charge"</formula>
    </cfRule>
    <cfRule type="expression" dxfId="15115" priority="3026">
      <formula>$C37="Staff Salary"</formula>
    </cfRule>
    <cfRule type="expression" dxfId="15114" priority="3027">
      <formula>$C37="Rent"</formula>
    </cfRule>
    <cfRule type="expression" dxfId="15113" priority="3028">
      <formula>$C37="Petrol"</formula>
    </cfRule>
    <cfRule type="expression" dxfId="15112" priority="3029">
      <formula>$C37="Bills"</formula>
    </cfRule>
    <cfRule type="expression" dxfId="15111" priority="3030">
      <formula>$C37="Sales"</formula>
    </cfRule>
    <cfRule type="expression" dxfId="15110" priority="3031">
      <formula>$C37="Expences"</formula>
    </cfRule>
    <cfRule type="expression" dxfId="15109" priority="3032">
      <formula>$C37="Garlic Purchase"</formula>
    </cfRule>
    <cfRule type="expression" dxfId="15108" priority="3033">
      <formula>$C37="Ginger Purchase"</formula>
    </cfRule>
  </conditionalFormatting>
  <conditionalFormatting sqref="B37 B39:B41 B43 B45:B86">
    <cfRule type="expression" dxfId="15107" priority="3034">
      <formula>$C37="Advance"</formula>
    </cfRule>
  </conditionalFormatting>
  <conditionalFormatting sqref="B37 B39:B41 B43 B45:B86">
    <cfRule type="expression" dxfId="15106" priority="3015">
      <formula>$C37="Delivery charge"</formula>
    </cfRule>
    <cfRule type="expression" dxfId="15105" priority="3016">
      <formula>$C37="Staff Salary"</formula>
    </cfRule>
    <cfRule type="expression" dxfId="15104" priority="3017">
      <formula>$C37="Rent"</formula>
    </cfRule>
    <cfRule type="expression" dxfId="15103" priority="3018">
      <formula>$C37="Petrol"</formula>
    </cfRule>
    <cfRule type="expression" dxfId="15102" priority="3019">
      <formula>$C37="Bills"</formula>
    </cfRule>
    <cfRule type="expression" dxfId="15101" priority="3020">
      <formula>$C37="Sales"</formula>
    </cfRule>
    <cfRule type="expression" dxfId="15100" priority="3021">
      <formula>$C37="Expences"</formula>
    </cfRule>
    <cfRule type="expression" dxfId="15099" priority="3022">
      <formula>$C37="Garlic Purchase"</formula>
    </cfRule>
    <cfRule type="expression" dxfId="15098" priority="3023">
      <formula>$C37="Ginger Purchase"</formula>
    </cfRule>
  </conditionalFormatting>
  <conditionalFormatting sqref="B37 B39:B41 B43 B45:B86">
    <cfRule type="expression" dxfId="15097" priority="3024">
      <formula>$C37="Advance"</formula>
    </cfRule>
  </conditionalFormatting>
  <conditionalFormatting sqref="B37 B39:B41 B43 B45:B86">
    <cfRule type="expression" dxfId="15096" priority="3005">
      <formula>$C37="Delivery charge"</formula>
    </cfRule>
    <cfRule type="expression" dxfId="15095" priority="3006">
      <formula>$C37="Staff Salary"</formula>
    </cfRule>
    <cfRule type="expression" dxfId="15094" priority="3007">
      <formula>$C37="Rent"</formula>
    </cfRule>
    <cfRule type="expression" dxfId="15093" priority="3008">
      <formula>$C37="Petrol"</formula>
    </cfRule>
    <cfRule type="expression" dxfId="15092" priority="3009">
      <formula>$C37="Bills"</formula>
    </cfRule>
    <cfRule type="expression" dxfId="15091" priority="3010">
      <formula>$C37="Sales"</formula>
    </cfRule>
    <cfRule type="expression" dxfId="15090" priority="3011">
      <formula>$C37="Expences"</formula>
    </cfRule>
    <cfRule type="expression" dxfId="15089" priority="3012">
      <formula>$C37="Garlic Purchase"</formula>
    </cfRule>
    <cfRule type="expression" dxfId="15088" priority="3013">
      <formula>$C37="Ginger Purchase"</formula>
    </cfRule>
  </conditionalFormatting>
  <conditionalFormatting sqref="B37 B39:B41 B43 B45:B86">
    <cfRule type="expression" dxfId="15087" priority="3014">
      <formula>$C37="Advance"</formula>
    </cfRule>
  </conditionalFormatting>
  <conditionalFormatting sqref="B37 B39:B41 B43 B45:B86">
    <cfRule type="expression" dxfId="15086" priority="2995">
      <formula>$C37="Delivery charge"</formula>
    </cfRule>
    <cfRule type="expression" dxfId="15085" priority="2996">
      <formula>$C37="Staff Salary"</formula>
    </cfRule>
    <cfRule type="expression" dxfId="15084" priority="2997">
      <formula>$C37="Rent"</formula>
    </cfRule>
    <cfRule type="expression" dxfId="15083" priority="2998">
      <formula>$C37="Petrol"</formula>
    </cfRule>
    <cfRule type="expression" dxfId="15082" priority="2999">
      <formula>$C37="Bills"</formula>
    </cfRule>
    <cfRule type="expression" dxfId="15081" priority="3000">
      <formula>$C37="Sales"</formula>
    </cfRule>
    <cfRule type="expression" dxfId="15080" priority="3001">
      <formula>$C37="Expences"</formula>
    </cfRule>
    <cfRule type="expression" dxfId="15079" priority="3002">
      <formula>$C37="Garlic Purchase"</formula>
    </cfRule>
    <cfRule type="expression" dxfId="15078" priority="3003">
      <formula>$C37="Ginger Purchase"</formula>
    </cfRule>
  </conditionalFormatting>
  <conditionalFormatting sqref="B37 B39:B41 B43 B45:B86">
    <cfRule type="expression" dxfId="15077" priority="3004">
      <formula>$C37="Advance"</formula>
    </cfRule>
  </conditionalFormatting>
  <conditionalFormatting sqref="B37 B39:B41 B43 B45:B86">
    <cfRule type="expression" dxfId="15076" priority="2985">
      <formula>$C37="Delivery charge"</formula>
    </cfRule>
    <cfRule type="expression" dxfId="15075" priority="2986">
      <formula>$C37="Staff Salary"</formula>
    </cfRule>
    <cfRule type="expression" dxfId="15074" priority="2987">
      <formula>$C37="Rent"</formula>
    </cfRule>
    <cfRule type="expression" dxfId="15073" priority="2988">
      <formula>$C37="Petrol"</formula>
    </cfRule>
    <cfRule type="expression" dxfId="15072" priority="2989">
      <formula>$C37="Bills"</formula>
    </cfRule>
    <cfRule type="expression" dxfId="15071" priority="2990">
      <formula>$C37="Sales"</formula>
    </cfRule>
    <cfRule type="expression" dxfId="15070" priority="2991">
      <formula>$C37="Expences"</formula>
    </cfRule>
    <cfRule type="expression" dxfId="15069" priority="2992">
      <formula>$C37="Garlic Purchase"</formula>
    </cfRule>
    <cfRule type="expression" dxfId="15068" priority="2993">
      <formula>$C37="Ginger Purchase"</formula>
    </cfRule>
  </conditionalFormatting>
  <conditionalFormatting sqref="B37 B39:B41 B43 B45:B86">
    <cfRule type="expression" dxfId="15067" priority="2994">
      <formula>$C37="Advance"</formula>
    </cfRule>
  </conditionalFormatting>
  <conditionalFormatting sqref="B37 B39:B41 B43 B45:B86">
    <cfRule type="expression" dxfId="15066" priority="2975">
      <formula>$C37="Delivery charge"</formula>
    </cfRule>
    <cfRule type="expression" dxfId="15065" priority="2976">
      <formula>$C37="Staff Salary"</formula>
    </cfRule>
    <cfRule type="expression" dxfId="15064" priority="2977">
      <formula>$C37="Rent"</formula>
    </cfRule>
    <cfRule type="expression" dxfId="15063" priority="2978">
      <formula>$C37="Petrol"</formula>
    </cfRule>
    <cfRule type="expression" dxfId="15062" priority="2979">
      <formula>$C37="Bills"</formula>
    </cfRule>
    <cfRule type="expression" dxfId="15061" priority="2980">
      <formula>$C37="Sales"</formula>
    </cfRule>
    <cfRule type="expression" dxfId="15060" priority="2981">
      <formula>$C37="Expences"</formula>
    </cfRule>
    <cfRule type="expression" dxfId="15059" priority="2982">
      <formula>$C37="Garlic Purchase"</formula>
    </cfRule>
    <cfRule type="expression" dxfId="15058" priority="2983">
      <formula>$C37="Ginger Purchase"</formula>
    </cfRule>
  </conditionalFormatting>
  <conditionalFormatting sqref="B37 B39:B41 B43 B45:B86">
    <cfRule type="expression" dxfId="15057" priority="2984">
      <formula>$C37="Advance"</formula>
    </cfRule>
  </conditionalFormatting>
  <conditionalFormatting sqref="B37 B39:B41 B43 B45:B86">
    <cfRule type="expression" dxfId="15056" priority="2965">
      <formula>$C37="Delivery charge"</formula>
    </cfRule>
    <cfRule type="expression" dxfId="15055" priority="2966">
      <formula>$C37="Staff Salary"</formula>
    </cfRule>
    <cfRule type="expression" dxfId="15054" priority="2967">
      <formula>$C37="Rent"</formula>
    </cfRule>
    <cfRule type="expression" dxfId="15053" priority="2968">
      <formula>$C37="Petrol"</formula>
    </cfRule>
    <cfRule type="expression" dxfId="15052" priority="2969">
      <formula>$C37="Bills"</formula>
    </cfRule>
    <cfRule type="expression" dxfId="15051" priority="2970">
      <formula>$C37="Sales"</formula>
    </cfRule>
    <cfRule type="expression" dxfId="15050" priority="2971">
      <formula>$C37="Expences"</formula>
    </cfRule>
    <cfRule type="expression" dxfId="15049" priority="2972">
      <formula>$C37="Garlic Purchase"</formula>
    </cfRule>
    <cfRule type="expression" dxfId="15048" priority="2973">
      <formula>$C37="Ginger Purchase"</formula>
    </cfRule>
  </conditionalFormatting>
  <conditionalFormatting sqref="B37 B39:B41 B43 B45:B86">
    <cfRule type="expression" dxfId="15047" priority="2974">
      <formula>$C37="Advance"</formula>
    </cfRule>
  </conditionalFormatting>
  <conditionalFormatting sqref="B37 B39:B41 B43 B45:B86">
    <cfRule type="expression" dxfId="15046" priority="2955">
      <formula>$C37="Delivery charge"</formula>
    </cfRule>
    <cfRule type="expression" dxfId="15045" priority="2956">
      <formula>$C37="Staff Salary"</formula>
    </cfRule>
    <cfRule type="expression" dxfId="15044" priority="2957">
      <formula>$C37="Rent"</formula>
    </cfRule>
    <cfRule type="expression" dxfId="15043" priority="2958">
      <formula>$C37="Petrol"</formula>
    </cfRule>
    <cfRule type="expression" dxfId="15042" priority="2959">
      <formula>$C37="Bills"</formula>
    </cfRule>
    <cfRule type="expression" dxfId="15041" priority="2960">
      <formula>$C37="Sales"</formula>
    </cfRule>
    <cfRule type="expression" dxfId="15040" priority="2961">
      <formula>$C37="Expences"</formula>
    </cfRule>
    <cfRule type="expression" dxfId="15039" priority="2962">
      <formula>$C37="Garlic Purchase"</formula>
    </cfRule>
    <cfRule type="expression" dxfId="15038" priority="2963">
      <formula>$C37="Ginger Purchase"</formula>
    </cfRule>
  </conditionalFormatting>
  <conditionalFormatting sqref="B37 B39:B41 B43 B45:B86">
    <cfRule type="expression" dxfId="15037" priority="2964">
      <formula>$C37="Advance"</formula>
    </cfRule>
  </conditionalFormatting>
  <conditionalFormatting sqref="B37 B39:B41 B43 B45:B86">
    <cfRule type="expression" dxfId="15036" priority="2945">
      <formula>$C37="Delivery charge"</formula>
    </cfRule>
    <cfRule type="expression" dxfId="15035" priority="2946">
      <formula>$C37="Staff Salary"</formula>
    </cfRule>
    <cfRule type="expression" dxfId="15034" priority="2947">
      <formula>$C37="Rent"</formula>
    </cfRule>
    <cfRule type="expression" dxfId="15033" priority="2948">
      <formula>$C37="Petrol"</formula>
    </cfRule>
    <cfRule type="expression" dxfId="15032" priority="2949">
      <formula>$C37="Bills"</formula>
    </cfRule>
    <cfRule type="expression" dxfId="15031" priority="2950">
      <formula>$C37="Sales"</formula>
    </cfRule>
    <cfRule type="expression" dxfId="15030" priority="2951">
      <formula>$C37="Expences"</formula>
    </cfRule>
    <cfRule type="expression" dxfId="15029" priority="2952">
      <formula>$C37="Garlic Purchase"</formula>
    </cfRule>
    <cfRule type="expression" dxfId="15028" priority="2953">
      <formula>$C37="Ginger Purchase"</formula>
    </cfRule>
  </conditionalFormatting>
  <conditionalFormatting sqref="B37 B39:B41 B43 B45:B86">
    <cfRule type="expression" dxfId="15027" priority="2954">
      <formula>$C37="Advance"</formula>
    </cfRule>
  </conditionalFormatting>
  <conditionalFormatting sqref="B37 B39:B41 B43 B45:B86">
    <cfRule type="expression" dxfId="15026" priority="2935">
      <formula>$C37="Delivery charge"</formula>
    </cfRule>
    <cfRule type="expression" dxfId="15025" priority="2936">
      <formula>$C37="Staff Salary"</formula>
    </cfRule>
    <cfRule type="expression" dxfId="15024" priority="2937">
      <formula>$C37="Rent"</formula>
    </cfRule>
    <cfRule type="expression" dxfId="15023" priority="2938">
      <formula>$C37="Petrol"</formula>
    </cfRule>
    <cfRule type="expression" dxfId="15022" priority="2939">
      <formula>$C37="Bills"</formula>
    </cfRule>
    <cfRule type="expression" dxfId="15021" priority="2940">
      <formula>$C37="Sales"</formula>
    </cfRule>
    <cfRule type="expression" dxfId="15020" priority="2941">
      <formula>$C37="Expences"</formula>
    </cfRule>
    <cfRule type="expression" dxfId="15019" priority="2942">
      <formula>$C37="Garlic Purchase"</formula>
    </cfRule>
    <cfRule type="expression" dxfId="15018" priority="2943">
      <formula>$C37="Ginger Purchase"</formula>
    </cfRule>
  </conditionalFormatting>
  <conditionalFormatting sqref="B37 B39:B41 B43 B45:B86">
    <cfRule type="expression" dxfId="15017" priority="2944">
      <formula>$C37="Advance"</formula>
    </cfRule>
  </conditionalFormatting>
  <conditionalFormatting sqref="B38 B40:B42 B44 B46:B50 B52 B54 B56 B58 B60 B62:B64 B66 B68:B69 B71:B72 B75:B76 B78:B79 B81:B82 B84 B86">
    <cfRule type="expression" dxfId="15016" priority="2925">
      <formula>$C38="Delivery charge"</formula>
    </cfRule>
    <cfRule type="expression" dxfId="15015" priority="2926">
      <formula>$C38="Staff Salary"</formula>
    </cfRule>
    <cfRule type="expression" dxfId="15014" priority="2927">
      <formula>$C38="Rent"</formula>
    </cfRule>
    <cfRule type="expression" dxfId="15013" priority="2928">
      <formula>$C38="Petrol"</formula>
    </cfRule>
    <cfRule type="expression" dxfId="15012" priority="2929">
      <formula>$C38="Bills"</formula>
    </cfRule>
    <cfRule type="expression" dxfId="15011" priority="2930">
      <formula>$C38="Sales"</formula>
    </cfRule>
    <cfRule type="expression" dxfId="15010" priority="2931">
      <formula>$C38="Expences"</formula>
    </cfRule>
    <cfRule type="expression" dxfId="15009" priority="2932">
      <formula>$C38="Garlic Purchase"</formula>
    </cfRule>
    <cfRule type="expression" dxfId="15008" priority="2933">
      <formula>$C38="Ginger Purchase"</formula>
    </cfRule>
  </conditionalFormatting>
  <conditionalFormatting sqref="B38 B40:B42 B44 B46:B50 B52 B54 B56 B58 B60 B62:B64 B66 B68:B69 B71:B72 B75:B76 B78:B79 B81:B82 B84 B86">
    <cfRule type="expression" dxfId="15007" priority="2934">
      <formula>$C38="Advance"</formula>
    </cfRule>
  </conditionalFormatting>
  <conditionalFormatting sqref="B37 B39:B41 B43 B45:B86">
    <cfRule type="expression" dxfId="15006" priority="2915">
      <formula>$C37="Delivery charge"</formula>
    </cfRule>
    <cfRule type="expression" dxfId="15005" priority="2916">
      <formula>$C37="Staff Salary"</formula>
    </cfRule>
    <cfRule type="expression" dxfId="15004" priority="2917">
      <formula>$C37="Rent"</formula>
    </cfRule>
    <cfRule type="expression" dxfId="15003" priority="2918">
      <formula>$C37="Petrol"</formula>
    </cfRule>
    <cfRule type="expression" dxfId="15002" priority="2919">
      <formula>$C37="Bills"</formula>
    </cfRule>
    <cfRule type="expression" dxfId="15001" priority="2920">
      <formula>$C37="Sales"</formula>
    </cfRule>
    <cfRule type="expression" dxfId="15000" priority="2921">
      <formula>$C37="Expences"</formula>
    </cfRule>
    <cfRule type="expression" dxfId="14999" priority="2922">
      <formula>$C37="Garlic Purchase"</formula>
    </cfRule>
    <cfRule type="expression" dxfId="14998" priority="2923">
      <formula>$C37="Ginger Purchase"</formula>
    </cfRule>
  </conditionalFormatting>
  <conditionalFormatting sqref="B37 B39:B41 B43 B45:B86">
    <cfRule type="expression" dxfId="14997" priority="2924">
      <formula>$C37="Advance"</formula>
    </cfRule>
  </conditionalFormatting>
  <conditionalFormatting sqref="B37 B39:B41 B43 B45:B86">
    <cfRule type="expression" dxfId="14996" priority="2905">
      <formula>$C37="Delivery charge"</formula>
    </cfRule>
    <cfRule type="expression" dxfId="14995" priority="2906">
      <formula>$C37="Staff Salary"</formula>
    </cfRule>
    <cfRule type="expression" dxfId="14994" priority="2907">
      <formula>$C37="Rent"</formula>
    </cfRule>
    <cfRule type="expression" dxfId="14993" priority="2908">
      <formula>$C37="Petrol"</formula>
    </cfRule>
    <cfRule type="expression" dxfId="14992" priority="2909">
      <formula>$C37="Bills"</formula>
    </cfRule>
    <cfRule type="expression" dxfId="14991" priority="2910">
      <formula>$C37="Sales"</formula>
    </cfRule>
    <cfRule type="expression" dxfId="14990" priority="2911">
      <formula>$C37="Expences"</formula>
    </cfRule>
    <cfRule type="expression" dxfId="14989" priority="2912">
      <formula>$C37="Garlic Purchase"</formula>
    </cfRule>
    <cfRule type="expression" dxfId="14988" priority="2913">
      <formula>$C37="Ginger Purchase"</formula>
    </cfRule>
  </conditionalFormatting>
  <conditionalFormatting sqref="B37 B39:B41 B43 B45:B86">
    <cfRule type="expression" dxfId="14987" priority="2914">
      <formula>$C37="Advance"</formula>
    </cfRule>
  </conditionalFormatting>
  <conditionalFormatting sqref="B37 B39:B41 B43 B45:B86">
    <cfRule type="expression" dxfId="14986" priority="2895">
      <formula>$C37="Delivery charge"</formula>
    </cfRule>
    <cfRule type="expression" dxfId="14985" priority="2896">
      <formula>$C37="Staff Salary"</formula>
    </cfRule>
    <cfRule type="expression" dxfId="14984" priority="2897">
      <formula>$C37="Rent"</formula>
    </cfRule>
    <cfRule type="expression" dxfId="14983" priority="2898">
      <formula>$C37="Petrol"</formula>
    </cfRule>
    <cfRule type="expression" dxfId="14982" priority="2899">
      <formula>$C37="Bills"</formula>
    </cfRule>
    <cfRule type="expression" dxfId="14981" priority="2900">
      <formula>$C37="Sales"</formula>
    </cfRule>
    <cfRule type="expression" dxfId="14980" priority="2901">
      <formula>$C37="Expences"</formula>
    </cfRule>
    <cfRule type="expression" dxfId="14979" priority="2902">
      <formula>$C37="Garlic Purchase"</formula>
    </cfRule>
    <cfRule type="expression" dxfId="14978" priority="2903">
      <formula>$C37="Ginger Purchase"</formula>
    </cfRule>
  </conditionalFormatting>
  <conditionalFormatting sqref="B37 B39:B41 B43 B45:B86">
    <cfRule type="expression" dxfId="14977" priority="2904">
      <formula>$C37="Advance"</formula>
    </cfRule>
  </conditionalFormatting>
  <conditionalFormatting sqref="B37 B39:B41 B43 B45:B86">
    <cfRule type="expression" dxfId="14976" priority="2885">
      <formula>$C37="Delivery charge"</formula>
    </cfRule>
    <cfRule type="expression" dxfId="14975" priority="2886">
      <formula>$C37="Staff Salary"</formula>
    </cfRule>
    <cfRule type="expression" dxfId="14974" priority="2887">
      <formula>$C37="Rent"</formula>
    </cfRule>
    <cfRule type="expression" dxfId="14973" priority="2888">
      <formula>$C37="Petrol"</formula>
    </cfRule>
    <cfRule type="expression" dxfId="14972" priority="2889">
      <formula>$C37="Bills"</formula>
    </cfRule>
    <cfRule type="expression" dxfId="14971" priority="2890">
      <formula>$C37="Sales"</formula>
    </cfRule>
    <cfRule type="expression" dxfId="14970" priority="2891">
      <formula>$C37="Expences"</formula>
    </cfRule>
    <cfRule type="expression" dxfId="14969" priority="2892">
      <formula>$C37="Garlic Purchase"</formula>
    </cfRule>
    <cfRule type="expression" dxfId="14968" priority="2893">
      <formula>$C37="Ginger Purchase"</formula>
    </cfRule>
  </conditionalFormatting>
  <conditionalFormatting sqref="B37 B39:B41 B43 B45:B86">
    <cfRule type="expression" dxfId="14967" priority="2894">
      <formula>$C37="Advance"</formula>
    </cfRule>
  </conditionalFormatting>
  <conditionalFormatting sqref="B38 B40:B42 B44 B46:B50 B52 B54 B56 B58 B60 B62:B64 B66 B68:B69 B71:B72 B75:B76 B78:B79 B81:B82 B84 B86">
    <cfRule type="expression" dxfId="14966" priority="2875">
      <formula>$C38="Delivery charge"</formula>
    </cfRule>
    <cfRule type="expression" dxfId="14965" priority="2876">
      <formula>$C38="Staff Salary"</formula>
    </cfRule>
    <cfRule type="expression" dxfId="14964" priority="2877">
      <formula>$C38="Rent"</formula>
    </cfRule>
    <cfRule type="expression" dxfId="14963" priority="2878">
      <formula>$C38="Petrol"</formula>
    </cfRule>
    <cfRule type="expression" dxfId="14962" priority="2879">
      <formula>$C38="Bills"</formula>
    </cfRule>
    <cfRule type="expression" dxfId="14961" priority="2880">
      <formula>$C38="Sales"</formula>
    </cfRule>
    <cfRule type="expression" dxfId="14960" priority="2881">
      <formula>$C38="Expences"</formula>
    </cfRule>
    <cfRule type="expression" dxfId="14959" priority="2882">
      <formula>$C38="Garlic Purchase"</formula>
    </cfRule>
    <cfRule type="expression" dxfId="14958" priority="2883">
      <formula>$C38="Ginger Purchase"</formula>
    </cfRule>
  </conditionalFormatting>
  <conditionalFormatting sqref="B38 B40:B42 B44 B46:B50 B52 B54 B56 B58 B60 B62:B64 B66 B68:B69 B71:B72 B75:B76 B78:B79 B81:B82 B84 B86">
    <cfRule type="expression" dxfId="14957" priority="2884">
      <formula>$C38="Advance"</formula>
    </cfRule>
  </conditionalFormatting>
  <conditionalFormatting sqref="B38 B40:B42 B44 B46:B50 B52 B54 B56 B58 B60 B62:B64 B66 B68:B69 B71:B72 B75:B76 B78:B79 B81:B82 B84 B86">
    <cfRule type="expression" dxfId="14956" priority="2865">
      <formula>$C38="Delivery charge"</formula>
    </cfRule>
    <cfRule type="expression" dxfId="14955" priority="2866">
      <formula>$C38="Staff Salary"</formula>
    </cfRule>
    <cfRule type="expression" dxfId="14954" priority="2867">
      <formula>$C38="Rent"</formula>
    </cfRule>
    <cfRule type="expression" dxfId="14953" priority="2868">
      <formula>$C38="Petrol"</formula>
    </cfRule>
    <cfRule type="expression" dxfId="14952" priority="2869">
      <formula>$C38="Bills"</formula>
    </cfRule>
    <cfRule type="expression" dxfId="14951" priority="2870">
      <formula>$C38="Sales"</formula>
    </cfRule>
    <cfRule type="expression" dxfId="14950" priority="2871">
      <formula>$C38="Expences"</formula>
    </cfRule>
    <cfRule type="expression" dxfId="14949" priority="2872">
      <formula>$C38="Garlic Purchase"</formula>
    </cfRule>
    <cfRule type="expression" dxfId="14948" priority="2873">
      <formula>$C38="Ginger Purchase"</formula>
    </cfRule>
  </conditionalFormatting>
  <conditionalFormatting sqref="B38 B40:B42 B44 B46:B50 B52 B54 B56 B58 B60 B62:B64 B66 B68:B69 B71:B72 B75:B76 B78:B79 B81:B82 B84 B86">
    <cfRule type="expression" dxfId="14947" priority="2874">
      <formula>$C38="Advance"</formula>
    </cfRule>
  </conditionalFormatting>
  <conditionalFormatting sqref="B38 B40:B42 B44 B46:B50 B52 B54 B56 B58 B60 B62:B64 B66 B68:B69 B71:B72 B75:B76 B78:B79 B81:B82 B84 B86">
    <cfRule type="expression" dxfId="14946" priority="2855">
      <formula>$C38="Delivery charge"</formula>
    </cfRule>
    <cfRule type="expression" dxfId="14945" priority="2856">
      <formula>$C38="Staff Salary"</formula>
    </cfRule>
    <cfRule type="expression" dxfId="14944" priority="2857">
      <formula>$C38="Rent"</formula>
    </cfRule>
    <cfRule type="expression" dxfId="14943" priority="2858">
      <formula>$C38="Petrol"</formula>
    </cfRule>
    <cfRule type="expression" dxfId="14942" priority="2859">
      <formula>$C38="Bills"</formula>
    </cfRule>
    <cfRule type="expression" dxfId="14941" priority="2860">
      <formula>$C38="Sales"</formula>
    </cfRule>
    <cfRule type="expression" dxfId="14940" priority="2861">
      <formula>$C38="Expences"</formula>
    </cfRule>
    <cfRule type="expression" dxfId="14939" priority="2862">
      <formula>$C38="Garlic Purchase"</formula>
    </cfRule>
    <cfRule type="expression" dxfId="14938" priority="2863">
      <formula>$C38="Ginger Purchase"</formula>
    </cfRule>
  </conditionalFormatting>
  <conditionalFormatting sqref="B38 B40:B42 B44 B46:B50 B52 B54 B56 B58 B60 B62:B64 B66 B68:B69 B71:B72 B75:B76 B78:B79 B81:B82 B84 B86">
    <cfRule type="expression" dxfId="14937" priority="2864">
      <formula>$C38="Advance"</formula>
    </cfRule>
  </conditionalFormatting>
  <conditionalFormatting sqref="B38 B40:B42 B44 B46:B50 B52 B54 B56 B58 B60 B62:B64 B66 B68:B69 B71:B72 B75:B76 B78:B79 B81:B82 B84 B86">
    <cfRule type="expression" dxfId="14936" priority="2845">
      <formula>$C38="Delivery charge"</formula>
    </cfRule>
    <cfRule type="expression" dxfId="14935" priority="2846">
      <formula>$C38="Staff Salary"</formula>
    </cfRule>
    <cfRule type="expression" dxfId="14934" priority="2847">
      <formula>$C38="Rent"</formula>
    </cfRule>
    <cfRule type="expression" dxfId="14933" priority="2848">
      <formula>$C38="Petrol"</formula>
    </cfRule>
    <cfRule type="expression" dxfId="14932" priority="2849">
      <formula>$C38="Bills"</formula>
    </cfRule>
    <cfRule type="expression" dxfId="14931" priority="2850">
      <formula>$C38="Sales"</formula>
    </cfRule>
    <cfRule type="expression" dxfId="14930" priority="2851">
      <formula>$C38="Expences"</formula>
    </cfRule>
    <cfRule type="expression" dxfId="14929" priority="2852">
      <formula>$C38="Garlic Purchase"</formula>
    </cfRule>
    <cfRule type="expression" dxfId="14928" priority="2853">
      <formula>$C38="Ginger Purchase"</formula>
    </cfRule>
  </conditionalFormatting>
  <conditionalFormatting sqref="B38 B40:B42 B44 B46:B50 B52 B54 B56 B58 B60 B62:B64 B66 B68:B69 B71:B72 B75:B76 B78:B79 B81:B82 B84 B86">
    <cfRule type="expression" dxfId="14927" priority="2854">
      <formula>$C38="Advance"</formula>
    </cfRule>
  </conditionalFormatting>
  <conditionalFormatting sqref="B37 B39:B41 B43 B45:B86">
    <cfRule type="expression" dxfId="14926" priority="2835">
      <formula>$C37="Delivery charge"</formula>
    </cfRule>
    <cfRule type="expression" dxfId="14925" priority="2836">
      <formula>$C37="Staff Salary"</formula>
    </cfRule>
    <cfRule type="expression" dxfId="14924" priority="2837">
      <formula>$C37="Rent"</formula>
    </cfRule>
    <cfRule type="expression" dxfId="14923" priority="2838">
      <formula>$C37="Petrol"</formula>
    </cfRule>
    <cfRule type="expression" dxfId="14922" priority="2839">
      <formula>$C37="Bills"</formula>
    </cfRule>
    <cfRule type="expression" dxfId="14921" priority="2840">
      <formula>$C37="Sales"</formula>
    </cfRule>
    <cfRule type="expression" dxfId="14920" priority="2841">
      <formula>$C37="Expences"</formula>
    </cfRule>
    <cfRule type="expression" dxfId="14919" priority="2842">
      <formula>$C37="Garlic Purchase"</formula>
    </cfRule>
    <cfRule type="expression" dxfId="14918" priority="2843">
      <formula>$C37="Ginger Purchase"</formula>
    </cfRule>
  </conditionalFormatting>
  <conditionalFormatting sqref="B37 B39:B41 B43 B45:B86">
    <cfRule type="expression" dxfId="14917" priority="2844">
      <formula>$C37="Advance"</formula>
    </cfRule>
  </conditionalFormatting>
  <conditionalFormatting sqref="B38 B40:B42 B44 B46:B50 B52 B54 B56 B58 B60 B62:B64 B66 B68:B69 B71:B72 B75:B76 B78:B79 B81:B82 B84 B86">
    <cfRule type="expression" dxfId="14916" priority="2825">
      <formula>$C38="Delivery charge"</formula>
    </cfRule>
    <cfRule type="expression" dxfId="14915" priority="2826">
      <formula>$C38="Staff Salary"</formula>
    </cfRule>
    <cfRule type="expression" dxfId="14914" priority="2827">
      <formula>$C38="Rent"</formula>
    </cfRule>
    <cfRule type="expression" dxfId="14913" priority="2828">
      <formula>$C38="Petrol"</formula>
    </cfRule>
    <cfRule type="expression" dxfId="14912" priority="2829">
      <formula>$C38="Bills"</formula>
    </cfRule>
    <cfRule type="expression" dxfId="14911" priority="2830">
      <formula>$C38="Sales"</formula>
    </cfRule>
    <cfRule type="expression" dxfId="14910" priority="2831">
      <formula>$C38="Expences"</formula>
    </cfRule>
    <cfRule type="expression" dxfId="14909" priority="2832">
      <formula>$C38="Garlic Purchase"</formula>
    </cfRule>
    <cfRule type="expression" dxfId="14908" priority="2833">
      <formula>$C38="Ginger Purchase"</formula>
    </cfRule>
  </conditionalFormatting>
  <conditionalFormatting sqref="B38 B40:B42 B44 B46:B50 B52 B54 B56 B58 B60 B62:B64 B66 B68:B69 B71:B72 B75:B76 B78:B79 B81:B82 B84 B86">
    <cfRule type="expression" dxfId="14907" priority="2834">
      <formula>$C38="Advance"</formula>
    </cfRule>
  </conditionalFormatting>
  <conditionalFormatting sqref="B38 B40:B42 B44 B46:B50 B52 B54 B56 B58 B60 B62:B64 B66 B68:B69 B71:B72 B75:B76 B78:B79 B81:B82 B84 B86">
    <cfRule type="expression" dxfId="14906" priority="2815">
      <formula>$C38="Delivery charge"</formula>
    </cfRule>
    <cfRule type="expression" dxfId="14905" priority="2816">
      <formula>$C38="Staff Salary"</formula>
    </cfRule>
    <cfRule type="expression" dxfId="14904" priority="2817">
      <formula>$C38="Rent"</formula>
    </cfRule>
    <cfRule type="expression" dxfId="14903" priority="2818">
      <formula>$C38="Petrol"</formula>
    </cfRule>
    <cfRule type="expression" dxfId="14902" priority="2819">
      <formula>$C38="Bills"</formula>
    </cfRule>
    <cfRule type="expression" dxfId="14901" priority="2820">
      <formula>$C38="Sales"</formula>
    </cfRule>
    <cfRule type="expression" dxfId="14900" priority="2821">
      <formula>$C38="Expences"</formula>
    </cfRule>
    <cfRule type="expression" dxfId="14899" priority="2822">
      <formula>$C38="Garlic Purchase"</formula>
    </cfRule>
    <cfRule type="expression" dxfId="14898" priority="2823">
      <formula>$C38="Ginger Purchase"</formula>
    </cfRule>
  </conditionalFormatting>
  <conditionalFormatting sqref="B38 B40:B42 B44 B46:B50 B52 B54 B56 B58 B60 B62:B64 B66 B68:B69 B71:B72 B75:B76 B78:B79 B81:B82 B84 B86">
    <cfRule type="expression" dxfId="14897" priority="2824">
      <formula>$C38="Advance"</formula>
    </cfRule>
  </conditionalFormatting>
  <conditionalFormatting sqref="B38 B40:B42 B44 B46:B50 B52 B54 B56 B58 B60 B62:B64 B66 B68:B69 B71:B72 B75:B76 B78:B79 B81:B82 B84 B86">
    <cfRule type="expression" dxfId="14896" priority="2805">
      <formula>$C38="Delivery charge"</formula>
    </cfRule>
    <cfRule type="expression" dxfId="14895" priority="2806">
      <formula>$C38="Staff Salary"</formula>
    </cfRule>
    <cfRule type="expression" dxfId="14894" priority="2807">
      <formula>$C38="Rent"</formula>
    </cfRule>
    <cfRule type="expression" dxfId="14893" priority="2808">
      <formula>$C38="Petrol"</formula>
    </cfRule>
    <cfRule type="expression" dxfId="14892" priority="2809">
      <formula>$C38="Bills"</formula>
    </cfRule>
    <cfRule type="expression" dxfId="14891" priority="2810">
      <formula>$C38="Sales"</formula>
    </cfRule>
    <cfRule type="expression" dxfId="14890" priority="2811">
      <formula>$C38="Expences"</formula>
    </cfRule>
    <cfRule type="expression" dxfId="14889" priority="2812">
      <formula>$C38="Garlic Purchase"</formula>
    </cfRule>
    <cfRule type="expression" dxfId="14888" priority="2813">
      <formula>$C38="Ginger Purchase"</formula>
    </cfRule>
  </conditionalFormatting>
  <conditionalFormatting sqref="B38 B40:B42 B44 B46:B50 B52 B54 B56 B58 B60 B62:B64 B66 B68:B69 B71:B72 B75:B76 B78:B79 B81:B82 B84 B86">
    <cfRule type="expression" dxfId="14887" priority="2814">
      <formula>$C38="Advance"</formula>
    </cfRule>
  </conditionalFormatting>
  <conditionalFormatting sqref="B38 B40:B42 B44 B46:B50 B52 B54 B56 B58 B60 B62:B64 B66 B68:B69 B71:B72 B75:B76 B78:B79 B81:B82 B84 B86">
    <cfRule type="expression" dxfId="14886" priority="2795">
      <formula>$C38="Delivery charge"</formula>
    </cfRule>
    <cfRule type="expression" dxfId="14885" priority="2796">
      <formula>$C38="Staff Salary"</formula>
    </cfRule>
    <cfRule type="expression" dxfId="14884" priority="2797">
      <formula>$C38="Rent"</formula>
    </cfRule>
    <cfRule type="expression" dxfId="14883" priority="2798">
      <formula>$C38="Petrol"</formula>
    </cfRule>
    <cfRule type="expression" dxfId="14882" priority="2799">
      <formula>$C38="Bills"</formula>
    </cfRule>
    <cfRule type="expression" dxfId="14881" priority="2800">
      <formula>$C38="Sales"</formula>
    </cfRule>
    <cfRule type="expression" dxfId="14880" priority="2801">
      <formula>$C38="Expences"</formula>
    </cfRule>
    <cfRule type="expression" dxfId="14879" priority="2802">
      <formula>$C38="Garlic Purchase"</formula>
    </cfRule>
    <cfRule type="expression" dxfId="14878" priority="2803">
      <formula>$C38="Ginger Purchase"</formula>
    </cfRule>
  </conditionalFormatting>
  <conditionalFormatting sqref="B38 B40:B42 B44 B46:B50 B52 B54 B56 B58 B60 B62:B64 B66 B68:B69 B71:B72 B75:B76 B78:B79 B81:B82 B84 B86">
    <cfRule type="expression" dxfId="14877" priority="2804">
      <formula>$C38="Advance"</formula>
    </cfRule>
  </conditionalFormatting>
  <conditionalFormatting sqref="B38 B40:B42 B44 B46:B50 B52 B54 B56 B58 B60 B62:B64 B66 B68:B69 B71:B72 B75:B76 B78:B79 B81:B82 B84 B86">
    <cfRule type="expression" dxfId="14876" priority="2785">
      <formula>$C38="Delivery charge"</formula>
    </cfRule>
    <cfRule type="expression" dxfId="14875" priority="2786">
      <formula>$C38="Staff Salary"</formula>
    </cfRule>
    <cfRule type="expression" dxfId="14874" priority="2787">
      <formula>$C38="Rent"</formula>
    </cfRule>
    <cfRule type="expression" dxfId="14873" priority="2788">
      <formula>$C38="Petrol"</formula>
    </cfRule>
    <cfRule type="expression" dxfId="14872" priority="2789">
      <formula>$C38="Bills"</formula>
    </cfRule>
    <cfRule type="expression" dxfId="14871" priority="2790">
      <formula>$C38="Sales"</formula>
    </cfRule>
    <cfRule type="expression" dxfId="14870" priority="2791">
      <formula>$C38="Expences"</formula>
    </cfRule>
    <cfRule type="expression" dxfId="14869" priority="2792">
      <formula>$C38="Garlic Purchase"</formula>
    </cfRule>
    <cfRule type="expression" dxfId="14868" priority="2793">
      <formula>$C38="Ginger Purchase"</formula>
    </cfRule>
  </conditionalFormatting>
  <conditionalFormatting sqref="B38 B40:B42 B44 B46:B50 B52 B54 B56 B58 B60 B62:B64 B66 B68:B69 B71:B72 B75:B76 B78:B79 B81:B82 B84 B86">
    <cfRule type="expression" dxfId="14867" priority="2794">
      <formula>$C38="Advance"</formula>
    </cfRule>
  </conditionalFormatting>
  <conditionalFormatting sqref="B37 B39:B41 B43 B45:B86">
    <cfRule type="expression" dxfId="14866" priority="2775">
      <formula>$C37="Delivery charge"</formula>
    </cfRule>
    <cfRule type="expression" dxfId="14865" priority="2776">
      <formula>$C37="Staff Salary"</formula>
    </cfRule>
    <cfRule type="expression" dxfId="14864" priority="2777">
      <formula>$C37="Rent"</formula>
    </cfRule>
    <cfRule type="expression" dxfId="14863" priority="2778">
      <formula>$C37="Petrol"</formula>
    </cfRule>
    <cfRule type="expression" dxfId="14862" priority="2779">
      <formula>$C37="Bills"</formula>
    </cfRule>
    <cfRule type="expression" dxfId="14861" priority="2780">
      <formula>$C37="Sales"</formula>
    </cfRule>
    <cfRule type="expression" dxfId="14860" priority="2781">
      <formula>$C37="Expences"</formula>
    </cfRule>
    <cfRule type="expression" dxfId="14859" priority="2782">
      <formula>$C37="Garlic Purchase"</formula>
    </cfRule>
    <cfRule type="expression" dxfId="14858" priority="2783">
      <formula>$C37="Ginger Purchase"</formula>
    </cfRule>
  </conditionalFormatting>
  <conditionalFormatting sqref="B37 B39:B41 B43 B45:B86">
    <cfRule type="expression" dxfId="14857" priority="2784">
      <formula>$C37="Advance"</formula>
    </cfRule>
  </conditionalFormatting>
  <conditionalFormatting sqref="B37 B39:B41 B43 B45:B86">
    <cfRule type="expression" dxfId="14856" priority="2765">
      <formula>$C37="Delivery charge"</formula>
    </cfRule>
    <cfRule type="expression" dxfId="14855" priority="2766">
      <formula>$C37="Staff Salary"</formula>
    </cfRule>
    <cfRule type="expression" dxfId="14854" priority="2767">
      <formula>$C37="Rent"</formula>
    </cfRule>
    <cfRule type="expression" dxfId="14853" priority="2768">
      <formula>$C37="Petrol"</formula>
    </cfRule>
    <cfRule type="expression" dxfId="14852" priority="2769">
      <formula>$C37="Bills"</formula>
    </cfRule>
    <cfRule type="expression" dxfId="14851" priority="2770">
      <formula>$C37="Sales"</formula>
    </cfRule>
    <cfRule type="expression" dxfId="14850" priority="2771">
      <formula>$C37="Expences"</formula>
    </cfRule>
    <cfRule type="expression" dxfId="14849" priority="2772">
      <formula>$C37="Garlic Purchase"</formula>
    </cfRule>
    <cfRule type="expression" dxfId="14848" priority="2773">
      <formula>$C37="Ginger Purchase"</formula>
    </cfRule>
  </conditionalFormatting>
  <conditionalFormatting sqref="B37 B39:B41 B43 B45:B86">
    <cfRule type="expression" dxfId="14847" priority="2774">
      <formula>$C37="Advance"</formula>
    </cfRule>
  </conditionalFormatting>
  <conditionalFormatting sqref="B37 B39:B41 B43 B45:B86">
    <cfRule type="expression" dxfId="14846" priority="2755">
      <formula>$C37="Delivery charge"</formula>
    </cfRule>
    <cfRule type="expression" dxfId="14845" priority="2756">
      <formula>$C37="Staff Salary"</formula>
    </cfRule>
    <cfRule type="expression" dxfId="14844" priority="2757">
      <formula>$C37="Rent"</formula>
    </cfRule>
    <cfRule type="expression" dxfId="14843" priority="2758">
      <formula>$C37="Petrol"</formula>
    </cfRule>
    <cfRule type="expression" dxfId="14842" priority="2759">
      <formula>$C37="Bills"</formula>
    </cfRule>
    <cfRule type="expression" dxfId="14841" priority="2760">
      <formula>$C37="Sales"</formula>
    </cfRule>
    <cfRule type="expression" dxfId="14840" priority="2761">
      <formula>$C37="Expences"</formula>
    </cfRule>
    <cfRule type="expression" dxfId="14839" priority="2762">
      <formula>$C37="Garlic Purchase"</formula>
    </cfRule>
    <cfRule type="expression" dxfId="14838" priority="2763">
      <formula>$C37="Ginger Purchase"</formula>
    </cfRule>
  </conditionalFormatting>
  <conditionalFormatting sqref="B37 B39:B41 B43 B45:B86">
    <cfRule type="expression" dxfId="14837" priority="2764">
      <formula>$C37="Advance"</formula>
    </cfRule>
  </conditionalFormatting>
  <conditionalFormatting sqref="B37 B39:B41 B43 B45:B86">
    <cfRule type="expression" dxfId="14836" priority="2745">
      <formula>$C37="Delivery charge"</formula>
    </cfRule>
    <cfRule type="expression" dxfId="14835" priority="2746">
      <formula>$C37="Staff Salary"</formula>
    </cfRule>
    <cfRule type="expression" dxfId="14834" priority="2747">
      <formula>$C37="Rent"</formula>
    </cfRule>
    <cfRule type="expression" dxfId="14833" priority="2748">
      <formula>$C37="Petrol"</formula>
    </cfRule>
    <cfRule type="expression" dxfId="14832" priority="2749">
      <formula>$C37="Bills"</formula>
    </cfRule>
    <cfRule type="expression" dxfId="14831" priority="2750">
      <formula>$C37="Sales"</formula>
    </cfRule>
    <cfRule type="expression" dxfId="14830" priority="2751">
      <formula>$C37="Expences"</formula>
    </cfRule>
    <cfRule type="expression" dxfId="14829" priority="2752">
      <formula>$C37="Garlic Purchase"</formula>
    </cfRule>
    <cfRule type="expression" dxfId="14828" priority="2753">
      <formula>$C37="Ginger Purchase"</formula>
    </cfRule>
  </conditionalFormatting>
  <conditionalFormatting sqref="B37 B39:B41 B43 B45:B86">
    <cfRule type="expression" dxfId="14827" priority="2754">
      <formula>$C37="Advance"</formula>
    </cfRule>
  </conditionalFormatting>
  <conditionalFormatting sqref="B37 B39:B41 B43 B45:B86">
    <cfRule type="expression" dxfId="14826" priority="2735">
      <formula>$C37="Delivery charge"</formula>
    </cfRule>
    <cfRule type="expression" dxfId="14825" priority="2736">
      <formula>$C37="Staff Salary"</formula>
    </cfRule>
    <cfRule type="expression" dxfId="14824" priority="2737">
      <formula>$C37="Rent"</formula>
    </cfRule>
    <cfRule type="expression" dxfId="14823" priority="2738">
      <formula>$C37="Petrol"</formula>
    </cfRule>
    <cfRule type="expression" dxfId="14822" priority="2739">
      <formula>$C37="Bills"</formula>
    </cfRule>
    <cfRule type="expression" dxfId="14821" priority="2740">
      <formula>$C37="Sales"</formula>
    </cfRule>
    <cfRule type="expression" dxfId="14820" priority="2741">
      <formula>$C37="Expences"</formula>
    </cfRule>
    <cfRule type="expression" dxfId="14819" priority="2742">
      <formula>$C37="Garlic Purchase"</formula>
    </cfRule>
    <cfRule type="expression" dxfId="14818" priority="2743">
      <formula>$C37="Ginger Purchase"</formula>
    </cfRule>
  </conditionalFormatting>
  <conditionalFormatting sqref="B37 B39:B41 B43 B45:B86">
    <cfRule type="expression" dxfId="14817" priority="2744">
      <formula>$C37="Advance"</formula>
    </cfRule>
  </conditionalFormatting>
  <conditionalFormatting sqref="B38 B40:B42 B44 B46:B50 B52 B54 B56 B58 B60 B62:B64 B66 B68:B69 B71:B72 B75:B76 B78:B79 B81:B82 B84 B86">
    <cfRule type="expression" dxfId="14816" priority="2725">
      <formula>$C38="Delivery charge"</formula>
    </cfRule>
    <cfRule type="expression" dxfId="14815" priority="2726">
      <formula>$C38="Staff Salary"</formula>
    </cfRule>
    <cfRule type="expression" dxfId="14814" priority="2727">
      <formula>$C38="Rent"</formula>
    </cfRule>
    <cfRule type="expression" dxfId="14813" priority="2728">
      <formula>$C38="Petrol"</formula>
    </cfRule>
    <cfRule type="expression" dxfId="14812" priority="2729">
      <formula>$C38="Bills"</formula>
    </cfRule>
    <cfRule type="expression" dxfId="14811" priority="2730">
      <formula>$C38="Sales"</formula>
    </cfRule>
    <cfRule type="expression" dxfId="14810" priority="2731">
      <formula>$C38="Expences"</formula>
    </cfRule>
    <cfRule type="expression" dxfId="14809" priority="2732">
      <formula>$C38="Garlic Purchase"</formula>
    </cfRule>
    <cfRule type="expression" dxfId="14808" priority="2733">
      <formula>$C38="Ginger Purchase"</formula>
    </cfRule>
  </conditionalFormatting>
  <conditionalFormatting sqref="B37 B39:B41 B43 B45:B86">
    <cfRule type="expression" dxfId="14807" priority="2715">
      <formula>$C37="Delivery charge"</formula>
    </cfRule>
    <cfRule type="expression" dxfId="14806" priority="2716">
      <formula>$C37="Staff Salary"</formula>
    </cfRule>
    <cfRule type="expression" dxfId="14805" priority="2717">
      <formula>$C37="Rent"</formula>
    </cfRule>
    <cfRule type="expression" dxfId="14804" priority="2718">
      <formula>$C37="Petrol"</formula>
    </cfRule>
    <cfRule type="expression" dxfId="14803" priority="2719">
      <formula>$C37="Bills"</formula>
    </cfRule>
    <cfRule type="expression" dxfId="14802" priority="2720">
      <formula>$C37="Sales"</formula>
    </cfRule>
    <cfRule type="expression" dxfId="14801" priority="2721">
      <formula>$C37="Expences"</formula>
    </cfRule>
    <cfRule type="expression" dxfId="14800" priority="2722">
      <formula>$C37="Garlic Purchase"</formula>
    </cfRule>
    <cfRule type="expression" dxfId="14799" priority="2723">
      <formula>$C37="Ginger Purchase"</formula>
    </cfRule>
  </conditionalFormatting>
  <conditionalFormatting sqref="B37 B39:B41 B43 B45:B86">
    <cfRule type="expression" dxfId="14798" priority="2724">
      <formula>$C37="Advance"</formula>
    </cfRule>
  </conditionalFormatting>
  <conditionalFormatting sqref="B37 B39:B41 B43 B45:B86">
    <cfRule type="expression" dxfId="14797" priority="2705">
      <formula>$C37="Delivery charge"</formula>
    </cfRule>
    <cfRule type="expression" dxfId="14796" priority="2706">
      <formula>$C37="Staff Salary"</formula>
    </cfRule>
    <cfRule type="expression" dxfId="14795" priority="2707">
      <formula>$C37="Rent"</formula>
    </cfRule>
    <cfRule type="expression" dxfId="14794" priority="2708">
      <formula>$C37="Petrol"</formula>
    </cfRule>
    <cfRule type="expression" dxfId="14793" priority="2709">
      <formula>$C37="Bills"</formula>
    </cfRule>
    <cfRule type="expression" dxfId="14792" priority="2710">
      <formula>$C37="Sales"</formula>
    </cfRule>
    <cfRule type="expression" dxfId="14791" priority="2711">
      <formula>$C37="Expences"</formula>
    </cfRule>
    <cfRule type="expression" dxfId="14790" priority="2712">
      <formula>$C37="Garlic Purchase"</formula>
    </cfRule>
    <cfRule type="expression" dxfId="14789" priority="2713">
      <formula>$C37="Ginger Purchase"</formula>
    </cfRule>
  </conditionalFormatting>
  <conditionalFormatting sqref="B37 B39:B41 B43 B45:B86">
    <cfRule type="expression" dxfId="14788" priority="2714">
      <formula>$C37="Advance"</formula>
    </cfRule>
  </conditionalFormatting>
  <conditionalFormatting sqref="B37 B39:B41 B43 B45:B86">
    <cfRule type="expression" dxfId="14787" priority="2695">
      <formula>$C37="Delivery charge"</formula>
    </cfRule>
    <cfRule type="expression" dxfId="14786" priority="2696">
      <formula>$C37="Staff Salary"</formula>
    </cfRule>
    <cfRule type="expression" dxfId="14785" priority="2697">
      <formula>$C37="Rent"</formula>
    </cfRule>
    <cfRule type="expression" dxfId="14784" priority="2698">
      <formula>$C37="Petrol"</formula>
    </cfRule>
    <cfRule type="expression" dxfId="14783" priority="2699">
      <formula>$C37="Bills"</formula>
    </cfRule>
    <cfRule type="expression" dxfId="14782" priority="2700">
      <formula>$C37="Sales"</formula>
    </cfRule>
    <cfRule type="expression" dxfId="14781" priority="2701">
      <formula>$C37="Expences"</formula>
    </cfRule>
    <cfRule type="expression" dxfId="14780" priority="2702">
      <formula>$C37="Garlic Purchase"</formula>
    </cfRule>
    <cfRule type="expression" dxfId="14779" priority="2703">
      <formula>$C37="Ginger Purchase"</formula>
    </cfRule>
  </conditionalFormatting>
  <conditionalFormatting sqref="B37 B39:B41 B43 B45:B86">
    <cfRule type="expression" dxfId="14778" priority="2704">
      <formula>$C37="Advance"</formula>
    </cfRule>
  </conditionalFormatting>
  <conditionalFormatting sqref="B37 B39:B41 B43 B45:B86">
    <cfRule type="expression" dxfId="14777" priority="2685">
      <formula>$C37="Delivery charge"</formula>
    </cfRule>
    <cfRule type="expression" dxfId="14776" priority="2686">
      <formula>$C37="Staff Salary"</formula>
    </cfRule>
    <cfRule type="expression" dxfId="14775" priority="2687">
      <formula>$C37="Rent"</formula>
    </cfRule>
    <cfRule type="expression" dxfId="14774" priority="2688">
      <formula>$C37="Petrol"</formula>
    </cfRule>
    <cfRule type="expression" dxfId="14773" priority="2689">
      <formula>$C37="Bills"</formula>
    </cfRule>
    <cfRule type="expression" dxfId="14772" priority="2690">
      <formula>$C37="Sales"</formula>
    </cfRule>
    <cfRule type="expression" dxfId="14771" priority="2691">
      <formula>$C37="Expences"</formula>
    </cfRule>
    <cfRule type="expression" dxfId="14770" priority="2692">
      <formula>$C37="Garlic Purchase"</formula>
    </cfRule>
    <cfRule type="expression" dxfId="14769" priority="2693">
      <formula>$C37="Ginger Purchase"</formula>
    </cfRule>
  </conditionalFormatting>
  <conditionalFormatting sqref="B37 B39:B41 B43 B45:B86">
    <cfRule type="expression" dxfId="14768" priority="2694">
      <formula>$C37="Advance"</formula>
    </cfRule>
  </conditionalFormatting>
  <conditionalFormatting sqref="B37 B39:B41 B43 B45:B86">
    <cfRule type="expression" dxfId="14767" priority="2675">
      <formula>$C37="Delivery charge"</formula>
    </cfRule>
    <cfRule type="expression" dxfId="14766" priority="2676">
      <formula>$C37="Staff Salary"</formula>
    </cfRule>
    <cfRule type="expression" dxfId="14765" priority="2677">
      <formula>$C37="Rent"</formula>
    </cfRule>
    <cfRule type="expression" dxfId="14764" priority="2678">
      <formula>$C37="Petrol"</formula>
    </cfRule>
    <cfRule type="expression" dxfId="14763" priority="2679">
      <formula>$C37="Bills"</formula>
    </cfRule>
    <cfRule type="expression" dxfId="14762" priority="2680">
      <formula>$C37="Sales"</formula>
    </cfRule>
    <cfRule type="expression" dxfId="14761" priority="2681">
      <formula>$C37="Expences"</formula>
    </cfRule>
    <cfRule type="expression" dxfId="14760" priority="2682">
      <formula>$C37="Garlic Purchase"</formula>
    </cfRule>
    <cfRule type="expression" dxfId="14759" priority="2683">
      <formula>$C37="Ginger Purchase"</formula>
    </cfRule>
  </conditionalFormatting>
  <conditionalFormatting sqref="B37 B39:B41 B43 B45:B86">
    <cfRule type="expression" dxfId="14758" priority="2684">
      <formula>$C37="Advance"</formula>
    </cfRule>
  </conditionalFormatting>
  <conditionalFormatting sqref="B37 B39:B41 B43 B45:B86">
    <cfRule type="expression" dxfId="14757" priority="2665">
      <formula>$C37="Delivery charge"</formula>
    </cfRule>
    <cfRule type="expression" dxfId="14756" priority="2666">
      <formula>$C37="Staff Salary"</formula>
    </cfRule>
    <cfRule type="expression" dxfId="14755" priority="2667">
      <formula>$C37="Rent"</formula>
    </cfRule>
    <cfRule type="expression" dxfId="14754" priority="2668">
      <formula>$C37="Petrol"</formula>
    </cfRule>
    <cfRule type="expression" dxfId="14753" priority="2669">
      <formula>$C37="Bills"</formula>
    </cfRule>
    <cfRule type="expression" dxfId="14752" priority="2670">
      <formula>$C37="Sales"</formula>
    </cfRule>
    <cfRule type="expression" dxfId="14751" priority="2671">
      <formula>$C37="Expences"</formula>
    </cfRule>
    <cfRule type="expression" dxfId="14750" priority="2672">
      <formula>$C37="Garlic Purchase"</formula>
    </cfRule>
    <cfRule type="expression" dxfId="14749" priority="2673">
      <formula>$C37="Ginger Purchase"</formula>
    </cfRule>
  </conditionalFormatting>
  <conditionalFormatting sqref="B37 B39:B41 B43 B45:B86">
    <cfRule type="expression" dxfId="14748" priority="2674">
      <formula>$C37="Advance"</formula>
    </cfRule>
  </conditionalFormatting>
  <conditionalFormatting sqref="B37 B39:B41 B43 B45:B86">
    <cfRule type="expression" dxfId="14747" priority="2655">
      <formula>$C37="Delivery charge"</formula>
    </cfRule>
    <cfRule type="expression" dxfId="14746" priority="2656">
      <formula>$C37="Staff Salary"</formula>
    </cfRule>
    <cfRule type="expression" dxfId="14745" priority="2657">
      <formula>$C37="Rent"</formula>
    </cfRule>
    <cfRule type="expression" dxfId="14744" priority="2658">
      <formula>$C37="Petrol"</formula>
    </cfRule>
    <cfRule type="expression" dxfId="14743" priority="2659">
      <formula>$C37="Bills"</formula>
    </cfRule>
    <cfRule type="expression" dxfId="14742" priority="2660">
      <formula>$C37="Sales"</formula>
    </cfRule>
    <cfRule type="expression" dxfId="14741" priority="2661">
      <formula>$C37="Expences"</formula>
    </cfRule>
    <cfRule type="expression" dxfId="14740" priority="2662">
      <formula>$C37="Garlic Purchase"</formula>
    </cfRule>
    <cfRule type="expression" dxfId="14739" priority="2663">
      <formula>$C37="Ginger Purchase"</formula>
    </cfRule>
  </conditionalFormatting>
  <conditionalFormatting sqref="B37 B39:B41 B43 B45:B86">
    <cfRule type="expression" dxfId="14738" priority="2664">
      <formula>$C37="Advance"</formula>
    </cfRule>
  </conditionalFormatting>
  <conditionalFormatting sqref="B37 B39:B41 B43 B45:B86">
    <cfRule type="expression" dxfId="14737" priority="2645">
      <formula>$C37="Delivery charge"</formula>
    </cfRule>
    <cfRule type="expression" dxfId="14736" priority="2646">
      <formula>$C37="Staff Salary"</formula>
    </cfRule>
    <cfRule type="expression" dxfId="14735" priority="2647">
      <formula>$C37="Rent"</formula>
    </cfRule>
    <cfRule type="expression" dxfId="14734" priority="2648">
      <formula>$C37="Petrol"</formula>
    </cfRule>
    <cfRule type="expression" dxfId="14733" priority="2649">
      <formula>$C37="Bills"</formula>
    </cfRule>
    <cfRule type="expression" dxfId="14732" priority="2650">
      <formula>$C37="Sales"</formula>
    </cfRule>
    <cfRule type="expression" dxfId="14731" priority="2651">
      <formula>$C37="Expences"</formula>
    </cfRule>
    <cfRule type="expression" dxfId="14730" priority="2652">
      <formula>$C37="Garlic Purchase"</formula>
    </cfRule>
    <cfRule type="expression" dxfId="14729" priority="2653">
      <formula>$C37="Ginger Purchase"</formula>
    </cfRule>
  </conditionalFormatting>
  <conditionalFormatting sqref="B37 B39:B41 B43 B45:B86">
    <cfRule type="expression" dxfId="14728" priority="2654">
      <formula>$C37="Advance"</formula>
    </cfRule>
  </conditionalFormatting>
  <conditionalFormatting sqref="B37 B39:B41 B43 B45:B86">
    <cfRule type="expression" dxfId="14727" priority="2635">
      <formula>$C37="Delivery charge"</formula>
    </cfRule>
    <cfRule type="expression" dxfId="14726" priority="2636">
      <formula>$C37="Staff Salary"</formula>
    </cfRule>
    <cfRule type="expression" dxfId="14725" priority="2637">
      <formula>$C37="Rent"</formula>
    </cfRule>
    <cfRule type="expression" dxfId="14724" priority="2638">
      <formula>$C37="Petrol"</formula>
    </cfRule>
    <cfRule type="expression" dxfId="14723" priority="2639">
      <formula>$C37="Bills"</formula>
    </cfRule>
    <cfRule type="expression" dxfId="14722" priority="2640">
      <formula>$C37="Sales"</formula>
    </cfRule>
    <cfRule type="expression" dxfId="14721" priority="2641">
      <formula>$C37="Expences"</formula>
    </cfRule>
    <cfRule type="expression" dxfId="14720" priority="2642">
      <formula>$C37="Garlic Purchase"</formula>
    </cfRule>
    <cfRule type="expression" dxfId="14719" priority="2643">
      <formula>$C37="Ginger Purchase"</formula>
    </cfRule>
  </conditionalFormatting>
  <conditionalFormatting sqref="B37 B39:B41 B43 B45:B86">
    <cfRule type="expression" dxfId="14718" priority="2644">
      <formula>$C37="Advance"</formula>
    </cfRule>
  </conditionalFormatting>
  <conditionalFormatting sqref="B38 B40:B42 B44 B46:B50 B52 B54 B56 B58 B60 B62:B64 B66 B68:B69 B71:B72 B75:B76 B78:B79 B81:B82 B84 B86">
    <cfRule type="expression" dxfId="14717" priority="2634">
      <formula>$C38="Advance"</formula>
    </cfRule>
  </conditionalFormatting>
  <conditionalFormatting sqref="B38 B40:B42 B44 B46:B50 B52 B54 B56 B58 B60 B62:B64 B66 B68:B69 B71:B72 B75:B76 B78:B79 B81:B82 B84 B86">
    <cfRule type="expression" dxfId="14716" priority="2625">
      <formula>$C38="Delivery charge"</formula>
    </cfRule>
    <cfRule type="expression" dxfId="14715" priority="2626">
      <formula>$C38="Staff Salary"</formula>
    </cfRule>
    <cfRule type="expression" dxfId="14714" priority="2627">
      <formula>$C38="Rent"</formula>
    </cfRule>
    <cfRule type="expression" dxfId="14713" priority="2628">
      <formula>$C38="Petrol"</formula>
    </cfRule>
    <cfRule type="expression" dxfId="14712" priority="2629">
      <formula>$C38="Bills"</formula>
    </cfRule>
    <cfRule type="expression" dxfId="14711" priority="2630">
      <formula>$C38="Sales"</formula>
    </cfRule>
    <cfRule type="expression" dxfId="14710" priority="2631">
      <formula>$C38="Expences"</formula>
    </cfRule>
    <cfRule type="expression" dxfId="14709" priority="2632">
      <formula>$C38="Garlic Purchase"</formula>
    </cfRule>
    <cfRule type="expression" dxfId="14708" priority="2633">
      <formula>$C38="Ginger Purchase"</formula>
    </cfRule>
  </conditionalFormatting>
  <conditionalFormatting sqref="B39">
    <cfRule type="expression" dxfId="14707" priority="2615">
      <formula>$C39="Delivery charge"</formula>
    </cfRule>
    <cfRule type="expression" dxfId="14706" priority="2616">
      <formula>$C39="Staff Salary"</formula>
    </cfRule>
    <cfRule type="expression" dxfId="14705" priority="2617">
      <formula>$C39="Rent"</formula>
    </cfRule>
    <cfRule type="expression" dxfId="14704" priority="2618">
      <formula>$C39="Petrol"</formula>
    </cfRule>
    <cfRule type="expression" dxfId="14703" priority="2619">
      <formula>$C39="Bills"</formula>
    </cfRule>
    <cfRule type="expression" dxfId="14702" priority="2620">
      <formula>$C39="Sales"</formula>
    </cfRule>
    <cfRule type="expression" dxfId="14701" priority="2621">
      <formula>$C39="Expences"</formula>
    </cfRule>
    <cfRule type="expression" dxfId="14700" priority="2622">
      <formula>$C39="Garlic Purchase"</formula>
    </cfRule>
    <cfRule type="expression" dxfId="14699" priority="2623">
      <formula>$C39="Ginger Purchase"</formula>
    </cfRule>
  </conditionalFormatting>
  <conditionalFormatting sqref="B39">
    <cfRule type="expression" dxfId="14698" priority="2624">
      <formula>$C39="Advance"</formula>
    </cfRule>
  </conditionalFormatting>
  <conditionalFormatting sqref="B39">
    <cfRule type="expression" dxfId="14697" priority="2605">
      <formula>$C39="Delivery charge"</formula>
    </cfRule>
    <cfRule type="expression" dxfId="14696" priority="2606">
      <formula>$C39="Staff Salary"</formula>
    </cfRule>
    <cfRule type="expression" dxfId="14695" priority="2607">
      <formula>$C39="Rent"</formula>
    </cfRule>
    <cfRule type="expression" dxfId="14694" priority="2608">
      <formula>$C39="Petrol"</formula>
    </cfRule>
    <cfRule type="expression" dxfId="14693" priority="2609">
      <formula>$C39="Bills"</formula>
    </cfRule>
    <cfRule type="expression" dxfId="14692" priority="2610">
      <formula>$C39="Sales"</formula>
    </cfRule>
    <cfRule type="expression" dxfId="14691" priority="2611">
      <formula>$C39="Expences"</formula>
    </cfRule>
    <cfRule type="expression" dxfId="14690" priority="2612">
      <formula>$C39="Garlic Purchase"</formula>
    </cfRule>
    <cfRule type="expression" dxfId="14689" priority="2613">
      <formula>$C39="Ginger Purchase"</formula>
    </cfRule>
  </conditionalFormatting>
  <conditionalFormatting sqref="B39">
    <cfRule type="expression" dxfId="14688" priority="2614">
      <formula>$C39="Advance"</formula>
    </cfRule>
  </conditionalFormatting>
  <conditionalFormatting sqref="B39">
    <cfRule type="expression" dxfId="14687" priority="2595">
      <formula>$C39="Delivery charge"</formula>
    </cfRule>
    <cfRule type="expression" dxfId="14686" priority="2596">
      <formula>$C39="Staff Salary"</formula>
    </cfRule>
    <cfRule type="expression" dxfId="14685" priority="2597">
      <formula>$C39="Rent"</formula>
    </cfRule>
    <cfRule type="expression" dxfId="14684" priority="2598">
      <formula>$C39="Petrol"</formula>
    </cfRule>
    <cfRule type="expression" dxfId="14683" priority="2599">
      <formula>$C39="Bills"</formula>
    </cfRule>
    <cfRule type="expression" dxfId="14682" priority="2600">
      <formula>$C39="Sales"</formula>
    </cfRule>
    <cfRule type="expression" dxfId="14681" priority="2601">
      <formula>$C39="Expences"</formula>
    </cfRule>
    <cfRule type="expression" dxfId="14680" priority="2602">
      <formula>$C39="Garlic Purchase"</formula>
    </cfRule>
    <cfRule type="expression" dxfId="14679" priority="2603">
      <formula>$C39="Ginger Purchase"</formula>
    </cfRule>
  </conditionalFormatting>
  <conditionalFormatting sqref="B39">
    <cfRule type="expression" dxfId="14678" priority="2604">
      <formula>$C39="Advance"</formula>
    </cfRule>
  </conditionalFormatting>
  <conditionalFormatting sqref="B39">
    <cfRule type="expression" dxfId="14677" priority="2585">
      <formula>$C39="Delivery charge"</formula>
    </cfRule>
    <cfRule type="expression" dxfId="14676" priority="2586">
      <formula>$C39="Staff Salary"</formula>
    </cfRule>
    <cfRule type="expression" dxfId="14675" priority="2587">
      <formula>$C39="Rent"</formula>
    </cfRule>
    <cfRule type="expression" dxfId="14674" priority="2588">
      <formula>$C39="Petrol"</formula>
    </cfRule>
    <cfRule type="expression" dxfId="14673" priority="2589">
      <formula>$C39="Bills"</formula>
    </cfRule>
    <cfRule type="expression" dxfId="14672" priority="2590">
      <formula>$C39="Sales"</formula>
    </cfRule>
    <cfRule type="expression" dxfId="14671" priority="2591">
      <formula>$C39="Expences"</formula>
    </cfRule>
    <cfRule type="expression" dxfId="14670" priority="2592">
      <formula>$C39="Garlic Purchase"</formula>
    </cfRule>
    <cfRule type="expression" dxfId="14669" priority="2593">
      <formula>$C39="Ginger Purchase"</formula>
    </cfRule>
  </conditionalFormatting>
  <conditionalFormatting sqref="B39">
    <cfRule type="expression" dxfId="14668" priority="2594">
      <formula>$C39="Advance"</formula>
    </cfRule>
  </conditionalFormatting>
  <conditionalFormatting sqref="B39">
    <cfRule type="expression" dxfId="14667" priority="2575">
      <formula>$C39="Delivery charge"</formula>
    </cfRule>
    <cfRule type="expression" dxfId="14666" priority="2576">
      <formula>$C39="Staff Salary"</formula>
    </cfRule>
    <cfRule type="expression" dxfId="14665" priority="2577">
      <formula>$C39="Rent"</formula>
    </cfRule>
    <cfRule type="expression" dxfId="14664" priority="2578">
      <formula>$C39="Petrol"</formula>
    </cfRule>
    <cfRule type="expression" dxfId="14663" priority="2579">
      <formula>$C39="Bills"</formula>
    </cfRule>
    <cfRule type="expression" dxfId="14662" priority="2580">
      <formula>$C39="Sales"</formula>
    </cfRule>
    <cfRule type="expression" dxfId="14661" priority="2581">
      <formula>$C39="Expences"</formula>
    </cfRule>
    <cfRule type="expression" dxfId="14660" priority="2582">
      <formula>$C39="Garlic Purchase"</formula>
    </cfRule>
    <cfRule type="expression" dxfId="14659" priority="2583">
      <formula>$C39="Ginger Purchase"</formula>
    </cfRule>
  </conditionalFormatting>
  <conditionalFormatting sqref="B39">
    <cfRule type="expression" dxfId="14658" priority="2584">
      <formula>$C39="Advance"</formula>
    </cfRule>
  </conditionalFormatting>
  <conditionalFormatting sqref="B39">
    <cfRule type="expression" dxfId="14657" priority="2565">
      <formula>$C39="Delivery charge"</formula>
    </cfRule>
    <cfRule type="expression" dxfId="14656" priority="2566">
      <formula>$C39="Staff Salary"</formula>
    </cfRule>
    <cfRule type="expression" dxfId="14655" priority="2567">
      <formula>$C39="Rent"</formula>
    </cfRule>
    <cfRule type="expression" dxfId="14654" priority="2568">
      <formula>$C39="Petrol"</formula>
    </cfRule>
    <cfRule type="expression" dxfId="14653" priority="2569">
      <formula>$C39="Bills"</formula>
    </cfRule>
    <cfRule type="expression" dxfId="14652" priority="2570">
      <formula>$C39="Sales"</formula>
    </cfRule>
    <cfRule type="expression" dxfId="14651" priority="2571">
      <formula>$C39="Expences"</formula>
    </cfRule>
    <cfRule type="expression" dxfId="14650" priority="2572">
      <formula>$C39="Garlic Purchase"</formula>
    </cfRule>
    <cfRule type="expression" dxfId="14649" priority="2573">
      <formula>$C39="Ginger Purchase"</formula>
    </cfRule>
  </conditionalFormatting>
  <conditionalFormatting sqref="B39">
    <cfRule type="expression" dxfId="14648" priority="2574">
      <formula>$C39="Advance"</formula>
    </cfRule>
  </conditionalFormatting>
  <conditionalFormatting sqref="B39">
    <cfRule type="expression" dxfId="14647" priority="2555">
      <formula>$C39="Delivery charge"</formula>
    </cfRule>
    <cfRule type="expression" dxfId="14646" priority="2556">
      <formula>$C39="Staff Salary"</formula>
    </cfRule>
    <cfRule type="expression" dxfId="14645" priority="2557">
      <formula>$C39="Rent"</formula>
    </cfRule>
    <cfRule type="expression" dxfId="14644" priority="2558">
      <formula>$C39="Petrol"</formula>
    </cfRule>
    <cfRule type="expression" dxfId="14643" priority="2559">
      <formula>$C39="Bills"</formula>
    </cfRule>
    <cfRule type="expression" dxfId="14642" priority="2560">
      <formula>$C39="Sales"</formula>
    </cfRule>
    <cfRule type="expression" dxfId="14641" priority="2561">
      <formula>$C39="Expences"</formula>
    </cfRule>
    <cfRule type="expression" dxfId="14640" priority="2562">
      <formula>$C39="Garlic Purchase"</formula>
    </cfRule>
    <cfRule type="expression" dxfId="14639" priority="2563">
      <formula>$C39="Ginger Purchase"</formula>
    </cfRule>
  </conditionalFormatting>
  <conditionalFormatting sqref="B39">
    <cfRule type="expression" dxfId="14638" priority="2564">
      <formula>$C39="Advance"</formula>
    </cfRule>
  </conditionalFormatting>
  <conditionalFormatting sqref="B39">
    <cfRule type="expression" dxfId="14637" priority="2545">
      <formula>$C39="Delivery charge"</formula>
    </cfRule>
    <cfRule type="expression" dxfId="14636" priority="2546">
      <formula>$C39="Staff Salary"</formula>
    </cfRule>
    <cfRule type="expression" dxfId="14635" priority="2547">
      <formula>$C39="Rent"</formula>
    </cfRule>
    <cfRule type="expression" dxfId="14634" priority="2548">
      <formula>$C39="Petrol"</formula>
    </cfRule>
    <cfRule type="expression" dxfId="14633" priority="2549">
      <formula>$C39="Bills"</formula>
    </cfRule>
    <cfRule type="expression" dxfId="14632" priority="2550">
      <formula>$C39="Sales"</formula>
    </cfRule>
    <cfRule type="expression" dxfId="14631" priority="2551">
      <formula>$C39="Expences"</formula>
    </cfRule>
    <cfRule type="expression" dxfId="14630" priority="2552">
      <formula>$C39="Garlic Purchase"</formula>
    </cfRule>
    <cfRule type="expression" dxfId="14629" priority="2553">
      <formula>$C39="Ginger Purchase"</formula>
    </cfRule>
  </conditionalFormatting>
  <conditionalFormatting sqref="B39">
    <cfRule type="expression" dxfId="14628" priority="2554">
      <formula>$C39="Advance"</formula>
    </cfRule>
  </conditionalFormatting>
  <conditionalFormatting sqref="B39">
    <cfRule type="expression" dxfId="14627" priority="2535">
      <formula>$C39="Delivery charge"</formula>
    </cfRule>
    <cfRule type="expression" dxfId="14626" priority="2536">
      <formula>$C39="Staff Salary"</formula>
    </cfRule>
    <cfRule type="expression" dxfId="14625" priority="2537">
      <formula>$C39="Rent"</formula>
    </cfRule>
    <cfRule type="expression" dxfId="14624" priority="2538">
      <formula>$C39="Petrol"</formula>
    </cfRule>
    <cfRule type="expression" dxfId="14623" priority="2539">
      <formula>$C39="Bills"</formula>
    </cfRule>
    <cfRule type="expression" dxfId="14622" priority="2540">
      <formula>$C39="Sales"</formula>
    </cfRule>
    <cfRule type="expression" dxfId="14621" priority="2541">
      <formula>$C39="Expences"</formula>
    </cfRule>
    <cfRule type="expression" dxfId="14620" priority="2542">
      <formula>$C39="Garlic Purchase"</formula>
    </cfRule>
    <cfRule type="expression" dxfId="14619" priority="2543">
      <formula>$C39="Ginger Purchase"</formula>
    </cfRule>
  </conditionalFormatting>
  <conditionalFormatting sqref="B39">
    <cfRule type="expression" dxfId="14618" priority="2544">
      <formula>$C39="Advance"</formula>
    </cfRule>
  </conditionalFormatting>
  <conditionalFormatting sqref="B39">
    <cfRule type="expression" dxfId="14617" priority="2525">
      <formula>$C39="Delivery charge"</formula>
    </cfRule>
    <cfRule type="expression" dxfId="14616" priority="2526">
      <formula>$C39="Staff Salary"</formula>
    </cfRule>
    <cfRule type="expression" dxfId="14615" priority="2527">
      <formula>$C39="Rent"</formula>
    </cfRule>
    <cfRule type="expression" dxfId="14614" priority="2528">
      <formula>$C39="Petrol"</formula>
    </cfRule>
    <cfRule type="expression" dxfId="14613" priority="2529">
      <formula>$C39="Bills"</formula>
    </cfRule>
    <cfRule type="expression" dxfId="14612" priority="2530">
      <formula>$C39="Sales"</formula>
    </cfRule>
    <cfRule type="expression" dxfId="14611" priority="2531">
      <formula>$C39="Expences"</formula>
    </cfRule>
    <cfRule type="expression" dxfId="14610" priority="2532">
      <formula>$C39="Garlic Purchase"</formula>
    </cfRule>
    <cfRule type="expression" dxfId="14609" priority="2533">
      <formula>$C39="Ginger Purchase"</formula>
    </cfRule>
  </conditionalFormatting>
  <conditionalFormatting sqref="B39">
    <cfRule type="expression" dxfId="14608" priority="2534">
      <formula>$C39="Advance"</formula>
    </cfRule>
  </conditionalFormatting>
  <conditionalFormatting sqref="B39">
    <cfRule type="expression" dxfId="14607" priority="2515">
      <formula>$C39="Delivery charge"</formula>
    </cfRule>
    <cfRule type="expression" dxfId="14606" priority="2516">
      <formula>$C39="Staff Salary"</formula>
    </cfRule>
    <cfRule type="expression" dxfId="14605" priority="2517">
      <formula>$C39="Rent"</formula>
    </cfRule>
    <cfRule type="expression" dxfId="14604" priority="2518">
      <formula>$C39="Petrol"</formula>
    </cfRule>
    <cfRule type="expression" dxfId="14603" priority="2519">
      <formula>$C39="Bills"</formula>
    </cfRule>
    <cfRule type="expression" dxfId="14602" priority="2520">
      <formula>$C39="Sales"</formula>
    </cfRule>
    <cfRule type="expression" dxfId="14601" priority="2521">
      <formula>$C39="Expences"</formula>
    </cfRule>
    <cfRule type="expression" dxfId="14600" priority="2522">
      <formula>$C39="Garlic Purchase"</formula>
    </cfRule>
    <cfRule type="expression" dxfId="14599" priority="2523">
      <formula>$C39="Ginger Purchase"</formula>
    </cfRule>
  </conditionalFormatting>
  <conditionalFormatting sqref="B39">
    <cfRule type="expression" dxfId="14598" priority="2524">
      <formula>$C39="Advance"</formula>
    </cfRule>
  </conditionalFormatting>
  <conditionalFormatting sqref="B38 B40:B42 B44 B46:B50 B52 B54 B56 B58 B60 B62:B64 B66 B68:B69 B71:B72 B75:B76 B78:B79 B81:B82 B84 B86">
    <cfRule type="expression" dxfId="14597" priority="2505">
      <formula>$C38="Delivery charge"</formula>
    </cfRule>
    <cfRule type="expression" dxfId="14596" priority="2506">
      <formula>$C38="Staff Salary"</formula>
    </cfRule>
    <cfRule type="expression" dxfId="14595" priority="2507">
      <formula>$C38="Rent"</formula>
    </cfRule>
    <cfRule type="expression" dxfId="14594" priority="2508">
      <formula>$C38="Petrol"</formula>
    </cfRule>
    <cfRule type="expression" dxfId="14593" priority="2509">
      <formula>$C38="Bills"</formula>
    </cfRule>
    <cfRule type="expression" dxfId="14592" priority="2510">
      <formula>$C38="Sales"</formula>
    </cfRule>
    <cfRule type="expression" dxfId="14591" priority="2511">
      <formula>$C38="Expences"</formula>
    </cfRule>
    <cfRule type="expression" dxfId="14590" priority="2512">
      <formula>$C38="Garlic Purchase"</formula>
    </cfRule>
    <cfRule type="expression" dxfId="14589" priority="2513">
      <formula>$C38="Ginger Purchase"</formula>
    </cfRule>
  </conditionalFormatting>
  <conditionalFormatting sqref="B38 B40:B42 B44 B46:B50 B52 B54 B56 B58 B60 B62:B64 B66 B68:B69 B71:B72 B75:B76 B78:B79 B81:B82 B84 B86">
    <cfRule type="expression" dxfId="14588" priority="2514">
      <formula>$C38="Advance"</formula>
    </cfRule>
  </conditionalFormatting>
  <conditionalFormatting sqref="B39">
    <cfRule type="expression" dxfId="14587" priority="2495">
      <formula>$C39="Delivery charge"</formula>
    </cfRule>
    <cfRule type="expression" dxfId="14586" priority="2496">
      <formula>$C39="Staff Salary"</formula>
    </cfRule>
    <cfRule type="expression" dxfId="14585" priority="2497">
      <formula>$C39="Rent"</formula>
    </cfRule>
    <cfRule type="expression" dxfId="14584" priority="2498">
      <formula>$C39="Petrol"</formula>
    </cfRule>
    <cfRule type="expression" dxfId="14583" priority="2499">
      <formula>$C39="Bills"</formula>
    </cfRule>
    <cfRule type="expression" dxfId="14582" priority="2500">
      <formula>$C39="Sales"</formula>
    </cfRule>
    <cfRule type="expression" dxfId="14581" priority="2501">
      <formula>$C39="Expences"</formula>
    </cfRule>
    <cfRule type="expression" dxfId="14580" priority="2502">
      <formula>$C39="Garlic Purchase"</formula>
    </cfRule>
    <cfRule type="expression" dxfId="14579" priority="2503">
      <formula>$C39="Ginger Purchase"</formula>
    </cfRule>
  </conditionalFormatting>
  <conditionalFormatting sqref="B39">
    <cfRule type="expression" dxfId="14578" priority="2504">
      <formula>$C39="Advance"</formula>
    </cfRule>
  </conditionalFormatting>
  <conditionalFormatting sqref="B39">
    <cfRule type="expression" dxfId="14577" priority="2485">
      <formula>$C39="Delivery charge"</formula>
    </cfRule>
    <cfRule type="expression" dxfId="14576" priority="2486">
      <formula>$C39="Staff Salary"</formula>
    </cfRule>
    <cfRule type="expression" dxfId="14575" priority="2487">
      <formula>$C39="Rent"</formula>
    </cfRule>
    <cfRule type="expression" dxfId="14574" priority="2488">
      <formula>$C39="Petrol"</formula>
    </cfRule>
    <cfRule type="expression" dxfId="14573" priority="2489">
      <formula>$C39="Bills"</formula>
    </cfRule>
    <cfRule type="expression" dxfId="14572" priority="2490">
      <formula>$C39="Sales"</formula>
    </cfRule>
    <cfRule type="expression" dxfId="14571" priority="2491">
      <formula>$C39="Expences"</formula>
    </cfRule>
    <cfRule type="expression" dxfId="14570" priority="2492">
      <formula>$C39="Garlic Purchase"</formula>
    </cfRule>
    <cfRule type="expression" dxfId="14569" priority="2493">
      <formula>$C39="Ginger Purchase"</formula>
    </cfRule>
  </conditionalFormatting>
  <conditionalFormatting sqref="B39">
    <cfRule type="expression" dxfId="14568" priority="2494">
      <formula>$C39="Advance"</formula>
    </cfRule>
  </conditionalFormatting>
  <conditionalFormatting sqref="B39">
    <cfRule type="expression" dxfId="14567" priority="2475">
      <formula>$C39="Delivery charge"</formula>
    </cfRule>
    <cfRule type="expression" dxfId="14566" priority="2476">
      <formula>$C39="Staff Salary"</formula>
    </cfRule>
    <cfRule type="expression" dxfId="14565" priority="2477">
      <formula>$C39="Rent"</formula>
    </cfRule>
    <cfRule type="expression" dxfId="14564" priority="2478">
      <formula>$C39="Petrol"</formula>
    </cfRule>
    <cfRule type="expression" dxfId="14563" priority="2479">
      <formula>$C39="Bills"</formula>
    </cfRule>
    <cfRule type="expression" dxfId="14562" priority="2480">
      <formula>$C39="Sales"</formula>
    </cfRule>
    <cfRule type="expression" dxfId="14561" priority="2481">
      <formula>$C39="Expences"</formula>
    </cfRule>
    <cfRule type="expression" dxfId="14560" priority="2482">
      <formula>$C39="Garlic Purchase"</formula>
    </cfRule>
    <cfRule type="expression" dxfId="14559" priority="2483">
      <formula>$C39="Ginger Purchase"</formula>
    </cfRule>
  </conditionalFormatting>
  <conditionalFormatting sqref="B39">
    <cfRule type="expression" dxfId="14558" priority="2484">
      <formula>$C39="Advance"</formula>
    </cfRule>
  </conditionalFormatting>
  <conditionalFormatting sqref="B39">
    <cfRule type="expression" dxfId="14557" priority="2465">
      <formula>$C39="Delivery charge"</formula>
    </cfRule>
    <cfRule type="expression" dxfId="14556" priority="2466">
      <formula>$C39="Staff Salary"</formula>
    </cfRule>
    <cfRule type="expression" dxfId="14555" priority="2467">
      <formula>$C39="Rent"</formula>
    </cfRule>
    <cfRule type="expression" dxfId="14554" priority="2468">
      <formula>$C39="Petrol"</formula>
    </cfRule>
    <cfRule type="expression" dxfId="14553" priority="2469">
      <formula>$C39="Bills"</formula>
    </cfRule>
    <cfRule type="expression" dxfId="14552" priority="2470">
      <formula>$C39="Sales"</formula>
    </cfRule>
    <cfRule type="expression" dxfId="14551" priority="2471">
      <formula>$C39="Expences"</formula>
    </cfRule>
    <cfRule type="expression" dxfId="14550" priority="2472">
      <formula>$C39="Garlic Purchase"</formula>
    </cfRule>
    <cfRule type="expression" dxfId="14549" priority="2473">
      <formula>$C39="Ginger Purchase"</formula>
    </cfRule>
  </conditionalFormatting>
  <conditionalFormatting sqref="B39">
    <cfRule type="expression" dxfId="14548" priority="2474">
      <formula>$C39="Advance"</formula>
    </cfRule>
  </conditionalFormatting>
  <conditionalFormatting sqref="B38 B40:B42 B44 B46:B50 B52 B54 B56 B58 B60 B62:B64 B66 B68:B69 B71:B72 B75:B76 B78:B79 B81:B82 B84 B86">
    <cfRule type="expression" dxfId="14547" priority="2455">
      <formula>$C38="Delivery charge"</formula>
    </cfRule>
    <cfRule type="expression" dxfId="14546" priority="2456">
      <formula>$C38="Staff Salary"</formula>
    </cfRule>
    <cfRule type="expression" dxfId="14545" priority="2457">
      <formula>$C38="Rent"</formula>
    </cfRule>
    <cfRule type="expression" dxfId="14544" priority="2458">
      <formula>$C38="Petrol"</formula>
    </cfRule>
    <cfRule type="expression" dxfId="14543" priority="2459">
      <formula>$C38="Bills"</formula>
    </cfRule>
    <cfRule type="expression" dxfId="14542" priority="2460">
      <formula>$C38="Sales"</formula>
    </cfRule>
    <cfRule type="expression" dxfId="14541" priority="2461">
      <formula>$C38="Expences"</formula>
    </cfRule>
    <cfRule type="expression" dxfId="14540" priority="2462">
      <formula>$C38="Garlic Purchase"</formula>
    </cfRule>
    <cfRule type="expression" dxfId="14539" priority="2463">
      <formula>$C38="Ginger Purchase"</formula>
    </cfRule>
  </conditionalFormatting>
  <conditionalFormatting sqref="B38 B40:B42 B44 B46:B50 B52 B54 B56 B58 B60 B62:B64 B66 B68:B69 B71:B72 B75:B76 B78:B79 B81:B82 B84 B86">
    <cfRule type="expression" dxfId="14538" priority="2464">
      <formula>$C38="Advance"</formula>
    </cfRule>
  </conditionalFormatting>
  <conditionalFormatting sqref="B38 B40:B42 B44 B46:B50 B52 B54 B56 B58 B60 B62:B64 B66 B68:B69 B71:B72 B75:B76 B78:B79 B81:B82 B84 B86">
    <cfRule type="expression" dxfId="14537" priority="2445">
      <formula>$C38="Delivery charge"</formula>
    </cfRule>
    <cfRule type="expression" dxfId="14536" priority="2446">
      <formula>$C38="Staff Salary"</formula>
    </cfRule>
    <cfRule type="expression" dxfId="14535" priority="2447">
      <formula>$C38="Rent"</formula>
    </cfRule>
    <cfRule type="expression" dxfId="14534" priority="2448">
      <formula>$C38="Petrol"</formula>
    </cfRule>
    <cfRule type="expression" dxfId="14533" priority="2449">
      <formula>$C38="Bills"</formula>
    </cfRule>
    <cfRule type="expression" dxfId="14532" priority="2450">
      <formula>$C38="Sales"</formula>
    </cfRule>
    <cfRule type="expression" dxfId="14531" priority="2451">
      <formula>$C38="Expences"</formula>
    </cfRule>
    <cfRule type="expression" dxfId="14530" priority="2452">
      <formula>$C38="Garlic Purchase"</formula>
    </cfRule>
    <cfRule type="expression" dxfId="14529" priority="2453">
      <formula>$C38="Ginger Purchase"</formula>
    </cfRule>
  </conditionalFormatting>
  <conditionalFormatting sqref="B38 B40:B42 B44 B46:B50 B52 B54 B56 B58 B60 B62:B64 B66 B68:B69 B71:B72 B75:B76 B78:B79 B81:B82 B84 B86">
    <cfRule type="expression" dxfId="14528" priority="2454">
      <formula>$C38="Advance"</formula>
    </cfRule>
  </conditionalFormatting>
  <conditionalFormatting sqref="B38 B40:B42 B44 B46:B50 B52 B54 B56 B58 B60 B62:B64 B66 B68:B69 B71:B72 B75:B76 B78:B79 B81:B82 B84 B86">
    <cfRule type="expression" dxfId="14527" priority="2435">
      <formula>$C38="Delivery charge"</formula>
    </cfRule>
    <cfRule type="expression" dxfId="14526" priority="2436">
      <formula>$C38="Staff Salary"</formula>
    </cfRule>
    <cfRule type="expression" dxfId="14525" priority="2437">
      <formula>$C38="Rent"</formula>
    </cfRule>
    <cfRule type="expression" dxfId="14524" priority="2438">
      <formula>$C38="Petrol"</formula>
    </cfRule>
    <cfRule type="expression" dxfId="14523" priority="2439">
      <formula>$C38="Bills"</formula>
    </cfRule>
    <cfRule type="expression" dxfId="14522" priority="2440">
      <formula>$C38="Sales"</formula>
    </cfRule>
    <cfRule type="expression" dxfId="14521" priority="2441">
      <formula>$C38="Expences"</formula>
    </cfRule>
    <cfRule type="expression" dxfId="14520" priority="2442">
      <formula>$C38="Garlic Purchase"</formula>
    </cfRule>
    <cfRule type="expression" dxfId="14519" priority="2443">
      <formula>$C38="Ginger Purchase"</formula>
    </cfRule>
  </conditionalFormatting>
  <conditionalFormatting sqref="B38 B40:B42 B44 B46:B50 B52 B54 B56 B58 B60 B62:B64 B66 B68:B69 B71:B72 B75:B76 B78:B79 B81:B82 B84 B86">
    <cfRule type="expression" dxfId="14518" priority="2444">
      <formula>$C38="Advance"</formula>
    </cfRule>
  </conditionalFormatting>
  <conditionalFormatting sqref="B38 B40:B42 B44 B46:B50 B52 B54 B56 B58 B60 B62:B64 B66 B68:B69 B71:B72 B75:B76 B78:B79 B81:B82 B84 B86">
    <cfRule type="expression" dxfId="14517" priority="2425">
      <formula>$C38="Delivery charge"</formula>
    </cfRule>
    <cfRule type="expression" dxfId="14516" priority="2426">
      <formula>$C38="Staff Salary"</formula>
    </cfRule>
    <cfRule type="expression" dxfId="14515" priority="2427">
      <formula>$C38="Rent"</formula>
    </cfRule>
    <cfRule type="expression" dxfId="14514" priority="2428">
      <formula>$C38="Petrol"</formula>
    </cfRule>
    <cfRule type="expression" dxfId="14513" priority="2429">
      <formula>$C38="Bills"</formula>
    </cfRule>
    <cfRule type="expression" dxfId="14512" priority="2430">
      <formula>$C38="Sales"</formula>
    </cfRule>
    <cfRule type="expression" dxfId="14511" priority="2431">
      <formula>$C38="Expences"</formula>
    </cfRule>
    <cfRule type="expression" dxfId="14510" priority="2432">
      <formula>$C38="Garlic Purchase"</formula>
    </cfRule>
    <cfRule type="expression" dxfId="14509" priority="2433">
      <formula>$C38="Ginger Purchase"</formula>
    </cfRule>
  </conditionalFormatting>
  <conditionalFormatting sqref="B38 B40:B42 B44 B46:B50 B52 B54 B56 B58 B60 B62:B64 B66 B68:B69 B71:B72 B75:B76 B78:B79 B81:B82 B84 B86">
    <cfRule type="expression" dxfId="14508" priority="2434">
      <formula>$C38="Advance"</formula>
    </cfRule>
  </conditionalFormatting>
  <conditionalFormatting sqref="B39">
    <cfRule type="expression" dxfId="14507" priority="2415">
      <formula>$C39="Delivery charge"</formula>
    </cfRule>
    <cfRule type="expression" dxfId="14506" priority="2416">
      <formula>$C39="Staff Salary"</formula>
    </cfRule>
    <cfRule type="expression" dxfId="14505" priority="2417">
      <formula>$C39="Rent"</formula>
    </cfRule>
    <cfRule type="expression" dxfId="14504" priority="2418">
      <formula>$C39="Petrol"</formula>
    </cfRule>
    <cfRule type="expression" dxfId="14503" priority="2419">
      <formula>$C39="Bills"</formula>
    </cfRule>
    <cfRule type="expression" dxfId="14502" priority="2420">
      <formula>$C39="Sales"</formula>
    </cfRule>
    <cfRule type="expression" dxfId="14501" priority="2421">
      <formula>$C39="Expences"</formula>
    </cfRule>
    <cfRule type="expression" dxfId="14500" priority="2422">
      <formula>$C39="Garlic Purchase"</formula>
    </cfRule>
    <cfRule type="expression" dxfId="14499" priority="2423">
      <formula>$C39="Ginger Purchase"</formula>
    </cfRule>
  </conditionalFormatting>
  <conditionalFormatting sqref="B39">
    <cfRule type="expression" dxfId="14498" priority="2424">
      <formula>$C39="Advance"</formula>
    </cfRule>
  </conditionalFormatting>
  <conditionalFormatting sqref="B38 B40:B42 B44 B46:B50 B52 B54 B56 B58 B60 B62:B64 B66 B68:B69 B71:B72 B75:B76 B78:B79 B81:B82 B84 B86">
    <cfRule type="expression" dxfId="14497" priority="2405">
      <formula>$C38="Delivery charge"</formula>
    </cfRule>
    <cfRule type="expression" dxfId="14496" priority="2406">
      <formula>$C38="Staff Salary"</formula>
    </cfRule>
    <cfRule type="expression" dxfId="14495" priority="2407">
      <formula>$C38="Rent"</formula>
    </cfRule>
    <cfRule type="expression" dxfId="14494" priority="2408">
      <formula>$C38="Petrol"</formula>
    </cfRule>
    <cfRule type="expression" dxfId="14493" priority="2409">
      <formula>$C38="Bills"</formula>
    </cfRule>
    <cfRule type="expression" dxfId="14492" priority="2410">
      <formula>$C38="Sales"</formula>
    </cfRule>
    <cfRule type="expression" dxfId="14491" priority="2411">
      <formula>$C38="Expences"</formula>
    </cfRule>
    <cfRule type="expression" dxfId="14490" priority="2412">
      <formula>$C38="Garlic Purchase"</formula>
    </cfRule>
    <cfRule type="expression" dxfId="14489" priority="2413">
      <formula>$C38="Ginger Purchase"</formula>
    </cfRule>
  </conditionalFormatting>
  <conditionalFormatting sqref="B38 B40:B42 B44 B46:B50 B52 B54 B56 B58 B60 B62:B64 B66 B68:B69 B71:B72 B75:B76 B78:B79 B81:B82 B84 B86">
    <cfRule type="expression" dxfId="14488" priority="2414">
      <formula>$C38="Advance"</formula>
    </cfRule>
  </conditionalFormatting>
  <conditionalFormatting sqref="B38 B40:B42 B44 B46:B50 B52 B54 B56 B58 B60 B62:B64 B66 B68:B69 B71:B72 B75:B76 B78:B79 B81:B82 B84 B86">
    <cfRule type="expression" dxfId="14487" priority="2395">
      <formula>$C38="Delivery charge"</formula>
    </cfRule>
    <cfRule type="expression" dxfId="14486" priority="2396">
      <formula>$C38="Staff Salary"</formula>
    </cfRule>
    <cfRule type="expression" dxfId="14485" priority="2397">
      <formula>$C38="Rent"</formula>
    </cfRule>
    <cfRule type="expression" dxfId="14484" priority="2398">
      <formula>$C38="Petrol"</formula>
    </cfRule>
    <cfRule type="expression" dxfId="14483" priority="2399">
      <formula>$C38="Bills"</formula>
    </cfRule>
    <cfRule type="expression" dxfId="14482" priority="2400">
      <formula>$C38="Sales"</formula>
    </cfRule>
    <cfRule type="expression" dxfId="14481" priority="2401">
      <formula>$C38="Expences"</formula>
    </cfRule>
    <cfRule type="expression" dxfId="14480" priority="2402">
      <formula>$C38="Garlic Purchase"</formula>
    </cfRule>
    <cfRule type="expression" dxfId="14479" priority="2403">
      <formula>$C38="Ginger Purchase"</formula>
    </cfRule>
  </conditionalFormatting>
  <conditionalFormatting sqref="B38 B40:B42 B44 B46:B50 B52 B54 B56 B58 B60 B62:B64 B66 B68:B69 B71:B72 B75:B76 B78:B79 B81:B82 B84 B86">
    <cfRule type="expression" dxfId="14478" priority="2404">
      <formula>$C38="Advance"</formula>
    </cfRule>
  </conditionalFormatting>
  <conditionalFormatting sqref="B38 B40:B42 B44 B46:B50 B52 B54 B56 B58 B60 B62:B64 B66 B68:B69 B71:B72 B75:B76 B78:B79 B81:B82 B84 B86">
    <cfRule type="expression" dxfId="14477" priority="2385">
      <formula>$C38="Delivery charge"</formula>
    </cfRule>
    <cfRule type="expression" dxfId="14476" priority="2386">
      <formula>$C38="Staff Salary"</formula>
    </cfRule>
    <cfRule type="expression" dxfId="14475" priority="2387">
      <formula>$C38="Rent"</formula>
    </cfRule>
    <cfRule type="expression" dxfId="14474" priority="2388">
      <formula>$C38="Petrol"</formula>
    </cfRule>
    <cfRule type="expression" dxfId="14473" priority="2389">
      <formula>$C38="Bills"</formula>
    </cfRule>
    <cfRule type="expression" dxfId="14472" priority="2390">
      <formula>$C38="Sales"</formula>
    </cfRule>
    <cfRule type="expression" dxfId="14471" priority="2391">
      <formula>$C38="Expences"</formula>
    </cfRule>
    <cfRule type="expression" dxfId="14470" priority="2392">
      <formula>$C38="Garlic Purchase"</formula>
    </cfRule>
    <cfRule type="expression" dxfId="14469" priority="2393">
      <formula>$C38="Ginger Purchase"</formula>
    </cfRule>
  </conditionalFormatting>
  <conditionalFormatting sqref="B38 B40:B42 B44 B46:B50 B52 B54 B56 B58 B60 B62:B64 B66 B68:B69 B71:B72 B75:B76 B78:B79 B81:B82 B84 B86">
    <cfRule type="expression" dxfId="14468" priority="2394">
      <formula>$C38="Advance"</formula>
    </cfRule>
  </conditionalFormatting>
  <conditionalFormatting sqref="B38 B40:B42 B44 B46:B50 B52 B54 B56 B58 B60 B62:B64 B66 B68:B69 B71:B72 B75:B76 B78:B79 B81:B82 B84 B86">
    <cfRule type="expression" dxfId="14467" priority="2375">
      <formula>$C38="Delivery charge"</formula>
    </cfRule>
    <cfRule type="expression" dxfId="14466" priority="2376">
      <formula>$C38="Staff Salary"</formula>
    </cfRule>
    <cfRule type="expression" dxfId="14465" priority="2377">
      <formula>$C38="Rent"</formula>
    </cfRule>
    <cfRule type="expression" dxfId="14464" priority="2378">
      <formula>$C38="Petrol"</formula>
    </cfRule>
    <cfRule type="expression" dxfId="14463" priority="2379">
      <formula>$C38="Bills"</formula>
    </cfRule>
    <cfRule type="expression" dxfId="14462" priority="2380">
      <formula>$C38="Sales"</formula>
    </cfRule>
    <cfRule type="expression" dxfId="14461" priority="2381">
      <formula>$C38="Expences"</formula>
    </cfRule>
    <cfRule type="expression" dxfId="14460" priority="2382">
      <formula>$C38="Garlic Purchase"</formula>
    </cfRule>
    <cfRule type="expression" dxfId="14459" priority="2383">
      <formula>$C38="Ginger Purchase"</formula>
    </cfRule>
  </conditionalFormatting>
  <conditionalFormatting sqref="B38 B40:B42 B44 B46:B50 B52 B54 B56 B58 B60 B62:B64 B66 B68:B69 B71:B72 B75:B76 B78:B79 B81:B82 B84 B86">
    <cfRule type="expression" dxfId="14458" priority="2384">
      <formula>$C38="Advance"</formula>
    </cfRule>
  </conditionalFormatting>
  <conditionalFormatting sqref="B38 B40:B42 B44 B46:B50 B52 B54 B56 B58 B60 B62:B64 B66 B68:B69 B71:B72 B75:B76 B78:B79 B81:B82 B84 B86">
    <cfRule type="expression" dxfId="14457" priority="2365">
      <formula>$C38="Delivery charge"</formula>
    </cfRule>
    <cfRule type="expression" dxfId="14456" priority="2366">
      <formula>$C38="Staff Salary"</formula>
    </cfRule>
    <cfRule type="expression" dxfId="14455" priority="2367">
      <formula>$C38="Rent"</formula>
    </cfRule>
    <cfRule type="expression" dxfId="14454" priority="2368">
      <formula>$C38="Petrol"</formula>
    </cfRule>
    <cfRule type="expression" dxfId="14453" priority="2369">
      <formula>$C38="Bills"</formula>
    </cfRule>
    <cfRule type="expression" dxfId="14452" priority="2370">
      <formula>$C38="Sales"</formula>
    </cfRule>
    <cfRule type="expression" dxfId="14451" priority="2371">
      <formula>$C38="Expences"</formula>
    </cfRule>
    <cfRule type="expression" dxfId="14450" priority="2372">
      <formula>$C38="Garlic Purchase"</formula>
    </cfRule>
    <cfRule type="expression" dxfId="14449" priority="2373">
      <formula>$C38="Ginger Purchase"</formula>
    </cfRule>
  </conditionalFormatting>
  <conditionalFormatting sqref="B38 B40:B42 B44 B46:B50 B52 B54 B56 B58 B60 B62:B64 B66 B68:B69 B71:B72 B75:B76 B78:B79 B81:B82 B84 B86">
    <cfRule type="expression" dxfId="14448" priority="2374">
      <formula>$C38="Advance"</formula>
    </cfRule>
  </conditionalFormatting>
  <conditionalFormatting sqref="B39">
    <cfRule type="expression" dxfId="14447" priority="2355">
      <formula>$C39="Delivery charge"</formula>
    </cfRule>
    <cfRule type="expression" dxfId="14446" priority="2356">
      <formula>$C39="Staff Salary"</formula>
    </cfRule>
    <cfRule type="expression" dxfId="14445" priority="2357">
      <formula>$C39="Rent"</formula>
    </cfRule>
    <cfRule type="expression" dxfId="14444" priority="2358">
      <formula>$C39="Petrol"</formula>
    </cfRule>
    <cfRule type="expression" dxfId="14443" priority="2359">
      <formula>$C39="Bills"</formula>
    </cfRule>
    <cfRule type="expression" dxfId="14442" priority="2360">
      <formula>$C39="Sales"</formula>
    </cfRule>
    <cfRule type="expression" dxfId="14441" priority="2361">
      <formula>$C39="Expences"</formula>
    </cfRule>
    <cfRule type="expression" dxfId="14440" priority="2362">
      <formula>$C39="Garlic Purchase"</formula>
    </cfRule>
    <cfRule type="expression" dxfId="14439" priority="2363">
      <formula>$C39="Ginger Purchase"</formula>
    </cfRule>
  </conditionalFormatting>
  <conditionalFormatting sqref="B39">
    <cfRule type="expression" dxfId="14438" priority="2364">
      <formula>$C39="Advance"</formula>
    </cfRule>
  </conditionalFormatting>
  <conditionalFormatting sqref="B39">
    <cfRule type="expression" dxfId="14437" priority="2345">
      <formula>$C39="Delivery charge"</formula>
    </cfRule>
    <cfRule type="expression" dxfId="14436" priority="2346">
      <formula>$C39="Staff Salary"</formula>
    </cfRule>
    <cfRule type="expression" dxfId="14435" priority="2347">
      <formula>$C39="Rent"</formula>
    </cfRule>
    <cfRule type="expression" dxfId="14434" priority="2348">
      <formula>$C39="Petrol"</formula>
    </cfRule>
    <cfRule type="expression" dxfId="14433" priority="2349">
      <formula>$C39="Bills"</formula>
    </cfRule>
    <cfRule type="expression" dxfId="14432" priority="2350">
      <formula>$C39="Sales"</formula>
    </cfRule>
    <cfRule type="expression" dxfId="14431" priority="2351">
      <formula>$C39="Expences"</formula>
    </cfRule>
    <cfRule type="expression" dxfId="14430" priority="2352">
      <formula>$C39="Garlic Purchase"</formula>
    </cfRule>
    <cfRule type="expression" dxfId="14429" priority="2353">
      <formula>$C39="Ginger Purchase"</formula>
    </cfRule>
  </conditionalFormatting>
  <conditionalFormatting sqref="B39">
    <cfRule type="expression" dxfId="14428" priority="2354">
      <formula>$C39="Advance"</formula>
    </cfRule>
  </conditionalFormatting>
  <conditionalFormatting sqref="B39">
    <cfRule type="expression" dxfId="14427" priority="2335">
      <formula>$C39="Delivery charge"</formula>
    </cfRule>
    <cfRule type="expression" dxfId="14426" priority="2336">
      <formula>$C39="Staff Salary"</formula>
    </cfRule>
    <cfRule type="expression" dxfId="14425" priority="2337">
      <formula>$C39="Rent"</formula>
    </cfRule>
    <cfRule type="expression" dxfId="14424" priority="2338">
      <formula>$C39="Petrol"</formula>
    </cfRule>
    <cfRule type="expression" dxfId="14423" priority="2339">
      <formula>$C39="Bills"</formula>
    </cfRule>
    <cfRule type="expression" dxfId="14422" priority="2340">
      <formula>$C39="Sales"</formula>
    </cfRule>
    <cfRule type="expression" dxfId="14421" priority="2341">
      <formula>$C39="Expences"</formula>
    </cfRule>
    <cfRule type="expression" dxfId="14420" priority="2342">
      <formula>$C39="Garlic Purchase"</formula>
    </cfRule>
    <cfRule type="expression" dxfId="14419" priority="2343">
      <formula>$C39="Ginger Purchase"</formula>
    </cfRule>
  </conditionalFormatting>
  <conditionalFormatting sqref="B39">
    <cfRule type="expression" dxfId="14418" priority="2344">
      <formula>$C39="Advance"</formula>
    </cfRule>
  </conditionalFormatting>
  <conditionalFormatting sqref="B39">
    <cfRule type="expression" dxfId="14417" priority="2325">
      <formula>$C39="Delivery charge"</formula>
    </cfRule>
    <cfRule type="expression" dxfId="14416" priority="2326">
      <formula>$C39="Staff Salary"</formula>
    </cfRule>
    <cfRule type="expression" dxfId="14415" priority="2327">
      <formula>$C39="Rent"</formula>
    </cfRule>
    <cfRule type="expression" dxfId="14414" priority="2328">
      <formula>$C39="Petrol"</formula>
    </cfRule>
    <cfRule type="expression" dxfId="14413" priority="2329">
      <formula>$C39="Bills"</formula>
    </cfRule>
    <cfRule type="expression" dxfId="14412" priority="2330">
      <formula>$C39="Sales"</formula>
    </cfRule>
    <cfRule type="expression" dxfId="14411" priority="2331">
      <formula>$C39="Expences"</formula>
    </cfRule>
    <cfRule type="expression" dxfId="14410" priority="2332">
      <formula>$C39="Garlic Purchase"</formula>
    </cfRule>
    <cfRule type="expression" dxfId="14409" priority="2333">
      <formula>$C39="Ginger Purchase"</formula>
    </cfRule>
  </conditionalFormatting>
  <conditionalFormatting sqref="B39">
    <cfRule type="expression" dxfId="14408" priority="2334">
      <formula>$C39="Advance"</formula>
    </cfRule>
  </conditionalFormatting>
  <conditionalFormatting sqref="B39">
    <cfRule type="expression" dxfId="14407" priority="2315">
      <formula>$C39="Delivery charge"</formula>
    </cfRule>
    <cfRule type="expression" dxfId="14406" priority="2316">
      <formula>$C39="Staff Salary"</formula>
    </cfRule>
    <cfRule type="expression" dxfId="14405" priority="2317">
      <formula>$C39="Rent"</formula>
    </cfRule>
    <cfRule type="expression" dxfId="14404" priority="2318">
      <formula>$C39="Petrol"</formula>
    </cfRule>
    <cfRule type="expression" dxfId="14403" priority="2319">
      <formula>$C39="Bills"</formula>
    </cfRule>
    <cfRule type="expression" dxfId="14402" priority="2320">
      <formula>$C39="Sales"</formula>
    </cfRule>
    <cfRule type="expression" dxfId="14401" priority="2321">
      <formula>$C39="Expences"</formula>
    </cfRule>
    <cfRule type="expression" dxfId="14400" priority="2322">
      <formula>$C39="Garlic Purchase"</formula>
    </cfRule>
    <cfRule type="expression" dxfId="14399" priority="2323">
      <formula>$C39="Ginger Purchase"</formula>
    </cfRule>
  </conditionalFormatting>
  <conditionalFormatting sqref="B39">
    <cfRule type="expression" dxfId="14398" priority="2324">
      <formula>$C39="Advance"</formula>
    </cfRule>
  </conditionalFormatting>
  <conditionalFormatting sqref="B38 B40:B42 B44 B46:B50 B52 B54 B56 B58 B60 B62:B64 B66 B68:B69 B71:B72 B75:B76 B78:B79 B81:B82 B84 B86">
    <cfRule type="expression" dxfId="14397" priority="2305">
      <formula>$C38="Delivery charge"</formula>
    </cfRule>
    <cfRule type="expression" dxfId="14396" priority="2306">
      <formula>$C38="Staff Salary"</formula>
    </cfRule>
    <cfRule type="expression" dxfId="14395" priority="2307">
      <formula>$C38="Rent"</formula>
    </cfRule>
    <cfRule type="expression" dxfId="14394" priority="2308">
      <formula>$C38="Petrol"</formula>
    </cfRule>
    <cfRule type="expression" dxfId="14393" priority="2309">
      <formula>$C38="Bills"</formula>
    </cfRule>
    <cfRule type="expression" dxfId="14392" priority="2310">
      <formula>$C38="Sales"</formula>
    </cfRule>
    <cfRule type="expression" dxfId="14391" priority="2311">
      <formula>$C38="Expences"</formula>
    </cfRule>
    <cfRule type="expression" dxfId="14390" priority="2312">
      <formula>$C38="Garlic Purchase"</formula>
    </cfRule>
    <cfRule type="expression" dxfId="14389" priority="2313">
      <formula>$C38="Ginger Purchase"</formula>
    </cfRule>
  </conditionalFormatting>
  <conditionalFormatting sqref="B38 B40:B42 B44 B46:B50 B52 B54 B56 B58 B60 B62:B64 B66 B68:B69 B71:B72 B75:B76 B78:B79 B81:B82 B84 B86">
    <cfRule type="expression" dxfId="14388" priority="2314">
      <formula>$C38="Advance"</formula>
    </cfRule>
  </conditionalFormatting>
  <conditionalFormatting sqref="B39">
    <cfRule type="expression" dxfId="14387" priority="2295">
      <formula>$C39="Delivery charge"</formula>
    </cfRule>
    <cfRule type="expression" dxfId="14386" priority="2296">
      <formula>$C39="Staff Salary"</formula>
    </cfRule>
    <cfRule type="expression" dxfId="14385" priority="2297">
      <formula>$C39="Rent"</formula>
    </cfRule>
    <cfRule type="expression" dxfId="14384" priority="2298">
      <formula>$C39="Petrol"</formula>
    </cfRule>
    <cfRule type="expression" dxfId="14383" priority="2299">
      <formula>$C39="Bills"</formula>
    </cfRule>
    <cfRule type="expression" dxfId="14382" priority="2300">
      <formula>$C39="Sales"</formula>
    </cfRule>
    <cfRule type="expression" dxfId="14381" priority="2301">
      <formula>$C39="Expences"</formula>
    </cfRule>
    <cfRule type="expression" dxfId="14380" priority="2302">
      <formula>$C39="Garlic Purchase"</formula>
    </cfRule>
    <cfRule type="expression" dxfId="14379" priority="2303">
      <formula>$C39="Ginger Purchase"</formula>
    </cfRule>
  </conditionalFormatting>
  <conditionalFormatting sqref="B39">
    <cfRule type="expression" dxfId="14378" priority="2304">
      <formula>$C39="Advance"</formula>
    </cfRule>
  </conditionalFormatting>
  <conditionalFormatting sqref="B39">
    <cfRule type="expression" dxfId="14377" priority="2285">
      <formula>$C39="Delivery charge"</formula>
    </cfRule>
    <cfRule type="expression" dxfId="14376" priority="2286">
      <formula>$C39="Staff Salary"</formula>
    </cfRule>
    <cfRule type="expression" dxfId="14375" priority="2287">
      <formula>$C39="Rent"</formula>
    </cfRule>
    <cfRule type="expression" dxfId="14374" priority="2288">
      <formula>$C39="Petrol"</formula>
    </cfRule>
    <cfRule type="expression" dxfId="14373" priority="2289">
      <formula>$C39="Bills"</formula>
    </cfRule>
    <cfRule type="expression" dxfId="14372" priority="2290">
      <formula>$C39="Sales"</formula>
    </cfRule>
    <cfRule type="expression" dxfId="14371" priority="2291">
      <formula>$C39="Expences"</formula>
    </cfRule>
    <cfRule type="expression" dxfId="14370" priority="2292">
      <formula>$C39="Garlic Purchase"</formula>
    </cfRule>
    <cfRule type="expression" dxfId="14369" priority="2293">
      <formula>$C39="Ginger Purchase"</formula>
    </cfRule>
  </conditionalFormatting>
  <conditionalFormatting sqref="B39">
    <cfRule type="expression" dxfId="14368" priority="2294">
      <formula>$C39="Advance"</formula>
    </cfRule>
  </conditionalFormatting>
  <conditionalFormatting sqref="B39">
    <cfRule type="expression" dxfId="14367" priority="2275">
      <formula>$C39="Delivery charge"</formula>
    </cfRule>
    <cfRule type="expression" dxfId="14366" priority="2276">
      <formula>$C39="Staff Salary"</formula>
    </cfRule>
    <cfRule type="expression" dxfId="14365" priority="2277">
      <formula>$C39="Rent"</formula>
    </cfRule>
    <cfRule type="expression" dxfId="14364" priority="2278">
      <formula>$C39="Petrol"</formula>
    </cfRule>
    <cfRule type="expression" dxfId="14363" priority="2279">
      <formula>$C39="Bills"</formula>
    </cfRule>
    <cfRule type="expression" dxfId="14362" priority="2280">
      <formula>$C39="Sales"</formula>
    </cfRule>
    <cfRule type="expression" dxfId="14361" priority="2281">
      <formula>$C39="Expences"</formula>
    </cfRule>
    <cfRule type="expression" dxfId="14360" priority="2282">
      <formula>$C39="Garlic Purchase"</formula>
    </cfRule>
    <cfRule type="expression" dxfId="14359" priority="2283">
      <formula>$C39="Ginger Purchase"</formula>
    </cfRule>
  </conditionalFormatting>
  <conditionalFormatting sqref="B39">
    <cfRule type="expression" dxfId="14358" priority="2284">
      <formula>$C39="Advance"</formula>
    </cfRule>
  </conditionalFormatting>
  <conditionalFormatting sqref="B39">
    <cfRule type="expression" dxfId="14357" priority="2265">
      <formula>$C39="Delivery charge"</formula>
    </cfRule>
    <cfRule type="expression" dxfId="14356" priority="2266">
      <formula>$C39="Staff Salary"</formula>
    </cfRule>
    <cfRule type="expression" dxfId="14355" priority="2267">
      <formula>$C39="Rent"</formula>
    </cfRule>
    <cfRule type="expression" dxfId="14354" priority="2268">
      <formula>$C39="Petrol"</formula>
    </cfRule>
    <cfRule type="expression" dxfId="14353" priority="2269">
      <formula>$C39="Bills"</formula>
    </cfRule>
    <cfRule type="expression" dxfId="14352" priority="2270">
      <formula>$C39="Sales"</formula>
    </cfRule>
    <cfRule type="expression" dxfId="14351" priority="2271">
      <formula>$C39="Expences"</formula>
    </cfRule>
    <cfRule type="expression" dxfId="14350" priority="2272">
      <formula>$C39="Garlic Purchase"</formula>
    </cfRule>
    <cfRule type="expression" dxfId="14349" priority="2273">
      <formula>$C39="Ginger Purchase"</formula>
    </cfRule>
  </conditionalFormatting>
  <conditionalFormatting sqref="B39">
    <cfRule type="expression" dxfId="14348" priority="2274">
      <formula>$C39="Advance"</formula>
    </cfRule>
  </conditionalFormatting>
  <conditionalFormatting sqref="B39">
    <cfRule type="expression" dxfId="14347" priority="2255">
      <formula>$C39="Delivery charge"</formula>
    </cfRule>
    <cfRule type="expression" dxfId="14346" priority="2256">
      <formula>$C39="Staff Salary"</formula>
    </cfRule>
    <cfRule type="expression" dxfId="14345" priority="2257">
      <formula>$C39="Rent"</formula>
    </cfRule>
    <cfRule type="expression" dxfId="14344" priority="2258">
      <formula>$C39="Petrol"</formula>
    </cfRule>
    <cfRule type="expression" dxfId="14343" priority="2259">
      <formula>$C39="Bills"</formula>
    </cfRule>
    <cfRule type="expression" dxfId="14342" priority="2260">
      <formula>$C39="Sales"</formula>
    </cfRule>
    <cfRule type="expression" dxfId="14341" priority="2261">
      <formula>$C39="Expences"</formula>
    </cfRule>
    <cfRule type="expression" dxfId="14340" priority="2262">
      <formula>$C39="Garlic Purchase"</formula>
    </cfRule>
    <cfRule type="expression" dxfId="14339" priority="2263">
      <formula>$C39="Ginger Purchase"</formula>
    </cfRule>
  </conditionalFormatting>
  <conditionalFormatting sqref="B39">
    <cfRule type="expression" dxfId="14338" priority="2264">
      <formula>$C39="Advance"</formula>
    </cfRule>
  </conditionalFormatting>
  <conditionalFormatting sqref="B39">
    <cfRule type="expression" dxfId="14337" priority="2245">
      <formula>$C39="Delivery charge"</formula>
    </cfRule>
    <cfRule type="expression" dxfId="14336" priority="2246">
      <formula>$C39="Staff Salary"</formula>
    </cfRule>
    <cfRule type="expression" dxfId="14335" priority="2247">
      <formula>$C39="Rent"</formula>
    </cfRule>
    <cfRule type="expression" dxfId="14334" priority="2248">
      <formula>$C39="Petrol"</formula>
    </cfRule>
    <cfRule type="expression" dxfId="14333" priority="2249">
      <formula>$C39="Bills"</formula>
    </cfRule>
    <cfRule type="expression" dxfId="14332" priority="2250">
      <formula>$C39="Sales"</formula>
    </cfRule>
    <cfRule type="expression" dxfId="14331" priority="2251">
      <formula>$C39="Expences"</formula>
    </cfRule>
    <cfRule type="expression" dxfId="14330" priority="2252">
      <formula>$C39="Garlic Purchase"</formula>
    </cfRule>
    <cfRule type="expression" dxfId="14329" priority="2253">
      <formula>$C39="Ginger Purchase"</formula>
    </cfRule>
  </conditionalFormatting>
  <conditionalFormatting sqref="B39">
    <cfRule type="expression" dxfId="14328" priority="2254">
      <formula>$C39="Advance"</formula>
    </cfRule>
  </conditionalFormatting>
  <conditionalFormatting sqref="B39">
    <cfRule type="expression" dxfId="14327" priority="2235">
      <formula>$C39="Delivery charge"</formula>
    </cfRule>
    <cfRule type="expression" dxfId="14326" priority="2236">
      <formula>$C39="Staff Salary"</formula>
    </cfRule>
    <cfRule type="expression" dxfId="14325" priority="2237">
      <formula>$C39="Rent"</formula>
    </cfRule>
    <cfRule type="expression" dxfId="14324" priority="2238">
      <formula>$C39="Petrol"</formula>
    </cfRule>
    <cfRule type="expression" dxfId="14323" priority="2239">
      <formula>$C39="Bills"</formula>
    </cfRule>
    <cfRule type="expression" dxfId="14322" priority="2240">
      <formula>$C39="Sales"</formula>
    </cfRule>
    <cfRule type="expression" dxfId="14321" priority="2241">
      <formula>$C39="Expences"</formula>
    </cfRule>
    <cfRule type="expression" dxfId="14320" priority="2242">
      <formula>$C39="Garlic Purchase"</formula>
    </cfRule>
    <cfRule type="expression" dxfId="14319" priority="2243">
      <formula>$C39="Ginger Purchase"</formula>
    </cfRule>
  </conditionalFormatting>
  <conditionalFormatting sqref="B39">
    <cfRule type="expression" dxfId="14318" priority="2244">
      <formula>$C39="Advance"</formula>
    </cfRule>
  </conditionalFormatting>
  <conditionalFormatting sqref="B39">
    <cfRule type="expression" dxfId="14317" priority="2225">
      <formula>$C39="Delivery charge"</formula>
    </cfRule>
    <cfRule type="expression" dxfId="14316" priority="2226">
      <formula>$C39="Staff Salary"</formula>
    </cfRule>
    <cfRule type="expression" dxfId="14315" priority="2227">
      <formula>$C39="Rent"</formula>
    </cfRule>
    <cfRule type="expression" dxfId="14314" priority="2228">
      <formula>$C39="Petrol"</formula>
    </cfRule>
    <cfRule type="expression" dxfId="14313" priority="2229">
      <formula>$C39="Bills"</formula>
    </cfRule>
    <cfRule type="expression" dxfId="14312" priority="2230">
      <formula>$C39="Sales"</formula>
    </cfRule>
    <cfRule type="expression" dxfId="14311" priority="2231">
      <formula>$C39="Expences"</formula>
    </cfRule>
    <cfRule type="expression" dxfId="14310" priority="2232">
      <formula>$C39="Garlic Purchase"</formula>
    </cfRule>
    <cfRule type="expression" dxfId="14309" priority="2233">
      <formula>$C39="Ginger Purchase"</formula>
    </cfRule>
  </conditionalFormatting>
  <conditionalFormatting sqref="B39">
    <cfRule type="expression" dxfId="14308" priority="2234">
      <formula>$C39="Advance"</formula>
    </cfRule>
  </conditionalFormatting>
  <conditionalFormatting sqref="B39">
    <cfRule type="expression" dxfId="14307" priority="2215">
      <formula>$C39="Delivery charge"</formula>
    </cfRule>
    <cfRule type="expression" dxfId="14306" priority="2216">
      <formula>$C39="Staff Salary"</formula>
    </cfRule>
    <cfRule type="expression" dxfId="14305" priority="2217">
      <formula>$C39="Rent"</formula>
    </cfRule>
    <cfRule type="expression" dxfId="14304" priority="2218">
      <formula>$C39="Petrol"</formula>
    </cfRule>
    <cfRule type="expression" dxfId="14303" priority="2219">
      <formula>$C39="Bills"</formula>
    </cfRule>
    <cfRule type="expression" dxfId="14302" priority="2220">
      <formula>$C39="Sales"</formula>
    </cfRule>
    <cfRule type="expression" dxfId="14301" priority="2221">
      <formula>$C39="Expences"</formula>
    </cfRule>
    <cfRule type="expression" dxfId="14300" priority="2222">
      <formula>$C39="Garlic Purchase"</formula>
    </cfRule>
    <cfRule type="expression" dxfId="14299" priority="2223">
      <formula>$C39="Ginger Purchase"</formula>
    </cfRule>
  </conditionalFormatting>
  <conditionalFormatting sqref="B39">
    <cfRule type="expression" dxfId="14298" priority="2224">
      <formula>$C39="Advance"</formula>
    </cfRule>
  </conditionalFormatting>
  <conditionalFormatting sqref="B39 B41 B43 B45 B47 B49 B51 B53 B55 B57 B59 B61 B65 B67 B70 B73:B74 B77 B80 B83 B85">
    <cfRule type="expression" dxfId="14297" priority="2214">
      <formula>$C39="Advance"</formula>
    </cfRule>
  </conditionalFormatting>
  <conditionalFormatting sqref="B39 B41 B43 B45 B47 B49 B51 B53 B55 B57 B59 B61 B65 B67 B70 B73:B74 B77 B80 B83 B85">
    <cfRule type="expression" dxfId="14296" priority="2205">
      <formula>$C39="Delivery charge"</formula>
    </cfRule>
    <cfRule type="expression" dxfId="14295" priority="2206">
      <formula>$C39="Staff Salary"</formula>
    </cfRule>
    <cfRule type="expression" dxfId="14294" priority="2207">
      <formula>$C39="Rent"</formula>
    </cfRule>
    <cfRule type="expression" dxfId="14293" priority="2208">
      <formula>$C39="Petrol"</formula>
    </cfRule>
    <cfRule type="expression" dxfId="14292" priority="2209">
      <formula>$C39="Bills"</formula>
    </cfRule>
    <cfRule type="expression" dxfId="14291" priority="2210">
      <formula>$C39="Sales"</formula>
    </cfRule>
    <cfRule type="expression" dxfId="14290" priority="2211">
      <formula>$C39="Expences"</formula>
    </cfRule>
    <cfRule type="expression" dxfId="14289" priority="2212">
      <formula>$C39="Garlic Purchase"</formula>
    </cfRule>
    <cfRule type="expression" dxfId="14288" priority="2213">
      <formula>$C39="Ginger Purchase"</formula>
    </cfRule>
  </conditionalFormatting>
  <conditionalFormatting sqref="B38 B40:B42 B44 B46:B50 B52 B54 B56 B58 B60 B62:B64 B66 B68:B69 B71:B72 B75:B76 B78:B79 B81:B82 B84 B86">
    <cfRule type="expression" dxfId="14287" priority="2195">
      <formula>$C38="Delivery charge"</formula>
    </cfRule>
    <cfRule type="expression" dxfId="14286" priority="2196">
      <formula>$C38="Staff Salary"</formula>
    </cfRule>
    <cfRule type="expression" dxfId="14285" priority="2197">
      <formula>$C38="Rent"</formula>
    </cfRule>
    <cfRule type="expression" dxfId="14284" priority="2198">
      <formula>$C38="Petrol"</formula>
    </cfRule>
    <cfRule type="expression" dxfId="14283" priority="2199">
      <formula>$C38="Bills"</formula>
    </cfRule>
    <cfRule type="expression" dxfId="14282" priority="2200">
      <formula>$C38="Sales"</formula>
    </cfRule>
    <cfRule type="expression" dxfId="14281" priority="2201">
      <formula>$C38="Expences"</formula>
    </cfRule>
    <cfRule type="expression" dxfId="14280" priority="2202">
      <formula>$C38="Garlic Purchase"</formula>
    </cfRule>
    <cfRule type="expression" dxfId="14279" priority="2203">
      <formula>$C38="Ginger Purchase"</formula>
    </cfRule>
  </conditionalFormatting>
  <conditionalFormatting sqref="B38 B40:B42 B44 B46:B50 B52 B54 B56 B58 B60 B62:B64 B66 B68:B69 B71:B72 B75:B76 B78:B79 B81:B82 B84 B86">
    <cfRule type="expression" dxfId="14278" priority="2204">
      <formula>$C38="Advance"</formula>
    </cfRule>
  </conditionalFormatting>
  <conditionalFormatting sqref="B38 B40:B42 B44 B46:B50 B52 B54 B56 B58 B60 B62:B64 B66 B68:B69 B71:B72 B75:B76 B78:B79 B81:B82 B84 B86">
    <cfRule type="expression" dxfId="14277" priority="2185">
      <formula>$C38="Delivery charge"</formula>
    </cfRule>
    <cfRule type="expression" dxfId="14276" priority="2186">
      <formula>$C38="Staff Salary"</formula>
    </cfRule>
    <cfRule type="expression" dxfId="14275" priority="2187">
      <formula>$C38="Rent"</formula>
    </cfRule>
    <cfRule type="expression" dxfId="14274" priority="2188">
      <formula>$C38="Petrol"</formula>
    </cfRule>
    <cfRule type="expression" dxfId="14273" priority="2189">
      <formula>$C38="Bills"</formula>
    </cfRule>
    <cfRule type="expression" dxfId="14272" priority="2190">
      <formula>$C38="Sales"</formula>
    </cfRule>
    <cfRule type="expression" dxfId="14271" priority="2191">
      <formula>$C38="Expences"</formula>
    </cfRule>
    <cfRule type="expression" dxfId="14270" priority="2192">
      <formula>$C38="Garlic Purchase"</formula>
    </cfRule>
    <cfRule type="expression" dxfId="14269" priority="2193">
      <formula>$C38="Ginger Purchase"</formula>
    </cfRule>
  </conditionalFormatting>
  <conditionalFormatting sqref="B38 B40:B42 B44 B46:B50 B52 B54 B56 B58 B60 B62:B64 B66 B68:B69 B71:B72 B75:B76 B78:B79 B81:B82 B84 B86">
    <cfRule type="expression" dxfId="14268" priority="2194">
      <formula>$C38="Advance"</formula>
    </cfRule>
  </conditionalFormatting>
  <conditionalFormatting sqref="B38 B40:B42 B44 B46:B50 B52 B54 B56 B58 B60 B62:B64 B66 B68:B69 B71:B72 B75:B76 B78:B79 B81:B82 B84 B86">
    <cfRule type="expression" dxfId="14267" priority="2175">
      <formula>$C38="Delivery charge"</formula>
    </cfRule>
    <cfRule type="expression" dxfId="14266" priority="2176">
      <formula>$C38="Staff Salary"</formula>
    </cfRule>
    <cfRule type="expression" dxfId="14265" priority="2177">
      <formula>$C38="Rent"</formula>
    </cfRule>
    <cfRule type="expression" dxfId="14264" priority="2178">
      <formula>$C38="Petrol"</formula>
    </cfRule>
    <cfRule type="expression" dxfId="14263" priority="2179">
      <formula>$C38="Bills"</formula>
    </cfRule>
    <cfRule type="expression" dxfId="14262" priority="2180">
      <formula>$C38="Sales"</formula>
    </cfRule>
    <cfRule type="expression" dxfId="14261" priority="2181">
      <formula>$C38="Expences"</formula>
    </cfRule>
    <cfRule type="expression" dxfId="14260" priority="2182">
      <formula>$C38="Garlic Purchase"</formula>
    </cfRule>
    <cfRule type="expression" dxfId="14259" priority="2183">
      <formula>$C38="Ginger Purchase"</formula>
    </cfRule>
  </conditionalFormatting>
  <conditionalFormatting sqref="B38 B40:B42 B44 B46:B50 B52 B54 B56 B58 B60 B62:B64 B66 B68:B69 B71:B72 B75:B76 B78:B79 B81:B82 B84 B86">
    <cfRule type="expression" dxfId="14258" priority="2184">
      <formula>$C38="Advance"</formula>
    </cfRule>
  </conditionalFormatting>
  <conditionalFormatting sqref="B38 B40:B42 B44 B46:B50 B52 B54 B56 B58 B60 B62:B64 B66 B68:B69 B71:B72 B75:B76 B78:B79 B81:B82 B84 B86">
    <cfRule type="expression" dxfId="14257" priority="2165">
      <formula>$C38="Delivery charge"</formula>
    </cfRule>
    <cfRule type="expression" dxfId="14256" priority="2166">
      <formula>$C38="Staff Salary"</formula>
    </cfRule>
    <cfRule type="expression" dxfId="14255" priority="2167">
      <formula>$C38="Rent"</formula>
    </cfRule>
    <cfRule type="expression" dxfId="14254" priority="2168">
      <formula>$C38="Petrol"</formula>
    </cfRule>
    <cfRule type="expression" dxfId="14253" priority="2169">
      <formula>$C38="Bills"</formula>
    </cfRule>
    <cfRule type="expression" dxfId="14252" priority="2170">
      <formula>$C38="Sales"</formula>
    </cfRule>
    <cfRule type="expression" dxfId="14251" priority="2171">
      <formula>$C38="Expences"</formula>
    </cfRule>
    <cfRule type="expression" dxfId="14250" priority="2172">
      <formula>$C38="Garlic Purchase"</formula>
    </cfRule>
    <cfRule type="expression" dxfId="14249" priority="2173">
      <formula>$C38="Ginger Purchase"</formula>
    </cfRule>
  </conditionalFormatting>
  <conditionalFormatting sqref="B38 B40:B42 B44 B46:B50 B52 B54 B56 B58 B60 B62:B64 B66 B68:B69 B71:B72 B75:B76 B78:B79 B81:B82 B84 B86">
    <cfRule type="expression" dxfId="14248" priority="2174">
      <formula>$C38="Advance"</formula>
    </cfRule>
  </conditionalFormatting>
  <conditionalFormatting sqref="B38 B40:B42 B44 B46:B50 B52 B54 B56 B58 B60 B62:B64 B66 B68:B69 B71:B72 B75:B76 B78:B79 B81:B82 B84 B86">
    <cfRule type="expression" dxfId="14247" priority="2155">
      <formula>$C38="Delivery charge"</formula>
    </cfRule>
    <cfRule type="expression" dxfId="14246" priority="2156">
      <formula>$C38="Staff Salary"</formula>
    </cfRule>
    <cfRule type="expression" dxfId="14245" priority="2157">
      <formula>$C38="Rent"</formula>
    </cfRule>
    <cfRule type="expression" dxfId="14244" priority="2158">
      <formula>$C38="Petrol"</formula>
    </cfRule>
    <cfRule type="expression" dxfId="14243" priority="2159">
      <formula>$C38="Bills"</formula>
    </cfRule>
    <cfRule type="expression" dxfId="14242" priority="2160">
      <formula>$C38="Sales"</formula>
    </cfRule>
    <cfRule type="expression" dxfId="14241" priority="2161">
      <formula>$C38="Expences"</formula>
    </cfRule>
    <cfRule type="expression" dxfId="14240" priority="2162">
      <formula>$C38="Garlic Purchase"</formula>
    </cfRule>
    <cfRule type="expression" dxfId="14239" priority="2163">
      <formula>$C38="Ginger Purchase"</formula>
    </cfRule>
  </conditionalFormatting>
  <conditionalFormatting sqref="B38 B40:B42 B44 B46:B50 B52 B54 B56 B58 B60 B62:B64 B66 B68:B69 B71:B72 B75:B76 B78:B79 B81:B82 B84 B86">
    <cfRule type="expression" dxfId="14238" priority="2164">
      <formula>$C38="Advance"</formula>
    </cfRule>
  </conditionalFormatting>
  <conditionalFormatting sqref="B38 B40:B42 B44 B46:B50 B52 B54 B56 B58 B60 B62:B64 B66 B68:B69 B71:B72 B75:B76 B78:B79 B81:B82 B84 B86">
    <cfRule type="expression" dxfId="14237" priority="2145">
      <formula>$C38="Delivery charge"</formula>
    </cfRule>
    <cfRule type="expression" dxfId="14236" priority="2146">
      <formula>$C38="Staff Salary"</formula>
    </cfRule>
    <cfRule type="expression" dxfId="14235" priority="2147">
      <formula>$C38="Rent"</formula>
    </cfRule>
    <cfRule type="expression" dxfId="14234" priority="2148">
      <formula>$C38="Petrol"</formula>
    </cfRule>
    <cfRule type="expression" dxfId="14233" priority="2149">
      <formula>$C38="Bills"</formula>
    </cfRule>
    <cfRule type="expression" dxfId="14232" priority="2150">
      <formula>$C38="Sales"</formula>
    </cfRule>
    <cfRule type="expression" dxfId="14231" priority="2151">
      <formula>$C38="Expences"</formula>
    </cfRule>
    <cfRule type="expression" dxfId="14230" priority="2152">
      <formula>$C38="Garlic Purchase"</formula>
    </cfRule>
    <cfRule type="expression" dxfId="14229" priority="2153">
      <formula>$C38="Ginger Purchase"</formula>
    </cfRule>
  </conditionalFormatting>
  <conditionalFormatting sqref="B38 B40:B42 B44 B46:B50 B52 B54 B56 B58 B60 B62:B64 B66 B68:B69 B71:B72 B75:B76 B78:B79 B81:B82 B84 B86">
    <cfRule type="expression" dxfId="14228" priority="2154">
      <formula>$C38="Advance"</formula>
    </cfRule>
  </conditionalFormatting>
  <conditionalFormatting sqref="B38 B40:B42 B44 B46:B50 B52 B54 B56 B58 B60 B62:B64 B66 B68:B69 B71:B72 B75:B76 B78:B79 B81:B82 B84 B86">
    <cfRule type="expression" dxfId="14227" priority="2135">
      <formula>$C38="Delivery charge"</formula>
    </cfRule>
    <cfRule type="expression" dxfId="14226" priority="2136">
      <formula>$C38="Staff Salary"</formula>
    </cfRule>
    <cfRule type="expression" dxfId="14225" priority="2137">
      <formula>$C38="Rent"</formula>
    </cfRule>
    <cfRule type="expression" dxfId="14224" priority="2138">
      <formula>$C38="Petrol"</formula>
    </cfRule>
    <cfRule type="expression" dxfId="14223" priority="2139">
      <formula>$C38="Bills"</formula>
    </cfRule>
    <cfRule type="expression" dxfId="14222" priority="2140">
      <formula>$C38="Sales"</formula>
    </cfRule>
    <cfRule type="expression" dxfId="14221" priority="2141">
      <formula>$C38="Expences"</formula>
    </cfRule>
    <cfRule type="expression" dxfId="14220" priority="2142">
      <formula>$C38="Garlic Purchase"</formula>
    </cfRule>
    <cfRule type="expression" dxfId="14219" priority="2143">
      <formula>$C38="Ginger Purchase"</formula>
    </cfRule>
  </conditionalFormatting>
  <conditionalFormatting sqref="B38 B40:B42 B44 B46:B50 B52 B54 B56 B58 B60 B62:B64 B66 B68:B69 B71:B72 B75:B76 B78:B79 B81:B82 B84 B86">
    <cfRule type="expression" dxfId="14218" priority="2144">
      <formula>$C38="Advance"</formula>
    </cfRule>
  </conditionalFormatting>
  <conditionalFormatting sqref="B38 B40:B42 B44 B46:B50 B52 B54 B56 B58 B60 B62:B64 B66 B68:B69 B71:B72 B75:B76 B78:B79 B81:B82 B84 B86">
    <cfRule type="expression" dxfId="14217" priority="2125">
      <formula>$C38="Delivery charge"</formula>
    </cfRule>
    <cfRule type="expression" dxfId="14216" priority="2126">
      <formula>$C38="Staff Salary"</formula>
    </cfRule>
    <cfRule type="expression" dxfId="14215" priority="2127">
      <formula>$C38="Rent"</formula>
    </cfRule>
    <cfRule type="expression" dxfId="14214" priority="2128">
      <formula>$C38="Petrol"</formula>
    </cfRule>
    <cfRule type="expression" dxfId="14213" priority="2129">
      <formula>$C38="Bills"</formula>
    </cfRule>
    <cfRule type="expression" dxfId="14212" priority="2130">
      <formula>$C38="Sales"</formula>
    </cfRule>
    <cfRule type="expression" dxfId="14211" priority="2131">
      <formula>$C38="Expences"</formula>
    </cfRule>
    <cfRule type="expression" dxfId="14210" priority="2132">
      <formula>$C38="Garlic Purchase"</formula>
    </cfRule>
    <cfRule type="expression" dxfId="14209" priority="2133">
      <formula>$C38="Ginger Purchase"</formula>
    </cfRule>
  </conditionalFormatting>
  <conditionalFormatting sqref="B38 B40:B42 B44 B46:B50 B52 B54 B56 B58 B60 B62:B64 B66 B68:B69 B71:B72 B75:B76 B78:B79 B81:B82 B84 B86">
    <cfRule type="expression" dxfId="14208" priority="2134">
      <formula>$C38="Advance"</formula>
    </cfRule>
  </conditionalFormatting>
  <conditionalFormatting sqref="B38 B40:B42 B44 B46:B50 B52 B54 B56 B58 B60 B62:B64 B66 B68:B69 B71:B72 B75:B76 B78:B79 B81:B82 B84 B86">
    <cfRule type="expression" dxfId="14207" priority="2115">
      <formula>$C38="Delivery charge"</formula>
    </cfRule>
    <cfRule type="expression" dxfId="14206" priority="2116">
      <formula>$C38="Staff Salary"</formula>
    </cfRule>
    <cfRule type="expression" dxfId="14205" priority="2117">
      <formula>$C38="Rent"</formula>
    </cfRule>
    <cfRule type="expression" dxfId="14204" priority="2118">
      <formula>$C38="Petrol"</formula>
    </cfRule>
    <cfRule type="expression" dxfId="14203" priority="2119">
      <formula>$C38="Bills"</formula>
    </cfRule>
    <cfRule type="expression" dxfId="14202" priority="2120">
      <formula>$C38="Sales"</formula>
    </cfRule>
    <cfRule type="expression" dxfId="14201" priority="2121">
      <formula>$C38="Expences"</formula>
    </cfRule>
    <cfRule type="expression" dxfId="14200" priority="2122">
      <formula>$C38="Garlic Purchase"</formula>
    </cfRule>
    <cfRule type="expression" dxfId="14199" priority="2123">
      <formula>$C38="Ginger Purchase"</formula>
    </cfRule>
  </conditionalFormatting>
  <conditionalFormatting sqref="B38 B40:B42 B44 B46:B50 B52 B54 B56 B58 B60 B62:B64 B66 B68:B69 B71:B72 B75:B76 B78:B79 B81:B82 B84 B86">
    <cfRule type="expression" dxfId="14198" priority="2124">
      <formula>$C38="Advance"</formula>
    </cfRule>
  </conditionalFormatting>
  <conditionalFormatting sqref="B38 B40:B42 B44 B46:B50 B52 B54 B56 B58 B60 B62:B64 B66 B68:B69 B71:B72 B75:B76 B78:B79 B81:B82 B84 B86">
    <cfRule type="expression" dxfId="14197" priority="2105">
      <formula>$C38="Delivery charge"</formula>
    </cfRule>
    <cfRule type="expression" dxfId="14196" priority="2106">
      <formula>$C38="Staff Salary"</formula>
    </cfRule>
    <cfRule type="expression" dxfId="14195" priority="2107">
      <formula>$C38="Rent"</formula>
    </cfRule>
    <cfRule type="expression" dxfId="14194" priority="2108">
      <formula>$C38="Petrol"</formula>
    </cfRule>
    <cfRule type="expression" dxfId="14193" priority="2109">
      <formula>$C38="Bills"</formula>
    </cfRule>
    <cfRule type="expression" dxfId="14192" priority="2110">
      <formula>$C38="Sales"</formula>
    </cfRule>
    <cfRule type="expression" dxfId="14191" priority="2111">
      <formula>$C38="Expences"</formula>
    </cfRule>
    <cfRule type="expression" dxfId="14190" priority="2112">
      <formula>$C38="Garlic Purchase"</formula>
    </cfRule>
    <cfRule type="expression" dxfId="14189" priority="2113">
      <formula>$C38="Ginger Purchase"</formula>
    </cfRule>
  </conditionalFormatting>
  <conditionalFormatting sqref="B38 B40:B42 B44 B46:B50 B52 B54 B56 B58 B60 B62:B64 B66 B68:B69 B71:B72 B75:B76 B78:B79 B81:B82 B84 B86">
    <cfRule type="expression" dxfId="14188" priority="2114">
      <formula>$C38="Advance"</formula>
    </cfRule>
  </conditionalFormatting>
  <conditionalFormatting sqref="B38 B40:B42 B44 B46:B50 B52 B54 B56 B58 B60 B62:B64 B66 B68:B69 B71:B72 B75:B76 B78:B79 B81:B82 B84 B86">
    <cfRule type="expression" dxfId="14187" priority="2095">
      <formula>$C38="Delivery charge"</formula>
    </cfRule>
    <cfRule type="expression" dxfId="14186" priority="2096">
      <formula>$C38="Staff Salary"</formula>
    </cfRule>
    <cfRule type="expression" dxfId="14185" priority="2097">
      <formula>$C38="Rent"</formula>
    </cfRule>
    <cfRule type="expression" dxfId="14184" priority="2098">
      <formula>$C38="Petrol"</formula>
    </cfRule>
    <cfRule type="expression" dxfId="14183" priority="2099">
      <formula>$C38="Bills"</formula>
    </cfRule>
    <cfRule type="expression" dxfId="14182" priority="2100">
      <formula>$C38="Sales"</formula>
    </cfRule>
    <cfRule type="expression" dxfId="14181" priority="2101">
      <formula>$C38="Expences"</formula>
    </cfRule>
    <cfRule type="expression" dxfId="14180" priority="2102">
      <formula>$C38="Garlic Purchase"</formula>
    </cfRule>
    <cfRule type="expression" dxfId="14179" priority="2103">
      <formula>$C38="Ginger Purchase"</formula>
    </cfRule>
  </conditionalFormatting>
  <conditionalFormatting sqref="B38 B40:B42 B44 B46:B50 B52 B54 B56 B58 B60 B62:B64 B66 B68:B69 B71:B72 B75:B76 B78:B79 B81:B82 B84 B86">
    <cfRule type="expression" dxfId="14178" priority="2104">
      <formula>$C38="Advance"</formula>
    </cfRule>
  </conditionalFormatting>
  <conditionalFormatting sqref="B39 B41 B43 B45 B47 B49 B51 B53 B55 B57 B59 B61 B65 B67 B70 B73:B74 B77 B80 B83 B85">
    <cfRule type="expression" dxfId="14177" priority="2085">
      <formula>$C39="Delivery charge"</formula>
    </cfRule>
    <cfRule type="expression" dxfId="14176" priority="2086">
      <formula>$C39="Staff Salary"</formula>
    </cfRule>
    <cfRule type="expression" dxfId="14175" priority="2087">
      <formula>$C39="Rent"</formula>
    </cfRule>
    <cfRule type="expression" dxfId="14174" priority="2088">
      <formula>$C39="Petrol"</formula>
    </cfRule>
    <cfRule type="expression" dxfId="14173" priority="2089">
      <formula>$C39="Bills"</formula>
    </cfRule>
    <cfRule type="expression" dxfId="14172" priority="2090">
      <formula>$C39="Sales"</formula>
    </cfRule>
    <cfRule type="expression" dxfId="14171" priority="2091">
      <formula>$C39="Expences"</formula>
    </cfRule>
    <cfRule type="expression" dxfId="14170" priority="2092">
      <formula>$C39="Garlic Purchase"</formula>
    </cfRule>
    <cfRule type="expression" dxfId="14169" priority="2093">
      <formula>$C39="Ginger Purchase"</formula>
    </cfRule>
  </conditionalFormatting>
  <conditionalFormatting sqref="B39 B41 B43 B45 B47 B49 B51 B53 B55 B57 B59 B61 B65 B67 B70 B73:B74 B77 B80 B83 B85">
    <cfRule type="expression" dxfId="14168" priority="2094">
      <formula>$C39="Advance"</formula>
    </cfRule>
  </conditionalFormatting>
  <conditionalFormatting sqref="B38 B40:B42 B44 B46:B50 B52 B54 B56 B58 B60 B62:B64 B66 B68:B69 B71:B72 B75:B76 B78:B79 B81:B82 B84 B86">
    <cfRule type="expression" dxfId="14167" priority="2075">
      <formula>$C38="Delivery charge"</formula>
    </cfRule>
    <cfRule type="expression" dxfId="14166" priority="2076">
      <formula>$C38="Staff Salary"</formula>
    </cfRule>
    <cfRule type="expression" dxfId="14165" priority="2077">
      <formula>$C38="Rent"</formula>
    </cfRule>
    <cfRule type="expression" dxfId="14164" priority="2078">
      <formula>$C38="Petrol"</formula>
    </cfRule>
    <cfRule type="expression" dxfId="14163" priority="2079">
      <formula>$C38="Bills"</formula>
    </cfRule>
    <cfRule type="expression" dxfId="14162" priority="2080">
      <formula>$C38="Sales"</formula>
    </cfRule>
    <cfRule type="expression" dxfId="14161" priority="2081">
      <formula>$C38="Expences"</formula>
    </cfRule>
    <cfRule type="expression" dxfId="14160" priority="2082">
      <formula>$C38="Garlic Purchase"</formula>
    </cfRule>
    <cfRule type="expression" dxfId="14159" priority="2083">
      <formula>$C38="Ginger Purchase"</formula>
    </cfRule>
  </conditionalFormatting>
  <conditionalFormatting sqref="B38 B40:B42 B44 B46:B50 B52 B54 B56 B58 B60 B62:B64 B66 B68:B69 B71:B72 B75:B76 B78:B79 B81:B82 B84 B86">
    <cfRule type="expression" dxfId="14158" priority="2084">
      <formula>$C38="Advance"</formula>
    </cfRule>
  </conditionalFormatting>
  <conditionalFormatting sqref="B38 B40:B42 B44 B46:B50 B52 B54 B56 B58 B60 B62:B64 B66 B68:B69 B71:B72 B75:B76 B78:B79 B81:B82 B84 B86">
    <cfRule type="expression" dxfId="14157" priority="2065">
      <formula>$C38="Delivery charge"</formula>
    </cfRule>
    <cfRule type="expression" dxfId="14156" priority="2066">
      <formula>$C38="Staff Salary"</formula>
    </cfRule>
    <cfRule type="expression" dxfId="14155" priority="2067">
      <formula>$C38="Rent"</formula>
    </cfRule>
    <cfRule type="expression" dxfId="14154" priority="2068">
      <formula>$C38="Petrol"</formula>
    </cfRule>
    <cfRule type="expression" dxfId="14153" priority="2069">
      <formula>$C38="Bills"</formula>
    </cfRule>
    <cfRule type="expression" dxfId="14152" priority="2070">
      <formula>$C38="Sales"</formula>
    </cfRule>
    <cfRule type="expression" dxfId="14151" priority="2071">
      <formula>$C38="Expences"</formula>
    </cfRule>
    <cfRule type="expression" dxfId="14150" priority="2072">
      <formula>$C38="Garlic Purchase"</formula>
    </cfRule>
    <cfRule type="expression" dxfId="14149" priority="2073">
      <formula>$C38="Ginger Purchase"</formula>
    </cfRule>
  </conditionalFormatting>
  <conditionalFormatting sqref="B38 B40:B42 B44 B46:B50 B52 B54 B56 B58 B60 B62:B64 B66 B68:B69 B71:B72 B75:B76 B78:B79 B81:B82 B84 B86">
    <cfRule type="expression" dxfId="14148" priority="2074">
      <formula>$C38="Advance"</formula>
    </cfRule>
  </conditionalFormatting>
  <conditionalFormatting sqref="B38 B40:B42 B44 B46:B50 B52 B54 B56 B58 B60 B62:B64 B66 B68:B69 B71:B72 B75:B76 B78:B79 B81:B82 B84 B86">
    <cfRule type="expression" dxfId="14147" priority="2055">
      <formula>$C38="Delivery charge"</formula>
    </cfRule>
    <cfRule type="expression" dxfId="14146" priority="2056">
      <formula>$C38="Staff Salary"</formula>
    </cfRule>
    <cfRule type="expression" dxfId="14145" priority="2057">
      <formula>$C38="Rent"</formula>
    </cfRule>
    <cfRule type="expression" dxfId="14144" priority="2058">
      <formula>$C38="Petrol"</formula>
    </cfRule>
    <cfRule type="expression" dxfId="14143" priority="2059">
      <formula>$C38="Bills"</formula>
    </cfRule>
    <cfRule type="expression" dxfId="14142" priority="2060">
      <formula>$C38="Sales"</formula>
    </cfRule>
    <cfRule type="expression" dxfId="14141" priority="2061">
      <formula>$C38="Expences"</formula>
    </cfRule>
    <cfRule type="expression" dxfId="14140" priority="2062">
      <formula>$C38="Garlic Purchase"</formula>
    </cfRule>
    <cfRule type="expression" dxfId="14139" priority="2063">
      <formula>$C38="Ginger Purchase"</formula>
    </cfRule>
  </conditionalFormatting>
  <conditionalFormatting sqref="B38 B40:B42 B44 B46:B50 B52 B54 B56 B58 B60 B62:B64 B66 B68:B69 B71:B72 B75:B76 B78:B79 B81:B82 B84 B86">
    <cfRule type="expression" dxfId="14138" priority="2064">
      <formula>$C38="Advance"</formula>
    </cfRule>
  </conditionalFormatting>
  <conditionalFormatting sqref="B38 B40:B42 B44 B46:B50 B52 B54 B56 B58 B60 B62:B64 B66 B68:B69 B71:B72 B75:B76 B78:B79 B81:B82 B84 B86">
    <cfRule type="expression" dxfId="14137" priority="2045">
      <formula>$C38="Delivery charge"</formula>
    </cfRule>
    <cfRule type="expression" dxfId="14136" priority="2046">
      <formula>$C38="Staff Salary"</formula>
    </cfRule>
    <cfRule type="expression" dxfId="14135" priority="2047">
      <formula>$C38="Rent"</formula>
    </cfRule>
    <cfRule type="expression" dxfId="14134" priority="2048">
      <formula>$C38="Petrol"</formula>
    </cfRule>
    <cfRule type="expression" dxfId="14133" priority="2049">
      <formula>$C38="Bills"</formula>
    </cfRule>
    <cfRule type="expression" dxfId="14132" priority="2050">
      <formula>$C38="Sales"</formula>
    </cfRule>
    <cfRule type="expression" dxfId="14131" priority="2051">
      <formula>$C38="Expences"</formula>
    </cfRule>
    <cfRule type="expression" dxfId="14130" priority="2052">
      <formula>$C38="Garlic Purchase"</formula>
    </cfRule>
    <cfRule type="expression" dxfId="14129" priority="2053">
      <formula>$C38="Ginger Purchase"</formula>
    </cfRule>
  </conditionalFormatting>
  <conditionalFormatting sqref="B38 B40:B42 B44 B46:B50 B52 B54 B56 B58 B60 B62:B64 B66 B68:B69 B71:B72 B75:B76 B78:B79 B81:B82 B84 B86">
    <cfRule type="expression" dxfId="14128" priority="2054">
      <formula>$C38="Advance"</formula>
    </cfRule>
  </conditionalFormatting>
  <conditionalFormatting sqref="B39 B41 B43 B45 B47 B49 B51 B53 B55 B57 B59 B61 B65 B67 B70 B73:B74 B77 B80 B83 B85">
    <cfRule type="expression" dxfId="14127" priority="2035">
      <formula>$C39="Delivery charge"</formula>
    </cfRule>
    <cfRule type="expression" dxfId="14126" priority="2036">
      <formula>$C39="Staff Salary"</formula>
    </cfRule>
    <cfRule type="expression" dxfId="14125" priority="2037">
      <formula>$C39="Rent"</formula>
    </cfRule>
    <cfRule type="expression" dxfId="14124" priority="2038">
      <formula>$C39="Petrol"</formula>
    </cfRule>
    <cfRule type="expression" dxfId="14123" priority="2039">
      <formula>$C39="Bills"</formula>
    </cfRule>
    <cfRule type="expression" dxfId="14122" priority="2040">
      <formula>$C39="Sales"</formula>
    </cfRule>
    <cfRule type="expression" dxfId="14121" priority="2041">
      <formula>$C39="Expences"</formula>
    </cfRule>
    <cfRule type="expression" dxfId="14120" priority="2042">
      <formula>$C39="Garlic Purchase"</formula>
    </cfRule>
    <cfRule type="expression" dxfId="14119" priority="2043">
      <formula>$C39="Ginger Purchase"</formula>
    </cfRule>
  </conditionalFormatting>
  <conditionalFormatting sqref="B39 B41 B43 B45 B47 B49 B51 B53 B55 B57 B59 B61 B65 B67 B70 B73:B74 B77 B80 B83 B85">
    <cfRule type="expression" dxfId="14118" priority="2044">
      <formula>$C39="Advance"</formula>
    </cfRule>
  </conditionalFormatting>
  <conditionalFormatting sqref="B39 B41 B43 B45 B47 B49 B51 B53 B55 B57 B59 B61 B65 B67 B70 B73:B74 B77 B80 B83 B85">
    <cfRule type="expression" dxfId="14117" priority="2025">
      <formula>$C39="Delivery charge"</formula>
    </cfRule>
    <cfRule type="expression" dxfId="14116" priority="2026">
      <formula>$C39="Staff Salary"</formula>
    </cfRule>
    <cfRule type="expression" dxfId="14115" priority="2027">
      <formula>$C39="Rent"</formula>
    </cfRule>
    <cfRule type="expression" dxfId="14114" priority="2028">
      <formula>$C39="Petrol"</formula>
    </cfRule>
    <cfRule type="expression" dxfId="14113" priority="2029">
      <formula>$C39="Bills"</formula>
    </cfRule>
    <cfRule type="expression" dxfId="14112" priority="2030">
      <formula>$C39="Sales"</formula>
    </cfRule>
    <cfRule type="expression" dxfId="14111" priority="2031">
      <formula>$C39="Expences"</formula>
    </cfRule>
    <cfRule type="expression" dxfId="14110" priority="2032">
      <formula>$C39="Garlic Purchase"</formula>
    </cfRule>
    <cfRule type="expression" dxfId="14109" priority="2033">
      <formula>$C39="Ginger Purchase"</formula>
    </cfRule>
  </conditionalFormatting>
  <conditionalFormatting sqref="B39 B41 B43 B45 B47 B49 B51 B53 B55 B57 B59 B61 B65 B67 B70 B73:B74 B77 B80 B83 B85">
    <cfRule type="expression" dxfId="14108" priority="2034">
      <formula>$C39="Advance"</formula>
    </cfRule>
  </conditionalFormatting>
  <conditionalFormatting sqref="B39 B41 B43 B45 B47 B49 B51 B53 B55 B57 B59 B61 B65 B67 B70 B73:B74 B77 B80 B83 B85">
    <cfRule type="expression" dxfId="14107" priority="2015">
      <formula>$C39="Delivery charge"</formula>
    </cfRule>
    <cfRule type="expression" dxfId="14106" priority="2016">
      <formula>$C39="Staff Salary"</formula>
    </cfRule>
    <cfRule type="expression" dxfId="14105" priority="2017">
      <formula>$C39="Rent"</formula>
    </cfRule>
    <cfRule type="expression" dxfId="14104" priority="2018">
      <formula>$C39="Petrol"</formula>
    </cfRule>
    <cfRule type="expression" dxfId="14103" priority="2019">
      <formula>$C39="Bills"</formula>
    </cfRule>
    <cfRule type="expression" dxfId="14102" priority="2020">
      <formula>$C39="Sales"</formula>
    </cfRule>
    <cfRule type="expression" dxfId="14101" priority="2021">
      <formula>$C39="Expences"</formula>
    </cfRule>
    <cfRule type="expression" dxfId="14100" priority="2022">
      <formula>$C39="Garlic Purchase"</formula>
    </cfRule>
    <cfRule type="expression" dxfId="14099" priority="2023">
      <formula>$C39="Ginger Purchase"</formula>
    </cfRule>
  </conditionalFormatting>
  <conditionalFormatting sqref="B39 B41 B43 B45 B47 B49 B51 B53 B55 B57 B59 B61 B65 B67 B70 B73:B74 B77 B80 B83 B85">
    <cfRule type="expression" dxfId="14098" priority="2024">
      <formula>$C39="Advance"</formula>
    </cfRule>
  </conditionalFormatting>
  <conditionalFormatting sqref="B39 B41 B43 B45 B47 B49 B51 B53 B55 B57 B59 B61 B65 B67 B70 B73:B74 B77 B80 B83 B85">
    <cfRule type="expression" dxfId="14097" priority="2005">
      <formula>$C39="Delivery charge"</formula>
    </cfRule>
    <cfRule type="expression" dxfId="14096" priority="2006">
      <formula>$C39="Staff Salary"</formula>
    </cfRule>
    <cfRule type="expression" dxfId="14095" priority="2007">
      <formula>$C39="Rent"</formula>
    </cfRule>
    <cfRule type="expression" dxfId="14094" priority="2008">
      <formula>$C39="Petrol"</formula>
    </cfRule>
    <cfRule type="expression" dxfId="14093" priority="2009">
      <formula>$C39="Bills"</formula>
    </cfRule>
    <cfRule type="expression" dxfId="14092" priority="2010">
      <formula>$C39="Sales"</formula>
    </cfRule>
    <cfRule type="expression" dxfId="14091" priority="2011">
      <formula>$C39="Expences"</formula>
    </cfRule>
    <cfRule type="expression" dxfId="14090" priority="2012">
      <formula>$C39="Garlic Purchase"</formula>
    </cfRule>
    <cfRule type="expression" dxfId="14089" priority="2013">
      <formula>$C39="Ginger Purchase"</formula>
    </cfRule>
  </conditionalFormatting>
  <conditionalFormatting sqref="B39 B41 B43 B45 B47 B49 B51 B53 B55 B57 B59 B61 B65 B67 B70 B73:B74 B77 B80 B83 B85">
    <cfRule type="expression" dxfId="14088" priority="2014">
      <formula>$C39="Advance"</formula>
    </cfRule>
  </conditionalFormatting>
  <conditionalFormatting sqref="B38 B40:B42 B44 B46:B50 B52 B54 B56 B58 B60 B62:B64 B66 B68:B69 B71:B72 B75:B76 B78:B79 B81:B82 B84 B86">
    <cfRule type="expression" dxfId="14087" priority="1995">
      <formula>$C38="Delivery charge"</formula>
    </cfRule>
    <cfRule type="expression" dxfId="14086" priority="1996">
      <formula>$C38="Staff Salary"</formula>
    </cfRule>
    <cfRule type="expression" dxfId="14085" priority="1997">
      <formula>$C38="Rent"</formula>
    </cfRule>
    <cfRule type="expression" dxfId="14084" priority="1998">
      <formula>$C38="Petrol"</formula>
    </cfRule>
    <cfRule type="expression" dxfId="14083" priority="1999">
      <formula>$C38="Bills"</formula>
    </cfRule>
    <cfRule type="expression" dxfId="14082" priority="2000">
      <formula>$C38="Sales"</formula>
    </cfRule>
    <cfRule type="expression" dxfId="14081" priority="2001">
      <formula>$C38="Expences"</formula>
    </cfRule>
    <cfRule type="expression" dxfId="14080" priority="2002">
      <formula>$C38="Garlic Purchase"</formula>
    </cfRule>
    <cfRule type="expression" dxfId="14079" priority="2003">
      <formula>$C38="Ginger Purchase"</formula>
    </cfRule>
  </conditionalFormatting>
  <conditionalFormatting sqref="B38 B40:B42 B44 B46:B50 B52 B54 B56 B58 B60 B62:B64 B66 B68:B69 B71:B72 B75:B76 B78:B79 B81:B82 B84 B86">
    <cfRule type="expression" dxfId="14078" priority="2004">
      <formula>$C38="Advance"</formula>
    </cfRule>
  </conditionalFormatting>
  <conditionalFormatting sqref="B39 B41 B43 B45 B47 B49 B51 B53 B55 B57 B59 B61 B65 B67 B70 B73:B74 B77 B80 B83 B85">
    <cfRule type="expression" dxfId="14077" priority="1985">
      <formula>$C39="Delivery charge"</formula>
    </cfRule>
    <cfRule type="expression" dxfId="14076" priority="1986">
      <formula>$C39="Staff Salary"</formula>
    </cfRule>
    <cfRule type="expression" dxfId="14075" priority="1987">
      <formula>$C39="Rent"</formula>
    </cfRule>
    <cfRule type="expression" dxfId="14074" priority="1988">
      <formula>$C39="Petrol"</formula>
    </cfRule>
    <cfRule type="expression" dxfId="14073" priority="1989">
      <formula>$C39="Bills"</formula>
    </cfRule>
    <cfRule type="expression" dxfId="14072" priority="1990">
      <formula>$C39="Sales"</formula>
    </cfRule>
    <cfRule type="expression" dxfId="14071" priority="1991">
      <formula>$C39="Expences"</formula>
    </cfRule>
    <cfRule type="expression" dxfId="14070" priority="1992">
      <formula>$C39="Garlic Purchase"</formula>
    </cfRule>
    <cfRule type="expression" dxfId="14069" priority="1993">
      <formula>$C39="Ginger Purchase"</formula>
    </cfRule>
  </conditionalFormatting>
  <conditionalFormatting sqref="B39 B41 B43 B45 B47 B49 B51 B53 B55 B57 B59 B61 B65 B67 B70 B73:B74 B77 B80 B83 B85">
    <cfRule type="expression" dxfId="14068" priority="1994">
      <formula>$C39="Advance"</formula>
    </cfRule>
  </conditionalFormatting>
  <conditionalFormatting sqref="B39 B41 B43 B45 B47 B49 B51 B53 B55 B57 B59 B61 B65 B67 B70 B73:B74 B77 B80 B83 B85">
    <cfRule type="expression" dxfId="14067" priority="1975">
      <formula>$C39="Delivery charge"</formula>
    </cfRule>
    <cfRule type="expression" dxfId="14066" priority="1976">
      <formula>$C39="Staff Salary"</formula>
    </cfRule>
    <cfRule type="expression" dxfId="14065" priority="1977">
      <formula>$C39="Rent"</formula>
    </cfRule>
    <cfRule type="expression" dxfId="14064" priority="1978">
      <formula>$C39="Petrol"</formula>
    </cfRule>
    <cfRule type="expression" dxfId="14063" priority="1979">
      <formula>$C39="Bills"</formula>
    </cfRule>
    <cfRule type="expression" dxfId="14062" priority="1980">
      <formula>$C39="Sales"</formula>
    </cfRule>
    <cfRule type="expression" dxfId="14061" priority="1981">
      <formula>$C39="Expences"</formula>
    </cfRule>
    <cfRule type="expression" dxfId="14060" priority="1982">
      <formula>$C39="Garlic Purchase"</formula>
    </cfRule>
    <cfRule type="expression" dxfId="14059" priority="1983">
      <formula>$C39="Ginger Purchase"</formula>
    </cfRule>
  </conditionalFormatting>
  <conditionalFormatting sqref="B39 B41 B43 B45 B47 B49 B51 B53 B55 B57 B59 B61 B65 B67 B70 B73:B74 B77 B80 B83 B85">
    <cfRule type="expression" dxfId="14058" priority="1984">
      <formula>$C39="Advance"</formula>
    </cfRule>
  </conditionalFormatting>
  <conditionalFormatting sqref="B39 B41 B43 B45 B47 B49 B51 B53 B55 B57 B59 B61 B65 B67 B70 B73:B74 B77 B80 B83 B85">
    <cfRule type="expression" dxfId="14057" priority="1965">
      <formula>$C39="Delivery charge"</formula>
    </cfRule>
    <cfRule type="expression" dxfId="14056" priority="1966">
      <formula>$C39="Staff Salary"</formula>
    </cfRule>
    <cfRule type="expression" dxfId="14055" priority="1967">
      <formula>$C39="Rent"</formula>
    </cfRule>
    <cfRule type="expression" dxfId="14054" priority="1968">
      <formula>$C39="Petrol"</formula>
    </cfRule>
    <cfRule type="expression" dxfId="14053" priority="1969">
      <formula>$C39="Bills"</formula>
    </cfRule>
    <cfRule type="expression" dxfId="14052" priority="1970">
      <formula>$C39="Sales"</formula>
    </cfRule>
    <cfRule type="expression" dxfId="14051" priority="1971">
      <formula>$C39="Expences"</formula>
    </cfRule>
    <cfRule type="expression" dxfId="14050" priority="1972">
      <formula>$C39="Garlic Purchase"</formula>
    </cfRule>
    <cfRule type="expression" dxfId="14049" priority="1973">
      <formula>$C39="Ginger Purchase"</formula>
    </cfRule>
  </conditionalFormatting>
  <conditionalFormatting sqref="B39 B41 B43 B45 B47 B49 B51 B53 B55 B57 B59 B61 B65 B67 B70 B73:B74 B77 B80 B83 B85">
    <cfRule type="expression" dxfId="14048" priority="1974">
      <formula>$C39="Advance"</formula>
    </cfRule>
  </conditionalFormatting>
  <conditionalFormatting sqref="B39 B41 B43 B45 B47 B49 B51 B53 B55 B57 B59 B61 B65 B67 B70 B73:B74 B77 B80 B83 B85">
    <cfRule type="expression" dxfId="14047" priority="1955">
      <formula>$C39="Delivery charge"</formula>
    </cfRule>
    <cfRule type="expression" dxfId="14046" priority="1956">
      <formula>$C39="Staff Salary"</formula>
    </cfRule>
    <cfRule type="expression" dxfId="14045" priority="1957">
      <formula>$C39="Rent"</formula>
    </cfRule>
    <cfRule type="expression" dxfId="14044" priority="1958">
      <formula>$C39="Petrol"</formula>
    </cfRule>
    <cfRule type="expression" dxfId="14043" priority="1959">
      <formula>$C39="Bills"</formula>
    </cfRule>
    <cfRule type="expression" dxfId="14042" priority="1960">
      <formula>$C39="Sales"</formula>
    </cfRule>
    <cfRule type="expression" dxfId="14041" priority="1961">
      <formula>$C39="Expences"</formula>
    </cfRule>
    <cfRule type="expression" dxfId="14040" priority="1962">
      <formula>$C39="Garlic Purchase"</formula>
    </cfRule>
    <cfRule type="expression" dxfId="14039" priority="1963">
      <formula>$C39="Ginger Purchase"</formula>
    </cfRule>
  </conditionalFormatting>
  <conditionalFormatting sqref="B39 B41 B43 B45 B47 B49 B51 B53 B55 B57 B59 B61 B65 B67 B70 B73:B74 B77 B80 B83 B85">
    <cfRule type="expression" dxfId="14038" priority="1964">
      <formula>$C39="Advance"</formula>
    </cfRule>
  </conditionalFormatting>
  <conditionalFormatting sqref="B39 B41 B43 B45 B47 B49 B51 B53 B55 B57 B59 B61 B65 B67 B70 B73:B74 B77 B80 B83 B85">
    <cfRule type="expression" dxfId="14037" priority="1945">
      <formula>$C39="Delivery charge"</formula>
    </cfRule>
    <cfRule type="expression" dxfId="14036" priority="1946">
      <formula>$C39="Staff Salary"</formula>
    </cfRule>
    <cfRule type="expression" dxfId="14035" priority="1947">
      <formula>$C39="Rent"</formula>
    </cfRule>
    <cfRule type="expression" dxfId="14034" priority="1948">
      <formula>$C39="Petrol"</formula>
    </cfRule>
    <cfRule type="expression" dxfId="14033" priority="1949">
      <formula>$C39="Bills"</formula>
    </cfRule>
    <cfRule type="expression" dxfId="14032" priority="1950">
      <formula>$C39="Sales"</formula>
    </cfRule>
    <cfRule type="expression" dxfId="14031" priority="1951">
      <formula>$C39="Expences"</formula>
    </cfRule>
    <cfRule type="expression" dxfId="14030" priority="1952">
      <formula>$C39="Garlic Purchase"</formula>
    </cfRule>
    <cfRule type="expression" dxfId="14029" priority="1953">
      <formula>$C39="Ginger Purchase"</formula>
    </cfRule>
  </conditionalFormatting>
  <conditionalFormatting sqref="B39 B41 B43 B45 B47 B49 B51 B53 B55 B57 B59 B61 B65 B67 B70 B73:B74 B77 B80 B83 B85">
    <cfRule type="expression" dxfId="14028" priority="1954">
      <formula>$C39="Advance"</formula>
    </cfRule>
  </conditionalFormatting>
  <conditionalFormatting sqref="B38 B40:B42 B44 B46:B50 B52 B54 B56 B58 B60 B62:B64 B66 B68:B69 B71:B72 B75:B76 B78:B79 B81:B82 B84 B86">
    <cfRule type="expression" dxfId="14027" priority="1935">
      <formula>$C38="Delivery charge"</formula>
    </cfRule>
    <cfRule type="expression" dxfId="14026" priority="1936">
      <formula>$C38="Staff Salary"</formula>
    </cfRule>
    <cfRule type="expression" dxfId="14025" priority="1937">
      <formula>$C38="Rent"</formula>
    </cfRule>
    <cfRule type="expression" dxfId="14024" priority="1938">
      <formula>$C38="Petrol"</formula>
    </cfRule>
    <cfRule type="expression" dxfId="14023" priority="1939">
      <formula>$C38="Bills"</formula>
    </cfRule>
    <cfRule type="expression" dxfId="14022" priority="1940">
      <formula>$C38="Sales"</formula>
    </cfRule>
    <cfRule type="expression" dxfId="14021" priority="1941">
      <formula>$C38="Expences"</formula>
    </cfRule>
    <cfRule type="expression" dxfId="14020" priority="1942">
      <formula>$C38="Garlic Purchase"</formula>
    </cfRule>
    <cfRule type="expression" dxfId="14019" priority="1943">
      <formula>$C38="Ginger Purchase"</formula>
    </cfRule>
  </conditionalFormatting>
  <conditionalFormatting sqref="B38 B40:B42 B44 B46:B50 B52 B54 B56 B58 B60 B62:B64 B66 B68:B69 B71:B72 B75:B76 B78:B79 B81:B82 B84 B86">
    <cfRule type="expression" dxfId="14018" priority="1944">
      <formula>$C38="Advance"</formula>
    </cfRule>
  </conditionalFormatting>
  <conditionalFormatting sqref="B38 B40:B42 B44 B46:B50 B52 B54 B56 B58 B60 B62:B64 B66 B68:B69 B71:B72 B75:B76 B78:B79 B81:B82 B84 B86">
    <cfRule type="expression" dxfId="14017" priority="1925">
      <formula>$C38="Delivery charge"</formula>
    </cfRule>
    <cfRule type="expression" dxfId="14016" priority="1926">
      <formula>$C38="Staff Salary"</formula>
    </cfRule>
    <cfRule type="expression" dxfId="14015" priority="1927">
      <formula>$C38="Rent"</formula>
    </cfRule>
    <cfRule type="expression" dxfId="14014" priority="1928">
      <formula>$C38="Petrol"</formula>
    </cfRule>
    <cfRule type="expression" dxfId="14013" priority="1929">
      <formula>$C38="Bills"</formula>
    </cfRule>
    <cfRule type="expression" dxfId="14012" priority="1930">
      <formula>$C38="Sales"</formula>
    </cfRule>
    <cfRule type="expression" dxfId="14011" priority="1931">
      <formula>$C38="Expences"</formula>
    </cfRule>
    <cfRule type="expression" dxfId="14010" priority="1932">
      <formula>$C38="Garlic Purchase"</formula>
    </cfRule>
    <cfRule type="expression" dxfId="14009" priority="1933">
      <formula>$C38="Ginger Purchase"</formula>
    </cfRule>
  </conditionalFormatting>
  <conditionalFormatting sqref="B38 B40:B42 B44 B46:B50 B52 B54 B56 B58 B60 B62:B64 B66 B68:B69 B71:B72 B75:B76 B78:B79 B81:B82 B84 B86">
    <cfRule type="expression" dxfId="14008" priority="1934">
      <formula>$C38="Advance"</formula>
    </cfRule>
  </conditionalFormatting>
  <conditionalFormatting sqref="B38 B40:B42 B44 B46:B50 B52 B54 B56 B58 B60 B62:B64 B66 B68:B69 B71:B72 B75:B76 B78:B79 B81:B82 B84 B86">
    <cfRule type="expression" dxfId="14007" priority="1915">
      <formula>$C38="Delivery charge"</formula>
    </cfRule>
    <cfRule type="expression" dxfId="14006" priority="1916">
      <formula>$C38="Staff Salary"</formula>
    </cfRule>
    <cfRule type="expression" dxfId="14005" priority="1917">
      <formula>$C38="Rent"</formula>
    </cfRule>
    <cfRule type="expression" dxfId="14004" priority="1918">
      <formula>$C38="Petrol"</formula>
    </cfRule>
    <cfRule type="expression" dxfId="14003" priority="1919">
      <formula>$C38="Bills"</formula>
    </cfRule>
    <cfRule type="expression" dxfId="14002" priority="1920">
      <formula>$C38="Sales"</formula>
    </cfRule>
    <cfRule type="expression" dxfId="14001" priority="1921">
      <formula>$C38="Expences"</formula>
    </cfRule>
    <cfRule type="expression" dxfId="14000" priority="1922">
      <formula>$C38="Garlic Purchase"</formula>
    </cfRule>
    <cfRule type="expression" dxfId="13999" priority="1923">
      <formula>$C38="Ginger Purchase"</formula>
    </cfRule>
  </conditionalFormatting>
  <conditionalFormatting sqref="B38 B40:B42 B44 B46:B50 B52 B54 B56 B58 B60 B62:B64 B66 B68:B69 B71:B72 B75:B76 B78:B79 B81:B82 B84 B86">
    <cfRule type="expression" dxfId="13998" priority="1924">
      <formula>$C38="Advance"</formula>
    </cfRule>
  </conditionalFormatting>
  <conditionalFormatting sqref="B38 B40:B42 B44 B46:B50 B52 B54 B56 B58 B60 B62:B64 B66 B68:B69 B71:B72 B75:B76 B78:B79 B81:B82 B84 B86">
    <cfRule type="expression" dxfId="13997" priority="1905">
      <formula>$C38="Delivery charge"</formula>
    </cfRule>
    <cfRule type="expression" dxfId="13996" priority="1906">
      <formula>$C38="Staff Salary"</formula>
    </cfRule>
    <cfRule type="expression" dxfId="13995" priority="1907">
      <formula>$C38="Rent"</formula>
    </cfRule>
    <cfRule type="expression" dxfId="13994" priority="1908">
      <formula>$C38="Petrol"</formula>
    </cfRule>
    <cfRule type="expression" dxfId="13993" priority="1909">
      <formula>$C38="Bills"</formula>
    </cfRule>
    <cfRule type="expression" dxfId="13992" priority="1910">
      <formula>$C38="Sales"</formula>
    </cfRule>
    <cfRule type="expression" dxfId="13991" priority="1911">
      <formula>$C38="Expences"</formula>
    </cfRule>
    <cfRule type="expression" dxfId="13990" priority="1912">
      <formula>$C38="Garlic Purchase"</formula>
    </cfRule>
    <cfRule type="expression" dxfId="13989" priority="1913">
      <formula>$C38="Ginger Purchase"</formula>
    </cfRule>
  </conditionalFormatting>
  <conditionalFormatting sqref="B38 B40:B42 B44 B46:B50 B52 B54 B56 B58 B60 B62:B64 B66 B68:B69 B71:B72 B75:B76 B78:B79 B81:B82 B84 B86">
    <cfRule type="expression" dxfId="13988" priority="1914">
      <formula>$C38="Advance"</formula>
    </cfRule>
  </conditionalFormatting>
  <conditionalFormatting sqref="B38 B40:B42 B44 B46:B50 B52 B54 B56 B58 B60 B62:B64 B66 B68:B69 B71:B72 B75:B76 B78:B79 B81:B82 B84 B86">
    <cfRule type="expression" dxfId="13987" priority="1895">
      <formula>$C38="Delivery charge"</formula>
    </cfRule>
    <cfRule type="expression" dxfId="13986" priority="1896">
      <formula>$C38="Staff Salary"</formula>
    </cfRule>
    <cfRule type="expression" dxfId="13985" priority="1897">
      <formula>$C38="Rent"</formula>
    </cfRule>
    <cfRule type="expression" dxfId="13984" priority="1898">
      <formula>$C38="Petrol"</formula>
    </cfRule>
    <cfRule type="expression" dxfId="13983" priority="1899">
      <formula>$C38="Bills"</formula>
    </cfRule>
    <cfRule type="expression" dxfId="13982" priority="1900">
      <formula>$C38="Sales"</formula>
    </cfRule>
    <cfRule type="expression" dxfId="13981" priority="1901">
      <formula>$C38="Expences"</formula>
    </cfRule>
    <cfRule type="expression" dxfId="13980" priority="1902">
      <formula>$C38="Garlic Purchase"</formula>
    </cfRule>
    <cfRule type="expression" dxfId="13979" priority="1903">
      <formula>$C38="Ginger Purchase"</formula>
    </cfRule>
  </conditionalFormatting>
  <conditionalFormatting sqref="B38 B40:B42 B44 B46:B50 B52 B54 B56 B58 B60 B62:B64 B66 B68:B69 B71:B72 B75:B76 B78:B79 B81:B82 B84 B86">
    <cfRule type="expression" dxfId="13978" priority="1904">
      <formula>$C38="Advance"</formula>
    </cfRule>
  </conditionalFormatting>
  <conditionalFormatting sqref="B39 B41 B43 B45 B47 B49 B51 B53 B55 B57 B59 B61 B65 B67 B70 B73:B74 B77 B80 B83 B85">
    <cfRule type="expression" dxfId="13977" priority="1885">
      <formula>$C39="Delivery charge"</formula>
    </cfRule>
    <cfRule type="expression" dxfId="13976" priority="1886">
      <formula>$C39="Staff Salary"</formula>
    </cfRule>
    <cfRule type="expression" dxfId="13975" priority="1887">
      <formula>$C39="Rent"</formula>
    </cfRule>
    <cfRule type="expression" dxfId="13974" priority="1888">
      <formula>$C39="Petrol"</formula>
    </cfRule>
    <cfRule type="expression" dxfId="13973" priority="1889">
      <formula>$C39="Bills"</formula>
    </cfRule>
    <cfRule type="expression" dxfId="13972" priority="1890">
      <formula>$C39="Sales"</formula>
    </cfRule>
    <cfRule type="expression" dxfId="13971" priority="1891">
      <formula>$C39="Expences"</formula>
    </cfRule>
    <cfRule type="expression" dxfId="13970" priority="1892">
      <formula>$C39="Garlic Purchase"</formula>
    </cfRule>
    <cfRule type="expression" dxfId="13969" priority="1893">
      <formula>$C39="Ginger Purchase"</formula>
    </cfRule>
  </conditionalFormatting>
  <conditionalFormatting sqref="B39 B41 B43 B45 B47 B49 B51 B53 B55 B57 B59 B61 B65 B67 B70 B73:B74 B77 B80 B83 B85">
    <cfRule type="expression" dxfId="13968" priority="1894">
      <formula>$C39="Advance"</formula>
    </cfRule>
  </conditionalFormatting>
  <conditionalFormatting sqref="B38 B40:B42 B44 B46:B50 B52 B54 B56 B58 B60 B62:B64 B66 B68:B69 B71:B72 B75:B76 B78:B79 B81:B82 B84 B86">
    <cfRule type="expression" dxfId="13967" priority="1875">
      <formula>$C38="Delivery charge"</formula>
    </cfRule>
    <cfRule type="expression" dxfId="13966" priority="1876">
      <formula>$C38="Staff Salary"</formula>
    </cfRule>
    <cfRule type="expression" dxfId="13965" priority="1877">
      <formula>$C38="Rent"</formula>
    </cfRule>
    <cfRule type="expression" dxfId="13964" priority="1878">
      <formula>$C38="Petrol"</formula>
    </cfRule>
    <cfRule type="expression" dxfId="13963" priority="1879">
      <formula>$C38="Bills"</formula>
    </cfRule>
    <cfRule type="expression" dxfId="13962" priority="1880">
      <formula>$C38="Sales"</formula>
    </cfRule>
    <cfRule type="expression" dxfId="13961" priority="1881">
      <formula>$C38="Expences"</formula>
    </cfRule>
    <cfRule type="expression" dxfId="13960" priority="1882">
      <formula>$C38="Garlic Purchase"</formula>
    </cfRule>
    <cfRule type="expression" dxfId="13959" priority="1883">
      <formula>$C38="Ginger Purchase"</formula>
    </cfRule>
  </conditionalFormatting>
  <conditionalFormatting sqref="B38 B40:B42 B44 B46:B50 B52 B54 B56 B58 B60 B62:B64 B66 B68:B69 B71:B72 B75:B76 B78:B79 B81:B82 B84 B86">
    <cfRule type="expression" dxfId="13958" priority="1884">
      <formula>$C38="Advance"</formula>
    </cfRule>
  </conditionalFormatting>
  <conditionalFormatting sqref="B38 B40:B42 B44 B46:B50 B52 B54 B56 B58 B60 B62:B64 B66 B68:B69 B71:B72 B75:B76 B78:B79 B81:B82 B84 B86">
    <cfRule type="expression" dxfId="13957" priority="1865">
      <formula>$C38="Delivery charge"</formula>
    </cfRule>
    <cfRule type="expression" dxfId="13956" priority="1866">
      <formula>$C38="Staff Salary"</formula>
    </cfRule>
    <cfRule type="expression" dxfId="13955" priority="1867">
      <formula>$C38="Rent"</formula>
    </cfRule>
    <cfRule type="expression" dxfId="13954" priority="1868">
      <formula>$C38="Petrol"</formula>
    </cfRule>
    <cfRule type="expression" dxfId="13953" priority="1869">
      <formula>$C38="Bills"</formula>
    </cfRule>
    <cfRule type="expression" dxfId="13952" priority="1870">
      <formula>$C38="Sales"</formula>
    </cfRule>
    <cfRule type="expression" dxfId="13951" priority="1871">
      <formula>$C38="Expences"</formula>
    </cfRule>
    <cfRule type="expression" dxfId="13950" priority="1872">
      <formula>$C38="Garlic Purchase"</formula>
    </cfRule>
    <cfRule type="expression" dxfId="13949" priority="1873">
      <formula>$C38="Ginger Purchase"</formula>
    </cfRule>
  </conditionalFormatting>
  <conditionalFormatting sqref="B38 B40:B42 B44 B46:B50 B52 B54 B56 B58 B60 B62:B64 B66 B68:B69 B71:B72 B75:B76 B78:B79 B81:B82 B84 B86">
    <cfRule type="expression" dxfId="13948" priority="1874">
      <formula>$C38="Advance"</formula>
    </cfRule>
  </conditionalFormatting>
  <conditionalFormatting sqref="B38 B40:B42 B44 B46:B50 B52 B54 B56 B58 B60 B62:B64 B66 B68:B69 B71:B72 B75:B76 B78:B79 B81:B82 B84 B86">
    <cfRule type="expression" dxfId="13947" priority="1855">
      <formula>$C38="Delivery charge"</formula>
    </cfRule>
    <cfRule type="expression" dxfId="13946" priority="1856">
      <formula>$C38="Staff Salary"</formula>
    </cfRule>
    <cfRule type="expression" dxfId="13945" priority="1857">
      <formula>$C38="Rent"</formula>
    </cfRule>
    <cfRule type="expression" dxfId="13944" priority="1858">
      <formula>$C38="Petrol"</formula>
    </cfRule>
    <cfRule type="expression" dxfId="13943" priority="1859">
      <formula>$C38="Bills"</formula>
    </cfRule>
    <cfRule type="expression" dxfId="13942" priority="1860">
      <formula>$C38="Sales"</formula>
    </cfRule>
    <cfRule type="expression" dxfId="13941" priority="1861">
      <formula>$C38="Expences"</formula>
    </cfRule>
    <cfRule type="expression" dxfId="13940" priority="1862">
      <formula>$C38="Garlic Purchase"</formula>
    </cfRule>
    <cfRule type="expression" dxfId="13939" priority="1863">
      <formula>$C38="Ginger Purchase"</formula>
    </cfRule>
  </conditionalFormatting>
  <conditionalFormatting sqref="B38 B40:B42 B44 B46:B50 B52 B54 B56 B58 B60 B62:B64 B66 B68:B69 B71:B72 B75:B76 B78:B79 B81:B82 B84 B86">
    <cfRule type="expression" dxfId="13938" priority="1864">
      <formula>$C38="Advance"</formula>
    </cfRule>
  </conditionalFormatting>
  <conditionalFormatting sqref="B38 B40:B42 B44 B46:B50 B52 B54 B56 B58 B60 B62:B64 B66 B68:B69 B71:B72 B75:B76 B78:B79 B81:B82 B84 B86">
    <cfRule type="expression" dxfId="13937" priority="1845">
      <formula>$C38="Delivery charge"</formula>
    </cfRule>
    <cfRule type="expression" dxfId="13936" priority="1846">
      <formula>$C38="Staff Salary"</formula>
    </cfRule>
    <cfRule type="expression" dxfId="13935" priority="1847">
      <formula>$C38="Rent"</formula>
    </cfRule>
    <cfRule type="expression" dxfId="13934" priority="1848">
      <formula>$C38="Petrol"</formula>
    </cfRule>
    <cfRule type="expression" dxfId="13933" priority="1849">
      <formula>$C38="Bills"</formula>
    </cfRule>
    <cfRule type="expression" dxfId="13932" priority="1850">
      <formula>$C38="Sales"</formula>
    </cfRule>
    <cfRule type="expression" dxfId="13931" priority="1851">
      <formula>$C38="Expences"</formula>
    </cfRule>
    <cfRule type="expression" dxfId="13930" priority="1852">
      <formula>$C38="Garlic Purchase"</formula>
    </cfRule>
    <cfRule type="expression" dxfId="13929" priority="1853">
      <formula>$C38="Ginger Purchase"</formula>
    </cfRule>
  </conditionalFormatting>
  <conditionalFormatting sqref="B38 B40:B42 B44 B46:B50 B52 B54 B56 B58 B60 B62:B64 B66 B68:B69 B71:B72 B75:B76 B78:B79 B81:B82 B84 B86">
    <cfRule type="expression" dxfId="13928" priority="1854">
      <formula>$C38="Advance"</formula>
    </cfRule>
  </conditionalFormatting>
  <conditionalFormatting sqref="B38 B40:B42 B44 B46:B50 B52 B54 B56 B58 B60 B62:B64 B66 B68:B69 B71:B72 B75:B76 B78:B79 B81:B82 B84 B86">
    <cfRule type="expression" dxfId="13927" priority="1835">
      <formula>$C38="Delivery charge"</formula>
    </cfRule>
    <cfRule type="expression" dxfId="13926" priority="1836">
      <formula>$C38="Staff Salary"</formula>
    </cfRule>
    <cfRule type="expression" dxfId="13925" priority="1837">
      <formula>$C38="Rent"</formula>
    </cfRule>
    <cfRule type="expression" dxfId="13924" priority="1838">
      <formula>$C38="Petrol"</formula>
    </cfRule>
    <cfRule type="expression" dxfId="13923" priority="1839">
      <formula>$C38="Bills"</formula>
    </cfRule>
    <cfRule type="expression" dxfId="13922" priority="1840">
      <formula>$C38="Sales"</formula>
    </cfRule>
    <cfRule type="expression" dxfId="13921" priority="1841">
      <formula>$C38="Expences"</formula>
    </cfRule>
    <cfRule type="expression" dxfId="13920" priority="1842">
      <formula>$C38="Garlic Purchase"</formula>
    </cfRule>
    <cfRule type="expression" dxfId="13919" priority="1843">
      <formula>$C38="Ginger Purchase"</formula>
    </cfRule>
  </conditionalFormatting>
  <conditionalFormatting sqref="B38 B40:B42 B44 B46:B50 B52 B54 B56 B58 B60 B62:B64 B66 B68:B69 B71:B72 B75:B76 B78:B79 B81:B82 B84 B86">
    <cfRule type="expression" dxfId="13918" priority="1844">
      <formula>$C38="Advance"</formula>
    </cfRule>
  </conditionalFormatting>
  <conditionalFormatting sqref="B38 B40:B42 B44 B46:B50 B52 B54 B56 B58 B60 B62:B64 B66 B68:B69 B71:B72 B75:B76 B78:B79 B81:B82 B84 B86">
    <cfRule type="expression" dxfId="13917" priority="1825">
      <formula>$C38="Delivery charge"</formula>
    </cfRule>
    <cfRule type="expression" dxfId="13916" priority="1826">
      <formula>$C38="Staff Salary"</formula>
    </cfRule>
    <cfRule type="expression" dxfId="13915" priority="1827">
      <formula>$C38="Rent"</formula>
    </cfRule>
    <cfRule type="expression" dxfId="13914" priority="1828">
      <formula>$C38="Petrol"</formula>
    </cfRule>
    <cfRule type="expression" dxfId="13913" priority="1829">
      <formula>$C38="Bills"</formula>
    </cfRule>
    <cfRule type="expression" dxfId="13912" priority="1830">
      <formula>$C38="Sales"</formula>
    </cfRule>
    <cfRule type="expression" dxfId="13911" priority="1831">
      <formula>$C38="Expences"</formula>
    </cfRule>
    <cfRule type="expression" dxfId="13910" priority="1832">
      <formula>$C38="Garlic Purchase"</formula>
    </cfRule>
    <cfRule type="expression" dxfId="13909" priority="1833">
      <formula>$C38="Ginger Purchase"</formula>
    </cfRule>
  </conditionalFormatting>
  <conditionalFormatting sqref="B38 B40:B42 B44 B46:B50 B52 B54 B56 B58 B60 B62:B64 B66 B68:B69 B71:B72 B75:B76 B78:B79 B81:B82 B84 B86">
    <cfRule type="expression" dxfId="13908" priority="1834">
      <formula>$C38="Advance"</formula>
    </cfRule>
  </conditionalFormatting>
  <conditionalFormatting sqref="B38 B40:B42 B44 B46:B50 B52 B54 B56 B58 B60 B62:B64 B66 B68:B69 B71:B72 B75:B76 B78:B79 B81:B82 B84 B86">
    <cfRule type="expression" dxfId="13907" priority="1815">
      <formula>$C38="Delivery charge"</formula>
    </cfRule>
    <cfRule type="expression" dxfId="13906" priority="1816">
      <formula>$C38="Staff Salary"</formula>
    </cfRule>
    <cfRule type="expression" dxfId="13905" priority="1817">
      <formula>$C38="Rent"</formula>
    </cfRule>
    <cfRule type="expression" dxfId="13904" priority="1818">
      <formula>$C38="Petrol"</formula>
    </cfRule>
    <cfRule type="expression" dxfId="13903" priority="1819">
      <formula>$C38="Bills"</formula>
    </cfRule>
    <cfRule type="expression" dxfId="13902" priority="1820">
      <formula>$C38="Sales"</formula>
    </cfRule>
    <cfRule type="expression" dxfId="13901" priority="1821">
      <formula>$C38="Expences"</formula>
    </cfRule>
    <cfRule type="expression" dxfId="13900" priority="1822">
      <formula>$C38="Garlic Purchase"</formula>
    </cfRule>
    <cfRule type="expression" dxfId="13899" priority="1823">
      <formula>$C38="Ginger Purchase"</formula>
    </cfRule>
  </conditionalFormatting>
  <conditionalFormatting sqref="B38 B40:B42 B44 B46:B50 B52 B54 B56 B58 B60 B62:B64 B66 B68:B69 B71:B72 B75:B76 B78:B79 B81:B82 B84 B86">
    <cfRule type="expression" dxfId="13898" priority="1824">
      <formula>$C38="Advance"</formula>
    </cfRule>
  </conditionalFormatting>
  <conditionalFormatting sqref="B38 B40:B42 B44 B46:B50 B52 B54 B56 B58 B60 B62:B64 B66 B68:B69 B71:B72 B75:B76 B78:B79 B81:B82 B84 B86">
    <cfRule type="expression" dxfId="13897" priority="1805">
      <formula>$C38="Delivery charge"</formula>
    </cfRule>
    <cfRule type="expression" dxfId="13896" priority="1806">
      <formula>$C38="Staff Salary"</formula>
    </cfRule>
    <cfRule type="expression" dxfId="13895" priority="1807">
      <formula>$C38="Rent"</formula>
    </cfRule>
    <cfRule type="expression" dxfId="13894" priority="1808">
      <formula>$C38="Petrol"</formula>
    </cfRule>
    <cfRule type="expression" dxfId="13893" priority="1809">
      <formula>$C38="Bills"</formula>
    </cfRule>
    <cfRule type="expression" dxfId="13892" priority="1810">
      <formula>$C38="Sales"</formula>
    </cfRule>
    <cfRule type="expression" dxfId="13891" priority="1811">
      <formula>$C38="Expences"</formula>
    </cfRule>
    <cfRule type="expression" dxfId="13890" priority="1812">
      <formula>$C38="Garlic Purchase"</formula>
    </cfRule>
    <cfRule type="expression" dxfId="13889" priority="1813">
      <formula>$C38="Ginger Purchase"</formula>
    </cfRule>
  </conditionalFormatting>
  <conditionalFormatting sqref="B38 B40:B42 B44 B46:B50 B52 B54 B56 B58 B60 B62:B64 B66 B68:B69 B71:B72 B75:B76 B78:B79 B81:B82 B84 B86">
    <cfRule type="expression" dxfId="13888" priority="1814">
      <formula>$C38="Advance"</formula>
    </cfRule>
  </conditionalFormatting>
  <conditionalFormatting sqref="B38 B40:B42 B44 B46:B50 B52 B54 B56 B58 B60 B62:B64 B66 B68:B69 B71:B72 B75:B76 B78:B79 B81:B82 B84 B86">
    <cfRule type="expression" dxfId="13887" priority="1795">
      <formula>$C38="Delivery charge"</formula>
    </cfRule>
    <cfRule type="expression" dxfId="13886" priority="1796">
      <formula>$C38="Staff Salary"</formula>
    </cfRule>
    <cfRule type="expression" dxfId="13885" priority="1797">
      <formula>$C38="Rent"</formula>
    </cfRule>
    <cfRule type="expression" dxfId="13884" priority="1798">
      <formula>$C38="Petrol"</formula>
    </cfRule>
    <cfRule type="expression" dxfId="13883" priority="1799">
      <formula>$C38="Bills"</formula>
    </cfRule>
    <cfRule type="expression" dxfId="13882" priority="1800">
      <formula>$C38="Sales"</formula>
    </cfRule>
    <cfRule type="expression" dxfId="13881" priority="1801">
      <formula>$C38="Expences"</formula>
    </cfRule>
    <cfRule type="expression" dxfId="13880" priority="1802">
      <formula>$C38="Garlic Purchase"</formula>
    </cfRule>
    <cfRule type="expression" dxfId="13879" priority="1803">
      <formula>$C38="Ginger Purchase"</formula>
    </cfRule>
  </conditionalFormatting>
  <conditionalFormatting sqref="B38 B40:B42 B44 B46:B50 B52 B54 B56 B58 B60 B62:B64 B66 B68:B69 B71:B72 B75:B76 B78:B79 B81:B82 B84 B86">
    <cfRule type="expression" dxfId="13878" priority="1804">
      <formula>$C38="Advance"</formula>
    </cfRule>
  </conditionalFormatting>
  <conditionalFormatting sqref="B46 B48:B50 B52 B54 B56 B58 B60 B62:B64 B66 B68:B69 B71:B72 B75:B76 B78:B79 B81:B82 B84 B86">
    <cfRule type="expression" dxfId="13877" priority="46">
      <formula>$C46="Advance"</formula>
    </cfRule>
  </conditionalFormatting>
  <conditionalFormatting sqref="B38 B41 B44 B47">
    <cfRule type="expression" dxfId="13876" priority="977">
      <formula>$C38="Advance"</formula>
    </cfRule>
  </conditionalFormatting>
  <conditionalFormatting sqref="A4:A15">
    <cfRule type="expression" dxfId="13875" priority="1761">
      <formula>$C4="Advance"</formula>
    </cfRule>
  </conditionalFormatting>
  <conditionalFormatting sqref="A16:A20">
    <cfRule type="expression" dxfId="13874" priority="1760">
      <formula>$C16="Advance"</formula>
    </cfRule>
  </conditionalFormatting>
  <conditionalFormatting sqref="A21">
    <cfRule type="expression" dxfId="13873" priority="1759">
      <formula>$C21="Advance"</formula>
    </cfRule>
  </conditionalFormatting>
  <conditionalFormatting sqref="A22:A35">
    <cfRule type="expression" dxfId="13872" priority="1758">
      <formula>$C22="Advance"</formula>
    </cfRule>
  </conditionalFormatting>
  <conditionalFormatting sqref="B36 B38:B39 B41:B42 B44:B86">
    <cfRule type="expression" dxfId="13871" priority="1757">
      <formula>$C36="Advance"</formula>
    </cfRule>
  </conditionalFormatting>
  <conditionalFormatting sqref="B36 B38:B39 B41:B42 B44:B86">
    <cfRule type="expression" dxfId="13870" priority="1748">
      <formula>$C36="Delivery charge"</formula>
    </cfRule>
    <cfRule type="expression" dxfId="13869" priority="1749">
      <formula>$C36="Staff Salary"</formula>
    </cfRule>
    <cfRule type="expression" dxfId="13868" priority="1750">
      <formula>$C36="Rent"</formula>
    </cfRule>
    <cfRule type="expression" dxfId="13867" priority="1751">
      <formula>$C36="Petrol"</formula>
    </cfRule>
    <cfRule type="expression" dxfId="13866" priority="1752">
      <formula>$C36="Bills"</formula>
    </cfRule>
    <cfRule type="expression" dxfId="13865" priority="1753">
      <formula>$C36="Sales"</formula>
    </cfRule>
    <cfRule type="expression" dxfId="13864" priority="1754">
      <formula>$C36="Expences"</formula>
    </cfRule>
    <cfRule type="expression" dxfId="13863" priority="1755">
      <formula>$C36="Garlic Purchase"</formula>
    </cfRule>
    <cfRule type="expression" dxfId="13862" priority="1756">
      <formula>$C36="Ginger Purchase"</formula>
    </cfRule>
  </conditionalFormatting>
  <conditionalFormatting sqref="B36 B38:B39 B41:B42 B44:B86">
    <cfRule type="expression" dxfId="13861" priority="1738">
      <formula>$C36="Delivery charge"</formula>
    </cfRule>
    <cfRule type="expression" dxfId="13860" priority="1739">
      <formula>$C36="Staff Salary"</formula>
    </cfRule>
    <cfRule type="expression" dxfId="13859" priority="1740">
      <formula>$C36="Rent"</formula>
    </cfRule>
    <cfRule type="expression" dxfId="13858" priority="1741">
      <formula>$C36="Petrol"</formula>
    </cfRule>
    <cfRule type="expression" dxfId="13857" priority="1742">
      <formula>$C36="Bills"</formula>
    </cfRule>
    <cfRule type="expression" dxfId="13856" priority="1743">
      <formula>$C36="Sales"</formula>
    </cfRule>
    <cfRule type="expression" dxfId="13855" priority="1744">
      <formula>$C36="Expences"</formula>
    </cfRule>
    <cfRule type="expression" dxfId="13854" priority="1745">
      <formula>$C36="Garlic Purchase"</formula>
    </cfRule>
    <cfRule type="expression" dxfId="13853" priority="1746">
      <formula>$C36="Ginger Purchase"</formula>
    </cfRule>
  </conditionalFormatting>
  <conditionalFormatting sqref="B36 B38:B39 B41:B42 B44:B86">
    <cfRule type="expression" dxfId="13852" priority="1747">
      <formula>$C36="Advance"</formula>
    </cfRule>
  </conditionalFormatting>
  <conditionalFormatting sqref="B36 B38:B39 B41:B42 B44:B86">
    <cfRule type="expression" dxfId="13851" priority="1728">
      <formula>$C36="Delivery charge"</formula>
    </cfRule>
    <cfRule type="expression" dxfId="13850" priority="1729">
      <formula>$C36="Staff Salary"</formula>
    </cfRule>
    <cfRule type="expression" dxfId="13849" priority="1730">
      <formula>$C36="Rent"</formula>
    </cfRule>
    <cfRule type="expression" dxfId="13848" priority="1731">
      <formula>$C36="Petrol"</formula>
    </cfRule>
    <cfRule type="expression" dxfId="13847" priority="1732">
      <formula>$C36="Bills"</formula>
    </cfRule>
    <cfRule type="expression" dxfId="13846" priority="1733">
      <formula>$C36="Sales"</formula>
    </cfRule>
    <cfRule type="expression" dxfId="13845" priority="1734">
      <formula>$C36="Expences"</formula>
    </cfRule>
    <cfRule type="expression" dxfId="13844" priority="1735">
      <formula>$C36="Garlic Purchase"</formula>
    </cfRule>
    <cfRule type="expression" dxfId="13843" priority="1736">
      <formula>$C36="Ginger Purchase"</formula>
    </cfRule>
  </conditionalFormatting>
  <conditionalFormatting sqref="B36 B38:B39 B41:B42 B44:B86">
    <cfRule type="expression" dxfId="13842" priority="1737">
      <formula>$C36="Advance"</formula>
    </cfRule>
  </conditionalFormatting>
  <conditionalFormatting sqref="B36 B38:B39 B41:B42 B44:B86">
    <cfRule type="expression" dxfId="13841" priority="1718">
      <formula>$C36="Delivery charge"</formula>
    </cfRule>
    <cfRule type="expression" dxfId="13840" priority="1719">
      <formula>$C36="Staff Salary"</formula>
    </cfRule>
    <cfRule type="expression" dxfId="13839" priority="1720">
      <formula>$C36="Rent"</formula>
    </cfRule>
    <cfRule type="expression" dxfId="13838" priority="1721">
      <formula>$C36="Petrol"</formula>
    </cfRule>
    <cfRule type="expression" dxfId="13837" priority="1722">
      <formula>$C36="Bills"</formula>
    </cfRule>
    <cfRule type="expression" dxfId="13836" priority="1723">
      <formula>$C36="Sales"</formula>
    </cfRule>
    <cfRule type="expression" dxfId="13835" priority="1724">
      <formula>$C36="Expences"</formula>
    </cfRule>
    <cfRule type="expression" dxfId="13834" priority="1725">
      <formula>$C36="Garlic Purchase"</formula>
    </cfRule>
    <cfRule type="expression" dxfId="13833" priority="1726">
      <formula>$C36="Ginger Purchase"</formula>
    </cfRule>
  </conditionalFormatting>
  <conditionalFormatting sqref="B36 B38:B39 B41:B42 B44:B86">
    <cfRule type="expression" dxfId="13832" priority="1727">
      <formula>$C36="Advance"</formula>
    </cfRule>
  </conditionalFormatting>
  <conditionalFormatting sqref="B36 B38:B39 B41:B42 B44:B86">
    <cfRule type="expression" dxfId="13831" priority="1708">
      <formula>$C36="Delivery charge"</formula>
    </cfRule>
    <cfRule type="expression" dxfId="13830" priority="1709">
      <formula>$C36="Staff Salary"</formula>
    </cfRule>
    <cfRule type="expression" dxfId="13829" priority="1710">
      <formula>$C36="Rent"</formula>
    </cfRule>
    <cfRule type="expression" dxfId="13828" priority="1711">
      <formula>$C36="Petrol"</formula>
    </cfRule>
    <cfRule type="expression" dxfId="13827" priority="1712">
      <formula>$C36="Bills"</formula>
    </cfRule>
    <cfRule type="expression" dxfId="13826" priority="1713">
      <formula>$C36="Sales"</formula>
    </cfRule>
    <cfRule type="expression" dxfId="13825" priority="1714">
      <formula>$C36="Expences"</formula>
    </cfRule>
    <cfRule type="expression" dxfId="13824" priority="1715">
      <formula>$C36="Garlic Purchase"</formula>
    </cfRule>
    <cfRule type="expression" dxfId="13823" priority="1716">
      <formula>$C36="Ginger Purchase"</formula>
    </cfRule>
  </conditionalFormatting>
  <conditionalFormatting sqref="B36 B38:B39 B41:B42 B44:B86">
    <cfRule type="expression" dxfId="13822" priority="1717">
      <formula>$C36="Advance"</formula>
    </cfRule>
  </conditionalFormatting>
  <conditionalFormatting sqref="B36 B38:B39 B41:B42 B44:B86">
    <cfRule type="expression" dxfId="13821" priority="1698">
      <formula>$C36="Delivery charge"</formula>
    </cfRule>
    <cfRule type="expression" dxfId="13820" priority="1699">
      <formula>$C36="Staff Salary"</formula>
    </cfRule>
    <cfRule type="expression" dxfId="13819" priority="1700">
      <formula>$C36="Rent"</formula>
    </cfRule>
    <cfRule type="expression" dxfId="13818" priority="1701">
      <formula>$C36="Petrol"</formula>
    </cfRule>
    <cfRule type="expression" dxfId="13817" priority="1702">
      <formula>$C36="Bills"</formula>
    </cfRule>
    <cfRule type="expression" dxfId="13816" priority="1703">
      <formula>$C36="Sales"</formula>
    </cfRule>
    <cfRule type="expression" dxfId="13815" priority="1704">
      <formula>$C36="Expences"</formula>
    </cfRule>
    <cfRule type="expression" dxfId="13814" priority="1705">
      <formula>$C36="Garlic Purchase"</formula>
    </cfRule>
    <cfRule type="expression" dxfId="13813" priority="1706">
      <formula>$C36="Ginger Purchase"</formula>
    </cfRule>
  </conditionalFormatting>
  <conditionalFormatting sqref="B36 B38:B39 B41:B42 B44:B86">
    <cfRule type="expression" dxfId="13812" priority="1707">
      <formula>$C36="Advance"</formula>
    </cfRule>
  </conditionalFormatting>
  <conditionalFormatting sqref="B36 B38:B39 B41:B42 B44:B86">
    <cfRule type="expression" dxfId="13811" priority="1688">
      <formula>$C36="Delivery charge"</formula>
    </cfRule>
    <cfRule type="expression" dxfId="13810" priority="1689">
      <formula>$C36="Staff Salary"</formula>
    </cfRule>
    <cfRule type="expression" dxfId="13809" priority="1690">
      <formula>$C36="Rent"</formula>
    </cfRule>
    <cfRule type="expression" dxfId="13808" priority="1691">
      <formula>$C36="Petrol"</formula>
    </cfRule>
    <cfRule type="expression" dxfId="13807" priority="1692">
      <formula>$C36="Bills"</formula>
    </cfRule>
    <cfRule type="expression" dxfId="13806" priority="1693">
      <formula>$C36="Sales"</formula>
    </cfRule>
    <cfRule type="expression" dxfId="13805" priority="1694">
      <formula>$C36="Expences"</formula>
    </cfRule>
    <cfRule type="expression" dxfId="13804" priority="1695">
      <formula>$C36="Garlic Purchase"</formula>
    </cfRule>
    <cfRule type="expression" dxfId="13803" priority="1696">
      <formula>$C36="Ginger Purchase"</formula>
    </cfRule>
  </conditionalFormatting>
  <conditionalFormatting sqref="B36 B38:B39 B41:B42 B44:B86">
    <cfRule type="expression" dxfId="13802" priority="1697">
      <formula>$C36="Advance"</formula>
    </cfRule>
  </conditionalFormatting>
  <conditionalFormatting sqref="B36 B38:B39 B41:B42 B44:B86">
    <cfRule type="expression" dxfId="13801" priority="1678">
      <formula>$C36="Delivery charge"</formula>
    </cfRule>
    <cfRule type="expression" dxfId="13800" priority="1679">
      <formula>$C36="Staff Salary"</formula>
    </cfRule>
    <cfRule type="expression" dxfId="13799" priority="1680">
      <formula>$C36="Rent"</formula>
    </cfRule>
    <cfRule type="expression" dxfId="13798" priority="1681">
      <formula>$C36="Petrol"</formula>
    </cfRule>
    <cfRule type="expression" dxfId="13797" priority="1682">
      <formula>$C36="Bills"</formula>
    </cfRule>
    <cfRule type="expression" dxfId="13796" priority="1683">
      <formula>$C36="Sales"</formula>
    </cfRule>
    <cfRule type="expression" dxfId="13795" priority="1684">
      <formula>$C36="Expences"</formula>
    </cfRule>
    <cfRule type="expression" dxfId="13794" priority="1685">
      <formula>$C36="Garlic Purchase"</formula>
    </cfRule>
    <cfRule type="expression" dxfId="13793" priority="1686">
      <formula>$C36="Ginger Purchase"</formula>
    </cfRule>
  </conditionalFormatting>
  <conditionalFormatting sqref="B36 B38:B39 B41:B42 B44:B86">
    <cfRule type="expression" dxfId="13792" priority="1687">
      <formula>$C36="Advance"</formula>
    </cfRule>
  </conditionalFormatting>
  <conditionalFormatting sqref="B36 B38:B39 B41:B42 B44:B86">
    <cfRule type="expression" dxfId="13791" priority="1668">
      <formula>$C36="Delivery charge"</formula>
    </cfRule>
    <cfRule type="expression" dxfId="13790" priority="1669">
      <formula>$C36="Staff Salary"</formula>
    </cfRule>
    <cfRule type="expression" dxfId="13789" priority="1670">
      <formula>$C36="Rent"</formula>
    </cfRule>
    <cfRule type="expression" dxfId="13788" priority="1671">
      <formula>$C36="Petrol"</formula>
    </cfRule>
    <cfRule type="expression" dxfId="13787" priority="1672">
      <formula>$C36="Bills"</formula>
    </cfRule>
    <cfRule type="expression" dxfId="13786" priority="1673">
      <formula>$C36="Sales"</formula>
    </cfRule>
    <cfRule type="expression" dxfId="13785" priority="1674">
      <formula>$C36="Expences"</formula>
    </cfRule>
    <cfRule type="expression" dxfId="13784" priority="1675">
      <formula>$C36="Garlic Purchase"</formula>
    </cfRule>
    <cfRule type="expression" dxfId="13783" priority="1676">
      <formula>$C36="Ginger Purchase"</formula>
    </cfRule>
  </conditionalFormatting>
  <conditionalFormatting sqref="B36 B38:B39 B41:B42 B44:B86">
    <cfRule type="expression" dxfId="13782" priority="1677">
      <formula>$C36="Advance"</formula>
    </cfRule>
  </conditionalFormatting>
  <conditionalFormatting sqref="B36 B38:B39 B41:B42 B44:B86">
    <cfRule type="expression" dxfId="13781" priority="1658">
      <formula>$C36="Delivery charge"</formula>
    </cfRule>
    <cfRule type="expression" dxfId="13780" priority="1659">
      <formula>$C36="Staff Salary"</formula>
    </cfRule>
    <cfRule type="expression" dxfId="13779" priority="1660">
      <formula>$C36="Rent"</formula>
    </cfRule>
    <cfRule type="expression" dxfId="13778" priority="1661">
      <formula>$C36="Petrol"</formula>
    </cfRule>
    <cfRule type="expression" dxfId="13777" priority="1662">
      <formula>$C36="Bills"</formula>
    </cfRule>
    <cfRule type="expression" dxfId="13776" priority="1663">
      <formula>$C36="Sales"</formula>
    </cfRule>
    <cfRule type="expression" dxfId="13775" priority="1664">
      <formula>$C36="Expences"</formula>
    </cfRule>
    <cfRule type="expression" dxfId="13774" priority="1665">
      <formula>$C36="Garlic Purchase"</formula>
    </cfRule>
    <cfRule type="expression" dxfId="13773" priority="1666">
      <formula>$C36="Ginger Purchase"</formula>
    </cfRule>
  </conditionalFormatting>
  <conditionalFormatting sqref="B36 B38:B39 B41:B42 B44:B86">
    <cfRule type="expression" dxfId="13772" priority="1667">
      <formula>$C36="Advance"</formula>
    </cfRule>
  </conditionalFormatting>
  <conditionalFormatting sqref="B36 B38:B39 B41:B42 B44:B86">
    <cfRule type="expression" dxfId="13771" priority="1648">
      <formula>$C36="Delivery charge"</formula>
    </cfRule>
    <cfRule type="expression" dxfId="13770" priority="1649">
      <formula>$C36="Staff Salary"</formula>
    </cfRule>
    <cfRule type="expression" dxfId="13769" priority="1650">
      <formula>$C36="Rent"</formula>
    </cfRule>
    <cfRule type="expression" dxfId="13768" priority="1651">
      <formula>$C36="Petrol"</formula>
    </cfRule>
    <cfRule type="expression" dxfId="13767" priority="1652">
      <formula>$C36="Bills"</formula>
    </cfRule>
    <cfRule type="expression" dxfId="13766" priority="1653">
      <formula>$C36="Sales"</formula>
    </cfRule>
    <cfRule type="expression" dxfId="13765" priority="1654">
      <formula>$C36="Expences"</formula>
    </cfRule>
    <cfRule type="expression" dxfId="13764" priority="1655">
      <formula>$C36="Garlic Purchase"</formula>
    </cfRule>
    <cfRule type="expression" dxfId="13763" priority="1656">
      <formula>$C36="Ginger Purchase"</formula>
    </cfRule>
  </conditionalFormatting>
  <conditionalFormatting sqref="B36 B38:B39 B41:B42 B44:B86">
    <cfRule type="expression" dxfId="13762" priority="1657">
      <formula>$C36="Advance"</formula>
    </cfRule>
  </conditionalFormatting>
  <conditionalFormatting sqref="B36 B38:B39 B41:B42 B44:B86">
    <cfRule type="expression" dxfId="13761" priority="1638">
      <formula>$C36="Delivery charge"</formula>
    </cfRule>
    <cfRule type="expression" dxfId="13760" priority="1639">
      <formula>$C36="Staff Salary"</formula>
    </cfRule>
    <cfRule type="expression" dxfId="13759" priority="1640">
      <formula>$C36="Rent"</formula>
    </cfRule>
    <cfRule type="expression" dxfId="13758" priority="1641">
      <formula>$C36="Petrol"</formula>
    </cfRule>
    <cfRule type="expression" dxfId="13757" priority="1642">
      <formula>$C36="Bills"</formula>
    </cfRule>
    <cfRule type="expression" dxfId="13756" priority="1643">
      <formula>$C36="Sales"</formula>
    </cfRule>
    <cfRule type="expression" dxfId="13755" priority="1644">
      <formula>$C36="Expences"</formula>
    </cfRule>
    <cfRule type="expression" dxfId="13754" priority="1645">
      <formula>$C36="Garlic Purchase"</formula>
    </cfRule>
    <cfRule type="expression" dxfId="13753" priority="1646">
      <formula>$C36="Ginger Purchase"</formula>
    </cfRule>
  </conditionalFormatting>
  <conditionalFormatting sqref="B36 B38:B39 B41:B42 B44:B86">
    <cfRule type="expression" dxfId="13752" priority="1647">
      <formula>$C36="Advance"</formula>
    </cfRule>
  </conditionalFormatting>
  <conditionalFormatting sqref="B36 B38:B39 B41:B42 B44:B86">
    <cfRule type="expression" dxfId="13751" priority="1628">
      <formula>$C36="Delivery charge"</formula>
    </cfRule>
    <cfRule type="expression" dxfId="13750" priority="1629">
      <formula>$C36="Staff Salary"</formula>
    </cfRule>
    <cfRule type="expression" dxfId="13749" priority="1630">
      <formula>$C36="Rent"</formula>
    </cfRule>
    <cfRule type="expression" dxfId="13748" priority="1631">
      <formula>$C36="Petrol"</formula>
    </cfRule>
    <cfRule type="expression" dxfId="13747" priority="1632">
      <formula>$C36="Bills"</formula>
    </cfRule>
    <cfRule type="expression" dxfId="13746" priority="1633">
      <formula>$C36="Sales"</formula>
    </cfRule>
    <cfRule type="expression" dxfId="13745" priority="1634">
      <formula>$C36="Expences"</formula>
    </cfRule>
    <cfRule type="expression" dxfId="13744" priority="1635">
      <formula>$C36="Garlic Purchase"</formula>
    </cfRule>
    <cfRule type="expression" dxfId="13743" priority="1636">
      <formula>$C36="Ginger Purchase"</formula>
    </cfRule>
  </conditionalFormatting>
  <conditionalFormatting sqref="B36 B38:B39 B41:B42 B44:B86">
    <cfRule type="expression" dxfId="13742" priority="1637">
      <formula>$C36="Advance"</formula>
    </cfRule>
  </conditionalFormatting>
  <conditionalFormatting sqref="B36 B38:B39 B41:B42 B44:B86">
    <cfRule type="expression" dxfId="13741" priority="1618">
      <formula>$C36="Delivery charge"</formula>
    </cfRule>
    <cfRule type="expression" dxfId="13740" priority="1619">
      <formula>$C36="Staff Salary"</formula>
    </cfRule>
    <cfRule type="expression" dxfId="13739" priority="1620">
      <formula>$C36="Rent"</formula>
    </cfRule>
    <cfRule type="expression" dxfId="13738" priority="1621">
      <formula>$C36="Petrol"</formula>
    </cfRule>
    <cfRule type="expression" dxfId="13737" priority="1622">
      <formula>$C36="Bills"</formula>
    </cfRule>
    <cfRule type="expression" dxfId="13736" priority="1623">
      <formula>$C36="Sales"</formula>
    </cfRule>
    <cfRule type="expression" dxfId="13735" priority="1624">
      <formula>$C36="Expences"</formula>
    </cfRule>
    <cfRule type="expression" dxfId="13734" priority="1625">
      <formula>$C36="Garlic Purchase"</formula>
    </cfRule>
    <cfRule type="expression" dxfId="13733" priority="1626">
      <formula>$C36="Ginger Purchase"</formula>
    </cfRule>
  </conditionalFormatting>
  <conditionalFormatting sqref="B36 B38:B39 B41:B42 B44:B86">
    <cfRule type="expression" dxfId="13732" priority="1627">
      <formula>$C36="Advance"</formula>
    </cfRule>
  </conditionalFormatting>
  <conditionalFormatting sqref="B36 B38:B39 B41:B42 B44:B86">
    <cfRule type="expression" dxfId="13731" priority="1608">
      <formula>$C36="Delivery charge"</formula>
    </cfRule>
    <cfRule type="expression" dxfId="13730" priority="1609">
      <formula>$C36="Staff Salary"</formula>
    </cfRule>
    <cfRule type="expression" dxfId="13729" priority="1610">
      <formula>$C36="Rent"</formula>
    </cfRule>
    <cfRule type="expression" dxfId="13728" priority="1611">
      <formula>$C36="Petrol"</formula>
    </cfRule>
    <cfRule type="expression" dxfId="13727" priority="1612">
      <formula>$C36="Bills"</formula>
    </cfRule>
    <cfRule type="expression" dxfId="13726" priority="1613">
      <formula>$C36="Sales"</formula>
    </cfRule>
    <cfRule type="expression" dxfId="13725" priority="1614">
      <formula>$C36="Expences"</formula>
    </cfRule>
    <cfRule type="expression" dxfId="13724" priority="1615">
      <formula>$C36="Garlic Purchase"</formula>
    </cfRule>
    <cfRule type="expression" dxfId="13723" priority="1616">
      <formula>$C36="Ginger Purchase"</formula>
    </cfRule>
  </conditionalFormatting>
  <conditionalFormatting sqref="B36 B38:B39 B41:B42 B44:B86">
    <cfRule type="expression" dxfId="13722" priority="1617">
      <formula>$C36="Advance"</formula>
    </cfRule>
  </conditionalFormatting>
  <conditionalFormatting sqref="B36 B38:B39 B41:B42 B44:B86">
    <cfRule type="expression" dxfId="13721" priority="1598">
      <formula>$C36="Delivery charge"</formula>
    </cfRule>
    <cfRule type="expression" dxfId="13720" priority="1599">
      <formula>$C36="Staff Salary"</formula>
    </cfRule>
    <cfRule type="expression" dxfId="13719" priority="1600">
      <formula>$C36="Rent"</formula>
    </cfRule>
    <cfRule type="expression" dxfId="13718" priority="1601">
      <formula>$C36="Petrol"</formula>
    </cfRule>
    <cfRule type="expression" dxfId="13717" priority="1602">
      <formula>$C36="Bills"</formula>
    </cfRule>
    <cfRule type="expression" dxfId="13716" priority="1603">
      <formula>$C36="Sales"</formula>
    </cfRule>
    <cfRule type="expression" dxfId="13715" priority="1604">
      <formula>$C36="Expences"</formula>
    </cfRule>
    <cfRule type="expression" dxfId="13714" priority="1605">
      <formula>$C36="Garlic Purchase"</formula>
    </cfRule>
    <cfRule type="expression" dxfId="13713" priority="1606">
      <formula>$C36="Ginger Purchase"</formula>
    </cfRule>
  </conditionalFormatting>
  <conditionalFormatting sqref="B36 B38:B39 B41:B42 B44:B86">
    <cfRule type="expression" dxfId="13712" priority="1607">
      <formula>$C36="Advance"</formula>
    </cfRule>
  </conditionalFormatting>
  <conditionalFormatting sqref="B36 B38:B39 B41:B42 B44:B86">
    <cfRule type="expression" dxfId="13711" priority="1588">
      <formula>$C36="Delivery charge"</formula>
    </cfRule>
    <cfRule type="expression" dxfId="13710" priority="1589">
      <formula>$C36="Staff Salary"</formula>
    </cfRule>
    <cfRule type="expression" dxfId="13709" priority="1590">
      <formula>$C36="Rent"</formula>
    </cfRule>
    <cfRule type="expression" dxfId="13708" priority="1591">
      <formula>$C36="Petrol"</formula>
    </cfRule>
    <cfRule type="expression" dxfId="13707" priority="1592">
      <formula>$C36="Bills"</formula>
    </cfRule>
    <cfRule type="expression" dxfId="13706" priority="1593">
      <formula>$C36="Sales"</formula>
    </cfRule>
    <cfRule type="expression" dxfId="13705" priority="1594">
      <formula>$C36="Expences"</formula>
    </cfRule>
    <cfRule type="expression" dxfId="13704" priority="1595">
      <formula>$C36="Garlic Purchase"</formula>
    </cfRule>
    <cfRule type="expression" dxfId="13703" priority="1596">
      <formula>$C36="Ginger Purchase"</formula>
    </cfRule>
  </conditionalFormatting>
  <conditionalFormatting sqref="B36 B38:B39 B41:B42 B44:B86">
    <cfRule type="expression" dxfId="13702" priority="1597">
      <formula>$C36="Advance"</formula>
    </cfRule>
  </conditionalFormatting>
  <conditionalFormatting sqref="B36 B38:B39 B41:B42 B44:B86">
    <cfRule type="expression" dxfId="13701" priority="1578">
      <formula>$C36="Delivery charge"</formula>
    </cfRule>
    <cfRule type="expression" dxfId="13700" priority="1579">
      <formula>$C36="Staff Salary"</formula>
    </cfRule>
    <cfRule type="expression" dxfId="13699" priority="1580">
      <formula>$C36="Rent"</formula>
    </cfRule>
    <cfRule type="expression" dxfId="13698" priority="1581">
      <formula>$C36="Petrol"</formula>
    </cfRule>
    <cfRule type="expression" dxfId="13697" priority="1582">
      <formula>$C36="Bills"</formula>
    </cfRule>
    <cfRule type="expression" dxfId="13696" priority="1583">
      <formula>$C36="Sales"</formula>
    </cfRule>
    <cfRule type="expression" dxfId="13695" priority="1584">
      <formula>$C36="Expences"</formula>
    </cfRule>
    <cfRule type="expression" dxfId="13694" priority="1585">
      <formula>$C36="Garlic Purchase"</formula>
    </cfRule>
    <cfRule type="expression" dxfId="13693" priority="1586">
      <formula>$C36="Ginger Purchase"</formula>
    </cfRule>
  </conditionalFormatting>
  <conditionalFormatting sqref="B36 B38:B39 B41:B42 B44:B86">
    <cfRule type="expression" dxfId="13692" priority="1587">
      <formula>$C36="Advance"</formula>
    </cfRule>
  </conditionalFormatting>
  <conditionalFormatting sqref="B36 B38:B39 B41:B42 B44:B86">
    <cfRule type="expression" dxfId="13691" priority="1568">
      <formula>$C36="Delivery charge"</formula>
    </cfRule>
    <cfRule type="expression" dxfId="13690" priority="1569">
      <formula>$C36="Staff Salary"</formula>
    </cfRule>
    <cfRule type="expression" dxfId="13689" priority="1570">
      <formula>$C36="Rent"</formula>
    </cfRule>
    <cfRule type="expression" dxfId="13688" priority="1571">
      <formula>$C36="Petrol"</formula>
    </cfRule>
    <cfRule type="expression" dxfId="13687" priority="1572">
      <formula>$C36="Bills"</formula>
    </cfRule>
    <cfRule type="expression" dxfId="13686" priority="1573">
      <formula>$C36="Sales"</formula>
    </cfRule>
    <cfRule type="expression" dxfId="13685" priority="1574">
      <formula>$C36="Expences"</formula>
    </cfRule>
    <cfRule type="expression" dxfId="13684" priority="1575">
      <formula>$C36="Garlic Purchase"</formula>
    </cfRule>
    <cfRule type="expression" dxfId="13683" priority="1576">
      <formula>$C36="Ginger Purchase"</formula>
    </cfRule>
  </conditionalFormatting>
  <conditionalFormatting sqref="B36 B38:B39 B41:B42 B44:B86">
    <cfRule type="expression" dxfId="13682" priority="1577">
      <formula>$C36="Advance"</formula>
    </cfRule>
  </conditionalFormatting>
  <conditionalFormatting sqref="B36 B38:B39 B41:B42 B44:B86">
    <cfRule type="expression" dxfId="13681" priority="1558">
      <formula>$C36="Delivery charge"</formula>
    </cfRule>
    <cfRule type="expression" dxfId="13680" priority="1559">
      <formula>$C36="Staff Salary"</formula>
    </cfRule>
    <cfRule type="expression" dxfId="13679" priority="1560">
      <formula>$C36="Rent"</formula>
    </cfRule>
    <cfRule type="expression" dxfId="13678" priority="1561">
      <formula>$C36="Petrol"</formula>
    </cfRule>
    <cfRule type="expression" dxfId="13677" priority="1562">
      <formula>$C36="Bills"</formula>
    </cfRule>
    <cfRule type="expression" dxfId="13676" priority="1563">
      <formula>$C36="Sales"</formula>
    </cfRule>
    <cfRule type="expression" dxfId="13675" priority="1564">
      <formula>$C36="Expences"</formula>
    </cfRule>
    <cfRule type="expression" dxfId="13674" priority="1565">
      <formula>$C36="Garlic Purchase"</formula>
    </cfRule>
    <cfRule type="expression" dxfId="13673" priority="1566">
      <formula>$C36="Ginger Purchase"</formula>
    </cfRule>
  </conditionalFormatting>
  <conditionalFormatting sqref="B36 B38:B39 B41:B42 B44:B86">
    <cfRule type="expression" dxfId="13672" priority="1567">
      <formula>$C36="Advance"</formula>
    </cfRule>
  </conditionalFormatting>
  <conditionalFormatting sqref="B36 B38:B39 B41:B42 B44:B86">
    <cfRule type="expression" dxfId="13671" priority="1557">
      <formula>$C36="Advance"</formula>
    </cfRule>
  </conditionalFormatting>
  <conditionalFormatting sqref="B36 B38:B39 B41:B42 B44:B86">
    <cfRule type="expression" dxfId="13670" priority="1548">
      <formula>$C36="Delivery charge"</formula>
    </cfRule>
    <cfRule type="expression" dxfId="13669" priority="1549">
      <formula>$C36="Staff Salary"</formula>
    </cfRule>
    <cfRule type="expression" dxfId="13668" priority="1550">
      <formula>$C36="Rent"</formula>
    </cfRule>
    <cfRule type="expression" dxfId="13667" priority="1551">
      <formula>$C36="Petrol"</formula>
    </cfRule>
    <cfRule type="expression" dxfId="13666" priority="1552">
      <formula>$C36="Bills"</formula>
    </cfRule>
    <cfRule type="expression" dxfId="13665" priority="1553">
      <formula>$C36="Sales"</formula>
    </cfRule>
    <cfRule type="expression" dxfId="13664" priority="1554">
      <formula>$C36="Expences"</formula>
    </cfRule>
    <cfRule type="expression" dxfId="13663" priority="1555">
      <formula>$C36="Garlic Purchase"</formula>
    </cfRule>
    <cfRule type="expression" dxfId="13662" priority="1556">
      <formula>$C36="Ginger Purchase"</formula>
    </cfRule>
  </conditionalFormatting>
  <conditionalFormatting sqref="B37 B40 B43 B46 B48 B50 B52 B54 B56 B58 B60 B62:B64 B66 B68:B69 B71:B72 B75:B76 B78:B79 B81:B82 B84 B86">
    <cfRule type="expression" dxfId="13661" priority="1538">
      <formula>$C37="Delivery charge"</formula>
    </cfRule>
    <cfRule type="expression" dxfId="13660" priority="1539">
      <formula>$C37="Staff Salary"</formula>
    </cfRule>
    <cfRule type="expression" dxfId="13659" priority="1540">
      <formula>$C37="Rent"</formula>
    </cfRule>
    <cfRule type="expression" dxfId="13658" priority="1541">
      <formula>$C37="Petrol"</formula>
    </cfRule>
    <cfRule type="expression" dxfId="13657" priority="1542">
      <formula>$C37="Bills"</formula>
    </cfRule>
    <cfRule type="expression" dxfId="13656" priority="1543">
      <formula>$C37="Sales"</formula>
    </cfRule>
    <cfRule type="expression" dxfId="13655" priority="1544">
      <formula>$C37="Expences"</formula>
    </cfRule>
    <cfRule type="expression" dxfId="13654" priority="1545">
      <formula>$C37="Garlic Purchase"</formula>
    </cfRule>
    <cfRule type="expression" dxfId="13653" priority="1546">
      <formula>$C37="Ginger Purchase"</formula>
    </cfRule>
  </conditionalFormatting>
  <conditionalFormatting sqref="B37 B40 B43 B46 B48 B50 B52 B54 B56 B58 B60 B62:B64 B66 B68:B69 B71:B72 B75:B76 B78:B79 B81:B82 B84 B86">
    <cfRule type="expression" dxfId="13652" priority="1547">
      <formula>$C37="Advance"</formula>
    </cfRule>
  </conditionalFormatting>
  <conditionalFormatting sqref="B37 B40 B43 B46 B48 B50 B52 B54 B56 B58 B60 B62:B64 B66 B68:B69 B71:B72 B75:B76 B78:B79 B81:B82 B84 B86">
    <cfRule type="expression" dxfId="13651" priority="1528">
      <formula>$C37="Delivery charge"</formula>
    </cfRule>
    <cfRule type="expression" dxfId="13650" priority="1529">
      <formula>$C37="Staff Salary"</formula>
    </cfRule>
    <cfRule type="expression" dxfId="13649" priority="1530">
      <formula>$C37="Rent"</formula>
    </cfRule>
    <cfRule type="expression" dxfId="13648" priority="1531">
      <formula>$C37="Petrol"</formula>
    </cfRule>
    <cfRule type="expression" dxfId="13647" priority="1532">
      <formula>$C37="Bills"</formula>
    </cfRule>
    <cfRule type="expression" dxfId="13646" priority="1533">
      <formula>$C37="Sales"</formula>
    </cfRule>
    <cfRule type="expression" dxfId="13645" priority="1534">
      <formula>$C37="Expences"</formula>
    </cfRule>
    <cfRule type="expression" dxfId="13644" priority="1535">
      <formula>$C37="Garlic Purchase"</formula>
    </cfRule>
    <cfRule type="expression" dxfId="13643" priority="1536">
      <formula>$C37="Ginger Purchase"</formula>
    </cfRule>
  </conditionalFormatting>
  <conditionalFormatting sqref="B37 B40 B43 B46 B48 B50 B52 B54 B56 B58 B60 B62:B64 B66 B68:B69 B71:B72 B75:B76 B78:B79 B81:B82 B84 B86">
    <cfRule type="expression" dxfId="13642" priority="1537">
      <formula>$C37="Advance"</formula>
    </cfRule>
  </conditionalFormatting>
  <conditionalFormatting sqref="B37 B40 B43 B46 B48 B50 B52 B54 B56 B58 B60 B62:B64 B66 B68:B69 B71:B72 B75:B76 B78:B79 B81:B82 B84 B86">
    <cfRule type="expression" dxfId="13641" priority="1518">
      <formula>$C37="Delivery charge"</formula>
    </cfRule>
    <cfRule type="expression" dxfId="13640" priority="1519">
      <formula>$C37="Staff Salary"</formula>
    </cfRule>
    <cfRule type="expression" dxfId="13639" priority="1520">
      <formula>$C37="Rent"</formula>
    </cfRule>
    <cfRule type="expression" dxfId="13638" priority="1521">
      <formula>$C37="Petrol"</formula>
    </cfRule>
    <cfRule type="expression" dxfId="13637" priority="1522">
      <formula>$C37="Bills"</formula>
    </cfRule>
    <cfRule type="expression" dxfId="13636" priority="1523">
      <formula>$C37="Sales"</formula>
    </cfRule>
    <cfRule type="expression" dxfId="13635" priority="1524">
      <formula>$C37="Expences"</formula>
    </cfRule>
    <cfRule type="expression" dxfId="13634" priority="1525">
      <formula>$C37="Garlic Purchase"</formula>
    </cfRule>
    <cfRule type="expression" dxfId="13633" priority="1526">
      <formula>$C37="Ginger Purchase"</formula>
    </cfRule>
  </conditionalFormatting>
  <conditionalFormatting sqref="B37 B40 B43 B46 B48 B50 B52 B54 B56 B58 B60 B62:B64 B66 B68:B69 B71:B72 B75:B76 B78:B79 B81:B82 B84 B86">
    <cfRule type="expression" dxfId="13632" priority="1527">
      <formula>$C37="Advance"</formula>
    </cfRule>
  </conditionalFormatting>
  <conditionalFormatting sqref="B37 B40 B43 B46 B48 B50 B52 B54 B56 B58 B60 B62:B64 B66 B68:B69 B71:B72 B75:B76 B78:B79 B81:B82 B84 B86">
    <cfRule type="expression" dxfId="13631" priority="1508">
      <formula>$C37="Delivery charge"</formula>
    </cfRule>
    <cfRule type="expression" dxfId="13630" priority="1509">
      <formula>$C37="Staff Salary"</formula>
    </cfRule>
    <cfRule type="expression" dxfId="13629" priority="1510">
      <formula>$C37="Rent"</formula>
    </cfRule>
    <cfRule type="expression" dxfId="13628" priority="1511">
      <formula>$C37="Petrol"</formula>
    </cfRule>
    <cfRule type="expression" dxfId="13627" priority="1512">
      <formula>$C37="Bills"</formula>
    </cfRule>
    <cfRule type="expression" dxfId="13626" priority="1513">
      <formula>$C37="Sales"</formula>
    </cfRule>
    <cfRule type="expression" dxfId="13625" priority="1514">
      <formula>$C37="Expences"</formula>
    </cfRule>
    <cfRule type="expression" dxfId="13624" priority="1515">
      <formula>$C37="Garlic Purchase"</formula>
    </cfRule>
    <cfRule type="expression" dxfId="13623" priority="1516">
      <formula>$C37="Ginger Purchase"</formula>
    </cfRule>
  </conditionalFormatting>
  <conditionalFormatting sqref="B37 B40 B43 B46 B48 B50 B52 B54 B56 B58 B60 B62:B64 B66 B68:B69 B71:B72 B75:B76 B78:B79 B81:B82 B84 B86">
    <cfRule type="expression" dxfId="13622" priority="1517">
      <formula>$C37="Advance"</formula>
    </cfRule>
  </conditionalFormatting>
  <conditionalFormatting sqref="B37 B40 B43 B46 B48 B50 B52 B54 B56 B58 B60 B62:B64 B66 B68:B69 B71:B72 B75:B76 B78:B79 B81:B82 B84 B86">
    <cfRule type="expression" dxfId="13621" priority="1498">
      <formula>$C37="Delivery charge"</formula>
    </cfRule>
    <cfRule type="expression" dxfId="13620" priority="1499">
      <formula>$C37="Staff Salary"</formula>
    </cfRule>
    <cfRule type="expression" dxfId="13619" priority="1500">
      <formula>$C37="Rent"</formula>
    </cfRule>
    <cfRule type="expression" dxfId="13618" priority="1501">
      <formula>$C37="Petrol"</formula>
    </cfRule>
    <cfRule type="expression" dxfId="13617" priority="1502">
      <formula>$C37="Bills"</formula>
    </cfRule>
    <cfRule type="expression" dxfId="13616" priority="1503">
      <formula>$C37="Sales"</formula>
    </cfRule>
    <cfRule type="expression" dxfId="13615" priority="1504">
      <formula>$C37="Expences"</formula>
    </cfRule>
    <cfRule type="expression" dxfId="13614" priority="1505">
      <formula>$C37="Garlic Purchase"</formula>
    </cfRule>
    <cfRule type="expression" dxfId="13613" priority="1506">
      <formula>$C37="Ginger Purchase"</formula>
    </cfRule>
  </conditionalFormatting>
  <conditionalFormatting sqref="B37 B40 B43 B46 B48 B50 B52 B54 B56 B58 B60 B62:B64 B66 B68:B69 B71:B72 B75:B76 B78:B79 B81:B82 B84 B86">
    <cfRule type="expression" dxfId="13612" priority="1507">
      <formula>$C37="Advance"</formula>
    </cfRule>
  </conditionalFormatting>
  <conditionalFormatting sqref="B37 B40 B43 B46 B48 B50 B52 B54 B56 B58 B60 B62:B64 B66 B68:B69 B71:B72 B75:B76 B78:B79 B81:B82 B84 B86">
    <cfRule type="expression" dxfId="13611" priority="1488">
      <formula>$C37="Delivery charge"</formula>
    </cfRule>
    <cfRule type="expression" dxfId="13610" priority="1489">
      <formula>$C37="Staff Salary"</formula>
    </cfRule>
    <cfRule type="expression" dxfId="13609" priority="1490">
      <formula>$C37="Rent"</formula>
    </cfRule>
    <cfRule type="expression" dxfId="13608" priority="1491">
      <formula>$C37="Petrol"</formula>
    </cfRule>
    <cfRule type="expression" dxfId="13607" priority="1492">
      <formula>$C37="Bills"</formula>
    </cfRule>
    <cfRule type="expression" dxfId="13606" priority="1493">
      <formula>$C37="Sales"</formula>
    </cfRule>
    <cfRule type="expression" dxfId="13605" priority="1494">
      <formula>$C37="Expences"</formula>
    </cfRule>
    <cfRule type="expression" dxfId="13604" priority="1495">
      <formula>$C37="Garlic Purchase"</formula>
    </cfRule>
    <cfRule type="expression" dxfId="13603" priority="1496">
      <formula>$C37="Ginger Purchase"</formula>
    </cfRule>
  </conditionalFormatting>
  <conditionalFormatting sqref="B37 B40 B43 B46 B48 B50 B52 B54 B56 B58 B60 B62:B64 B66 B68:B69 B71:B72 B75:B76 B78:B79 B81:B82 B84 B86">
    <cfRule type="expression" dxfId="13602" priority="1497">
      <formula>$C37="Advance"</formula>
    </cfRule>
  </conditionalFormatting>
  <conditionalFormatting sqref="B37 B40 B43 B46 B48 B50 B52 B54 B56 B58 B60 B62:B64 B66 B68:B69 B71:B72 B75:B76 B78:B79 B81:B82 B84 B86">
    <cfRule type="expression" dxfId="13601" priority="1478">
      <formula>$C37="Delivery charge"</formula>
    </cfRule>
    <cfRule type="expression" dxfId="13600" priority="1479">
      <formula>$C37="Staff Salary"</formula>
    </cfRule>
    <cfRule type="expression" dxfId="13599" priority="1480">
      <formula>$C37="Rent"</formula>
    </cfRule>
    <cfRule type="expression" dxfId="13598" priority="1481">
      <formula>$C37="Petrol"</formula>
    </cfRule>
    <cfRule type="expression" dxfId="13597" priority="1482">
      <formula>$C37="Bills"</formula>
    </cfRule>
    <cfRule type="expression" dxfId="13596" priority="1483">
      <formula>$C37="Sales"</formula>
    </cfRule>
    <cfRule type="expression" dxfId="13595" priority="1484">
      <formula>$C37="Expences"</formula>
    </cfRule>
    <cfRule type="expression" dxfId="13594" priority="1485">
      <formula>$C37="Garlic Purchase"</formula>
    </cfRule>
    <cfRule type="expression" dxfId="13593" priority="1486">
      <formula>$C37="Ginger Purchase"</formula>
    </cfRule>
  </conditionalFormatting>
  <conditionalFormatting sqref="B37 B40 B43 B46 B48 B50 B52 B54 B56 B58 B60 B62:B64 B66 B68:B69 B71:B72 B75:B76 B78:B79 B81:B82 B84 B86">
    <cfRule type="expression" dxfId="13592" priority="1487">
      <formula>$C37="Advance"</formula>
    </cfRule>
  </conditionalFormatting>
  <conditionalFormatting sqref="B37 B40 B43 B46 B48 B50 B52 B54 B56 B58 B60 B62:B64 B66 B68:B69 B71:B72 B75:B76 B78:B79 B81:B82 B84 B86">
    <cfRule type="expression" dxfId="13591" priority="1468">
      <formula>$C37="Delivery charge"</formula>
    </cfRule>
    <cfRule type="expression" dxfId="13590" priority="1469">
      <formula>$C37="Staff Salary"</formula>
    </cfRule>
    <cfRule type="expression" dxfId="13589" priority="1470">
      <formula>$C37="Rent"</formula>
    </cfRule>
    <cfRule type="expression" dxfId="13588" priority="1471">
      <formula>$C37="Petrol"</formula>
    </cfRule>
    <cfRule type="expression" dxfId="13587" priority="1472">
      <formula>$C37="Bills"</formula>
    </cfRule>
    <cfRule type="expression" dxfId="13586" priority="1473">
      <formula>$C37="Sales"</formula>
    </cfRule>
    <cfRule type="expression" dxfId="13585" priority="1474">
      <formula>$C37="Expences"</formula>
    </cfRule>
    <cfRule type="expression" dxfId="13584" priority="1475">
      <formula>$C37="Garlic Purchase"</formula>
    </cfRule>
    <cfRule type="expression" dxfId="13583" priority="1476">
      <formula>$C37="Ginger Purchase"</formula>
    </cfRule>
  </conditionalFormatting>
  <conditionalFormatting sqref="B37 B40 B43 B46 B48 B50 B52 B54 B56 B58 B60 B62:B64 B66 B68:B69 B71:B72 B75:B76 B78:B79 B81:B82 B84 B86">
    <cfRule type="expression" dxfId="13582" priority="1477">
      <formula>$C37="Advance"</formula>
    </cfRule>
  </conditionalFormatting>
  <conditionalFormatting sqref="B37 B40 B43 B46 B48 B50 B52 B54 B56 B58 B60 B62:B64 B66 B68:B69 B71:B72 B75:B76 B78:B79 B81:B82 B84 B86">
    <cfRule type="expression" dxfId="13581" priority="1458">
      <formula>$C37="Delivery charge"</formula>
    </cfRule>
    <cfRule type="expression" dxfId="13580" priority="1459">
      <formula>$C37="Staff Salary"</formula>
    </cfRule>
    <cfRule type="expression" dxfId="13579" priority="1460">
      <formula>$C37="Rent"</formula>
    </cfRule>
    <cfRule type="expression" dxfId="13578" priority="1461">
      <formula>$C37="Petrol"</formula>
    </cfRule>
    <cfRule type="expression" dxfId="13577" priority="1462">
      <formula>$C37="Bills"</formula>
    </cfRule>
    <cfRule type="expression" dxfId="13576" priority="1463">
      <formula>$C37="Sales"</formula>
    </cfRule>
    <cfRule type="expression" dxfId="13575" priority="1464">
      <formula>$C37="Expences"</formula>
    </cfRule>
    <cfRule type="expression" dxfId="13574" priority="1465">
      <formula>$C37="Garlic Purchase"</formula>
    </cfRule>
    <cfRule type="expression" dxfId="13573" priority="1466">
      <formula>$C37="Ginger Purchase"</formula>
    </cfRule>
  </conditionalFormatting>
  <conditionalFormatting sqref="B37 B40 B43 B46 B48 B50 B52 B54 B56 B58 B60 B62:B64 B66 B68:B69 B71:B72 B75:B76 B78:B79 B81:B82 B84 B86">
    <cfRule type="expression" dxfId="13572" priority="1467">
      <formula>$C37="Advance"</formula>
    </cfRule>
  </conditionalFormatting>
  <conditionalFormatting sqref="B37 B40 B43 B46 B48 B50 B52 B54 B56 B58 B60 B62:B64 B66 B68:B69 B71:B72 B75:B76 B78:B79 B81:B82 B84 B86">
    <cfRule type="expression" dxfId="13571" priority="1448">
      <formula>$C37="Delivery charge"</formula>
    </cfRule>
    <cfRule type="expression" dxfId="13570" priority="1449">
      <formula>$C37="Staff Salary"</formula>
    </cfRule>
    <cfRule type="expression" dxfId="13569" priority="1450">
      <formula>$C37="Rent"</formula>
    </cfRule>
    <cfRule type="expression" dxfId="13568" priority="1451">
      <formula>$C37="Petrol"</formula>
    </cfRule>
    <cfRule type="expression" dxfId="13567" priority="1452">
      <formula>$C37="Bills"</formula>
    </cfRule>
    <cfRule type="expression" dxfId="13566" priority="1453">
      <formula>$C37="Sales"</formula>
    </cfRule>
    <cfRule type="expression" dxfId="13565" priority="1454">
      <formula>$C37="Expences"</formula>
    </cfRule>
    <cfRule type="expression" dxfId="13564" priority="1455">
      <formula>$C37="Garlic Purchase"</formula>
    </cfRule>
    <cfRule type="expression" dxfId="13563" priority="1456">
      <formula>$C37="Ginger Purchase"</formula>
    </cfRule>
  </conditionalFormatting>
  <conditionalFormatting sqref="B37 B40 B43 B46 B48 B50 B52 B54 B56 B58 B60 B62:B64 B66 B68:B69 B71:B72 B75:B76 B78:B79 B81:B82 B84 B86">
    <cfRule type="expression" dxfId="13562" priority="1457">
      <formula>$C37="Advance"</formula>
    </cfRule>
  </conditionalFormatting>
  <conditionalFormatting sqref="B37 B40 B43 B46 B48 B50 B52 B54 B56 B58 B60 B62:B64 B66 B68:B69 B71:B72 B75:B76 B78:B79 B81:B82 B84 B86">
    <cfRule type="expression" dxfId="13561" priority="1438">
      <formula>$C37="Delivery charge"</formula>
    </cfRule>
    <cfRule type="expression" dxfId="13560" priority="1439">
      <formula>$C37="Staff Salary"</formula>
    </cfRule>
    <cfRule type="expression" dxfId="13559" priority="1440">
      <formula>$C37="Rent"</formula>
    </cfRule>
    <cfRule type="expression" dxfId="13558" priority="1441">
      <formula>$C37="Petrol"</formula>
    </cfRule>
    <cfRule type="expression" dxfId="13557" priority="1442">
      <formula>$C37="Bills"</formula>
    </cfRule>
    <cfRule type="expression" dxfId="13556" priority="1443">
      <formula>$C37="Sales"</formula>
    </cfRule>
    <cfRule type="expression" dxfId="13555" priority="1444">
      <formula>$C37="Expences"</formula>
    </cfRule>
    <cfRule type="expression" dxfId="13554" priority="1445">
      <formula>$C37="Garlic Purchase"</formula>
    </cfRule>
    <cfRule type="expression" dxfId="13553" priority="1446">
      <formula>$C37="Ginger Purchase"</formula>
    </cfRule>
  </conditionalFormatting>
  <conditionalFormatting sqref="B37 B40 B43 B46 B48 B50 B52 B54 B56 B58 B60 B62:B64 B66 B68:B69 B71:B72 B75:B76 B78:B79 B81:B82 B84 B86">
    <cfRule type="expression" dxfId="13552" priority="1447">
      <formula>$C37="Advance"</formula>
    </cfRule>
  </conditionalFormatting>
  <conditionalFormatting sqref="B36 B38:B39 B41:B42 B44:B86">
    <cfRule type="expression" dxfId="13551" priority="1437">
      <formula>$C36="Advance"</formula>
    </cfRule>
  </conditionalFormatting>
  <conditionalFormatting sqref="B36 B38:B39 B41:B42 B44:B86">
    <cfRule type="expression" dxfId="13550" priority="1428">
      <formula>$C36="Delivery charge"</formula>
    </cfRule>
    <cfRule type="expression" dxfId="13549" priority="1429">
      <formula>$C36="Staff Salary"</formula>
    </cfRule>
    <cfRule type="expression" dxfId="13548" priority="1430">
      <formula>$C36="Rent"</formula>
    </cfRule>
    <cfRule type="expression" dxfId="13547" priority="1431">
      <formula>$C36="Petrol"</formula>
    </cfRule>
    <cfRule type="expression" dxfId="13546" priority="1432">
      <formula>$C36="Bills"</formula>
    </cfRule>
    <cfRule type="expression" dxfId="13545" priority="1433">
      <formula>$C36="Sales"</formula>
    </cfRule>
    <cfRule type="expression" dxfId="13544" priority="1434">
      <formula>$C36="Expences"</formula>
    </cfRule>
    <cfRule type="expression" dxfId="13543" priority="1435">
      <formula>$C36="Garlic Purchase"</formula>
    </cfRule>
    <cfRule type="expression" dxfId="13542" priority="1436">
      <formula>$C36="Ginger Purchase"</formula>
    </cfRule>
  </conditionalFormatting>
  <conditionalFormatting sqref="B36 B38:B39 B41:B42 B44:B86">
    <cfRule type="expression" dxfId="13541" priority="1418">
      <formula>$C36="Delivery charge"</formula>
    </cfRule>
    <cfRule type="expression" dxfId="13540" priority="1419">
      <formula>$C36="Staff Salary"</formula>
    </cfRule>
    <cfRule type="expression" dxfId="13539" priority="1420">
      <formula>$C36="Rent"</formula>
    </cfRule>
    <cfRule type="expression" dxfId="13538" priority="1421">
      <formula>$C36="Petrol"</formula>
    </cfRule>
    <cfRule type="expression" dxfId="13537" priority="1422">
      <formula>$C36="Bills"</formula>
    </cfRule>
    <cfRule type="expression" dxfId="13536" priority="1423">
      <formula>$C36="Sales"</formula>
    </cfRule>
    <cfRule type="expression" dxfId="13535" priority="1424">
      <formula>$C36="Expences"</formula>
    </cfRule>
    <cfRule type="expression" dxfId="13534" priority="1425">
      <formula>$C36="Garlic Purchase"</formula>
    </cfRule>
    <cfRule type="expression" dxfId="13533" priority="1426">
      <formula>$C36="Ginger Purchase"</formula>
    </cfRule>
  </conditionalFormatting>
  <conditionalFormatting sqref="B36 B38:B39 B41:B42 B44:B86">
    <cfRule type="expression" dxfId="13532" priority="1427">
      <formula>$C36="Advance"</formula>
    </cfRule>
  </conditionalFormatting>
  <conditionalFormatting sqref="B37 B40 B43 B46 B48 B50 B52 B54 B56 B58 B60 B62:B64 B66 B68:B69 B71:B72 B75:B76 B78:B79 B81:B82 B84 B86">
    <cfRule type="expression" dxfId="13531" priority="1408">
      <formula>$C37="Delivery charge"</formula>
    </cfRule>
    <cfRule type="expression" dxfId="13530" priority="1409">
      <formula>$C37="Staff Salary"</formula>
    </cfRule>
    <cfRule type="expression" dxfId="13529" priority="1410">
      <formula>$C37="Rent"</formula>
    </cfRule>
    <cfRule type="expression" dxfId="13528" priority="1411">
      <formula>$C37="Petrol"</formula>
    </cfRule>
    <cfRule type="expression" dxfId="13527" priority="1412">
      <formula>$C37="Bills"</formula>
    </cfRule>
    <cfRule type="expression" dxfId="13526" priority="1413">
      <formula>$C37="Sales"</formula>
    </cfRule>
    <cfRule type="expression" dxfId="13525" priority="1414">
      <formula>$C37="Expences"</formula>
    </cfRule>
    <cfRule type="expression" dxfId="13524" priority="1415">
      <formula>$C37="Garlic Purchase"</formula>
    </cfRule>
    <cfRule type="expression" dxfId="13523" priority="1416">
      <formula>$C37="Ginger Purchase"</formula>
    </cfRule>
  </conditionalFormatting>
  <conditionalFormatting sqref="B37 B40 B43 B46 B48 B50 B52 B54 B56 B58 B60 B62:B64 B66 B68:B69 B71:B72 B75:B76 B78:B79 B81:B82 B84 B86">
    <cfRule type="expression" dxfId="13522" priority="1417">
      <formula>$C37="Advance"</formula>
    </cfRule>
  </conditionalFormatting>
  <conditionalFormatting sqref="B37 B40 B43 B46 B48 B50 B52 B54 B56 B58 B60 B62:B64 B66 B68:B69 B71:B72 B75:B76 B78:B79 B81:B82 B84 B86">
    <cfRule type="expression" dxfId="13521" priority="1398">
      <formula>$C37="Delivery charge"</formula>
    </cfRule>
    <cfRule type="expression" dxfId="13520" priority="1399">
      <formula>$C37="Staff Salary"</formula>
    </cfRule>
    <cfRule type="expression" dxfId="13519" priority="1400">
      <formula>$C37="Rent"</formula>
    </cfRule>
    <cfRule type="expression" dxfId="13518" priority="1401">
      <formula>$C37="Petrol"</formula>
    </cfRule>
    <cfRule type="expression" dxfId="13517" priority="1402">
      <formula>$C37="Bills"</formula>
    </cfRule>
    <cfRule type="expression" dxfId="13516" priority="1403">
      <formula>$C37="Sales"</formula>
    </cfRule>
    <cfRule type="expression" dxfId="13515" priority="1404">
      <formula>$C37="Expences"</formula>
    </cfRule>
    <cfRule type="expression" dxfId="13514" priority="1405">
      <formula>$C37="Garlic Purchase"</formula>
    </cfRule>
    <cfRule type="expression" dxfId="13513" priority="1406">
      <formula>$C37="Ginger Purchase"</formula>
    </cfRule>
  </conditionalFormatting>
  <conditionalFormatting sqref="B37 B40 B43 B46 B48 B50 B52 B54 B56 B58 B60 B62:B64 B66 B68:B69 B71:B72 B75:B76 B78:B79 B81:B82 B84 B86">
    <cfRule type="expression" dxfId="13512" priority="1407">
      <formula>$C37="Advance"</formula>
    </cfRule>
  </conditionalFormatting>
  <conditionalFormatting sqref="B37 B40 B43 B46 B48 B50 B52 B54 B56 B58 B60 B62:B64 B66 B68:B69 B71:B72 B75:B76 B78:B79 B81:B82 B84 B86">
    <cfRule type="expression" dxfId="13511" priority="1388">
      <formula>$C37="Delivery charge"</formula>
    </cfRule>
    <cfRule type="expression" dxfId="13510" priority="1389">
      <formula>$C37="Staff Salary"</formula>
    </cfRule>
    <cfRule type="expression" dxfId="13509" priority="1390">
      <formula>$C37="Rent"</formula>
    </cfRule>
    <cfRule type="expression" dxfId="13508" priority="1391">
      <formula>$C37="Petrol"</formula>
    </cfRule>
    <cfRule type="expression" dxfId="13507" priority="1392">
      <formula>$C37="Bills"</formula>
    </cfRule>
    <cfRule type="expression" dxfId="13506" priority="1393">
      <formula>$C37="Sales"</formula>
    </cfRule>
    <cfRule type="expression" dxfId="13505" priority="1394">
      <formula>$C37="Expences"</formula>
    </cfRule>
    <cfRule type="expression" dxfId="13504" priority="1395">
      <formula>$C37="Garlic Purchase"</formula>
    </cfRule>
    <cfRule type="expression" dxfId="13503" priority="1396">
      <formula>$C37="Ginger Purchase"</formula>
    </cfRule>
  </conditionalFormatting>
  <conditionalFormatting sqref="B37 B40 B43 B46 B48 B50 B52 B54 B56 B58 B60 B62:B64 B66 B68:B69 B71:B72 B75:B76 B78:B79 B81:B82 B84 B86">
    <cfRule type="expression" dxfId="13502" priority="1397">
      <formula>$C37="Advance"</formula>
    </cfRule>
  </conditionalFormatting>
  <conditionalFormatting sqref="B37 B40 B43 B46 B48 B50 B52 B54 B56 B58 B60 B62:B64 B66 B68:B69 B71:B72 B75:B76 B78:B79 B81:B82 B84 B86">
    <cfRule type="expression" dxfId="13501" priority="1378">
      <formula>$C37="Delivery charge"</formula>
    </cfRule>
    <cfRule type="expression" dxfId="13500" priority="1379">
      <formula>$C37="Staff Salary"</formula>
    </cfRule>
    <cfRule type="expression" dxfId="13499" priority="1380">
      <formula>$C37="Rent"</formula>
    </cfRule>
    <cfRule type="expression" dxfId="13498" priority="1381">
      <formula>$C37="Petrol"</formula>
    </cfRule>
    <cfRule type="expression" dxfId="13497" priority="1382">
      <formula>$C37="Bills"</formula>
    </cfRule>
    <cfRule type="expression" dxfId="13496" priority="1383">
      <formula>$C37="Sales"</formula>
    </cfRule>
    <cfRule type="expression" dxfId="13495" priority="1384">
      <formula>$C37="Expences"</formula>
    </cfRule>
    <cfRule type="expression" dxfId="13494" priority="1385">
      <formula>$C37="Garlic Purchase"</formula>
    </cfRule>
    <cfRule type="expression" dxfId="13493" priority="1386">
      <formula>$C37="Ginger Purchase"</formula>
    </cfRule>
  </conditionalFormatting>
  <conditionalFormatting sqref="B37 B40 B43 B46 B48 B50 B52 B54 B56 B58 B60 B62:B64 B66 B68:B69 B71:B72 B75:B76 B78:B79 B81:B82 B84 B86">
    <cfRule type="expression" dxfId="13492" priority="1387">
      <formula>$C37="Advance"</formula>
    </cfRule>
  </conditionalFormatting>
  <conditionalFormatting sqref="B36 B38:B39 B41:B42 B44:B86">
    <cfRule type="expression" dxfId="13491" priority="1368">
      <formula>$C36="Delivery charge"</formula>
    </cfRule>
    <cfRule type="expression" dxfId="13490" priority="1369">
      <formula>$C36="Staff Salary"</formula>
    </cfRule>
    <cfRule type="expression" dxfId="13489" priority="1370">
      <formula>$C36="Rent"</formula>
    </cfRule>
    <cfRule type="expression" dxfId="13488" priority="1371">
      <formula>$C36="Petrol"</formula>
    </cfRule>
    <cfRule type="expression" dxfId="13487" priority="1372">
      <formula>$C36="Bills"</formula>
    </cfRule>
    <cfRule type="expression" dxfId="13486" priority="1373">
      <formula>$C36="Sales"</formula>
    </cfRule>
    <cfRule type="expression" dxfId="13485" priority="1374">
      <formula>$C36="Expences"</formula>
    </cfRule>
    <cfRule type="expression" dxfId="13484" priority="1375">
      <formula>$C36="Garlic Purchase"</formula>
    </cfRule>
    <cfRule type="expression" dxfId="13483" priority="1376">
      <formula>$C36="Ginger Purchase"</formula>
    </cfRule>
  </conditionalFormatting>
  <conditionalFormatting sqref="B36 B38:B39 B41:B42 B44:B86">
    <cfRule type="expression" dxfId="13482" priority="1377">
      <formula>$C36="Advance"</formula>
    </cfRule>
  </conditionalFormatting>
  <conditionalFormatting sqref="B36 B38:B39 B41:B42 B44:B86">
    <cfRule type="expression" dxfId="13481" priority="1358">
      <formula>$C36="Delivery charge"</formula>
    </cfRule>
    <cfRule type="expression" dxfId="13480" priority="1359">
      <formula>$C36="Staff Salary"</formula>
    </cfRule>
    <cfRule type="expression" dxfId="13479" priority="1360">
      <formula>$C36="Rent"</formula>
    </cfRule>
    <cfRule type="expression" dxfId="13478" priority="1361">
      <formula>$C36="Petrol"</formula>
    </cfRule>
    <cfRule type="expression" dxfId="13477" priority="1362">
      <formula>$C36="Bills"</formula>
    </cfRule>
    <cfRule type="expression" dxfId="13476" priority="1363">
      <formula>$C36="Sales"</formula>
    </cfRule>
    <cfRule type="expression" dxfId="13475" priority="1364">
      <formula>$C36="Expences"</formula>
    </cfRule>
    <cfRule type="expression" dxfId="13474" priority="1365">
      <formula>$C36="Garlic Purchase"</formula>
    </cfRule>
    <cfRule type="expression" dxfId="13473" priority="1366">
      <formula>$C36="Ginger Purchase"</formula>
    </cfRule>
  </conditionalFormatting>
  <conditionalFormatting sqref="B36 B38:B39 B41:B42 B44:B86">
    <cfRule type="expression" dxfId="13472" priority="1367">
      <formula>$C36="Advance"</formula>
    </cfRule>
  </conditionalFormatting>
  <conditionalFormatting sqref="B36 B38:B39 B41:B42 B44:B86">
    <cfRule type="expression" dxfId="13471" priority="1348">
      <formula>$C36="Delivery charge"</formula>
    </cfRule>
    <cfRule type="expression" dxfId="13470" priority="1349">
      <formula>$C36="Staff Salary"</formula>
    </cfRule>
    <cfRule type="expression" dxfId="13469" priority="1350">
      <formula>$C36="Rent"</formula>
    </cfRule>
    <cfRule type="expression" dxfId="13468" priority="1351">
      <formula>$C36="Petrol"</formula>
    </cfRule>
    <cfRule type="expression" dxfId="13467" priority="1352">
      <formula>$C36="Bills"</formula>
    </cfRule>
    <cfRule type="expression" dxfId="13466" priority="1353">
      <formula>$C36="Sales"</formula>
    </cfRule>
    <cfRule type="expression" dxfId="13465" priority="1354">
      <formula>$C36="Expences"</formula>
    </cfRule>
    <cfRule type="expression" dxfId="13464" priority="1355">
      <formula>$C36="Garlic Purchase"</formula>
    </cfRule>
    <cfRule type="expression" dxfId="13463" priority="1356">
      <formula>$C36="Ginger Purchase"</formula>
    </cfRule>
  </conditionalFormatting>
  <conditionalFormatting sqref="B36 B38:B39 B41:B42 B44:B86">
    <cfRule type="expression" dxfId="13462" priority="1357">
      <formula>$C36="Advance"</formula>
    </cfRule>
  </conditionalFormatting>
  <conditionalFormatting sqref="B36 B38:B39 B41:B42 B44:B86">
    <cfRule type="expression" dxfId="13461" priority="1338">
      <formula>$C36="Delivery charge"</formula>
    </cfRule>
    <cfRule type="expression" dxfId="13460" priority="1339">
      <formula>$C36="Staff Salary"</formula>
    </cfRule>
    <cfRule type="expression" dxfId="13459" priority="1340">
      <formula>$C36="Rent"</formula>
    </cfRule>
    <cfRule type="expression" dxfId="13458" priority="1341">
      <formula>$C36="Petrol"</formula>
    </cfRule>
    <cfRule type="expression" dxfId="13457" priority="1342">
      <formula>$C36="Bills"</formula>
    </cfRule>
    <cfRule type="expression" dxfId="13456" priority="1343">
      <formula>$C36="Sales"</formula>
    </cfRule>
    <cfRule type="expression" dxfId="13455" priority="1344">
      <formula>$C36="Expences"</formula>
    </cfRule>
    <cfRule type="expression" dxfId="13454" priority="1345">
      <formula>$C36="Garlic Purchase"</formula>
    </cfRule>
    <cfRule type="expression" dxfId="13453" priority="1346">
      <formula>$C36="Ginger Purchase"</formula>
    </cfRule>
  </conditionalFormatting>
  <conditionalFormatting sqref="B36 B38:B39 B41:B42 B44:B86">
    <cfRule type="expression" dxfId="13452" priority="1347">
      <formula>$C36="Advance"</formula>
    </cfRule>
  </conditionalFormatting>
  <conditionalFormatting sqref="B37 B40 B43 B46 B48 B50 B52 B54 B56 B58 B60 B62:B64 B66 B68:B69 B71:B72 B75:B76 B78:B79 B81:B82 B84 B86">
    <cfRule type="expression" dxfId="13451" priority="1328">
      <formula>$C37="Delivery charge"</formula>
    </cfRule>
    <cfRule type="expression" dxfId="13450" priority="1329">
      <formula>$C37="Staff Salary"</formula>
    </cfRule>
    <cfRule type="expression" dxfId="13449" priority="1330">
      <formula>$C37="Rent"</formula>
    </cfRule>
    <cfRule type="expression" dxfId="13448" priority="1331">
      <formula>$C37="Petrol"</formula>
    </cfRule>
    <cfRule type="expression" dxfId="13447" priority="1332">
      <formula>$C37="Bills"</formula>
    </cfRule>
    <cfRule type="expression" dxfId="13446" priority="1333">
      <formula>$C37="Sales"</formula>
    </cfRule>
    <cfRule type="expression" dxfId="13445" priority="1334">
      <formula>$C37="Expences"</formula>
    </cfRule>
    <cfRule type="expression" dxfId="13444" priority="1335">
      <formula>$C37="Garlic Purchase"</formula>
    </cfRule>
    <cfRule type="expression" dxfId="13443" priority="1336">
      <formula>$C37="Ginger Purchase"</formula>
    </cfRule>
  </conditionalFormatting>
  <conditionalFormatting sqref="B37 B40 B43 B46 B48 B50 B52 B54 B56 B58 B60 B62:B64 B66 B68:B69 B71:B72 B75:B76 B78:B79 B81:B82 B84 B86">
    <cfRule type="expression" dxfId="13442" priority="1337">
      <formula>$C37="Advance"</formula>
    </cfRule>
  </conditionalFormatting>
  <conditionalFormatting sqref="B36 B38:B39 B41:B42 B44:B86">
    <cfRule type="expression" dxfId="13441" priority="1318">
      <formula>$C36="Delivery charge"</formula>
    </cfRule>
    <cfRule type="expression" dxfId="13440" priority="1319">
      <formula>$C36="Staff Salary"</formula>
    </cfRule>
    <cfRule type="expression" dxfId="13439" priority="1320">
      <formula>$C36="Rent"</formula>
    </cfRule>
    <cfRule type="expression" dxfId="13438" priority="1321">
      <formula>$C36="Petrol"</formula>
    </cfRule>
    <cfRule type="expression" dxfId="13437" priority="1322">
      <formula>$C36="Bills"</formula>
    </cfRule>
    <cfRule type="expression" dxfId="13436" priority="1323">
      <formula>$C36="Sales"</formula>
    </cfRule>
    <cfRule type="expression" dxfId="13435" priority="1324">
      <formula>$C36="Expences"</formula>
    </cfRule>
    <cfRule type="expression" dxfId="13434" priority="1325">
      <formula>$C36="Garlic Purchase"</formula>
    </cfRule>
    <cfRule type="expression" dxfId="13433" priority="1326">
      <formula>$C36="Ginger Purchase"</formula>
    </cfRule>
  </conditionalFormatting>
  <conditionalFormatting sqref="B36 B38:B39 B41:B42 B44:B86">
    <cfRule type="expression" dxfId="13432" priority="1327">
      <formula>$C36="Advance"</formula>
    </cfRule>
  </conditionalFormatting>
  <conditionalFormatting sqref="B36 B38:B39 B41:B42 B44:B86">
    <cfRule type="expression" dxfId="13431" priority="1308">
      <formula>$C36="Delivery charge"</formula>
    </cfRule>
    <cfRule type="expression" dxfId="13430" priority="1309">
      <formula>$C36="Staff Salary"</formula>
    </cfRule>
    <cfRule type="expression" dxfId="13429" priority="1310">
      <formula>$C36="Rent"</formula>
    </cfRule>
    <cfRule type="expression" dxfId="13428" priority="1311">
      <formula>$C36="Petrol"</formula>
    </cfRule>
    <cfRule type="expression" dxfId="13427" priority="1312">
      <formula>$C36="Bills"</formula>
    </cfRule>
    <cfRule type="expression" dxfId="13426" priority="1313">
      <formula>$C36="Sales"</formula>
    </cfRule>
    <cfRule type="expression" dxfId="13425" priority="1314">
      <formula>$C36="Expences"</formula>
    </cfRule>
    <cfRule type="expression" dxfId="13424" priority="1315">
      <formula>$C36="Garlic Purchase"</formula>
    </cfRule>
    <cfRule type="expression" dxfId="13423" priority="1316">
      <formula>$C36="Ginger Purchase"</formula>
    </cfRule>
  </conditionalFormatting>
  <conditionalFormatting sqref="B36 B38:B39 B41:B42 B44:B86">
    <cfRule type="expression" dxfId="13422" priority="1317">
      <formula>$C36="Advance"</formula>
    </cfRule>
  </conditionalFormatting>
  <conditionalFormatting sqref="B36 B38:B39 B41:B42 B44:B86">
    <cfRule type="expression" dxfId="13421" priority="1298">
      <formula>$C36="Delivery charge"</formula>
    </cfRule>
    <cfRule type="expression" dxfId="13420" priority="1299">
      <formula>$C36="Staff Salary"</formula>
    </cfRule>
    <cfRule type="expression" dxfId="13419" priority="1300">
      <formula>$C36="Rent"</formula>
    </cfRule>
    <cfRule type="expression" dxfId="13418" priority="1301">
      <formula>$C36="Petrol"</formula>
    </cfRule>
    <cfRule type="expression" dxfId="13417" priority="1302">
      <formula>$C36="Bills"</formula>
    </cfRule>
    <cfRule type="expression" dxfId="13416" priority="1303">
      <formula>$C36="Sales"</formula>
    </cfRule>
    <cfRule type="expression" dxfId="13415" priority="1304">
      <formula>$C36="Expences"</formula>
    </cfRule>
    <cfRule type="expression" dxfId="13414" priority="1305">
      <formula>$C36="Garlic Purchase"</formula>
    </cfRule>
    <cfRule type="expression" dxfId="13413" priority="1306">
      <formula>$C36="Ginger Purchase"</formula>
    </cfRule>
  </conditionalFormatting>
  <conditionalFormatting sqref="B36 B38:B39 B41:B42 B44:B86">
    <cfRule type="expression" dxfId="13412" priority="1307">
      <formula>$C36="Advance"</formula>
    </cfRule>
  </conditionalFormatting>
  <conditionalFormatting sqref="B36 B38:B39 B41:B42 B44:B86">
    <cfRule type="expression" dxfId="13411" priority="1288">
      <formula>$C36="Delivery charge"</formula>
    </cfRule>
    <cfRule type="expression" dxfId="13410" priority="1289">
      <formula>$C36="Staff Salary"</formula>
    </cfRule>
    <cfRule type="expression" dxfId="13409" priority="1290">
      <formula>$C36="Rent"</formula>
    </cfRule>
    <cfRule type="expression" dxfId="13408" priority="1291">
      <formula>$C36="Petrol"</formula>
    </cfRule>
    <cfRule type="expression" dxfId="13407" priority="1292">
      <formula>$C36="Bills"</formula>
    </cfRule>
    <cfRule type="expression" dxfId="13406" priority="1293">
      <formula>$C36="Sales"</formula>
    </cfRule>
    <cfRule type="expression" dxfId="13405" priority="1294">
      <formula>$C36="Expences"</formula>
    </cfRule>
    <cfRule type="expression" dxfId="13404" priority="1295">
      <formula>$C36="Garlic Purchase"</formula>
    </cfRule>
    <cfRule type="expression" dxfId="13403" priority="1296">
      <formula>$C36="Ginger Purchase"</formula>
    </cfRule>
  </conditionalFormatting>
  <conditionalFormatting sqref="B36 B38:B39 B41:B42 B44:B86">
    <cfRule type="expression" dxfId="13402" priority="1297">
      <formula>$C36="Advance"</formula>
    </cfRule>
  </conditionalFormatting>
  <conditionalFormatting sqref="B36 B38:B39 B41:B42 B44:B86">
    <cfRule type="expression" dxfId="13401" priority="1278">
      <formula>$C36="Delivery charge"</formula>
    </cfRule>
    <cfRule type="expression" dxfId="13400" priority="1279">
      <formula>$C36="Staff Salary"</formula>
    </cfRule>
    <cfRule type="expression" dxfId="13399" priority="1280">
      <formula>$C36="Rent"</formula>
    </cfRule>
    <cfRule type="expression" dxfId="13398" priority="1281">
      <formula>$C36="Petrol"</formula>
    </cfRule>
    <cfRule type="expression" dxfId="13397" priority="1282">
      <formula>$C36="Bills"</formula>
    </cfRule>
    <cfRule type="expression" dxfId="13396" priority="1283">
      <formula>$C36="Sales"</formula>
    </cfRule>
    <cfRule type="expression" dxfId="13395" priority="1284">
      <formula>$C36="Expences"</formula>
    </cfRule>
    <cfRule type="expression" dxfId="13394" priority="1285">
      <formula>$C36="Garlic Purchase"</formula>
    </cfRule>
    <cfRule type="expression" dxfId="13393" priority="1286">
      <formula>$C36="Ginger Purchase"</formula>
    </cfRule>
  </conditionalFormatting>
  <conditionalFormatting sqref="B36 B38:B39 B41:B42 B44:B86">
    <cfRule type="expression" dxfId="13392" priority="1287">
      <formula>$C36="Advance"</formula>
    </cfRule>
  </conditionalFormatting>
  <conditionalFormatting sqref="B37 B40 B43 B46 B48 B50 B52 B54 B56 B58 B60 B62:B64 B66 B68:B69 B71:B72 B75:B76 B78:B79 B81:B82 B84 B86">
    <cfRule type="expression" dxfId="13391" priority="1268">
      <formula>$C37="Delivery charge"</formula>
    </cfRule>
    <cfRule type="expression" dxfId="13390" priority="1269">
      <formula>$C37="Staff Salary"</formula>
    </cfRule>
    <cfRule type="expression" dxfId="13389" priority="1270">
      <formula>$C37="Rent"</formula>
    </cfRule>
    <cfRule type="expression" dxfId="13388" priority="1271">
      <formula>$C37="Petrol"</formula>
    </cfRule>
    <cfRule type="expression" dxfId="13387" priority="1272">
      <formula>$C37="Bills"</formula>
    </cfRule>
    <cfRule type="expression" dxfId="13386" priority="1273">
      <formula>$C37="Sales"</formula>
    </cfRule>
    <cfRule type="expression" dxfId="13385" priority="1274">
      <formula>$C37="Expences"</formula>
    </cfRule>
    <cfRule type="expression" dxfId="13384" priority="1275">
      <formula>$C37="Garlic Purchase"</formula>
    </cfRule>
    <cfRule type="expression" dxfId="13383" priority="1276">
      <formula>$C37="Ginger Purchase"</formula>
    </cfRule>
  </conditionalFormatting>
  <conditionalFormatting sqref="B37 B40 B43 B46 B48 B50 B52 B54 B56 B58 B60 B62:B64 B66 B68:B69 B71:B72 B75:B76 B78:B79 B81:B82 B84 B86">
    <cfRule type="expression" dxfId="13382" priority="1277">
      <formula>$C37="Advance"</formula>
    </cfRule>
  </conditionalFormatting>
  <conditionalFormatting sqref="B37 B40 B43 B46 B48 B50 B52 B54 B56 B58 B60 B62:B64 B66 B68:B69 B71:B72 B75:B76 B78:B79 B81:B82 B84 B86">
    <cfRule type="expression" dxfId="13381" priority="1258">
      <formula>$C37="Delivery charge"</formula>
    </cfRule>
    <cfRule type="expression" dxfId="13380" priority="1259">
      <formula>$C37="Staff Salary"</formula>
    </cfRule>
    <cfRule type="expression" dxfId="13379" priority="1260">
      <formula>$C37="Rent"</formula>
    </cfRule>
    <cfRule type="expression" dxfId="13378" priority="1261">
      <formula>$C37="Petrol"</formula>
    </cfRule>
    <cfRule type="expression" dxfId="13377" priority="1262">
      <formula>$C37="Bills"</formula>
    </cfRule>
    <cfRule type="expression" dxfId="13376" priority="1263">
      <formula>$C37="Sales"</formula>
    </cfRule>
    <cfRule type="expression" dxfId="13375" priority="1264">
      <formula>$C37="Expences"</formula>
    </cfRule>
    <cfRule type="expression" dxfId="13374" priority="1265">
      <formula>$C37="Garlic Purchase"</formula>
    </cfRule>
    <cfRule type="expression" dxfId="13373" priority="1266">
      <formula>$C37="Ginger Purchase"</formula>
    </cfRule>
  </conditionalFormatting>
  <conditionalFormatting sqref="B37 B40 B43 B46 B48 B50 B52 B54 B56 B58 B60 B62:B64 B66 B68:B69 B71:B72 B75:B76 B78:B79 B81:B82 B84 B86">
    <cfRule type="expression" dxfId="13372" priority="1267">
      <formula>$C37="Advance"</formula>
    </cfRule>
  </conditionalFormatting>
  <conditionalFormatting sqref="B37 B40 B43 B46 B48 B50 B52 B54 B56 B58 B60 B62:B64 B66 B68:B69 B71:B72 B75:B76 B78:B79 B81:B82 B84 B86">
    <cfRule type="expression" dxfId="13371" priority="1248">
      <formula>$C37="Delivery charge"</formula>
    </cfRule>
    <cfRule type="expression" dxfId="13370" priority="1249">
      <formula>$C37="Staff Salary"</formula>
    </cfRule>
    <cfRule type="expression" dxfId="13369" priority="1250">
      <formula>$C37="Rent"</formula>
    </cfRule>
    <cfRule type="expression" dxfId="13368" priority="1251">
      <formula>$C37="Petrol"</formula>
    </cfRule>
    <cfRule type="expression" dxfId="13367" priority="1252">
      <formula>$C37="Bills"</formula>
    </cfRule>
    <cfRule type="expression" dxfId="13366" priority="1253">
      <formula>$C37="Sales"</formula>
    </cfRule>
    <cfRule type="expression" dxfId="13365" priority="1254">
      <formula>$C37="Expences"</formula>
    </cfRule>
    <cfRule type="expression" dxfId="13364" priority="1255">
      <formula>$C37="Garlic Purchase"</formula>
    </cfRule>
    <cfRule type="expression" dxfId="13363" priority="1256">
      <formula>$C37="Ginger Purchase"</formula>
    </cfRule>
  </conditionalFormatting>
  <conditionalFormatting sqref="B37 B40 B43 B46 B48 B50 B52 B54 B56 B58 B60 B62:B64 B66 B68:B69 B71:B72 B75:B76 B78:B79 B81:B82 B84 B86">
    <cfRule type="expression" dxfId="13362" priority="1257">
      <formula>$C37="Advance"</formula>
    </cfRule>
  </conditionalFormatting>
  <conditionalFormatting sqref="B37 B40 B43 B46 B48 B50 B52 B54 B56 B58 B60 B62:B64 B66 B68:B69 B71:B72 B75:B76 B78:B79 B81:B82 B84 B86">
    <cfRule type="expression" dxfId="13361" priority="1238">
      <formula>$C37="Delivery charge"</formula>
    </cfRule>
    <cfRule type="expression" dxfId="13360" priority="1239">
      <formula>$C37="Staff Salary"</formula>
    </cfRule>
    <cfRule type="expression" dxfId="13359" priority="1240">
      <formula>$C37="Rent"</formula>
    </cfRule>
    <cfRule type="expression" dxfId="13358" priority="1241">
      <formula>$C37="Petrol"</formula>
    </cfRule>
    <cfRule type="expression" dxfId="13357" priority="1242">
      <formula>$C37="Bills"</formula>
    </cfRule>
    <cfRule type="expression" dxfId="13356" priority="1243">
      <formula>$C37="Sales"</formula>
    </cfRule>
    <cfRule type="expression" dxfId="13355" priority="1244">
      <formula>$C37="Expences"</formula>
    </cfRule>
    <cfRule type="expression" dxfId="13354" priority="1245">
      <formula>$C37="Garlic Purchase"</formula>
    </cfRule>
    <cfRule type="expression" dxfId="13353" priority="1246">
      <formula>$C37="Ginger Purchase"</formula>
    </cfRule>
  </conditionalFormatting>
  <conditionalFormatting sqref="B37 B40 B43 B46 B48 B50 B52 B54 B56 B58 B60 B62:B64 B66 B68:B69 B71:B72 B75:B76 B78:B79 B81:B82 B84 B86">
    <cfRule type="expression" dxfId="13352" priority="1247">
      <formula>$C37="Advance"</formula>
    </cfRule>
  </conditionalFormatting>
  <conditionalFormatting sqref="B37 B40 B43 B46 B48 B50 B52 B54 B56 B58 B60 B62:B64 B66 B68:B69 B71:B72 B75:B76 B78:B79 B81:B82 B84 B86">
    <cfRule type="expression" dxfId="13351" priority="1228">
      <formula>$C37="Delivery charge"</formula>
    </cfRule>
    <cfRule type="expression" dxfId="13350" priority="1229">
      <formula>$C37="Staff Salary"</formula>
    </cfRule>
    <cfRule type="expression" dxfId="13349" priority="1230">
      <formula>$C37="Rent"</formula>
    </cfRule>
    <cfRule type="expression" dxfId="13348" priority="1231">
      <formula>$C37="Petrol"</formula>
    </cfRule>
    <cfRule type="expression" dxfId="13347" priority="1232">
      <formula>$C37="Bills"</formula>
    </cfRule>
    <cfRule type="expression" dxfId="13346" priority="1233">
      <formula>$C37="Sales"</formula>
    </cfRule>
    <cfRule type="expression" dxfId="13345" priority="1234">
      <formula>$C37="Expences"</formula>
    </cfRule>
    <cfRule type="expression" dxfId="13344" priority="1235">
      <formula>$C37="Garlic Purchase"</formula>
    </cfRule>
    <cfRule type="expression" dxfId="13343" priority="1236">
      <formula>$C37="Ginger Purchase"</formula>
    </cfRule>
  </conditionalFormatting>
  <conditionalFormatting sqref="B37 B40 B43 B46 B48 B50 B52 B54 B56 B58 B60 B62:B64 B66 B68:B69 B71:B72 B75:B76 B78:B79 B81:B82 B84 B86">
    <cfRule type="expression" dxfId="13342" priority="1237">
      <formula>$C37="Advance"</formula>
    </cfRule>
  </conditionalFormatting>
  <conditionalFormatting sqref="B36 B38:B39 B41:B42 B44:B86">
    <cfRule type="expression" dxfId="13341" priority="1218">
      <formula>$C36="Delivery charge"</formula>
    </cfRule>
    <cfRule type="expression" dxfId="13340" priority="1219">
      <formula>$C36="Staff Salary"</formula>
    </cfRule>
    <cfRule type="expression" dxfId="13339" priority="1220">
      <formula>$C36="Rent"</formula>
    </cfRule>
    <cfRule type="expression" dxfId="13338" priority="1221">
      <formula>$C36="Petrol"</formula>
    </cfRule>
    <cfRule type="expression" dxfId="13337" priority="1222">
      <formula>$C36="Bills"</formula>
    </cfRule>
    <cfRule type="expression" dxfId="13336" priority="1223">
      <formula>$C36="Sales"</formula>
    </cfRule>
    <cfRule type="expression" dxfId="13335" priority="1224">
      <formula>$C36="Expences"</formula>
    </cfRule>
    <cfRule type="expression" dxfId="13334" priority="1225">
      <formula>$C36="Garlic Purchase"</formula>
    </cfRule>
    <cfRule type="expression" dxfId="13333" priority="1226">
      <formula>$C36="Ginger Purchase"</formula>
    </cfRule>
  </conditionalFormatting>
  <conditionalFormatting sqref="B36 B38:B39 B41:B42 B44:B86">
    <cfRule type="expression" dxfId="13332" priority="1227">
      <formula>$C36="Advance"</formula>
    </cfRule>
  </conditionalFormatting>
  <conditionalFormatting sqref="B37 B40 B43 B46 B48 B50 B52 B54 B56 B58 B60 B62:B64 B66 B68:B69 B71:B72 B75:B76 B78:B79 B81:B82 B84 B86">
    <cfRule type="expression" dxfId="13331" priority="1208">
      <formula>$C37="Delivery charge"</formula>
    </cfRule>
    <cfRule type="expression" dxfId="13330" priority="1209">
      <formula>$C37="Staff Salary"</formula>
    </cfRule>
    <cfRule type="expression" dxfId="13329" priority="1210">
      <formula>$C37="Rent"</formula>
    </cfRule>
    <cfRule type="expression" dxfId="13328" priority="1211">
      <formula>$C37="Petrol"</formula>
    </cfRule>
    <cfRule type="expression" dxfId="13327" priority="1212">
      <formula>$C37="Bills"</formula>
    </cfRule>
    <cfRule type="expression" dxfId="13326" priority="1213">
      <formula>$C37="Sales"</formula>
    </cfRule>
    <cfRule type="expression" dxfId="13325" priority="1214">
      <formula>$C37="Expences"</formula>
    </cfRule>
    <cfRule type="expression" dxfId="13324" priority="1215">
      <formula>$C37="Garlic Purchase"</formula>
    </cfRule>
    <cfRule type="expression" dxfId="13323" priority="1216">
      <formula>$C37="Ginger Purchase"</formula>
    </cfRule>
  </conditionalFormatting>
  <conditionalFormatting sqref="B37 B40 B43 B46 B48 B50 B52 B54 B56 B58 B60 B62:B64 B66 B68:B69 B71:B72 B75:B76 B78:B79 B81:B82 B84 B86">
    <cfRule type="expression" dxfId="13322" priority="1217">
      <formula>$C37="Advance"</formula>
    </cfRule>
  </conditionalFormatting>
  <conditionalFormatting sqref="B37 B40 B43 B46 B48 B50 B52 B54 B56 B58 B60 B62:B64 B66 B68:B69 B71:B72 B75:B76 B78:B79 B81:B82 B84 B86">
    <cfRule type="expression" dxfId="13321" priority="1198">
      <formula>$C37="Delivery charge"</formula>
    </cfRule>
    <cfRule type="expression" dxfId="13320" priority="1199">
      <formula>$C37="Staff Salary"</formula>
    </cfRule>
    <cfRule type="expression" dxfId="13319" priority="1200">
      <formula>$C37="Rent"</formula>
    </cfRule>
    <cfRule type="expression" dxfId="13318" priority="1201">
      <formula>$C37="Petrol"</formula>
    </cfRule>
    <cfRule type="expression" dxfId="13317" priority="1202">
      <formula>$C37="Bills"</formula>
    </cfRule>
    <cfRule type="expression" dxfId="13316" priority="1203">
      <formula>$C37="Sales"</formula>
    </cfRule>
    <cfRule type="expression" dxfId="13315" priority="1204">
      <formula>$C37="Expences"</formula>
    </cfRule>
    <cfRule type="expression" dxfId="13314" priority="1205">
      <formula>$C37="Garlic Purchase"</formula>
    </cfRule>
    <cfRule type="expression" dxfId="13313" priority="1206">
      <formula>$C37="Ginger Purchase"</formula>
    </cfRule>
  </conditionalFormatting>
  <conditionalFormatting sqref="B37 B40 B43 B46 B48 B50 B52 B54 B56 B58 B60 B62:B64 B66 B68:B69 B71:B72 B75:B76 B78:B79 B81:B82 B84 B86">
    <cfRule type="expression" dxfId="13312" priority="1207">
      <formula>$C37="Advance"</formula>
    </cfRule>
  </conditionalFormatting>
  <conditionalFormatting sqref="B37 B40 B43 B46 B48 B50 B52 B54 B56 B58 B60 B62:B64 B66 B68:B69 B71:B72 B75:B76 B78:B79 B81:B82 B84 B86">
    <cfRule type="expression" dxfId="13311" priority="1188">
      <formula>$C37="Delivery charge"</formula>
    </cfRule>
    <cfRule type="expression" dxfId="13310" priority="1189">
      <formula>$C37="Staff Salary"</formula>
    </cfRule>
    <cfRule type="expression" dxfId="13309" priority="1190">
      <formula>$C37="Rent"</formula>
    </cfRule>
    <cfRule type="expression" dxfId="13308" priority="1191">
      <formula>$C37="Petrol"</formula>
    </cfRule>
    <cfRule type="expression" dxfId="13307" priority="1192">
      <formula>$C37="Bills"</formula>
    </cfRule>
    <cfRule type="expression" dxfId="13306" priority="1193">
      <formula>$C37="Sales"</formula>
    </cfRule>
    <cfRule type="expression" dxfId="13305" priority="1194">
      <formula>$C37="Expences"</formula>
    </cfRule>
    <cfRule type="expression" dxfId="13304" priority="1195">
      <formula>$C37="Garlic Purchase"</formula>
    </cfRule>
    <cfRule type="expression" dxfId="13303" priority="1196">
      <formula>$C37="Ginger Purchase"</formula>
    </cfRule>
  </conditionalFormatting>
  <conditionalFormatting sqref="B37 B40 B43 B46 B48 B50 B52 B54 B56 B58 B60 B62:B64 B66 B68:B69 B71:B72 B75:B76 B78:B79 B81:B82 B84 B86">
    <cfRule type="expression" dxfId="13302" priority="1197">
      <formula>$C37="Advance"</formula>
    </cfRule>
  </conditionalFormatting>
  <conditionalFormatting sqref="B37 B40 B43 B46 B48 B50 B52 B54 B56 B58 B60 B62:B64 B66 B68:B69 B71:B72 B75:B76 B78:B79 B81:B82 B84 B86">
    <cfRule type="expression" dxfId="13301" priority="1178">
      <formula>$C37="Delivery charge"</formula>
    </cfRule>
    <cfRule type="expression" dxfId="13300" priority="1179">
      <formula>$C37="Staff Salary"</formula>
    </cfRule>
    <cfRule type="expression" dxfId="13299" priority="1180">
      <formula>$C37="Rent"</formula>
    </cfRule>
    <cfRule type="expression" dxfId="13298" priority="1181">
      <formula>$C37="Petrol"</formula>
    </cfRule>
    <cfRule type="expression" dxfId="13297" priority="1182">
      <formula>$C37="Bills"</formula>
    </cfRule>
    <cfRule type="expression" dxfId="13296" priority="1183">
      <formula>$C37="Sales"</formula>
    </cfRule>
    <cfRule type="expression" dxfId="13295" priority="1184">
      <formula>$C37="Expences"</formula>
    </cfRule>
    <cfRule type="expression" dxfId="13294" priority="1185">
      <formula>$C37="Garlic Purchase"</formula>
    </cfRule>
    <cfRule type="expression" dxfId="13293" priority="1186">
      <formula>$C37="Ginger Purchase"</formula>
    </cfRule>
  </conditionalFormatting>
  <conditionalFormatting sqref="B37 B40 B43 B46 B48 B50 B52 B54 B56 B58 B60 B62:B64 B66 B68:B69 B71:B72 B75:B76 B78:B79 B81:B82 B84 B86">
    <cfRule type="expression" dxfId="13292" priority="1187">
      <formula>$C37="Advance"</formula>
    </cfRule>
  </conditionalFormatting>
  <conditionalFormatting sqref="B37 B40 B43 B46 B48 B50 B52 B54 B56 B58 B60 B62:B64 B66 B68:B69 B71:B72 B75:B76 B78:B79 B81:B82 B84 B86">
    <cfRule type="expression" dxfId="13291" priority="1168">
      <formula>$C37="Delivery charge"</formula>
    </cfRule>
    <cfRule type="expression" dxfId="13290" priority="1169">
      <formula>$C37="Staff Salary"</formula>
    </cfRule>
    <cfRule type="expression" dxfId="13289" priority="1170">
      <formula>$C37="Rent"</formula>
    </cfRule>
    <cfRule type="expression" dxfId="13288" priority="1171">
      <formula>$C37="Petrol"</formula>
    </cfRule>
    <cfRule type="expression" dxfId="13287" priority="1172">
      <formula>$C37="Bills"</formula>
    </cfRule>
    <cfRule type="expression" dxfId="13286" priority="1173">
      <formula>$C37="Sales"</formula>
    </cfRule>
    <cfRule type="expression" dxfId="13285" priority="1174">
      <formula>$C37="Expences"</formula>
    </cfRule>
    <cfRule type="expression" dxfId="13284" priority="1175">
      <formula>$C37="Garlic Purchase"</formula>
    </cfRule>
    <cfRule type="expression" dxfId="13283" priority="1176">
      <formula>$C37="Ginger Purchase"</formula>
    </cfRule>
  </conditionalFormatting>
  <conditionalFormatting sqref="B37 B40 B43 B46 B48 B50 B52 B54 B56 B58 B60 B62:B64 B66 B68:B69 B71:B72 B75:B76 B78:B79 B81:B82 B84 B86">
    <cfRule type="expression" dxfId="13282" priority="1177">
      <formula>$C37="Advance"</formula>
    </cfRule>
  </conditionalFormatting>
  <conditionalFormatting sqref="B37 B40 B43 B46 B48 B50 B52 B54 B56 B58 B60 B62:B64 B66 B68:B69 B71:B72 B75:B76 B78:B79 B81:B82 B84 B86">
    <cfRule type="expression" dxfId="13281" priority="1158">
      <formula>$C37="Delivery charge"</formula>
    </cfRule>
    <cfRule type="expression" dxfId="13280" priority="1159">
      <formula>$C37="Staff Salary"</formula>
    </cfRule>
    <cfRule type="expression" dxfId="13279" priority="1160">
      <formula>$C37="Rent"</formula>
    </cfRule>
    <cfRule type="expression" dxfId="13278" priority="1161">
      <formula>$C37="Petrol"</formula>
    </cfRule>
    <cfRule type="expression" dxfId="13277" priority="1162">
      <formula>$C37="Bills"</formula>
    </cfRule>
    <cfRule type="expression" dxfId="13276" priority="1163">
      <formula>$C37="Sales"</formula>
    </cfRule>
    <cfRule type="expression" dxfId="13275" priority="1164">
      <formula>$C37="Expences"</formula>
    </cfRule>
    <cfRule type="expression" dxfId="13274" priority="1165">
      <formula>$C37="Garlic Purchase"</formula>
    </cfRule>
    <cfRule type="expression" dxfId="13273" priority="1166">
      <formula>$C37="Ginger Purchase"</formula>
    </cfRule>
  </conditionalFormatting>
  <conditionalFormatting sqref="B37 B40 B43 B46 B48 B50 B52 B54 B56 B58 B60 B62:B64 B66 B68:B69 B71:B72 B75:B76 B78:B79 B81:B82 B84 B86">
    <cfRule type="expression" dxfId="13272" priority="1167">
      <formula>$C37="Advance"</formula>
    </cfRule>
  </conditionalFormatting>
  <conditionalFormatting sqref="B37 B40 B43 B46 B48 B50 B52 B54 B56 B58 B60 B62:B64 B66 B68:B69 B71:B72 B75:B76 B78:B79 B81:B82 B84 B86">
    <cfRule type="expression" dxfId="13271" priority="1148">
      <formula>$C37="Delivery charge"</formula>
    </cfRule>
    <cfRule type="expression" dxfId="13270" priority="1149">
      <formula>$C37="Staff Salary"</formula>
    </cfRule>
    <cfRule type="expression" dxfId="13269" priority="1150">
      <formula>$C37="Rent"</formula>
    </cfRule>
    <cfRule type="expression" dxfId="13268" priority="1151">
      <formula>$C37="Petrol"</formula>
    </cfRule>
    <cfRule type="expression" dxfId="13267" priority="1152">
      <formula>$C37="Bills"</formula>
    </cfRule>
    <cfRule type="expression" dxfId="13266" priority="1153">
      <formula>$C37="Sales"</formula>
    </cfRule>
    <cfRule type="expression" dxfId="13265" priority="1154">
      <formula>$C37="Expences"</formula>
    </cfRule>
    <cfRule type="expression" dxfId="13264" priority="1155">
      <formula>$C37="Garlic Purchase"</formula>
    </cfRule>
    <cfRule type="expression" dxfId="13263" priority="1156">
      <formula>$C37="Ginger Purchase"</formula>
    </cfRule>
  </conditionalFormatting>
  <conditionalFormatting sqref="B37 B40 B43 B46 B48 B50 B52 B54 B56 B58 B60 B62:B64 B66 B68:B69 B71:B72 B75:B76 B78:B79 B81:B82 B84 B86">
    <cfRule type="expression" dxfId="13262" priority="1157">
      <formula>$C37="Advance"</formula>
    </cfRule>
  </conditionalFormatting>
  <conditionalFormatting sqref="B37 B40 B43 B46 B48 B50 B52 B54 B56 B58 B60 B62:B64 B66 B68:B69 B71:B72 B75:B76 B78:B79 B81:B82 B84 B86">
    <cfRule type="expression" dxfId="13261" priority="1138">
      <formula>$C37="Delivery charge"</formula>
    </cfRule>
    <cfRule type="expression" dxfId="13260" priority="1139">
      <formula>$C37="Staff Salary"</formula>
    </cfRule>
    <cfRule type="expression" dxfId="13259" priority="1140">
      <formula>$C37="Rent"</formula>
    </cfRule>
    <cfRule type="expression" dxfId="13258" priority="1141">
      <formula>$C37="Petrol"</formula>
    </cfRule>
    <cfRule type="expression" dxfId="13257" priority="1142">
      <formula>$C37="Bills"</formula>
    </cfRule>
    <cfRule type="expression" dxfId="13256" priority="1143">
      <formula>$C37="Sales"</formula>
    </cfRule>
    <cfRule type="expression" dxfId="13255" priority="1144">
      <formula>$C37="Expences"</formula>
    </cfRule>
    <cfRule type="expression" dxfId="13254" priority="1145">
      <formula>$C37="Garlic Purchase"</formula>
    </cfRule>
    <cfRule type="expression" dxfId="13253" priority="1146">
      <formula>$C37="Ginger Purchase"</formula>
    </cfRule>
  </conditionalFormatting>
  <conditionalFormatting sqref="B37 B40 B43 B46 B48 B50 B52 B54 B56 B58 B60 B62:B64 B66 B68:B69 B71:B72 B75:B76 B78:B79 B81:B82 B84 B86">
    <cfRule type="expression" dxfId="13252" priority="1147">
      <formula>$C37="Advance"</formula>
    </cfRule>
  </conditionalFormatting>
  <conditionalFormatting sqref="B37 B40 B43 B46 B48 B50 B52 B54 B56 B58 B60 B62:B64 B66 B68:B69 B71:B72 B75:B76 B78:B79 B81:B82 B84 B86">
    <cfRule type="expression" dxfId="13251" priority="1128">
      <formula>$C37="Delivery charge"</formula>
    </cfRule>
    <cfRule type="expression" dxfId="13250" priority="1129">
      <formula>$C37="Staff Salary"</formula>
    </cfRule>
    <cfRule type="expression" dxfId="13249" priority="1130">
      <formula>$C37="Rent"</formula>
    </cfRule>
    <cfRule type="expression" dxfId="13248" priority="1131">
      <formula>$C37="Petrol"</formula>
    </cfRule>
    <cfRule type="expression" dxfId="13247" priority="1132">
      <formula>$C37="Bills"</formula>
    </cfRule>
    <cfRule type="expression" dxfId="13246" priority="1133">
      <formula>$C37="Sales"</formula>
    </cfRule>
    <cfRule type="expression" dxfId="13245" priority="1134">
      <formula>$C37="Expences"</formula>
    </cfRule>
    <cfRule type="expression" dxfId="13244" priority="1135">
      <formula>$C37="Garlic Purchase"</formula>
    </cfRule>
    <cfRule type="expression" dxfId="13243" priority="1136">
      <formula>$C37="Ginger Purchase"</formula>
    </cfRule>
  </conditionalFormatting>
  <conditionalFormatting sqref="B37 B40 B43 B46 B48 B50 B52 B54 B56 B58 B60 B62:B64 B66 B68:B69 B71:B72 B75:B76 B78:B79 B81:B82 B84 B86">
    <cfRule type="expression" dxfId="13242" priority="1137">
      <formula>$C37="Advance"</formula>
    </cfRule>
  </conditionalFormatting>
  <conditionalFormatting sqref="B38 B41 B44 B47">
    <cfRule type="expression" dxfId="13241" priority="1118">
      <formula>$C38="Delivery charge"</formula>
    </cfRule>
    <cfRule type="expression" dxfId="13240" priority="1119">
      <formula>$C38="Staff Salary"</formula>
    </cfRule>
    <cfRule type="expression" dxfId="13239" priority="1120">
      <formula>$C38="Rent"</formula>
    </cfRule>
    <cfRule type="expression" dxfId="13238" priority="1121">
      <formula>$C38="Petrol"</formula>
    </cfRule>
    <cfRule type="expression" dxfId="13237" priority="1122">
      <formula>$C38="Bills"</formula>
    </cfRule>
    <cfRule type="expression" dxfId="13236" priority="1123">
      <formula>$C38="Sales"</formula>
    </cfRule>
    <cfRule type="expression" dxfId="13235" priority="1124">
      <formula>$C38="Expences"</formula>
    </cfRule>
    <cfRule type="expression" dxfId="13234" priority="1125">
      <formula>$C38="Garlic Purchase"</formula>
    </cfRule>
    <cfRule type="expression" dxfId="13233" priority="1126">
      <formula>$C38="Ginger Purchase"</formula>
    </cfRule>
  </conditionalFormatting>
  <conditionalFormatting sqref="B38 B41 B44 B47">
    <cfRule type="expression" dxfId="13232" priority="1127">
      <formula>$C38="Advance"</formula>
    </cfRule>
  </conditionalFormatting>
  <conditionalFormatting sqref="B38 B41 B44 B47">
    <cfRule type="expression" dxfId="13231" priority="1108">
      <formula>$C38="Delivery charge"</formula>
    </cfRule>
    <cfRule type="expression" dxfId="13230" priority="1109">
      <formula>$C38="Staff Salary"</formula>
    </cfRule>
    <cfRule type="expression" dxfId="13229" priority="1110">
      <formula>$C38="Rent"</formula>
    </cfRule>
    <cfRule type="expression" dxfId="13228" priority="1111">
      <formula>$C38="Petrol"</formula>
    </cfRule>
    <cfRule type="expression" dxfId="13227" priority="1112">
      <formula>$C38="Bills"</formula>
    </cfRule>
    <cfRule type="expression" dxfId="13226" priority="1113">
      <formula>$C38="Sales"</formula>
    </cfRule>
    <cfRule type="expression" dxfId="13225" priority="1114">
      <formula>$C38="Expences"</formula>
    </cfRule>
    <cfRule type="expression" dxfId="13224" priority="1115">
      <formula>$C38="Garlic Purchase"</formula>
    </cfRule>
    <cfRule type="expression" dxfId="13223" priority="1116">
      <formula>$C38="Ginger Purchase"</formula>
    </cfRule>
  </conditionalFormatting>
  <conditionalFormatting sqref="B38 B41 B44 B47">
    <cfRule type="expression" dxfId="13222" priority="1117">
      <formula>$C38="Advance"</formula>
    </cfRule>
  </conditionalFormatting>
  <conditionalFormatting sqref="B38 B41 B44 B47">
    <cfRule type="expression" dxfId="13221" priority="1098">
      <formula>$C38="Delivery charge"</formula>
    </cfRule>
    <cfRule type="expression" dxfId="13220" priority="1099">
      <formula>$C38="Staff Salary"</formula>
    </cfRule>
    <cfRule type="expression" dxfId="13219" priority="1100">
      <formula>$C38="Rent"</formula>
    </cfRule>
    <cfRule type="expression" dxfId="13218" priority="1101">
      <formula>$C38="Petrol"</formula>
    </cfRule>
    <cfRule type="expression" dxfId="13217" priority="1102">
      <formula>$C38="Bills"</formula>
    </cfRule>
    <cfRule type="expression" dxfId="13216" priority="1103">
      <formula>$C38="Sales"</formula>
    </cfRule>
    <cfRule type="expression" dxfId="13215" priority="1104">
      <formula>$C38="Expences"</formula>
    </cfRule>
    <cfRule type="expression" dxfId="13214" priority="1105">
      <formula>$C38="Garlic Purchase"</formula>
    </cfRule>
    <cfRule type="expression" dxfId="13213" priority="1106">
      <formula>$C38="Ginger Purchase"</formula>
    </cfRule>
  </conditionalFormatting>
  <conditionalFormatting sqref="B38 B41 B44 B47">
    <cfRule type="expression" dxfId="13212" priority="1107">
      <formula>$C38="Advance"</formula>
    </cfRule>
  </conditionalFormatting>
  <conditionalFormatting sqref="B38 B41 B44 B47">
    <cfRule type="expression" dxfId="13211" priority="1088">
      <formula>$C38="Delivery charge"</formula>
    </cfRule>
    <cfRule type="expression" dxfId="13210" priority="1089">
      <formula>$C38="Staff Salary"</formula>
    </cfRule>
    <cfRule type="expression" dxfId="13209" priority="1090">
      <formula>$C38="Rent"</formula>
    </cfRule>
    <cfRule type="expression" dxfId="13208" priority="1091">
      <formula>$C38="Petrol"</formula>
    </cfRule>
    <cfRule type="expression" dxfId="13207" priority="1092">
      <formula>$C38="Bills"</formula>
    </cfRule>
    <cfRule type="expression" dxfId="13206" priority="1093">
      <formula>$C38="Sales"</formula>
    </cfRule>
    <cfRule type="expression" dxfId="13205" priority="1094">
      <formula>$C38="Expences"</formula>
    </cfRule>
    <cfRule type="expression" dxfId="13204" priority="1095">
      <formula>$C38="Garlic Purchase"</formula>
    </cfRule>
    <cfRule type="expression" dxfId="13203" priority="1096">
      <formula>$C38="Ginger Purchase"</formula>
    </cfRule>
  </conditionalFormatting>
  <conditionalFormatting sqref="B38 B41 B44 B47">
    <cfRule type="expression" dxfId="13202" priority="1097">
      <formula>$C38="Advance"</formula>
    </cfRule>
  </conditionalFormatting>
  <conditionalFormatting sqref="B38 B41 B44 B47">
    <cfRule type="expression" dxfId="13201" priority="1078">
      <formula>$C38="Delivery charge"</formula>
    </cfRule>
    <cfRule type="expression" dxfId="13200" priority="1079">
      <formula>$C38="Staff Salary"</formula>
    </cfRule>
    <cfRule type="expression" dxfId="13199" priority="1080">
      <formula>$C38="Rent"</formula>
    </cfRule>
    <cfRule type="expression" dxfId="13198" priority="1081">
      <formula>$C38="Petrol"</formula>
    </cfRule>
    <cfRule type="expression" dxfId="13197" priority="1082">
      <formula>$C38="Bills"</formula>
    </cfRule>
    <cfRule type="expression" dxfId="13196" priority="1083">
      <formula>$C38="Sales"</formula>
    </cfRule>
    <cfRule type="expression" dxfId="13195" priority="1084">
      <formula>$C38="Expences"</formula>
    </cfRule>
    <cfRule type="expression" dxfId="13194" priority="1085">
      <formula>$C38="Garlic Purchase"</formula>
    </cfRule>
    <cfRule type="expression" dxfId="13193" priority="1086">
      <formula>$C38="Ginger Purchase"</formula>
    </cfRule>
  </conditionalFormatting>
  <conditionalFormatting sqref="B38 B41 B44 B47">
    <cfRule type="expression" dxfId="13192" priority="1087">
      <formula>$C38="Advance"</formula>
    </cfRule>
  </conditionalFormatting>
  <conditionalFormatting sqref="B38 B41 B44 B47">
    <cfRule type="expression" dxfId="13191" priority="1068">
      <formula>$C38="Delivery charge"</formula>
    </cfRule>
    <cfRule type="expression" dxfId="13190" priority="1069">
      <formula>$C38="Staff Salary"</formula>
    </cfRule>
    <cfRule type="expression" dxfId="13189" priority="1070">
      <formula>$C38="Rent"</formula>
    </cfRule>
    <cfRule type="expression" dxfId="13188" priority="1071">
      <formula>$C38="Petrol"</formula>
    </cfRule>
    <cfRule type="expression" dxfId="13187" priority="1072">
      <formula>$C38="Bills"</formula>
    </cfRule>
    <cfRule type="expression" dxfId="13186" priority="1073">
      <formula>$C38="Sales"</formula>
    </cfRule>
    <cfRule type="expression" dxfId="13185" priority="1074">
      <formula>$C38="Expences"</formula>
    </cfRule>
    <cfRule type="expression" dxfId="13184" priority="1075">
      <formula>$C38="Garlic Purchase"</formula>
    </cfRule>
    <cfRule type="expression" dxfId="13183" priority="1076">
      <formula>$C38="Ginger Purchase"</formula>
    </cfRule>
  </conditionalFormatting>
  <conditionalFormatting sqref="B38 B41 B44 B47">
    <cfRule type="expression" dxfId="13182" priority="1077">
      <formula>$C38="Advance"</formula>
    </cfRule>
  </conditionalFormatting>
  <conditionalFormatting sqref="B38 B41 B44 B47">
    <cfRule type="expression" dxfId="13181" priority="1058">
      <formula>$C38="Delivery charge"</formula>
    </cfRule>
    <cfRule type="expression" dxfId="13180" priority="1059">
      <formula>$C38="Staff Salary"</formula>
    </cfRule>
    <cfRule type="expression" dxfId="13179" priority="1060">
      <formula>$C38="Rent"</formula>
    </cfRule>
    <cfRule type="expression" dxfId="13178" priority="1061">
      <formula>$C38="Petrol"</formula>
    </cfRule>
    <cfRule type="expression" dxfId="13177" priority="1062">
      <formula>$C38="Bills"</formula>
    </cfRule>
    <cfRule type="expression" dxfId="13176" priority="1063">
      <formula>$C38="Sales"</formula>
    </cfRule>
    <cfRule type="expression" dxfId="13175" priority="1064">
      <formula>$C38="Expences"</formula>
    </cfRule>
    <cfRule type="expression" dxfId="13174" priority="1065">
      <formula>$C38="Garlic Purchase"</formula>
    </cfRule>
    <cfRule type="expression" dxfId="13173" priority="1066">
      <formula>$C38="Ginger Purchase"</formula>
    </cfRule>
  </conditionalFormatting>
  <conditionalFormatting sqref="B38 B41 B44 B47">
    <cfRule type="expression" dxfId="13172" priority="1067">
      <formula>$C38="Advance"</formula>
    </cfRule>
  </conditionalFormatting>
  <conditionalFormatting sqref="B38 B41 B44 B47">
    <cfRule type="expression" dxfId="13171" priority="1048">
      <formula>$C38="Delivery charge"</formula>
    </cfRule>
    <cfRule type="expression" dxfId="13170" priority="1049">
      <formula>$C38="Staff Salary"</formula>
    </cfRule>
    <cfRule type="expression" dxfId="13169" priority="1050">
      <formula>$C38="Rent"</formula>
    </cfRule>
    <cfRule type="expression" dxfId="13168" priority="1051">
      <formula>$C38="Petrol"</formula>
    </cfRule>
    <cfRule type="expression" dxfId="13167" priority="1052">
      <formula>$C38="Bills"</formula>
    </cfRule>
    <cfRule type="expression" dxfId="13166" priority="1053">
      <formula>$C38="Sales"</formula>
    </cfRule>
    <cfRule type="expression" dxfId="13165" priority="1054">
      <formula>$C38="Expences"</formula>
    </cfRule>
    <cfRule type="expression" dxfId="13164" priority="1055">
      <formula>$C38="Garlic Purchase"</formula>
    </cfRule>
    <cfRule type="expression" dxfId="13163" priority="1056">
      <formula>$C38="Ginger Purchase"</formula>
    </cfRule>
  </conditionalFormatting>
  <conditionalFormatting sqref="B38 B41 B44 B47">
    <cfRule type="expression" dxfId="13162" priority="1057">
      <formula>$C38="Advance"</formula>
    </cfRule>
  </conditionalFormatting>
  <conditionalFormatting sqref="B38 B41 B44 B47">
    <cfRule type="expression" dxfId="13161" priority="1038">
      <formula>$C38="Delivery charge"</formula>
    </cfRule>
    <cfRule type="expression" dxfId="13160" priority="1039">
      <formula>$C38="Staff Salary"</formula>
    </cfRule>
    <cfRule type="expression" dxfId="13159" priority="1040">
      <formula>$C38="Rent"</formula>
    </cfRule>
    <cfRule type="expression" dxfId="13158" priority="1041">
      <formula>$C38="Petrol"</formula>
    </cfRule>
    <cfRule type="expression" dxfId="13157" priority="1042">
      <formula>$C38="Bills"</formula>
    </cfRule>
    <cfRule type="expression" dxfId="13156" priority="1043">
      <formula>$C38="Sales"</formula>
    </cfRule>
    <cfRule type="expression" dxfId="13155" priority="1044">
      <formula>$C38="Expences"</formula>
    </cfRule>
    <cfRule type="expression" dxfId="13154" priority="1045">
      <formula>$C38="Garlic Purchase"</formula>
    </cfRule>
    <cfRule type="expression" dxfId="13153" priority="1046">
      <formula>$C38="Ginger Purchase"</formula>
    </cfRule>
  </conditionalFormatting>
  <conditionalFormatting sqref="B38 B41 B44 B47">
    <cfRule type="expression" dxfId="13152" priority="1047">
      <formula>$C38="Advance"</formula>
    </cfRule>
  </conditionalFormatting>
  <conditionalFormatting sqref="B38 B41 B44 B47">
    <cfRule type="expression" dxfId="13151" priority="1028">
      <formula>$C38="Delivery charge"</formula>
    </cfRule>
    <cfRule type="expression" dxfId="13150" priority="1029">
      <formula>$C38="Staff Salary"</formula>
    </cfRule>
    <cfRule type="expression" dxfId="13149" priority="1030">
      <formula>$C38="Rent"</formula>
    </cfRule>
    <cfRule type="expression" dxfId="13148" priority="1031">
      <formula>$C38="Petrol"</formula>
    </cfRule>
    <cfRule type="expression" dxfId="13147" priority="1032">
      <formula>$C38="Bills"</formula>
    </cfRule>
    <cfRule type="expression" dxfId="13146" priority="1033">
      <formula>$C38="Sales"</formula>
    </cfRule>
    <cfRule type="expression" dxfId="13145" priority="1034">
      <formula>$C38="Expences"</formula>
    </cfRule>
    <cfRule type="expression" dxfId="13144" priority="1035">
      <formula>$C38="Garlic Purchase"</formula>
    </cfRule>
    <cfRule type="expression" dxfId="13143" priority="1036">
      <formula>$C38="Ginger Purchase"</formula>
    </cfRule>
  </conditionalFormatting>
  <conditionalFormatting sqref="B38 B41 B44 B47">
    <cfRule type="expression" dxfId="13142" priority="1037">
      <formula>$C38="Advance"</formula>
    </cfRule>
  </conditionalFormatting>
  <conditionalFormatting sqref="B38 B41 B44 B47">
    <cfRule type="expression" dxfId="13141" priority="1018">
      <formula>$C38="Delivery charge"</formula>
    </cfRule>
    <cfRule type="expression" dxfId="13140" priority="1019">
      <formula>$C38="Staff Salary"</formula>
    </cfRule>
    <cfRule type="expression" dxfId="13139" priority="1020">
      <formula>$C38="Rent"</formula>
    </cfRule>
    <cfRule type="expression" dxfId="13138" priority="1021">
      <formula>$C38="Petrol"</formula>
    </cfRule>
    <cfRule type="expression" dxfId="13137" priority="1022">
      <formula>$C38="Bills"</formula>
    </cfRule>
    <cfRule type="expression" dxfId="13136" priority="1023">
      <formula>$C38="Sales"</formula>
    </cfRule>
    <cfRule type="expression" dxfId="13135" priority="1024">
      <formula>$C38="Expences"</formula>
    </cfRule>
    <cfRule type="expression" dxfId="13134" priority="1025">
      <formula>$C38="Garlic Purchase"</formula>
    </cfRule>
    <cfRule type="expression" dxfId="13133" priority="1026">
      <formula>$C38="Ginger Purchase"</formula>
    </cfRule>
  </conditionalFormatting>
  <conditionalFormatting sqref="B38 B41 B44 B47">
    <cfRule type="expression" dxfId="13132" priority="1027">
      <formula>$C38="Advance"</formula>
    </cfRule>
  </conditionalFormatting>
  <conditionalFormatting sqref="B38 B41 B44 B47">
    <cfRule type="expression" dxfId="13131" priority="1008">
      <formula>$C38="Delivery charge"</formula>
    </cfRule>
    <cfRule type="expression" dxfId="13130" priority="1009">
      <formula>$C38="Staff Salary"</formula>
    </cfRule>
    <cfRule type="expression" dxfId="13129" priority="1010">
      <formula>$C38="Rent"</formula>
    </cfRule>
    <cfRule type="expression" dxfId="13128" priority="1011">
      <formula>$C38="Petrol"</formula>
    </cfRule>
    <cfRule type="expression" dxfId="13127" priority="1012">
      <formula>$C38="Bills"</formula>
    </cfRule>
    <cfRule type="expression" dxfId="13126" priority="1013">
      <formula>$C38="Sales"</formula>
    </cfRule>
    <cfRule type="expression" dxfId="13125" priority="1014">
      <formula>$C38="Expences"</formula>
    </cfRule>
    <cfRule type="expression" dxfId="13124" priority="1015">
      <formula>$C38="Garlic Purchase"</formula>
    </cfRule>
    <cfRule type="expression" dxfId="13123" priority="1016">
      <formula>$C38="Ginger Purchase"</formula>
    </cfRule>
  </conditionalFormatting>
  <conditionalFormatting sqref="B38 B41 B44 B47">
    <cfRule type="expression" dxfId="13122" priority="1017">
      <formula>$C38="Advance"</formula>
    </cfRule>
  </conditionalFormatting>
  <conditionalFormatting sqref="B38 B41 B44 B47">
    <cfRule type="expression" dxfId="13121" priority="998">
      <formula>$C38="Delivery charge"</formula>
    </cfRule>
    <cfRule type="expression" dxfId="13120" priority="999">
      <formula>$C38="Staff Salary"</formula>
    </cfRule>
    <cfRule type="expression" dxfId="13119" priority="1000">
      <formula>$C38="Rent"</formula>
    </cfRule>
    <cfRule type="expression" dxfId="13118" priority="1001">
      <formula>$C38="Petrol"</formula>
    </cfRule>
    <cfRule type="expression" dxfId="13117" priority="1002">
      <formula>$C38="Bills"</formula>
    </cfRule>
    <cfRule type="expression" dxfId="13116" priority="1003">
      <formula>$C38="Sales"</formula>
    </cfRule>
    <cfRule type="expression" dxfId="13115" priority="1004">
      <formula>$C38="Expences"</formula>
    </cfRule>
    <cfRule type="expression" dxfId="13114" priority="1005">
      <formula>$C38="Garlic Purchase"</formula>
    </cfRule>
    <cfRule type="expression" dxfId="13113" priority="1006">
      <formula>$C38="Ginger Purchase"</formula>
    </cfRule>
  </conditionalFormatting>
  <conditionalFormatting sqref="B38 B41 B44 B47">
    <cfRule type="expression" dxfId="13112" priority="1007">
      <formula>$C38="Advance"</formula>
    </cfRule>
  </conditionalFormatting>
  <conditionalFormatting sqref="B38 B41 B44 B47">
    <cfRule type="expression" dxfId="13111" priority="988">
      <formula>$C38="Delivery charge"</formula>
    </cfRule>
    <cfRule type="expression" dxfId="13110" priority="989">
      <formula>$C38="Staff Salary"</formula>
    </cfRule>
    <cfRule type="expression" dxfId="13109" priority="990">
      <formula>$C38="Rent"</formula>
    </cfRule>
    <cfRule type="expression" dxfId="13108" priority="991">
      <formula>$C38="Petrol"</formula>
    </cfRule>
    <cfRule type="expression" dxfId="13107" priority="992">
      <formula>$C38="Bills"</formula>
    </cfRule>
    <cfRule type="expression" dxfId="13106" priority="993">
      <formula>$C38="Sales"</formula>
    </cfRule>
    <cfRule type="expression" dxfId="13105" priority="994">
      <formula>$C38="Expences"</formula>
    </cfRule>
    <cfRule type="expression" dxfId="13104" priority="995">
      <formula>$C38="Garlic Purchase"</formula>
    </cfRule>
    <cfRule type="expression" dxfId="13103" priority="996">
      <formula>$C38="Ginger Purchase"</formula>
    </cfRule>
  </conditionalFormatting>
  <conditionalFormatting sqref="B38 B41 B44 B47">
    <cfRule type="expression" dxfId="13102" priority="997">
      <formula>$C38="Advance"</formula>
    </cfRule>
  </conditionalFormatting>
  <conditionalFormatting sqref="B38 B41 B44 B47">
    <cfRule type="expression" dxfId="13101" priority="978">
      <formula>$C38="Delivery charge"</formula>
    </cfRule>
    <cfRule type="expression" dxfId="13100" priority="979">
      <formula>$C38="Staff Salary"</formula>
    </cfRule>
    <cfRule type="expression" dxfId="13099" priority="980">
      <formula>$C38="Rent"</formula>
    </cfRule>
    <cfRule type="expression" dxfId="13098" priority="981">
      <formula>$C38="Petrol"</formula>
    </cfRule>
    <cfRule type="expression" dxfId="13097" priority="982">
      <formula>$C38="Bills"</formula>
    </cfRule>
    <cfRule type="expression" dxfId="13096" priority="983">
      <formula>$C38="Sales"</formula>
    </cfRule>
    <cfRule type="expression" dxfId="13095" priority="984">
      <formula>$C38="Expences"</formula>
    </cfRule>
    <cfRule type="expression" dxfId="13094" priority="985">
      <formula>$C38="Garlic Purchase"</formula>
    </cfRule>
    <cfRule type="expression" dxfId="13093" priority="986">
      <formula>$C38="Ginger Purchase"</formula>
    </cfRule>
  </conditionalFormatting>
  <conditionalFormatting sqref="B38 B41 B44 B47">
    <cfRule type="expression" dxfId="13092" priority="987">
      <formula>$C38="Advance"</formula>
    </cfRule>
  </conditionalFormatting>
  <conditionalFormatting sqref="B38 B41 B44 B47">
    <cfRule type="expression" dxfId="13091" priority="968">
      <formula>$C38="Delivery charge"</formula>
    </cfRule>
    <cfRule type="expression" dxfId="13090" priority="969">
      <formula>$C38="Staff Salary"</formula>
    </cfRule>
    <cfRule type="expression" dxfId="13089" priority="970">
      <formula>$C38="Rent"</formula>
    </cfRule>
    <cfRule type="expression" dxfId="13088" priority="971">
      <formula>$C38="Petrol"</formula>
    </cfRule>
    <cfRule type="expression" dxfId="13087" priority="972">
      <formula>$C38="Bills"</formula>
    </cfRule>
    <cfRule type="expression" dxfId="13086" priority="973">
      <formula>$C38="Sales"</formula>
    </cfRule>
    <cfRule type="expression" dxfId="13085" priority="974">
      <formula>$C38="Expences"</formula>
    </cfRule>
    <cfRule type="expression" dxfId="13084" priority="975">
      <formula>$C38="Garlic Purchase"</formula>
    </cfRule>
    <cfRule type="expression" dxfId="13083" priority="976">
      <formula>$C38="Ginger Purchase"</formula>
    </cfRule>
  </conditionalFormatting>
  <conditionalFormatting sqref="B38 B41 B44 B47">
    <cfRule type="expression" dxfId="13082" priority="958">
      <formula>$C38="Delivery charge"</formula>
    </cfRule>
    <cfRule type="expression" dxfId="13081" priority="959">
      <formula>$C38="Staff Salary"</formula>
    </cfRule>
    <cfRule type="expression" dxfId="13080" priority="960">
      <formula>$C38="Rent"</formula>
    </cfRule>
    <cfRule type="expression" dxfId="13079" priority="961">
      <formula>$C38="Petrol"</formula>
    </cfRule>
    <cfRule type="expression" dxfId="13078" priority="962">
      <formula>$C38="Bills"</formula>
    </cfRule>
    <cfRule type="expression" dxfId="13077" priority="963">
      <formula>$C38="Sales"</formula>
    </cfRule>
    <cfRule type="expression" dxfId="13076" priority="964">
      <formula>$C38="Expences"</formula>
    </cfRule>
    <cfRule type="expression" dxfId="13075" priority="965">
      <formula>$C38="Garlic Purchase"</formula>
    </cfRule>
    <cfRule type="expression" dxfId="13074" priority="966">
      <formula>$C38="Ginger Purchase"</formula>
    </cfRule>
  </conditionalFormatting>
  <conditionalFormatting sqref="B38 B41 B44 B47">
    <cfRule type="expression" dxfId="13073" priority="967">
      <formula>$C38="Advance"</formula>
    </cfRule>
  </conditionalFormatting>
  <conditionalFormatting sqref="B38 B41 B44 B47">
    <cfRule type="expression" dxfId="13072" priority="948">
      <formula>$C38="Delivery charge"</formula>
    </cfRule>
    <cfRule type="expression" dxfId="13071" priority="949">
      <formula>$C38="Staff Salary"</formula>
    </cfRule>
    <cfRule type="expression" dxfId="13070" priority="950">
      <formula>$C38="Rent"</formula>
    </cfRule>
    <cfRule type="expression" dxfId="13069" priority="951">
      <formula>$C38="Petrol"</formula>
    </cfRule>
    <cfRule type="expression" dxfId="13068" priority="952">
      <formula>$C38="Bills"</formula>
    </cfRule>
    <cfRule type="expression" dxfId="13067" priority="953">
      <formula>$C38="Sales"</formula>
    </cfRule>
    <cfRule type="expression" dxfId="13066" priority="954">
      <formula>$C38="Expences"</formula>
    </cfRule>
    <cfRule type="expression" dxfId="13065" priority="955">
      <formula>$C38="Garlic Purchase"</formula>
    </cfRule>
    <cfRule type="expression" dxfId="13064" priority="956">
      <formula>$C38="Ginger Purchase"</formula>
    </cfRule>
  </conditionalFormatting>
  <conditionalFormatting sqref="B38 B41 B44 B47">
    <cfRule type="expression" dxfId="13063" priority="957">
      <formula>$C38="Advance"</formula>
    </cfRule>
  </conditionalFormatting>
  <conditionalFormatting sqref="B38 B41 B44 B47">
    <cfRule type="expression" dxfId="13062" priority="938">
      <formula>$C38="Delivery charge"</formula>
    </cfRule>
    <cfRule type="expression" dxfId="13061" priority="939">
      <formula>$C38="Staff Salary"</formula>
    </cfRule>
    <cfRule type="expression" dxfId="13060" priority="940">
      <formula>$C38="Rent"</formula>
    </cfRule>
    <cfRule type="expression" dxfId="13059" priority="941">
      <formula>$C38="Petrol"</formula>
    </cfRule>
    <cfRule type="expression" dxfId="13058" priority="942">
      <formula>$C38="Bills"</formula>
    </cfRule>
    <cfRule type="expression" dxfId="13057" priority="943">
      <formula>$C38="Sales"</formula>
    </cfRule>
    <cfRule type="expression" dxfId="13056" priority="944">
      <formula>$C38="Expences"</formula>
    </cfRule>
    <cfRule type="expression" dxfId="13055" priority="945">
      <formula>$C38="Garlic Purchase"</formula>
    </cfRule>
    <cfRule type="expression" dxfId="13054" priority="946">
      <formula>$C38="Ginger Purchase"</formula>
    </cfRule>
  </conditionalFormatting>
  <conditionalFormatting sqref="B38 B41 B44 B47">
    <cfRule type="expression" dxfId="13053" priority="947">
      <formula>$C38="Advance"</formula>
    </cfRule>
  </conditionalFormatting>
  <conditionalFormatting sqref="B38 B41 B44 B47">
    <cfRule type="expression" dxfId="13052" priority="928">
      <formula>$C38="Delivery charge"</formula>
    </cfRule>
    <cfRule type="expression" dxfId="13051" priority="929">
      <formula>$C38="Staff Salary"</formula>
    </cfRule>
    <cfRule type="expression" dxfId="13050" priority="930">
      <formula>$C38="Rent"</formula>
    </cfRule>
    <cfRule type="expression" dxfId="13049" priority="931">
      <formula>$C38="Petrol"</formula>
    </cfRule>
    <cfRule type="expression" dxfId="13048" priority="932">
      <formula>$C38="Bills"</formula>
    </cfRule>
    <cfRule type="expression" dxfId="13047" priority="933">
      <formula>$C38="Sales"</formula>
    </cfRule>
    <cfRule type="expression" dxfId="13046" priority="934">
      <formula>$C38="Expences"</formula>
    </cfRule>
    <cfRule type="expression" dxfId="13045" priority="935">
      <formula>$C38="Garlic Purchase"</formula>
    </cfRule>
    <cfRule type="expression" dxfId="13044" priority="936">
      <formula>$C38="Ginger Purchase"</formula>
    </cfRule>
  </conditionalFormatting>
  <conditionalFormatting sqref="B38 B41 B44 B47">
    <cfRule type="expression" dxfId="13043" priority="937">
      <formula>$C38="Advance"</formula>
    </cfRule>
  </conditionalFormatting>
  <conditionalFormatting sqref="B38 B41 B44 B47">
    <cfRule type="expression" dxfId="13042" priority="918">
      <formula>$C38="Delivery charge"</formula>
    </cfRule>
    <cfRule type="expression" dxfId="13041" priority="919">
      <formula>$C38="Staff Salary"</formula>
    </cfRule>
    <cfRule type="expression" dxfId="13040" priority="920">
      <formula>$C38="Rent"</formula>
    </cfRule>
    <cfRule type="expression" dxfId="13039" priority="921">
      <formula>$C38="Petrol"</formula>
    </cfRule>
    <cfRule type="expression" dxfId="13038" priority="922">
      <formula>$C38="Bills"</formula>
    </cfRule>
    <cfRule type="expression" dxfId="13037" priority="923">
      <formula>$C38="Sales"</formula>
    </cfRule>
    <cfRule type="expression" dxfId="13036" priority="924">
      <formula>$C38="Expences"</formula>
    </cfRule>
    <cfRule type="expression" dxfId="13035" priority="925">
      <formula>$C38="Garlic Purchase"</formula>
    </cfRule>
    <cfRule type="expression" dxfId="13034" priority="926">
      <formula>$C38="Ginger Purchase"</formula>
    </cfRule>
  </conditionalFormatting>
  <conditionalFormatting sqref="B38 B41 B44 B47">
    <cfRule type="expression" dxfId="13033" priority="927">
      <formula>$C38="Advance"</formula>
    </cfRule>
  </conditionalFormatting>
  <conditionalFormatting sqref="B38 B41 B44 B47">
    <cfRule type="expression" dxfId="13032" priority="908">
      <formula>$C38="Delivery charge"</formula>
    </cfRule>
    <cfRule type="expression" dxfId="13031" priority="909">
      <formula>$C38="Staff Salary"</formula>
    </cfRule>
    <cfRule type="expression" dxfId="13030" priority="910">
      <formula>$C38="Rent"</formula>
    </cfRule>
    <cfRule type="expression" dxfId="13029" priority="911">
      <formula>$C38="Petrol"</formula>
    </cfRule>
    <cfRule type="expression" dxfId="13028" priority="912">
      <formula>$C38="Bills"</formula>
    </cfRule>
    <cfRule type="expression" dxfId="13027" priority="913">
      <formula>$C38="Sales"</formula>
    </cfRule>
    <cfRule type="expression" dxfId="13026" priority="914">
      <formula>$C38="Expences"</formula>
    </cfRule>
    <cfRule type="expression" dxfId="13025" priority="915">
      <formula>$C38="Garlic Purchase"</formula>
    </cfRule>
    <cfRule type="expression" dxfId="13024" priority="916">
      <formula>$C38="Ginger Purchase"</formula>
    </cfRule>
  </conditionalFormatting>
  <conditionalFormatting sqref="B38 B41 B44 B47">
    <cfRule type="expression" dxfId="13023" priority="917">
      <formula>$C38="Advance"</formula>
    </cfRule>
  </conditionalFormatting>
  <conditionalFormatting sqref="B38 B41 B44 B47">
    <cfRule type="expression" dxfId="13022" priority="898">
      <formula>$C38="Delivery charge"</formula>
    </cfRule>
    <cfRule type="expression" dxfId="13021" priority="899">
      <formula>$C38="Staff Salary"</formula>
    </cfRule>
    <cfRule type="expression" dxfId="13020" priority="900">
      <formula>$C38="Rent"</formula>
    </cfRule>
    <cfRule type="expression" dxfId="13019" priority="901">
      <formula>$C38="Petrol"</formula>
    </cfRule>
    <cfRule type="expression" dxfId="13018" priority="902">
      <formula>$C38="Bills"</formula>
    </cfRule>
    <cfRule type="expression" dxfId="13017" priority="903">
      <formula>$C38="Sales"</formula>
    </cfRule>
    <cfRule type="expression" dxfId="13016" priority="904">
      <formula>$C38="Expences"</formula>
    </cfRule>
    <cfRule type="expression" dxfId="13015" priority="905">
      <formula>$C38="Garlic Purchase"</formula>
    </cfRule>
    <cfRule type="expression" dxfId="13014" priority="906">
      <formula>$C38="Ginger Purchase"</formula>
    </cfRule>
  </conditionalFormatting>
  <conditionalFormatting sqref="B38 B41 B44 B47">
    <cfRule type="expression" dxfId="13013" priority="907">
      <formula>$C38="Advance"</formula>
    </cfRule>
  </conditionalFormatting>
  <conditionalFormatting sqref="B38 B41 B44 B47">
    <cfRule type="expression" dxfId="13012" priority="888">
      <formula>$C38="Delivery charge"</formula>
    </cfRule>
    <cfRule type="expression" dxfId="13011" priority="889">
      <formula>$C38="Staff Salary"</formula>
    </cfRule>
    <cfRule type="expression" dxfId="13010" priority="890">
      <formula>$C38="Rent"</formula>
    </cfRule>
    <cfRule type="expression" dxfId="13009" priority="891">
      <formula>$C38="Petrol"</formula>
    </cfRule>
    <cfRule type="expression" dxfId="13008" priority="892">
      <formula>$C38="Bills"</formula>
    </cfRule>
    <cfRule type="expression" dxfId="13007" priority="893">
      <formula>$C38="Sales"</formula>
    </cfRule>
    <cfRule type="expression" dxfId="13006" priority="894">
      <formula>$C38="Expences"</formula>
    </cfRule>
    <cfRule type="expression" dxfId="13005" priority="895">
      <formula>$C38="Garlic Purchase"</formula>
    </cfRule>
    <cfRule type="expression" dxfId="13004" priority="896">
      <formula>$C38="Ginger Purchase"</formula>
    </cfRule>
  </conditionalFormatting>
  <conditionalFormatting sqref="B38 B41 B44 B47">
    <cfRule type="expression" dxfId="13003" priority="897">
      <formula>$C38="Advance"</formula>
    </cfRule>
  </conditionalFormatting>
  <conditionalFormatting sqref="B38 B41 B44 B47">
    <cfRule type="expression" dxfId="13002" priority="878">
      <formula>$C38="Delivery charge"</formula>
    </cfRule>
    <cfRule type="expression" dxfId="13001" priority="879">
      <formula>$C38="Staff Salary"</formula>
    </cfRule>
    <cfRule type="expression" dxfId="13000" priority="880">
      <formula>$C38="Rent"</formula>
    </cfRule>
    <cfRule type="expression" dxfId="12999" priority="881">
      <formula>$C38="Petrol"</formula>
    </cfRule>
    <cfRule type="expression" dxfId="12998" priority="882">
      <formula>$C38="Bills"</formula>
    </cfRule>
    <cfRule type="expression" dxfId="12997" priority="883">
      <formula>$C38="Sales"</formula>
    </cfRule>
    <cfRule type="expression" dxfId="12996" priority="884">
      <formula>$C38="Expences"</formula>
    </cfRule>
    <cfRule type="expression" dxfId="12995" priority="885">
      <formula>$C38="Garlic Purchase"</formula>
    </cfRule>
    <cfRule type="expression" dxfId="12994" priority="886">
      <formula>$C38="Ginger Purchase"</formula>
    </cfRule>
  </conditionalFormatting>
  <conditionalFormatting sqref="B38 B41 B44 B47">
    <cfRule type="expression" dxfId="12993" priority="887">
      <formula>$C38="Advance"</formula>
    </cfRule>
  </conditionalFormatting>
  <conditionalFormatting sqref="B38 B41 B44 B47">
    <cfRule type="expression" dxfId="12992" priority="868">
      <formula>$C38="Delivery charge"</formula>
    </cfRule>
    <cfRule type="expression" dxfId="12991" priority="869">
      <formula>$C38="Staff Salary"</formula>
    </cfRule>
    <cfRule type="expression" dxfId="12990" priority="870">
      <formula>$C38="Rent"</formula>
    </cfRule>
    <cfRule type="expression" dxfId="12989" priority="871">
      <formula>$C38="Petrol"</formula>
    </cfRule>
    <cfRule type="expression" dxfId="12988" priority="872">
      <formula>$C38="Bills"</formula>
    </cfRule>
    <cfRule type="expression" dxfId="12987" priority="873">
      <formula>$C38="Sales"</formula>
    </cfRule>
    <cfRule type="expression" dxfId="12986" priority="874">
      <formula>$C38="Expences"</formula>
    </cfRule>
    <cfRule type="expression" dxfId="12985" priority="875">
      <formula>$C38="Garlic Purchase"</formula>
    </cfRule>
    <cfRule type="expression" dxfId="12984" priority="876">
      <formula>$C38="Ginger Purchase"</formula>
    </cfRule>
  </conditionalFormatting>
  <conditionalFormatting sqref="B38 B41 B44 B47">
    <cfRule type="expression" dxfId="12983" priority="877">
      <formula>$C38="Advance"</formula>
    </cfRule>
  </conditionalFormatting>
  <conditionalFormatting sqref="B38 B41 B44 B47">
    <cfRule type="expression" dxfId="12982" priority="858">
      <formula>$C38="Delivery charge"</formula>
    </cfRule>
    <cfRule type="expression" dxfId="12981" priority="859">
      <formula>$C38="Staff Salary"</formula>
    </cfRule>
    <cfRule type="expression" dxfId="12980" priority="860">
      <formula>$C38="Rent"</formula>
    </cfRule>
    <cfRule type="expression" dxfId="12979" priority="861">
      <formula>$C38="Petrol"</formula>
    </cfRule>
    <cfRule type="expression" dxfId="12978" priority="862">
      <formula>$C38="Bills"</formula>
    </cfRule>
    <cfRule type="expression" dxfId="12977" priority="863">
      <formula>$C38="Sales"</formula>
    </cfRule>
    <cfRule type="expression" dxfId="12976" priority="864">
      <formula>$C38="Expences"</formula>
    </cfRule>
    <cfRule type="expression" dxfId="12975" priority="865">
      <formula>$C38="Garlic Purchase"</formula>
    </cfRule>
    <cfRule type="expression" dxfId="12974" priority="866">
      <formula>$C38="Ginger Purchase"</formula>
    </cfRule>
  </conditionalFormatting>
  <conditionalFormatting sqref="B38 B41 B44 B47">
    <cfRule type="expression" dxfId="12973" priority="867">
      <formula>$C38="Advance"</formula>
    </cfRule>
  </conditionalFormatting>
  <conditionalFormatting sqref="B38 B41 B44 B47">
    <cfRule type="expression" dxfId="12972" priority="848">
      <formula>$C38="Delivery charge"</formula>
    </cfRule>
    <cfRule type="expression" dxfId="12971" priority="849">
      <formula>$C38="Staff Salary"</formula>
    </cfRule>
    <cfRule type="expression" dxfId="12970" priority="850">
      <formula>$C38="Rent"</formula>
    </cfRule>
    <cfRule type="expression" dxfId="12969" priority="851">
      <formula>$C38="Petrol"</formula>
    </cfRule>
    <cfRule type="expression" dxfId="12968" priority="852">
      <formula>$C38="Bills"</formula>
    </cfRule>
    <cfRule type="expression" dxfId="12967" priority="853">
      <formula>$C38="Sales"</formula>
    </cfRule>
    <cfRule type="expression" dxfId="12966" priority="854">
      <formula>$C38="Expences"</formula>
    </cfRule>
    <cfRule type="expression" dxfId="12965" priority="855">
      <formula>$C38="Garlic Purchase"</formula>
    </cfRule>
    <cfRule type="expression" dxfId="12964" priority="856">
      <formula>$C38="Ginger Purchase"</formula>
    </cfRule>
  </conditionalFormatting>
  <conditionalFormatting sqref="B38 B41 B44 B47">
    <cfRule type="expression" dxfId="12963" priority="857">
      <formula>$C38="Advance"</formula>
    </cfRule>
  </conditionalFormatting>
  <conditionalFormatting sqref="B38 B41 B44 B47">
    <cfRule type="expression" dxfId="12962" priority="838">
      <formula>$C38="Delivery charge"</formula>
    </cfRule>
    <cfRule type="expression" dxfId="12961" priority="839">
      <formula>$C38="Staff Salary"</formula>
    </cfRule>
    <cfRule type="expression" dxfId="12960" priority="840">
      <formula>$C38="Rent"</formula>
    </cfRule>
    <cfRule type="expression" dxfId="12959" priority="841">
      <formula>$C38="Petrol"</formula>
    </cfRule>
    <cfRule type="expression" dxfId="12958" priority="842">
      <formula>$C38="Bills"</formula>
    </cfRule>
    <cfRule type="expression" dxfId="12957" priority="843">
      <formula>$C38="Sales"</formula>
    </cfRule>
    <cfRule type="expression" dxfId="12956" priority="844">
      <formula>$C38="Expences"</formula>
    </cfRule>
    <cfRule type="expression" dxfId="12955" priority="845">
      <formula>$C38="Garlic Purchase"</formula>
    </cfRule>
    <cfRule type="expression" dxfId="12954" priority="846">
      <formula>$C38="Ginger Purchase"</formula>
    </cfRule>
  </conditionalFormatting>
  <conditionalFormatting sqref="B38 B41 B44 B47">
    <cfRule type="expression" dxfId="12953" priority="847">
      <formula>$C38="Advance"</formula>
    </cfRule>
  </conditionalFormatting>
  <conditionalFormatting sqref="B38 B41 B44 B47">
    <cfRule type="expression" dxfId="12952" priority="828">
      <formula>$C38="Delivery charge"</formula>
    </cfRule>
    <cfRule type="expression" dxfId="12951" priority="829">
      <formula>$C38="Staff Salary"</formula>
    </cfRule>
    <cfRule type="expression" dxfId="12950" priority="830">
      <formula>$C38="Rent"</formula>
    </cfRule>
    <cfRule type="expression" dxfId="12949" priority="831">
      <formula>$C38="Petrol"</formula>
    </cfRule>
    <cfRule type="expression" dxfId="12948" priority="832">
      <formula>$C38="Bills"</formula>
    </cfRule>
    <cfRule type="expression" dxfId="12947" priority="833">
      <formula>$C38="Sales"</formula>
    </cfRule>
    <cfRule type="expression" dxfId="12946" priority="834">
      <formula>$C38="Expences"</formula>
    </cfRule>
    <cfRule type="expression" dxfId="12945" priority="835">
      <formula>$C38="Garlic Purchase"</formula>
    </cfRule>
    <cfRule type="expression" dxfId="12944" priority="836">
      <formula>$C38="Ginger Purchase"</formula>
    </cfRule>
  </conditionalFormatting>
  <conditionalFormatting sqref="B38 B41 B44 B47">
    <cfRule type="expression" dxfId="12943" priority="837">
      <formula>$C38="Advance"</formula>
    </cfRule>
  </conditionalFormatting>
  <conditionalFormatting sqref="A36:A44">
    <cfRule type="expression" dxfId="12942" priority="827">
      <formula>$C36="Advance"</formula>
    </cfRule>
  </conditionalFormatting>
  <conditionalFormatting sqref="B45 B47:B49 B51 B53 B55 B57 B59 B61 B65 B67 B70 B73:B74 B77 B80 B83 B85">
    <cfRule type="expression" dxfId="12941" priority="826">
      <formula>$C45="Advance"</formula>
    </cfRule>
  </conditionalFormatting>
  <conditionalFormatting sqref="B45 B47:B49 B51 B53 B55 B57 B59 B61 B65 B67 B70 B73:B74 B77 B80 B83 B85">
    <cfRule type="expression" dxfId="12940" priority="817">
      <formula>$C45="Delivery charge"</formula>
    </cfRule>
    <cfRule type="expression" dxfId="12939" priority="818">
      <formula>$C45="Staff Salary"</formula>
    </cfRule>
    <cfRule type="expression" dxfId="12938" priority="819">
      <formula>$C45="Rent"</formula>
    </cfRule>
    <cfRule type="expression" dxfId="12937" priority="820">
      <formula>$C45="Petrol"</formula>
    </cfRule>
    <cfRule type="expression" dxfId="12936" priority="821">
      <formula>$C45="Bills"</formula>
    </cfRule>
    <cfRule type="expression" dxfId="12935" priority="822">
      <formula>$C45="Sales"</formula>
    </cfRule>
    <cfRule type="expression" dxfId="12934" priority="823">
      <formula>$C45="Expences"</formula>
    </cfRule>
    <cfRule type="expression" dxfId="12933" priority="824">
      <formula>$C45="Garlic Purchase"</formula>
    </cfRule>
    <cfRule type="expression" dxfId="12932" priority="825">
      <formula>$C45="Ginger Purchase"</formula>
    </cfRule>
  </conditionalFormatting>
  <conditionalFormatting sqref="B45 B47:B49 B51 B53 B55 B57 B59 B61 B65 B67 B70 B73:B74 B77 B80 B83 B85">
    <cfRule type="expression" dxfId="12931" priority="807">
      <formula>$C45="Delivery charge"</formula>
    </cfRule>
    <cfRule type="expression" dxfId="12930" priority="808">
      <formula>$C45="Staff Salary"</formula>
    </cfRule>
    <cfRule type="expression" dxfId="12929" priority="809">
      <formula>$C45="Rent"</formula>
    </cfRule>
    <cfRule type="expression" dxfId="12928" priority="810">
      <formula>$C45="Petrol"</formula>
    </cfRule>
    <cfRule type="expression" dxfId="12927" priority="811">
      <formula>$C45="Bills"</formula>
    </cfRule>
    <cfRule type="expression" dxfId="12926" priority="812">
      <formula>$C45="Sales"</formula>
    </cfRule>
    <cfRule type="expression" dxfId="12925" priority="813">
      <formula>$C45="Expences"</formula>
    </cfRule>
    <cfRule type="expression" dxfId="12924" priority="814">
      <formula>$C45="Garlic Purchase"</formula>
    </cfRule>
    <cfRule type="expression" dxfId="12923" priority="815">
      <formula>$C45="Ginger Purchase"</formula>
    </cfRule>
  </conditionalFormatting>
  <conditionalFormatting sqref="B45 B47:B49 B51 B53 B55 B57 B59 B61 B65 B67 B70 B73:B74 B77 B80 B83 B85">
    <cfRule type="expression" dxfId="12922" priority="816">
      <formula>$C45="Advance"</formula>
    </cfRule>
  </conditionalFormatting>
  <conditionalFormatting sqref="B45 B47:B49 B51 B53 B55 B57 B59 B61 B65 B67 B70 B73:B74 B77 B80 B83 B85">
    <cfRule type="expression" dxfId="12921" priority="797">
      <formula>$C45="Delivery charge"</formula>
    </cfRule>
    <cfRule type="expression" dxfId="12920" priority="798">
      <formula>$C45="Staff Salary"</formula>
    </cfRule>
    <cfRule type="expression" dxfId="12919" priority="799">
      <formula>$C45="Rent"</formula>
    </cfRule>
    <cfRule type="expression" dxfId="12918" priority="800">
      <formula>$C45="Petrol"</formula>
    </cfRule>
    <cfRule type="expression" dxfId="12917" priority="801">
      <formula>$C45="Bills"</formula>
    </cfRule>
    <cfRule type="expression" dxfId="12916" priority="802">
      <formula>$C45="Sales"</formula>
    </cfRule>
    <cfRule type="expression" dxfId="12915" priority="803">
      <formula>$C45="Expences"</formula>
    </cfRule>
    <cfRule type="expression" dxfId="12914" priority="804">
      <formula>$C45="Garlic Purchase"</formula>
    </cfRule>
    <cfRule type="expression" dxfId="12913" priority="805">
      <formula>$C45="Ginger Purchase"</formula>
    </cfRule>
  </conditionalFormatting>
  <conditionalFormatting sqref="B45 B47:B49 B51 B53 B55 B57 B59 B61 B65 B67 B70 B73:B74 B77 B80 B83 B85">
    <cfRule type="expression" dxfId="12912" priority="806">
      <formula>$C45="Advance"</formula>
    </cfRule>
  </conditionalFormatting>
  <conditionalFormatting sqref="B45 B47:B49 B51 B53 B55 B57 B59 B61 B65 B67 B70 B73:B74 B77 B80 B83 B85">
    <cfRule type="expression" dxfId="12911" priority="787">
      <formula>$C45="Delivery charge"</formula>
    </cfRule>
    <cfRule type="expression" dxfId="12910" priority="788">
      <formula>$C45="Staff Salary"</formula>
    </cfRule>
    <cfRule type="expression" dxfId="12909" priority="789">
      <formula>$C45="Rent"</formula>
    </cfRule>
    <cfRule type="expression" dxfId="12908" priority="790">
      <formula>$C45="Petrol"</formula>
    </cfRule>
    <cfRule type="expression" dxfId="12907" priority="791">
      <formula>$C45="Bills"</formula>
    </cfRule>
    <cfRule type="expression" dxfId="12906" priority="792">
      <formula>$C45="Sales"</formula>
    </cfRule>
    <cfRule type="expression" dxfId="12905" priority="793">
      <formula>$C45="Expences"</formula>
    </cfRule>
    <cfRule type="expression" dxfId="12904" priority="794">
      <formula>$C45="Garlic Purchase"</formula>
    </cfRule>
    <cfRule type="expression" dxfId="12903" priority="795">
      <formula>$C45="Ginger Purchase"</formula>
    </cfRule>
  </conditionalFormatting>
  <conditionalFormatting sqref="B45 B47:B49 B51 B53 B55 B57 B59 B61 B65 B67 B70 B73:B74 B77 B80 B83 B85">
    <cfRule type="expression" dxfId="12902" priority="796">
      <formula>$C45="Advance"</formula>
    </cfRule>
  </conditionalFormatting>
  <conditionalFormatting sqref="B45 B47:B49 B51 B53 B55 B57 B59 B61 B65 B67 B70 B73:B74 B77 B80 B83 B85">
    <cfRule type="expression" dxfId="12901" priority="777">
      <formula>$C45="Delivery charge"</formula>
    </cfRule>
    <cfRule type="expression" dxfId="12900" priority="778">
      <formula>$C45="Staff Salary"</formula>
    </cfRule>
    <cfRule type="expression" dxfId="12899" priority="779">
      <formula>$C45="Rent"</formula>
    </cfRule>
    <cfRule type="expression" dxfId="12898" priority="780">
      <formula>$C45="Petrol"</formula>
    </cfRule>
    <cfRule type="expression" dxfId="12897" priority="781">
      <formula>$C45="Bills"</formula>
    </cfRule>
    <cfRule type="expression" dxfId="12896" priority="782">
      <formula>$C45="Sales"</formula>
    </cfRule>
    <cfRule type="expression" dxfId="12895" priority="783">
      <formula>$C45="Expences"</formula>
    </cfRule>
    <cfRule type="expression" dxfId="12894" priority="784">
      <formula>$C45="Garlic Purchase"</formula>
    </cfRule>
    <cfRule type="expression" dxfId="12893" priority="785">
      <formula>$C45="Ginger Purchase"</formula>
    </cfRule>
  </conditionalFormatting>
  <conditionalFormatting sqref="B45 B47:B49 B51 B53 B55 B57 B59 B61 B65 B67 B70 B73:B74 B77 B80 B83 B85">
    <cfRule type="expression" dxfId="12892" priority="786">
      <formula>$C45="Advance"</formula>
    </cfRule>
  </conditionalFormatting>
  <conditionalFormatting sqref="B45 B47:B49 B51 B53 B55 B57 B59 B61 B65 B67 B70 B73:B74 B77 B80 B83 B85">
    <cfRule type="expression" dxfId="12891" priority="767">
      <formula>$C45="Delivery charge"</formula>
    </cfRule>
    <cfRule type="expression" dxfId="12890" priority="768">
      <formula>$C45="Staff Salary"</formula>
    </cfRule>
    <cfRule type="expression" dxfId="12889" priority="769">
      <formula>$C45="Rent"</formula>
    </cfRule>
    <cfRule type="expression" dxfId="12888" priority="770">
      <formula>$C45="Petrol"</formula>
    </cfRule>
    <cfRule type="expression" dxfId="12887" priority="771">
      <formula>$C45="Bills"</formula>
    </cfRule>
    <cfRule type="expression" dxfId="12886" priority="772">
      <formula>$C45="Sales"</formula>
    </cfRule>
    <cfRule type="expression" dxfId="12885" priority="773">
      <formula>$C45="Expences"</formula>
    </cfRule>
    <cfRule type="expression" dxfId="12884" priority="774">
      <formula>$C45="Garlic Purchase"</formula>
    </cfRule>
    <cfRule type="expression" dxfId="12883" priority="775">
      <formula>$C45="Ginger Purchase"</formula>
    </cfRule>
  </conditionalFormatting>
  <conditionalFormatting sqref="B45 B47:B49 B51 B53 B55 B57 B59 B61 B65 B67 B70 B73:B74 B77 B80 B83 B85">
    <cfRule type="expression" dxfId="12882" priority="776">
      <formula>$C45="Advance"</formula>
    </cfRule>
  </conditionalFormatting>
  <conditionalFormatting sqref="B45 B47:B49 B51 B53 B55 B57 B59 B61 B65 B67 B70 B73:B74 B77 B80 B83 B85">
    <cfRule type="expression" dxfId="12881" priority="757">
      <formula>$C45="Delivery charge"</formula>
    </cfRule>
    <cfRule type="expression" dxfId="12880" priority="758">
      <formula>$C45="Staff Salary"</formula>
    </cfRule>
    <cfRule type="expression" dxfId="12879" priority="759">
      <formula>$C45="Rent"</formula>
    </cfRule>
    <cfRule type="expression" dxfId="12878" priority="760">
      <formula>$C45="Petrol"</formula>
    </cfRule>
    <cfRule type="expression" dxfId="12877" priority="761">
      <formula>$C45="Bills"</formula>
    </cfRule>
    <cfRule type="expression" dxfId="12876" priority="762">
      <formula>$C45="Sales"</formula>
    </cfRule>
    <cfRule type="expression" dxfId="12875" priority="763">
      <formula>$C45="Expences"</formula>
    </cfRule>
    <cfRule type="expression" dxfId="12874" priority="764">
      <formula>$C45="Garlic Purchase"</formula>
    </cfRule>
    <cfRule type="expression" dxfId="12873" priority="765">
      <formula>$C45="Ginger Purchase"</formula>
    </cfRule>
  </conditionalFormatting>
  <conditionalFormatting sqref="B45 B47:B49 B51 B53 B55 B57 B59 B61 B65 B67 B70 B73:B74 B77 B80 B83 B85">
    <cfRule type="expression" dxfId="12872" priority="766">
      <formula>$C45="Advance"</formula>
    </cfRule>
  </conditionalFormatting>
  <conditionalFormatting sqref="B45 B47:B49 B51 B53 B55 B57 B59 B61 B65 B67 B70 B73:B74 B77 B80 B83 B85">
    <cfRule type="expression" dxfId="12871" priority="747">
      <formula>$C45="Delivery charge"</formula>
    </cfRule>
    <cfRule type="expression" dxfId="12870" priority="748">
      <formula>$C45="Staff Salary"</formula>
    </cfRule>
    <cfRule type="expression" dxfId="12869" priority="749">
      <formula>$C45="Rent"</formula>
    </cfRule>
    <cfRule type="expression" dxfId="12868" priority="750">
      <formula>$C45="Petrol"</formula>
    </cfRule>
    <cfRule type="expression" dxfId="12867" priority="751">
      <formula>$C45="Bills"</formula>
    </cfRule>
    <cfRule type="expression" dxfId="12866" priority="752">
      <formula>$C45="Sales"</formula>
    </cfRule>
    <cfRule type="expression" dxfId="12865" priority="753">
      <formula>$C45="Expences"</formula>
    </cfRule>
    <cfRule type="expression" dxfId="12864" priority="754">
      <formula>$C45="Garlic Purchase"</formula>
    </cfRule>
    <cfRule type="expression" dxfId="12863" priority="755">
      <formula>$C45="Ginger Purchase"</formula>
    </cfRule>
  </conditionalFormatting>
  <conditionalFormatting sqref="B45 B47:B49 B51 B53 B55 B57 B59 B61 B65 B67 B70 B73:B74 B77 B80 B83 B85">
    <cfRule type="expression" dxfId="12862" priority="756">
      <formula>$C45="Advance"</formula>
    </cfRule>
  </conditionalFormatting>
  <conditionalFormatting sqref="B45 B47:B49 B51 B53 B55 B57 B59 B61 B65 B67 B70 B73:B74 B77 B80 B83 B85">
    <cfRule type="expression" dxfId="12861" priority="737">
      <formula>$C45="Delivery charge"</formula>
    </cfRule>
    <cfRule type="expression" dxfId="12860" priority="738">
      <formula>$C45="Staff Salary"</formula>
    </cfRule>
    <cfRule type="expression" dxfId="12859" priority="739">
      <formula>$C45="Rent"</formula>
    </cfRule>
    <cfRule type="expression" dxfId="12858" priority="740">
      <formula>$C45="Petrol"</formula>
    </cfRule>
    <cfRule type="expression" dxfId="12857" priority="741">
      <formula>$C45="Bills"</formula>
    </cfRule>
    <cfRule type="expression" dxfId="12856" priority="742">
      <formula>$C45="Sales"</formula>
    </cfRule>
    <cfRule type="expression" dxfId="12855" priority="743">
      <formula>$C45="Expences"</formula>
    </cfRule>
    <cfRule type="expression" dxfId="12854" priority="744">
      <formula>$C45="Garlic Purchase"</formula>
    </cfRule>
    <cfRule type="expression" dxfId="12853" priority="745">
      <formula>$C45="Ginger Purchase"</formula>
    </cfRule>
  </conditionalFormatting>
  <conditionalFormatting sqref="B45 B47:B49 B51 B53 B55 B57 B59 B61 B65 B67 B70 B73:B74 B77 B80 B83 B85">
    <cfRule type="expression" dxfId="12852" priority="746">
      <formula>$C45="Advance"</formula>
    </cfRule>
  </conditionalFormatting>
  <conditionalFormatting sqref="B45 B47:B49 B51 B53 B55 B57 B59 B61 B65 B67 B70 B73:B74 B77 B80 B83 B85">
    <cfRule type="expression" dxfId="12851" priority="727">
      <formula>$C45="Delivery charge"</formula>
    </cfRule>
    <cfRule type="expression" dxfId="12850" priority="728">
      <formula>$C45="Staff Salary"</formula>
    </cfRule>
    <cfRule type="expression" dxfId="12849" priority="729">
      <formula>$C45="Rent"</formula>
    </cfRule>
    <cfRule type="expression" dxfId="12848" priority="730">
      <formula>$C45="Petrol"</formula>
    </cfRule>
    <cfRule type="expression" dxfId="12847" priority="731">
      <formula>$C45="Bills"</formula>
    </cfRule>
    <cfRule type="expression" dxfId="12846" priority="732">
      <formula>$C45="Sales"</formula>
    </cfRule>
    <cfRule type="expression" dxfId="12845" priority="733">
      <formula>$C45="Expences"</formula>
    </cfRule>
    <cfRule type="expression" dxfId="12844" priority="734">
      <formula>$C45="Garlic Purchase"</formula>
    </cfRule>
    <cfRule type="expression" dxfId="12843" priority="735">
      <formula>$C45="Ginger Purchase"</formula>
    </cfRule>
  </conditionalFormatting>
  <conditionalFormatting sqref="B45 B47:B49 B51 B53 B55 B57 B59 B61 B65 B67 B70 B73:B74 B77 B80 B83 B85">
    <cfRule type="expression" dxfId="12842" priority="736">
      <formula>$C45="Advance"</formula>
    </cfRule>
  </conditionalFormatting>
  <conditionalFormatting sqref="B45 B47:B49 B51 B53 B55 B57 B59 B61 B65 B67 B70 B73:B74 B77 B80 B83 B85">
    <cfRule type="expression" dxfId="12841" priority="717">
      <formula>$C45="Delivery charge"</formula>
    </cfRule>
    <cfRule type="expression" dxfId="12840" priority="718">
      <formula>$C45="Staff Salary"</formula>
    </cfRule>
    <cfRule type="expression" dxfId="12839" priority="719">
      <formula>$C45="Rent"</formula>
    </cfRule>
    <cfRule type="expression" dxfId="12838" priority="720">
      <formula>$C45="Petrol"</formula>
    </cfRule>
    <cfRule type="expression" dxfId="12837" priority="721">
      <formula>$C45="Bills"</formula>
    </cfRule>
    <cfRule type="expression" dxfId="12836" priority="722">
      <formula>$C45="Sales"</formula>
    </cfRule>
    <cfRule type="expression" dxfId="12835" priority="723">
      <formula>$C45="Expences"</formula>
    </cfRule>
    <cfRule type="expression" dxfId="12834" priority="724">
      <formula>$C45="Garlic Purchase"</formula>
    </cfRule>
    <cfRule type="expression" dxfId="12833" priority="725">
      <formula>$C45="Ginger Purchase"</formula>
    </cfRule>
  </conditionalFormatting>
  <conditionalFormatting sqref="B45 B47:B49 B51 B53 B55 B57 B59 B61 B65 B67 B70 B73:B74 B77 B80 B83 B85">
    <cfRule type="expression" dxfId="12832" priority="726">
      <formula>$C45="Advance"</formula>
    </cfRule>
  </conditionalFormatting>
  <conditionalFormatting sqref="B45 B47:B49 B51 B53 B55 B57 B59 B61 B65 B67 B70 B73:B74 B77 B80 B83 B85">
    <cfRule type="expression" dxfId="12831" priority="707">
      <formula>$C45="Delivery charge"</formula>
    </cfRule>
    <cfRule type="expression" dxfId="12830" priority="708">
      <formula>$C45="Staff Salary"</formula>
    </cfRule>
    <cfRule type="expression" dxfId="12829" priority="709">
      <formula>$C45="Rent"</formula>
    </cfRule>
    <cfRule type="expression" dxfId="12828" priority="710">
      <formula>$C45="Petrol"</formula>
    </cfRule>
    <cfRule type="expression" dxfId="12827" priority="711">
      <formula>$C45="Bills"</formula>
    </cfRule>
    <cfRule type="expression" dxfId="12826" priority="712">
      <formula>$C45="Sales"</formula>
    </cfRule>
    <cfRule type="expression" dxfId="12825" priority="713">
      <formula>$C45="Expences"</formula>
    </cfRule>
    <cfRule type="expression" dxfId="12824" priority="714">
      <formula>$C45="Garlic Purchase"</formula>
    </cfRule>
    <cfRule type="expression" dxfId="12823" priority="715">
      <formula>$C45="Ginger Purchase"</formula>
    </cfRule>
  </conditionalFormatting>
  <conditionalFormatting sqref="B45 B47:B49 B51 B53 B55 B57 B59 B61 B65 B67 B70 B73:B74 B77 B80 B83 B85">
    <cfRule type="expression" dxfId="12822" priority="716">
      <formula>$C45="Advance"</formula>
    </cfRule>
  </conditionalFormatting>
  <conditionalFormatting sqref="B45 B47:B49 B51 B53 B55 B57 B59 B61 B65 B67 B70 B73:B74 B77 B80 B83 B85">
    <cfRule type="expression" dxfId="12821" priority="697">
      <formula>$C45="Delivery charge"</formula>
    </cfRule>
    <cfRule type="expression" dxfId="12820" priority="698">
      <formula>$C45="Staff Salary"</formula>
    </cfRule>
    <cfRule type="expression" dxfId="12819" priority="699">
      <formula>$C45="Rent"</formula>
    </cfRule>
    <cfRule type="expression" dxfId="12818" priority="700">
      <formula>$C45="Petrol"</formula>
    </cfRule>
    <cfRule type="expression" dxfId="12817" priority="701">
      <formula>$C45="Bills"</formula>
    </cfRule>
    <cfRule type="expression" dxfId="12816" priority="702">
      <formula>$C45="Sales"</formula>
    </cfRule>
    <cfRule type="expression" dxfId="12815" priority="703">
      <formula>$C45="Expences"</formula>
    </cfRule>
    <cfRule type="expression" dxfId="12814" priority="704">
      <formula>$C45="Garlic Purchase"</formula>
    </cfRule>
    <cfRule type="expression" dxfId="12813" priority="705">
      <formula>$C45="Ginger Purchase"</formula>
    </cfRule>
  </conditionalFormatting>
  <conditionalFormatting sqref="B45 B47:B49 B51 B53 B55 B57 B59 B61 B65 B67 B70 B73:B74 B77 B80 B83 B85">
    <cfRule type="expression" dxfId="12812" priority="706">
      <formula>$C45="Advance"</formula>
    </cfRule>
  </conditionalFormatting>
  <conditionalFormatting sqref="B45 B47:B49 B51 B53 B55 B57 B59 B61 B65 B67 B70 B73:B74 B77 B80 B83 B85">
    <cfRule type="expression" dxfId="12811" priority="687">
      <formula>$C45="Delivery charge"</formula>
    </cfRule>
    <cfRule type="expression" dxfId="12810" priority="688">
      <formula>$C45="Staff Salary"</formula>
    </cfRule>
    <cfRule type="expression" dxfId="12809" priority="689">
      <formula>$C45="Rent"</formula>
    </cfRule>
    <cfRule type="expression" dxfId="12808" priority="690">
      <formula>$C45="Petrol"</formula>
    </cfRule>
    <cfRule type="expression" dxfId="12807" priority="691">
      <formula>$C45="Bills"</formula>
    </cfRule>
    <cfRule type="expression" dxfId="12806" priority="692">
      <formula>$C45="Sales"</formula>
    </cfRule>
    <cfRule type="expression" dxfId="12805" priority="693">
      <formula>$C45="Expences"</formula>
    </cfRule>
    <cfRule type="expression" dxfId="12804" priority="694">
      <formula>$C45="Garlic Purchase"</formula>
    </cfRule>
    <cfRule type="expression" dxfId="12803" priority="695">
      <formula>$C45="Ginger Purchase"</formula>
    </cfRule>
  </conditionalFormatting>
  <conditionalFormatting sqref="B45 B47:B49 B51 B53 B55 B57 B59 B61 B65 B67 B70 B73:B74 B77 B80 B83 B85">
    <cfRule type="expression" dxfId="12802" priority="696">
      <formula>$C45="Advance"</formula>
    </cfRule>
  </conditionalFormatting>
  <conditionalFormatting sqref="B45 B47:B49 B51 B53 B55 B57 B59 B61 B65 B67 B70 B73:B74 B77 B80 B83 B85">
    <cfRule type="expression" dxfId="12801" priority="677">
      <formula>$C45="Delivery charge"</formula>
    </cfRule>
    <cfRule type="expression" dxfId="12800" priority="678">
      <formula>$C45="Staff Salary"</formula>
    </cfRule>
    <cfRule type="expression" dxfId="12799" priority="679">
      <formula>$C45="Rent"</formula>
    </cfRule>
    <cfRule type="expression" dxfId="12798" priority="680">
      <formula>$C45="Petrol"</formula>
    </cfRule>
    <cfRule type="expression" dxfId="12797" priority="681">
      <formula>$C45="Bills"</formula>
    </cfRule>
    <cfRule type="expression" dxfId="12796" priority="682">
      <formula>$C45="Sales"</formula>
    </cfRule>
    <cfRule type="expression" dxfId="12795" priority="683">
      <formula>$C45="Expences"</formula>
    </cfRule>
    <cfRule type="expression" dxfId="12794" priority="684">
      <formula>$C45="Garlic Purchase"</formula>
    </cfRule>
    <cfRule type="expression" dxfId="12793" priority="685">
      <formula>$C45="Ginger Purchase"</formula>
    </cfRule>
  </conditionalFormatting>
  <conditionalFormatting sqref="B45 B47:B49 B51 B53 B55 B57 B59 B61 B65 B67 B70 B73:B74 B77 B80 B83 B85">
    <cfRule type="expression" dxfId="12792" priority="686">
      <formula>$C45="Advance"</formula>
    </cfRule>
  </conditionalFormatting>
  <conditionalFormatting sqref="B45 B47:B49 B51 B53 B55 B57 B59 B61 B65 B67 B70 B73:B74 B77 B80 B83 B85">
    <cfRule type="expression" dxfId="12791" priority="667">
      <formula>$C45="Delivery charge"</formula>
    </cfRule>
    <cfRule type="expression" dxfId="12790" priority="668">
      <formula>$C45="Staff Salary"</formula>
    </cfRule>
    <cfRule type="expression" dxfId="12789" priority="669">
      <formula>$C45="Rent"</formula>
    </cfRule>
    <cfRule type="expression" dxfId="12788" priority="670">
      <formula>$C45="Petrol"</formula>
    </cfRule>
    <cfRule type="expression" dxfId="12787" priority="671">
      <formula>$C45="Bills"</formula>
    </cfRule>
    <cfRule type="expression" dxfId="12786" priority="672">
      <formula>$C45="Sales"</formula>
    </cfRule>
    <cfRule type="expression" dxfId="12785" priority="673">
      <formula>$C45="Expences"</formula>
    </cfRule>
    <cfRule type="expression" dxfId="12784" priority="674">
      <formula>$C45="Garlic Purchase"</formula>
    </cfRule>
    <cfRule type="expression" dxfId="12783" priority="675">
      <formula>$C45="Ginger Purchase"</formula>
    </cfRule>
  </conditionalFormatting>
  <conditionalFormatting sqref="B45 B47:B49 B51 B53 B55 B57 B59 B61 B65 B67 B70 B73:B74 B77 B80 B83 B85">
    <cfRule type="expression" dxfId="12782" priority="676">
      <formula>$C45="Advance"</formula>
    </cfRule>
  </conditionalFormatting>
  <conditionalFormatting sqref="B45 B47:B49 B51 B53 B55 B57 B59 B61 B65 B67 B70 B73:B74 B77 B80 B83 B85">
    <cfRule type="expression" dxfId="12781" priority="657">
      <formula>$C45="Delivery charge"</formula>
    </cfRule>
    <cfRule type="expression" dxfId="12780" priority="658">
      <formula>$C45="Staff Salary"</formula>
    </cfRule>
    <cfRule type="expression" dxfId="12779" priority="659">
      <formula>$C45="Rent"</formula>
    </cfRule>
    <cfRule type="expression" dxfId="12778" priority="660">
      <formula>$C45="Petrol"</formula>
    </cfRule>
    <cfRule type="expression" dxfId="12777" priority="661">
      <formula>$C45="Bills"</formula>
    </cfRule>
    <cfRule type="expression" dxfId="12776" priority="662">
      <formula>$C45="Sales"</formula>
    </cfRule>
    <cfRule type="expression" dxfId="12775" priority="663">
      <formula>$C45="Expences"</formula>
    </cfRule>
    <cfRule type="expression" dxfId="12774" priority="664">
      <formula>$C45="Garlic Purchase"</formula>
    </cfRule>
    <cfRule type="expression" dxfId="12773" priority="665">
      <formula>$C45="Ginger Purchase"</formula>
    </cfRule>
  </conditionalFormatting>
  <conditionalFormatting sqref="B45 B47:B49 B51 B53 B55 B57 B59 B61 B65 B67 B70 B73:B74 B77 B80 B83 B85">
    <cfRule type="expression" dxfId="12772" priority="666">
      <formula>$C45="Advance"</formula>
    </cfRule>
  </conditionalFormatting>
  <conditionalFormatting sqref="B45 B47:B49 B51 B53 B55 B57 B59 B61 B65 B67 B70 B73:B74 B77 B80 B83 B85">
    <cfRule type="expression" dxfId="12771" priority="647">
      <formula>$C45="Delivery charge"</formula>
    </cfRule>
    <cfRule type="expression" dxfId="12770" priority="648">
      <formula>$C45="Staff Salary"</formula>
    </cfRule>
    <cfRule type="expression" dxfId="12769" priority="649">
      <formula>$C45="Rent"</formula>
    </cfRule>
    <cfRule type="expression" dxfId="12768" priority="650">
      <formula>$C45="Petrol"</formula>
    </cfRule>
    <cfRule type="expression" dxfId="12767" priority="651">
      <formula>$C45="Bills"</formula>
    </cfRule>
    <cfRule type="expression" dxfId="12766" priority="652">
      <formula>$C45="Sales"</formula>
    </cfRule>
    <cfRule type="expression" dxfId="12765" priority="653">
      <formula>$C45="Expences"</formula>
    </cfRule>
    <cfRule type="expression" dxfId="12764" priority="654">
      <formula>$C45="Garlic Purchase"</formula>
    </cfRule>
    <cfRule type="expression" dxfId="12763" priority="655">
      <formula>$C45="Ginger Purchase"</formula>
    </cfRule>
  </conditionalFormatting>
  <conditionalFormatting sqref="B45 B47:B49 B51 B53 B55 B57 B59 B61 B65 B67 B70 B73:B74 B77 B80 B83 B85">
    <cfRule type="expression" dxfId="12762" priority="656">
      <formula>$C45="Advance"</formula>
    </cfRule>
  </conditionalFormatting>
  <conditionalFormatting sqref="B45 B47:B49 B51 B53 B55 B57 B59 B61 B65 B67 B70 B73:B74 B77 B80 B83 B85">
    <cfRule type="expression" dxfId="12761" priority="637">
      <formula>$C45="Delivery charge"</formula>
    </cfRule>
    <cfRule type="expression" dxfId="12760" priority="638">
      <formula>$C45="Staff Salary"</formula>
    </cfRule>
    <cfRule type="expression" dxfId="12759" priority="639">
      <formula>$C45="Rent"</formula>
    </cfRule>
    <cfRule type="expression" dxfId="12758" priority="640">
      <formula>$C45="Petrol"</formula>
    </cfRule>
    <cfRule type="expression" dxfId="12757" priority="641">
      <formula>$C45="Bills"</formula>
    </cfRule>
    <cfRule type="expression" dxfId="12756" priority="642">
      <formula>$C45="Sales"</formula>
    </cfRule>
    <cfRule type="expression" dxfId="12755" priority="643">
      <formula>$C45="Expences"</formula>
    </cfRule>
    <cfRule type="expression" dxfId="12754" priority="644">
      <formula>$C45="Garlic Purchase"</formula>
    </cfRule>
    <cfRule type="expression" dxfId="12753" priority="645">
      <formula>$C45="Ginger Purchase"</formula>
    </cfRule>
  </conditionalFormatting>
  <conditionalFormatting sqref="B45 B47:B49 B51 B53 B55 B57 B59 B61 B65 B67 B70 B73:B74 B77 B80 B83 B85">
    <cfRule type="expression" dxfId="12752" priority="646">
      <formula>$C45="Advance"</formula>
    </cfRule>
  </conditionalFormatting>
  <conditionalFormatting sqref="B45 B47:B49 B51 B53 B55 B57 B59 B61 B65 B67 B70 B73:B74 B77 B80 B83 B85">
    <cfRule type="expression" dxfId="12751" priority="627">
      <formula>$C45="Delivery charge"</formula>
    </cfRule>
    <cfRule type="expression" dxfId="12750" priority="628">
      <formula>$C45="Staff Salary"</formula>
    </cfRule>
    <cfRule type="expression" dxfId="12749" priority="629">
      <formula>$C45="Rent"</formula>
    </cfRule>
    <cfRule type="expression" dxfId="12748" priority="630">
      <formula>$C45="Petrol"</formula>
    </cfRule>
    <cfRule type="expression" dxfId="12747" priority="631">
      <formula>$C45="Bills"</formula>
    </cfRule>
    <cfRule type="expression" dxfId="12746" priority="632">
      <formula>$C45="Sales"</formula>
    </cfRule>
    <cfRule type="expression" dxfId="12745" priority="633">
      <formula>$C45="Expences"</formula>
    </cfRule>
    <cfRule type="expression" dxfId="12744" priority="634">
      <formula>$C45="Garlic Purchase"</formula>
    </cfRule>
    <cfRule type="expression" dxfId="12743" priority="635">
      <formula>$C45="Ginger Purchase"</formula>
    </cfRule>
  </conditionalFormatting>
  <conditionalFormatting sqref="B45 B47:B49 B51 B53 B55 B57 B59 B61 B65 B67 B70 B73:B74 B77 B80 B83 B85">
    <cfRule type="expression" dxfId="12742" priority="636">
      <formula>$C45="Advance"</formula>
    </cfRule>
  </conditionalFormatting>
  <conditionalFormatting sqref="B45 B47:B49 B51 B53 B55 B57 B59 B61 B65 B67 B70 B73:B74 B77 B80 B83 B85">
    <cfRule type="expression" dxfId="12741" priority="626">
      <formula>$C45="Advance"</formula>
    </cfRule>
  </conditionalFormatting>
  <conditionalFormatting sqref="B45 B47:B49 B51 B53 B55 B57 B59 B61 B65 B67 B70 B73:B74 B77 B80 B83 B85">
    <cfRule type="expression" dxfId="12740" priority="617">
      <formula>$C45="Delivery charge"</formula>
    </cfRule>
    <cfRule type="expression" dxfId="12739" priority="618">
      <formula>$C45="Staff Salary"</formula>
    </cfRule>
    <cfRule type="expression" dxfId="12738" priority="619">
      <formula>$C45="Rent"</formula>
    </cfRule>
    <cfRule type="expression" dxfId="12737" priority="620">
      <formula>$C45="Petrol"</formula>
    </cfRule>
    <cfRule type="expression" dxfId="12736" priority="621">
      <formula>$C45="Bills"</formula>
    </cfRule>
    <cfRule type="expression" dxfId="12735" priority="622">
      <formula>$C45="Sales"</formula>
    </cfRule>
    <cfRule type="expression" dxfId="12734" priority="623">
      <formula>$C45="Expences"</formula>
    </cfRule>
    <cfRule type="expression" dxfId="12733" priority="624">
      <formula>$C45="Garlic Purchase"</formula>
    </cfRule>
    <cfRule type="expression" dxfId="12732" priority="625">
      <formula>$C45="Ginger Purchase"</formula>
    </cfRule>
  </conditionalFormatting>
  <conditionalFormatting sqref="B45 B47:B49 B51 B53 B55 B57 B59 B61 B65 B67 B70 B73:B74 B77 B80 B83 B85">
    <cfRule type="expression" dxfId="12731" priority="607">
      <formula>$C45="Delivery charge"</formula>
    </cfRule>
    <cfRule type="expression" dxfId="12730" priority="608">
      <formula>$C45="Staff Salary"</formula>
    </cfRule>
    <cfRule type="expression" dxfId="12729" priority="609">
      <formula>$C45="Rent"</formula>
    </cfRule>
    <cfRule type="expression" dxfId="12728" priority="610">
      <formula>$C45="Petrol"</formula>
    </cfRule>
    <cfRule type="expression" dxfId="12727" priority="611">
      <formula>$C45="Bills"</formula>
    </cfRule>
    <cfRule type="expression" dxfId="12726" priority="612">
      <formula>$C45="Sales"</formula>
    </cfRule>
    <cfRule type="expression" dxfId="12725" priority="613">
      <formula>$C45="Expences"</formula>
    </cfRule>
    <cfRule type="expression" dxfId="12724" priority="614">
      <formula>$C45="Garlic Purchase"</formula>
    </cfRule>
    <cfRule type="expression" dxfId="12723" priority="615">
      <formula>$C45="Ginger Purchase"</formula>
    </cfRule>
  </conditionalFormatting>
  <conditionalFormatting sqref="B45 B47:B49 B51 B53 B55 B57 B59 B61 B65 B67 B70 B73:B74 B77 B80 B83 B85">
    <cfRule type="expression" dxfId="12722" priority="616">
      <formula>$C45="Advance"</formula>
    </cfRule>
  </conditionalFormatting>
  <conditionalFormatting sqref="B45 B47:B49 B51 B53 B55 B57 B59 B61 B65 B67 B70 B73:B74 B77 B80 B83 B85">
    <cfRule type="expression" dxfId="12721" priority="597">
      <formula>$C45="Delivery charge"</formula>
    </cfRule>
    <cfRule type="expression" dxfId="12720" priority="598">
      <formula>$C45="Staff Salary"</formula>
    </cfRule>
    <cfRule type="expression" dxfId="12719" priority="599">
      <formula>$C45="Rent"</formula>
    </cfRule>
    <cfRule type="expression" dxfId="12718" priority="600">
      <formula>$C45="Petrol"</formula>
    </cfRule>
    <cfRule type="expression" dxfId="12717" priority="601">
      <formula>$C45="Bills"</formula>
    </cfRule>
    <cfRule type="expression" dxfId="12716" priority="602">
      <formula>$C45="Sales"</formula>
    </cfRule>
    <cfRule type="expression" dxfId="12715" priority="603">
      <formula>$C45="Expences"</formula>
    </cfRule>
    <cfRule type="expression" dxfId="12714" priority="604">
      <formula>$C45="Garlic Purchase"</formula>
    </cfRule>
    <cfRule type="expression" dxfId="12713" priority="605">
      <formula>$C45="Ginger Purchase"</formula>
    </cfRule>
  </conditionalFormatting>
  <conditionalFormatting sqref="B45 B47:B49 B51 B53 B55 B57 B59 B61 B65 B67 B70 B73:B74 B77 B80 B83 B85">
    <cfRule type="expression" dxfId="12712" priority="606">
      <formula>$C45="Advance"</formula>
    </cfRule>
  </conditionalFormatting>
  <conditionalFormatting sqref="B45 B47:B49 B51 B53 B55 B57 B59 B61 B65 B67 B70 B73:B74 B77 B80 B83 B85">
    <cfRule type="expression" dxfId="12711" priority="587">
      <formula>$C45="Delivery charge"</formula>
    </cfRule>
    <cfRule type="expression" dxfId="12710" priority="588">
      <formula>$C45="Staff Salary"</formula>
    </cfRule>
    <cfRule type="expression" dxfId="12709" priority="589">
      <formula>$C45="Rent"</formula>
    </cfRule>
    <cfRule type="expression" dxfId="12708" priority="590">
      <formula>$C45="Petrol"</formula>
    </cfRule>
    <cfRule type="expression" dxfId="12707" priority="591">
      <formula>$C45="Bills"</formula>
    </cfRule>
    <cfRule type="expression" dxfId="12706" priority="592">
      <formula>$C45="Sales"</formula>
    </cfRule>
    <cfRule type="expression" dxfId="12705" priority="593">
      <formula>$C45="Expences"</formula>
    </cfRule>
    <cfRule type="expression" dxfId="12704" priority="594">
      <formula>$C45="Garlic Purchase"</formula>
    </cfRule>
    <cfRule type="expression" dxfId="12703" priority="595">
      <formula>$C45="Ginger Purchase"</formula>
    </cfRule>
  </conditionalFormatting>
  <conditionalFormatting sqref="B45 B47:B49 B51 B53 B55 B57 B59 B61 B65 B67 B70 B73:B74 B77 B80 B83 B85">
    <cfRule type="expression" dxfId="12702" priority="596">
      <formula>$C45="Advance"</formula>
    </cfRule>
  </conditionalFormatting>
  <conditionalFormatting sqref="B45 B47:B49 B51 B53 B55 B57 B59 B61 B65 B67 B70 B73:B74 B77 B80 B83 B85">
    <cfRule type="expression" dxfId="12701" priority="577">
      <formula>$C45="Delivery charge"</formula>
    </cfRule>
    <cfRule type="expression" dxfId="12700" priority="578">
      <formula>$C45="Staff Salary"</formula>
    </cfRule>
    <cfRule type="expression" dxfId="12699" priority="579">
      <formula>$C45="Rent"</formula>
    </cfRule>
    <cfRule type="expression" dxfId="12698" priority="580">
      <formula>$C45="Petrol"</formula>
    </cfRule>
    <cfRule type="expression" dxfId="12697" priority="581">
      <formula>$C45="Bills"</formula>
    </cfRule>
    <cfRule type="expression" dxfId="12696" priority="582">
      <formula>$C45="Sales"</formula>
    </cfRule>
    <cfRule type="expression" dxfId="12695" priority="583">
      <formula>$C45="Expences"</formula>
    </cfRule>
    <cfRule type="expression" dxfId="12694" priority="584">
      <formula>$C45="Garlic Purchase"</formula>
    </cfRule>
    <cfRule type="expression" dxfId="12693" priority="585">
      <formula>$C45="Ginger Purchase"</formula>
    </cfRule>
  </conditionalFormatting>
  <conditionalFormatting sqref="B45 B47:B49 B51 B53 B55 B57 B59 B61 B65 B67 B70 B73:B74 B77 B80 B83 B85">
    <cfRule type="expression" dxfId="12692" priority="586">
      <formula>$C45="Advance"</formula>
    </cfRule>
  </conditionalFormatting>
  <conditionalFormatting sqref="B45 B47:B49 B51 B53 B55 B57 B59 B61 B65 B67 B70 B73:B74 B77 B80 B83 B85">
    <cfRule type="expression" dxfId="12691" priority="567">
      <formula>$C45="Delivery charge"</formula>
    </cfRule>
    <cfRule type="expression" dxfId="12690" priority="568">
      <formula>$C45="Staff Salary"</formula>
    </cfRule>
    <cfRule type="expression" dxfId="12689" priority="569">
      <formula>$C45="Rent"</formula>
    </cfRule>
    <cfRule type="expression" dxfId="12688" priority="570">
      <formula>$C45="Petrol"</formula>
    </cfRule>
    <cfRule type="expression" dxfId="12687" priority="571">
      <formula>$C45="Bills"</formula>
    </cfRule>
    <cfRule type="expression" dxfId="12686" priority="572">
      <formula>$C45="Sales"</formula>
    </cfRule>
    <cfRule type="expression" dxfId="12685" priority="573">
      <formula>$C45="Expences"</formula>
    </cfRule>
    <cfRule type="expression" dxfId="12684" priority="574">
      <formula>$C45="Garlic Purchase"</formula>
    </cfRule>
    <cfRule type="expression" dxfId="12683" priority="575">
      <formula>$C45="Ginger Purchase"</formula>
    </cfRule>
  </conditionalFormatting>
  <conditionalFormatting sqref="B45 B47:B49 B51 B53 B55 B57 B59 B61 B65 B67 B70 B73:B74 B77 B80 B83 B85">
    <cfRule type="expression" dxfId="12682" priority="576">
      <formula>$C45="Advance"</formula>
    </cfRule>
  </conditionalFormatting>
  <conditionalFormatting sqref="B45 B47:B49 B51 B53 B55 B57 B59 B61 B65 B67 B70 B73:B74 B77 B80 B83 B85">
    <cfRule type="expression" dxfId="12681" priority="557">
      <formula>$C45="Delivery charge"</formula>
    </cfRule>
    <cfRule type="expression" dxfId="12680" priority="558">
      <formula>$C45="Staff Salary"</formula>
    </cfRule>
    <cfRule type="expression" dxfId="12679" priority="559">
      <formula>$C45="Rent"</formula>
    </cfRule>
    <cfRule type="expression" dxfId="12678" priority="560">
      <formula>$C45="Petrol"</formula>
    </cfRule>
    <cfRule type="expression" dxfId="12677" priority="561">
      <formula>$C45="Bills"</formula>
    </cfRule>
    <cfRule type="expression" dxfId="12676" priority="562">
      <formula>$C45="Sales"</formula>
    </cfRule>
    <cfRule type="expression" dxfId="12675" priority="563">
      <formula>$C45="Expences"</formula>
    </cfRule>
    <cfRule type="expression" dxfId="12674" priority="564">
      <formula>$C45="Garlic Purchase"</formula>
    </cfRule>
    <cfRule type="expression" dxfId="12673" priority="565">
      <formula>$C45="Ginger Purchase"</formula>
    </cfRule>
  </conditionalFormatting>
  <conditionalFormatting sqref="B45 B47:B49 B51 B53 B55 B57 B59 B61 B65 B67 B70 B73:B74 B77 B80 B83 B85">
    <cfRule type="expression" dxfId="12672" priority="566">
      <formula>$C45="Advance"</formula>
    </cfRule>
  </conditionalFormatting>
  <conditionalFormatting sqref="B45 B47:B49 B51 B53 B55 B57 B59 B61 B65 B67 B70 B73:B74 B77 B80 B83 B85">
    <cfRule type="expression" dxfId="12671" priority="547">
      <formula>$C45="Delivery charge"</formula>
    </cfRule>
    <cfRule type="expression" dxfId="12670" priority="548">
      <formula>$C45="Staff Salary"</formula>
    </cfRule>
    <cfRule type="expression" dxfId="12669" priority="549">
      <formula>$C45="Rent"</formula>
    </cfRule>
    <cfRule type="expression" dxfId="12668" priority="550">
      <formula>$C45="Petrol"</formula>
    </cfRule>
    <cfRule type="expression" dxfId="12667" priority="551">
      <formula>$C45="Bills"</formula>
    </cfRule>
    <cfRule type="expression" dxfId="12666" priority="552">
      <formula>$C45="Sales"</formula>
    </cfRule>
    <cfRule type="expression" dxfId="12665" priority="553">
      <formula>$C45="Expences"</formula>
    </cfRule>
    <cfRule type="expression" dxfId="12664" priority="554">
      <formula>$C45="Garlic Purchase"</formula>
    </cfRule>
    <cfRule type="expression" dxfId="12663" priority="555">
      <formula>$C45="Ginger Purchase"</formula>
    </cfRule>
  </conditionalFormatting>
  <conditionalFormatting sqref="B45 B47:B49 B51 B53 B55 B57 B59 B61 B65 B67 B70 B73:B74 B77 B80 B83 B85">
    <cfRule type="expression" dxfId="12662" priority="556">
      <formula>$C45="Advance"</formula>
    </cfRule>
  </conditionalFormatting>
  <conditionalFormatting sqref="B45 B47:B49 B51 B53 B55 B57 B59 B61 B65 B67 B70 B73:B74 B77 B80 B83 B85">
    <cfRule type="expression" dxfId="12661" priority="537">
      <formula>$C45="Delivery charge"</formula>
    </cfRule>
    <cfRule type="expression" dxfId="12660" priority="538">
      <formula>$C45="Staff Salary"</formula>
    </cfRule>
    <cfRule type="expression" dxfId="12659" priority="539">
      <formula>$C45="Rent"</formula>
    </cfRule>
    <cfRule type="expression" dxfId="12658" priority="540">
      <formula>$C45="Petrol"</formula>
    </cfRule>
    <cfRule type="expression" dxfId="12657" priority="541">
      <formula>$C45="Bills"</formula>
    </cfRule>
    <cfRule type="expression" dxfId="12656" priority="542">
      <formula>$C45="Sales"</formula>
    </cfRule>
    <cfRule type="expression" dxfId="12655" priority="543">
      <formula>$C45="Expences"</formula>
    </cfRule>
    <cfRule type="expression" dxfId="12654" priority="544">
      <formula>$C45="Garlic Purchase"</formula>
    </cfRule>
    <cfRule type="expression" dxfId="12653" priority="545">
      <formula>$C45="Ginger Purchase"</formula>
    </cfRule>
  </conditionalFormatting>
  <conditionalFormatting sqref="B45 B47:B49 B51 B53 B55 B57 B59 B61 B65 B67 B70 B73:B74 B77 B80 B83 B85">
    <cfRule type="expression" dxfId="12652" priority="546">
      <formula>$C45="Advance"</formula>
    </cfRule>
  </conditionalFormatting>
  <conditionalFormatting sqref="B45 B47:B49 B51 B53 B55 B57 B59 B61 B65 B67 B70 B73:B74 B77 B80 B83 B85">
    <cfRule type="expression" dxfId="12651" priority="527">
      <formula>$C45="Delivery charge"</formula>
    </cfRule>
    <cfRule type="expression" dxfId="12650" priority="528">
      <formula>$C45="Staff Salary"</formula>
    </cfRule>
    <cfRule type="expression" dxfId="12649" priority="529">
      <formula>$C45="Rent"</formula>
    </cfRule>
    <cfRule type="expression" dxfId="12648" priority="530">
      <formula>$C45="Petrol"</formula>
    </cfRule>
    <cfRule type="expression" dxfId="12647" priority="531">
      <formula>$C45="Bills"</formula>
    </cfRule>
    <cfRule type="expression" dxfId="12646" priority="532">
      <formula>$C45="Sales"</formula>
    </cfRule>
    <cfRule type="expression" dxfId="12645" priority="533">
      <formula>$C45="Expences"</formula>
    </cfRule>
    <cfRule type="expression" dxfId="12644" priority="534">
      <formula>$C45="Garlic Purchase"</formula>
    </cfRule>
    <cfRule type="expression" dxfId="12643" priority="535">
      <formula>$C45="Ginger Purchase"</formula>
    </cfRule>
  </conditionalFormatting>
  <conditionalFormatting sqref="B45 B47:B49 B51 B53 B55 B57 B59 B61 B65 B67 B70 B73:B74 B77 B80 B83 B85">
    <cfRule type="expression" dxfId="12642" priority="536">
      <formula>$C45="Advance"</formula>
    </cfRule>
  </conditionalFormatting>
  <conditionalFormatting sqref="B45 B47:B49 B51 B53 B55 B57 B59 B61 B65 B67 B70 B73:B74 B77 B80 B83 B85">
    <cfRule type="expression" dxfId="12641" priority="517">
      <formula>$C45="Delivery charge"</formula>
    </cfRule>
    <cfRule type="expression" dxfId="12640" priority="518">
      <formula>$C45="Staff Salary"</formula>
    </cfRule>
    <cfRule type="expression" dxfId="12639" priority="519">
      <formula>$C45="Rent"</formula>
    </cfRule>
    <cfRule type="expression" dxfId="12638" priority="520">
      <formula>$C45="Petrol"</formula>
    </cfRule>
    <cfRule type="expression" dxfId="12637" priority="521">
      <formula>$C45="Bills"</formula>
    </cfRule>
    <cfRule type="expression" dxfId="12636" priority="522">
      <formula>$C45="Sales"</formula>
    </cfRule>
    <cfRule type="expression" dxfId="12635" priority="523">
      <formula>$C45="Expences"</formula>
    </cfRule>
    <cfRule type="expression" dxfId="12634" priority="524">
      <formula>$C45="Garlic Purchase"</formula>
    </cfRule>
    <cfRule type="expression" dxfId="12633" priority="525">
      <formula>$C45="Ginger Purchase"</formula>
    </cfRule>
  </conditionalFormatting>
  <conditionalFormatting sqref="B45 B47:B49 B51 B53 B55 B57 B59 B61 B65 B67 B70 B73:B74 B77 B80 B83 B85">
    <cfRule type="expression" dxfId="12632" priority="526">
      <formula>$C45="Advance"</formula>
    </cfRule>
  </conditionalFormatting>
  <conditionalFormatting sqref="B45 B47:B49 B51 B53 B55 B57 B59 B61 B65 B67 B70 B73:B74 B77 B80 B83 B85">
    <cfRule type="expression" dxfId="12631" priority="507">
      <formula>$C45="Delivery charge"</formula>
    </cfRule>
    <cfRule type="expression" dxfId="12630" priority="508">
      <formula>$C45="Staff Salary"</formula>
    </cfRule>
    <cfRule type="expression" dxfId="12629" priority="509">
      <formula>$C45="Rent"</formula>
    </cfRule>
    <cfRule type="expression" dxfId="12628" priority="510">
      <formula>$C45="Petrol"</formula>
    </cfRule>
    <cfRule type="expression" dxfId="12627" priority="511">
      <formula>$C45="Bills"</formula>
    </cfRule>
    <cfRule type="expression" dxfId="12626" priority="512">
      <formula>$C45="Sales"</formula>
    </cfRule>
    <cfRule type="expression" dxfId="12625" priority="513">
      <formula>$C45="Expences"</formula>
    </cfRule>
    <cfRule type="expression" dxfId="12624" priority="514">
      <formula>$C45="Garlic Purchase"</formula>
    </cfRule>
    <cfRule type="expression" dxfId="12623" priority="515">
      <formula>$C45="Ginger Purchase"</formula>
    </cfRule>
  </conditionalFormatting>
  <conditionalFormatting sqref="B45 B47:B49 B51 B53 B55 B57 B59 B61 B65 B67 B70 B73:B74 B77 B80 B83 B85">
    <cfRule type="expression" dxfId="12622" priority="516">
      <formula>$C45="Advance"</formula>
    </cfRule>
  </conditionalFormatting>
  <conditionalFormatting sqref="B45 B47:B49 B51 B53 B55 B57 B59 B61 B65 B67 B70 B73:B74 B77 B80 B83 B85">
    <cfRule type="expression" dxfId="12621" priority="497">
      <formula>$C45="Delivery charge"</formula>
    </cfRule>
    <cfRule type="expression" dxfId="12620" priority="498">
      <formula>$C45="Staff Salary"</formula>
    </cfRule>
    <cfRule type="expression" dxfId="12619" priority="499">
      <formula>$C45="Rent"</formula>
    </cfRule>
    <cfRule type="expression" dxfId="12618" priority="500">
      <formula>$C45="Petrol"</formula>
    </cfRule>
    <cfRule type="expression" dxfId="12617" priority="501">
      <formula>$C45="Bills"</formula>
    </cfRule>
    <cfRule type="expression" dxfId="12616" priority="502">
      <formula>$C45="Sales"</formula>
    </cfRule>
    <cfRule type="expression" dxfId="12615" priority="503">
      <formula>$C45="Expences"</formula>
    </cfRule>
    <cfRule type="expression" dxfId="12614" priority="504">
      <formula>$C45="Garlic Purchase"</formula>
    </cfRule>
    <cfRule type="expression" dxfId="12613" priority="505">
      <formula>$C45="Ginger Purchase"</formula>
    </cfRule>
  </conditionalFormatting>
  <conditionalFormatting sqref="B45 B47:B49 B51 B53 B55 B57 B59 B61 B65 B67 B70 B73:B74 B77 B80 B83 B85">
    <cfRule type="expression" dxfId="12612" priority="506">
      <formula>$C45="Advance"</formula>
    </cfRule>
  </conditionalFormatting>
  <conditionalFormatting sqref="B45 B47:B49 B51 B53 B55 B57 B59 B61 B65 B67 B70 B73:B74 B77 B80 B83 B85">
    <cfRule type="expression" dxfId="12611" priority="487">
      <formula>$C45="Delivery charge"</formula>
    </cfRule>
    <cfRule type="expression" dxfId="12610" priority="488">
      <formula>$C45="Staff Salary"</formula>
    </cfRule>
    <cfRule type="expression" dxfId="12609" priority="489">
      <formula>$C45="Rent"</formula>
    </cfRule>
    <cfRule type="expression" dxfId="12608" priority="490">
      <formula>$C45="Petrol"</formula>
    </cfRule>
    <cfRule type="expression" dxfId="12607" priority="491">
      <formula>$C45="Bills"</formula>
    </cfRule>
    <cfRule type="expression" dxfId="12606" priority="492">
      <formula>$C45="Sales"</formula>
    </cfRule>
    <cfRule type="expression" dxfId="12605" priority="493">
      <formula>$C45="Expences"</formula>
    </cfRule>
    <cfRule type="expression" dxfId="12604" priority="494">
      <formula>$C45="Garlic Purchase"</formula>
    </cfRule>
    <cfRule type="expression" dxfId="12603" priority="495">
      <formula>$C45="Ginger Purchase"</formula>
    </cfRule>
  </conditionalFormatting>
  <conditionalFormatting sqref="B45 B47:B49 B51 B53 B55 B57 B59 B61 B65 B67 B70 B73:B74 B77 B80 B83 B85">
    <cfRule type="expression" dxfId="12602" priority="496">
      <formula>$C45="Advance"</formula>
    </cfRule>
  </conditionalFormatting>
  <conditionalFormatting sqref="B45 B47:B49 B51 B53 B55 B57 B59 B61 B65 B67 B70 B73:B74 B77 B80 B83 B85">
    <cfRule type="expression" dxfId="12601" priority="477">
      <formula>$C45="Delivery charge"</formula>
    </cfRule>
    <cfRule type="expression" dxfId="12600" priority="478">
      <formula>$C45="Staff Salary"</formula>
    </cfRule>
    <cfRule type="expression" dxfId="12599" priority="479">
      <formula>$C45="Rent"</formula>
    </cfRule>
    <cfRule type="expression" dxfId="12598" priority="480">
      <formula>$C45="Petrol"</formula>
    </cfRule>
    <cfRule type="expression" dxfId="12597" priority="481">
      <formula>$C45="Bills"</formula>
    </cfRule>
    <cfRule type="expression" dxfId="12596" priority="482">
      <formula>$C45="Sales"</formula>
    </cfRule>
    <cfRule type="expression" dxfId="12595" priority="483">
      <formula>$C45="Expences"</formula>
    </cfRule>
    <cfRule type="expression" dxfId="12594" priority="484">
      <formula>$C45="Garlic Purchase"</formula>
    </cfRule>
    <cfRule type="expression" dxfId="12593" priority="485">
      <formula>$C45="Ginger Purchase"</formula>
    </cfRule>
  </conditionalFormatting>
  <conditionalFormatting sqref="B45 B47:B49 B51 B53 B55 B57 B59 B61 B65 B67 B70 B73:B74 B77 B80 B83 B85">
    <cfRule type="expression" dxfId="12592" priority="486">
      <formula>$C45="Advance"</formula>
    </cfRule>
  </conditionalFormatting>
  <conditionalFormatting sqref="B45 B47:B49 B51 B53 B55 B57 B59 B61 B65 B67 B70 B73:B74 B77 B80 B83 B85">
    <cfRule type="expression" dxfId="12591" priority="467">
      <formula>$C45="Delivery charge"</formula>
    </cfRule>
    <cfRule type="expression" dxfId="12590" priority="468">
      <formula>$C45="Staff Salary"</formula>
    </cfRule>
    <cfRule type="expression" dxfId="12589" priority="469">
      <formula>$C45="Rent"</formula>
    </cfRule>
    <cfRule type="expression" dxfId="12588" priority="470">
      <formula>$C45="Petrol"</formula>
    </cfRule>
    <cfRule type="expression" dxfId="12587" priority="471">
      <formula>$C45="Bills"</formula>
    </cfRule>
    <cfRule type="expression" dxfId="12586" priority="472">
      <formula>$C45="Sales"</formula>
    </cfRule>
    <cfRule type="expression" dxfId="12585" priority="473">
      <formula>$C45="Expences"</formula>
    </cfRule>
    <cfRule type="expression" dxfId="12584" priority="474">
      <formula>$C45="Garlic Purchase"</formula>
    </cfRule>
    <cfRule type="expression" dxfId="12583" priority="475">
      <formula>$C45="Ginger Purchase"</formula>
    </cfRule>
  </conditionalFormatting>
  <conditionalFormatting sqref="B45 B47:B49 B51 B53 B55 B57 B59 B61 B65 B67 B70 B73:B74 B77 B80 B83 B85">
    <cfRule type="expression" dxfId="12582" priority="476">
      <formula>$C45="Advance"</formula>
    </cfRule>
  </conditionalFormatting>
  <conditionalFormatting sqref="B45 B47:B49 B51 B53 B55 B57 B59 B61 B65 B67 B70 B73:B74 B77 B80 B83 B85">
    <cfRule type="expression" dxfId="12581" priority="457">
      <formula>$C45="Delivery charge"</formula>
    </cfRule>
    <cfRule type="expression" dxfId="12580" priority="458">
      <formula>$C45="Staff Salary"</formula>
    </cfRule>
    <cfRule type="expression" dxfId="12579" priority="459">
      <formula>$C45="Rent"</formula>
    </cfRule>
    <cfRule type="expression" dxfId="12578" priority="460">
      <formula>$C45="Petrol"</formula>
    </cfRule>
    <cfRule type="expression" dxfId="12577" priority="461">
      <formula>$C45="Bills"</formula>
    </cfRule>
    <cfRule type="expression" dxfId="12576" priority="462">
      <formula>$C45="Sales"</formula>
    </cfRule>
    <cfRule type="expression" dxfId="12575" priority="463">
      <formula>$C45="Expences"</formula>
    </cfRule>
    <cfRule type="expression" dxfId="12574" priority="464">
      <formula>$C45="Garlic Purchase"</formula>
    </cfRule>
    <cfRule type="expression" dxfId="12573" priority="465">
      <formula>$C45="Ginger Purchase"</formula>
    </cfRule>
  </conditionalFormatting>
  <conditionalFormatting sqref="B45 B47:B49 B51 B53 B55 B57 B59 B61 B65 B67 B70 B73:B74 B77 B80 B83 B85">
    <cfRule type="expression" dxfId="12572" priority="466">
      <formula>$C45="Advance"</formula>
    </cfRule>
  </conditionalFormatting>
  <conditionalFormatting sqref="B45 B47:B49 B51 B53 B55 B57 B59 B61 B65 B67 B70 B73:B74 B77 B80 B83 B85">
    <cfRule type="expression" dxfId="12571" priority="447">
      <formula>$C45="Delivery charge"</formula>
    </cfRule>
    <cfRule type="expression" dxfId="12570" priority="448">
      <formula>$C45="Staff Salary"</formula>
    </cfRule>
    <cfRule type="expression" dxfId="12569" priority="449">
      <formula>$C45="Rent"</formula>
    </cfRule>
    <cfRule type="expression" dxfId="12568" priority="450">
      <formula>$C45="Petrol"</formula>
    </cfRule>
    <cfRule type="expression" dxfId="12567" priority="451">
      <formula>$C45="Bills"</formula>
    </cfRule>
    <cfRule type="expression" dxfId="12566" priority="452">
      <formula>$C45="Sales"</formula>
    </cfRule>
    <cfRule type="expression" dxfId="12565" priority="453">
      <formula>$C45="Expences"</formula>
    </cfRule>
    <cfRule type="expression" dxfId="12564" priority="454">
      <formula>$C45="Garlic Purchase"</formula>
    </cfRule>
    <cfRule type="expression" dxfId="12563" priority="455">
      <formula>$C45="Ginger Purchase"</formula>
    </cfRule>
  </conditionalFormatting>
  <conditionalFormatting sqref="B45 B47:B49 B51 B53 B55 B57 B59 B61 B65 B67 B70 B73:B74 B77 B80 B83 B85">
    <cfRule type="expression" dxfId="12562" priority="456">
      <formula>$C45="Advance"</formula>
    </cfRule>
  </conditionalFormatting>
  <conditionalFormatting sqref="B45 B47:B49 B51 B53 B55 B57 B59 B61 B65 B67 B70 B73:B74 B77 B80 B83 B85">
    <cfRule type="expression" dxfId="12561" priority="437">
      <formula>$C45="Delivery charge"</formula>
    </cfRule>
    <cfRule type="expression" dxfId="12560" priority="438">
      <formula>$C45="Staff Salary"</formula>
    </cfRule>
    <cfRule type="expression" dxfId="12559" priority="439">
      <formula>$C45="Rent"</formula>
    </cfRule>
    <cfRule type="expression" dxfId="12558" priority="440">
      <formula>$C45="Petrol"</formula>
    </cfRule>
    <cfRule type="expression" dxfId="12557" priority="441">
      <formula>$C45="Bills"</formula>
    </cfRule>
    <cfRule type="expression" dxfId="12556" priority="442">
      <formula>$C45="Sales"</formula>
    </cfRule>
    <cfRule type="expression" dxfId="12555" priority="443">
      <formula>$C45="Expences"</formula>
    </cfRule>
    <cfRule type="expression" dxfId="12554" priority="444">
      <formula>$C45="Garlic Purchase"</formula>
    </cfRule>
    <cfRule type="expression" dxfId="12553" priority="445">
      <formula>$C45="Ginger Purchase"</formula>
    </cfRule>
  </conditionalFormatting>
  <conditionalFormatting sqref="B45 B47:B49 B51 B53 B55 B57 B59 B61 B65 B67 B70 B73:B74 B77 B80 B83 B85">
    <cfRule type="expression" dxfId="12552" priority="446">
      <formula>$C45="Advance"</formula>
    </cfRule>
  </conditionalFormatting>
  <conditionalFormatting sqref="B45 B47:B49 B51 B53 B55 B57 B59 B61 B65 B67 B70 B73:B74 B77 B80 B83 B85">
    <cfRule type="expression" dxfId="12551" priority="427">
      <formula>$C45="Delivery charge"</formula>
    </cfRule>
    <cfRule type="expression" dxfId="12550" priority="428">
      <formula>$C45="Staff Salary"</formula>
    </cfRule>
    <cfRule type="expression" dxfId="12549" priority="429">
      <formula>$C45="Rent"</formula>
    </cfRule>
    <cfRule type="expression" dxfId="12548" priority="430">
      <formula>$C45="Petrol"</formula>
    </cfRule>
    <cfRule type="expression" dxfId="12547" priority="431">
      <formula>$C45="Bills"</formula>
    </cfRule>
    <cfRule type="expression" dxfId="12546" priority="432">
      <formula>$C45="Sales"</formula>
    </cfRule>
    <cfRule type="expression" dxfId="12545" priority="433">
      <formula>$C45="Expences"</formula>
    </cfRule>
    <cfRule type="expression" dxfId="12544" priority="434">
      <formula>$C45="Garlic Purchase"</formula>
    </cfRule>
    <cfRule type="expression" dxfId="12543" priority="435">
      <formula>$C45="Ginger Purchase"</formula>
    </cfRule>
  </conditionalFormatting>
  <conditionalFormatting sqref="B45 B47:B49 B51 B53 B55 B57 B59 B61 B65 B67 B70 B73:B74 B77 B80 B83 B85">
    <cfRule type="expression" dxfId="12542" priority="436">
      <formula>$C45="Advance"</formula>
    </cfRule>
  </conditionalFormatting>
  <conditionalFormatting sqref="B45 B47:B49 B51 B53 B55 B57 B59 B61 B65 B67 B70 B73:B74 B77 B80 B83 B85">
    <cfRule type="expression" dxfId="12541" priority="417">
      <formula>$C45="Delivery charge"</formula>
    </cfRule>
    <cfRule type="expression" dxfId="12540" priority="418">
      <formula>$C45="Staff Salary"</formula>
    </cfRule>
    <cfRule type="expression" dxfId="12539" priority="419">
      <formula>$C45="Rent"</formula>
    </cfRule>
    <cfRule type="expression" dxfId="12538" priority="420">
      <formula>$C45="Petrol"</formula>
    </cfRule>
    <cfRule type="expression" dxfId="12537" priority="421">
      <formula>$C45="Bills"</formula>
    </cfRule>
    <cfRule type="expression" dxfId="12536" priority="422">
      <formula>$C45="Sales"</formula>
    </cfRule>
    <cfRule type="expression" dxfId="12535" priority="423">
      <formula>$C45="Expences"</formula>
    </cfRule>
    <cfRule type="expression" dxfId="12534" priority="424">
      <formula>$C45="Garlic Purchase"</formula>
    </cfRule>
    <cfRule type="expression" dxfId="12533" priority="425">
      <formula>$C45="Ginger Purchase"</formula>
    </cfRule>
  </conditionalFormatting>
  <conditionalFormatting sqref="B45 B47:B49 B51 B53 B55 B57 B59 B61 B65 B67 B70 B73:B74 B77 B80 B83 B85">
    <cfRule type="expression" dxfId="12532" priority="426">
      <formula>$C45="Advance"</formula>
    </cfRule>
  </conditionalFormatting>
  <conditionalFormatting sqref="B45 B47:B49 B51 B53 B55 B57 B59 B61 B65 B67 B70 B73:B74 B77 B80 B83 B85">
    <cfRule type="expression" dxfId="12531" priority="407">
      <formula>$C45="Delivery charge"</formula>
    </cfRule>
    <cfRule type="expression" dxfId="12530" priority="408">
      <formula>$C45="Staff Salary"</formula>
    </cfRule>
    <cfRule type="expression" dxfId="12529" priority="409">
      <formula>$C45="Rent"</formula>
    </cfRule>
    <cfRule type="expression" dxfId="12528" priority="410">
      <formula>$C45="Petrol"</formula>
    </cfRule>
    <cfRule type="expression" dxfId="12527" priority="411">
      <formula>$C45="Bills"</formula>
    </cfRule>
    <cfRule type="expression" dxfId="12526" priority="412">
      <formula>$C45="Sales"</formula>
    </cfRule>
    <cfRule type="expression" dxfId="12525" priority="413">
      <formula>$C45="Expences"</formula>
    </cfRule>
    <cfRule type="expression" dxfId="12524" priority="414">
      <formula>$C45="Garlic Purchase"</formula>
    </cfRule>
    <cfRule type="expression" dxfId="12523" priority="415">
      <formula>$C45="Ginger Purchase"</formula>
    </cfRule>
  </conditionalFormatting>
  <conditionalFormatting sqref="B45 B47:B49 B51 B53 B55 B57 B59 B61 B65 B67 B70 B73:B74 B77 B80 B83 B85">
    <cfRule type="expression" dxfId="12522" priority="416">
      <formula>$C45="Advance"</formula>
    </cfRule>
  </conditionalFormatting>
  <conditionalFormatting sqref="B45 B47:B49 B51 B53 B55 B57 B59 B61 B65 B67 B70 B73:B74 B77 B80 B83 B85">
    <cfRule type="expression" dxfId="12521" priority="397">
      <formula>$C45="Delivery charge"</formula>
    </cfRule>
    <cfRule type="expression" dxfId="12520" priority="398">
      <formula>$C45="Staff Salary"</formula>
    </cfRule>
    <cfRule type="expression" dxfId="12519" priority="399">
      <formula>$C45="Rent"</formula>
    </cfRule>
    <cfRule type="expression" dxfId="12518" priority="400">
      <formula>$C45="Petrol"</formula>
    </cfRule>
    <cfRule type="expression" dxfId="12517" priority="401">
      <formula>$C45="Bills"</formula>
    </cfRule>
    <cfRule type="expression" dxfId="12516" priority="402">
      <formula>$C45="Sales"</formula>
    </cfRule>
    <cfRule type="expression" dxfId="12515" priority="403">
      <formula>$C45="Expences"</formula>
    </cfRule>
    <cfRule type="expression" dxfId="12514" priority="404">
      <formula>$C45="Garlic Purchase"</formula>
    </cfRule>
    <cfRule type="expression" dxfId="12513" priority="405">
      <formula>$C45="Ginger Purchase"</formula>
    </cfRule>
  </conditionalFormatting>
  <conditionalFormatting sqref="B45 B47:B49 B51 B53 B55 B57 B59 B61 B65 B67 B70 B73:B74 B77 B80 B83 B85">
    <cfRule type="expression" dxfId="12512" priority="406">
      <formula>$C45="Advance"</formula>
    </cfRule>
  </conditionalFormatting>
  <conditionalFormatting sqref="B45 B47:B49 B51 B53 B55 B57 B59 B61 B65 B67 B70 B73:B74 B77 B80 B83 B85">
    <cfRule type="expression" dxfId="12511" priority="387">
      <formula>$C45="Delivery charge"</formula>
    </cfRule>
    <cfRule type="expression" dxfId="12510" priority="388">
      <formula>$C45="Staff Salary"</formula>
    </cfRule>
    <cfRule type="expression" dxfId="12509" priority="389">
      <formula>$C45="Rent"</formula>
    </cfRule>
    <cfRule type="expression" dxfId="12508" priority="390">
      <formula>$C45="Petrol"</formula>
    </cfRule>
    <cfRule type="expression" dxfId="12507" priority="391">
      <formula>$C45="Bills"</formula>
    </cfRule>
    <cfRule type="expression" dxfId="12506" priority="392">
      <formula>$C45="Sales"</formula>
    </cfRule>
    <cfRule type="expression" dxfId="12505" priority="393">
      <formula>$C45="Expences"</formula>
    </cfRule>
    <cfRule type="expression" dxfId="12504" priority="394">
      <formula>$C45="Garlic Purchase"</formula>
    </cfRule>
    <cfRule type="expression" dxfId="12503" priority="395">
      <formula>$C45="Ginger Purchase"</formula>
    </cfRule>
  </conditionalFormatting>
  <conditionalFormatting sqref="B45 B47:B49 B51 B53 B55 B57 B59 B61 B65 B67 B70 B73:B74 B77 B80 B83 B85">
    <cfRule type="expression" dxfId="12502" priority="396">
      <formula>$C45="Advance"</formula>
    </cfRule>
  </conditionalFormatting>
  <conditionalFormatting sqref="B45 B47:B49 B51 B53 B55 B57 B59 B61 B65 B67 B70 B73:B74 B77 B80 B83 B85">
    <cfRule type="expression" dxfId="12501" priority="377">
      <formula>$C45="Delivery charge"</formula>
    </cfRule>
    <cfRule type="expression" dxfId="12500" priority="378">
      <formula>$C45="Staff Salary"</formula>
    </cfRule>
    <cfRule type="expression" dxfId="12499" priority="379">
      <formula>$C45="Rent"</formula>
    </cfRule>
    <cfRule type="expression" dxfId="12498" priority="380">
      <formula>$C45="Petrol"</formula>
    </cfRule>
    <cfRule type="expression" dxfId="12497" priority="381">
      <formula>$C45="Bills"</formula>
    </cfRule>
    <cfRule type="expression" dxfId="12496" priority="382">
      <formula>$C45="Sales"</formula>
    </cfRule>
    <cfRule type="expression" dxfId="12495" priority="383">
      <formula>$C45="Expences"</formula>
    </cfRule>
    <cfRule type="expression" dxfId="12494" priority="384">
      <formula>$C45="Garlic Purchase"</formula>
    </cfRule>
    <cfRule type="expression" dxfId="12493" priority="385">
      <formula>$C45="Ginger Purchase"</formula>
    </cfRule>
  </conditionalFormatting>
  <conditionalFormatting sqref="B45 B47:B49 B51 B53 B55 B57 B59 B61 B65 B67 B70 B73:B74 B77 B80 B83 B85">
    <cfRule type="expression" dxfId="12492" priority="386">
      <formula>$C45="Advance"</formula>
    </cfRule>
  </conditionalFormatting>
  <conditionalFormatting sqref="B45 B47:B49 B51 B53 B55 B57 B59 B61 B65 B67 B70 B73:B74 B77 B80 B83 B85">
    <cfRule type="expression" dxfId="12491" priority="367">
      <formula>$C45="Delivery charge"</formula>
    </cfRule>
    <cfRule type="expression" dxfId="12490" priority="368">
      <formula>$C45="Staff Salary"</formula>
    </cfRule>
    <cfRule type="expression" dxfId="12489" priority="369">
      <formula>$C45="Rent"</formula>
    </cfRule>
    <cfRule type="expression" dxfId="12488" priority="370">
      <formula>$C45="Petrol"</formula>
    </cfRule>
    <cfRule type="expression" dxfId="12487" priority="371">
      <formula>$C45="Bills"</formula>
    </cfRule>
    <cfRule type="expression" dxfId="12486" priority="372">
      <formula>$C45="Sales"</formula>
    </cfRule>
    <cfRule type="expression" dxfId="12485" priority="373">
      <formula>$C45="Expences"</formula>
    </cfRule>
    <cfRule type="expression" dxfId="12484" priority="374">
      <formula>$C45="Garlic Purchase"</formula>
    </cfRule>
    <cfRule type="expression" dxfId="12483" priority="375">
      <formula>$C45="Ginger Purchase"</formula>
    </cfRule>
  </conditionalFormatting>
  <conditionalFormatting sqref="B45 B47:B49 B51 B53 B55 B57 B59 B61 B65 B67 B70 B73:B74 B77 B80 B83 B85">
    <cfRule type="expression" dxfId="12482" priority="376">
      <formula>$C45="Advance"</formula>
    </cfRule>
  </conditionalFormatting>
  <conditionalFormatting sqref="B45 B47:B49 B51 B53 B55 B57 B59 B61 B65 B67 B70 B73:B74 B77 B80 B83 B85">
    <cfRule type="expression" dxfId="12481" priority="357">
      <formula>$C45="Delivery charge"</formula>
    </cfRule>
    <cfRule type="expression" dxfId="12480" priority="358">
      <formula>$C45="Staff Salary"</formula>
    </cfRule>
    <cfRule type="expression" dxfId="12479" priority="359">
      <formula>$C45="Rent"</formula>
    </cfRule>
    <cfRule type="expression" dxfId="12478" priority="360">
      <formula>$C45="Petrol"</formula>
    </cfRule>
    <cfRule type="expression" dxfId="12477" priority="361">
      <formula>$C45="Bills"</formula>
    </cfRule>
    <cfRule type="expression" dxfId="12476" priority="362">
      <formula>$C45="Sales"</formula>
    </cfRule>
    <cfRule type="expression" dxfId="12475" priority="363">
      <formula>$C45="Expences"</formula>
    </cfRule>
    <cfRule type="expression" dxfId="12474" priority="364">
      <formula>$C45="Garlic Purchase"</formula>
    </cfRule>
    <cfRule type="expression" dxfId="12473" priority="365">
      <formula>$C45="Ginger Purchase"</formula>
    </cfRule>
  </conditionalFormatting>
  <conditionalFormatting sqref="B45 B47:B49 B51 B53 B55 B57 B59 B61 B65 B67 B70 B73:B74 B77 B80 B83 B85">
    <cfRule type="expression" dxfId="12472" priority="366">
      <formula>$C45="Advance"</formula>
    </cfRule>
  </conditionalFormatting>
  <conditionalFormatting sqref="B45 B47:B49 B51 B53 B55 B57 B59 B61 B65 B67 B70 B73:B74 B77 B80 B83 B85">
    <cfRule type="expression" dxfId="12471" priority="347">
      <formula>$C45="Delivery charge"</formula>
    </cfRule>
    <cfRule type="expression" dxfId="12470" priority="348">
      <formula>$C45="Staff Salary"</formula>
    </cfRule>
    <cfRule type="expression" dxfId="12469" priority="349">
      <formula>$C45="Rent"</formula>
    </cfRule>
    <cfRule type="expression" dxfId="12468" priority="350">
      <formula>$C45="Petrol"</formula>
    </cfRule>
    <cfRule type="expression" dxfId="12467" priority="351">
      <formula>$C45="Bills"</formula>
    </cfRule>
    <cfRule type="expression" dxfId="12466" priority="352">
      <formula>$C45="Sales"</formula>
    </cfRule>
    <cfRule type="expression" dxfId="12465" priority="353">
      <formula>$C45="Expences"</formula>
    </cfRule>
    <cfRule type="expression" dxfId="12464" priority="354">
      <formula>$C45="Garlic Purchase"</formula>
    </cfRule>
    <cfRule type="expression" dxfId="12463" priority="355">
      <formula>$C45="Ginger Purchase"</formula>
    </cfRule>
  </conditionalFormatting>
  <conditionalFormatting sqref="B45 B47:B49 B51 B53 B55 B57 B59 B61 B65 B67 B70 B73:B74 B77 B80 B83 B85">
    <cfRule type="expression" dxfId="12462" priority="356">
      <formula>$C45="Advance"</formula>
    </cfRule>
  </conditionalFormatting>
  <conditionalFormatting sqref="B45 B47:B49 B51 B53 B55 B57 B59 B61 B65 B67 B70 B73:B74 B77 B80 B83 B85">
    <cfRule type="expression" dxfId="12461" priority="337">
      <formula>$C45="Delivery charge"</formula>
    </cfRule>
    <cfRule type="expression" dxfId="12460" priority="338">
      <formula>$C45="Staff Salary"</formula>
    </cfRule>
    <cfRule type="expression" dxfId="12459" priority="339">
      <formula>$C45="Rent"</formula>
    </cfRule>
    <cfRule type="expression" dxfId="12458" priority="340">
      <formula>$C45="Petrol"</formula>
    </cfRule>
    <cfRule type="expression" dxfId="12457" priority="341">
      <formula>$C45="Bills"</formula>
    </cfRule>
    <cfRule type="expression" dxfId="12456" priority="342">
      <formula>$C45="Sales"</formula>
    </cfRule>
    <cfRule type="expression" dxfId="12455" priority="343">
      <formula>$C45="Expences"</formula>
    </cfRule>
    <cfRule type="expression" dxfId="12454" priority="344">
      <formula>$C45="Garlic Purchase"</formula>
    </cfRule>
    <cfRule type="expression" dxfId="12453" priority="345">
      <formula>$C45="Ginger Purchase"</formula>
    </cfRule>
  </conditionalFormatting>
  <conditionalFormatting sqref="B45 B47:B49 B51 B53 B55 B57 B59 B61 B65 B67 B70 B73:B74 B77 B80 B83 B85">
    <cfRule type="expression" dxfId="12452" priority="346">
      <formula>$C45="Advance"</formula>
    </cfRule>
  </conditionalFormatting>
  <conditionalFormatting sqref="B45 B47:B49 B51 B53 B55 B57 B59 B61 B65 B67 B70 B73:B74 B77 B80 B83 B85">
    <cfRule type="expression" dxfId="12451" priority="327">
      <formula>$C45="Delivery charge"</formula>
    </cfRule>
    <cfRule type="expression" dxfId="12450" priority="328">
      <formula>$C45="Staff Salary"</formula>
    </cfRule>
    <cfRule type="expression" dxfId="12449" priority="329">
      <formula>$C45="Rent"</formula>
    </cfRule>
    <cfRule type="expression" dxfId="12448" priority="330">
      <formula>$C45="Petrol"</formula>
    </cfRule>
    <cfRule type="expression" dxfId="12447" priority="331">
      <formula>$C45="Bills"</formula>
    </cfRule>
    <cfRule type="expression" dxfId="12446" priority="332">
      <formula>$C45="Sales"</formula>
    </cfRule>
    <cfRule type="expression" dxfId="12445" priority="333">
      <formula>$C45="Expences"</formula>
    </cfRule>
    <cfRule type="expression" dxfId="12444" priority="334">
      <formula>$C45="Garlic Purchase"</formula>
    </cfRule>
    <cfRule type="expression" dxfId="12443" priority="335">
      <formula>$C45="Ginger Purchase"</formula>
    </cfRule>
  </conditionalFormatting>
  <conditionalFormatting sqref="B45 B47:B49 B51 B53 B55 B57 B59 B61 B65 B67 B70 B73:B74 B77 B80 B83 B85">
    <cfRule type="expression" dxfId="12442" priority="336">
      <formula>$C45="Advance"</formula>
    </cfRule>
  </conditionalFormatting>
  <conditionalFormatting sqref="B45 B47:B49 B51 B53 B55 B57 B59 B61 B65 B67 B70 B73:B74 B77 B80 B83 B85">
    <cfRule type="expression" dxfId="12441" priority="317">
      <formula>$C45="Delivery charge"</formula>
    </cfRule>
    <cfRule type="expression" dxfId="12440" priority="318">
      <formula>$C45="Staff Salary"</formula>
    </cfRule>
    <cfRule type="expression" dxfId="12439" priority="319">
      <formula>$C45="Rent"</formula>
    </cfRule>
    <cfRule type="expression" dxfId="12438" priority="320">
      <formula>$C45="Petrol"</formula>
    </cfRule>
    <cfRule type="expression" dxfId="12437" priority="321">
      <formula>$C45="Bills"</formula>
    </cfRule>
    <cfRule type="expression" dxfId="12436" priority="322">
      <formula>$C45="Sales"</formula>
    </cfRule>
    <cfRule type="expression" dxfId="12435" priority="323">
      <formula>$C45="Expences"</formula>
    </cfRule>
    <cfRule type="expression" dxfId="12434" priority="324">
      <formula>$C45="Garlic Purchase"</formula>
    </cfRule>
    <cfRule type="expression" dxfId="12433" priority="325">
      <formula>$C45="Ginger Purchase"</formula>
    </cfRule>
  </conditionalFormatting>
  <conditionalFormatting sqref="B45 B47:B49 B51 B53 B55 B57 B59 B61 B65 B67 B70 B73:B74 B77 B80 B83 B85">
    <cfRule type="expression" dxfId="12432" priority="326">
      <formula>$C45="Advance"</formula>
    </cfRule>
  </conditionalFormatting>
  <conditionalFormatting sqref="B46 B48:B50 B52 B54 B56 B58 B60 B62:B64 B66 B68:B69 B71:B72 B75:B76 B78:B79 B81:B82 B84 B86">
    <cfRule type="expression" dxfId="12431" priority="307">
      <formula>$C46="Delivery charge"</formula>
    </cfRule>
    <cfRule type="expression" dxfId="12430" priority="308">
      <formula>$C46="Staff Salary"</formula>
    </cfRule>
    <cfRule type="expression" dxfId="12429" priority="309">
      <formula>$C46="Rent"</formula>
    </cfRule>
    <cfRule type="expression" dxfId="12428" priority="310">
      <formula>$C46="Petrol"</formula>
    </cfRule>
    <cfRule type="expression" dxfId="12427" priority="311">
      <formula>$C46="Bills"</formula>
    </cfRule>
    <cfRule type="expression" dxfId="12426" priority="312">
      <formula>$C46="Sales"</formula>
    </cfRule>
    <cfRule type="expression" dxfId="12425" priority="313">
      <formula>$C46="Expences"</formula>
    </cfRule>
    <cfRule type="expression" dxfId="12424" priority="314">
      <formula>$C46="Garlic Purchase"</formula>
    </cfRule>
    <cfRule type="expression" dxfId="12423" priority="315">
      <formula>$C46="Ginger Purchase"</formula>
    </cfRule>
  </conditionalFormatting>
  <conditionalFormatting sqref="B46 B48:B50 B52 B54 B56 B58 B60 B62:B64 B66 B68:B69 B71:B72 B75:B76 B78:B79 B81:B82 B84 B86">
    <cfRule type="expression" dxfId="12422" priority="316">
      <formula>$C46="Advance"</formula>
    </cfRule>
  </conditionalFormatting>
  <conditionalFormatting sqref="B46 B48:B50 B52 B54 B56 B58 B60 B62:B64 B66 B68:B69 B71:B72 B75:B76 B78:B79 B81:B82 B84 B86">
    <cfRule type="expression" dxfId="12421" priority="297">
      <formula>$C46="Delivery charge"</formula>
    </cfRule>
    <cfRule type="expression" dxfId="12420" priority="298">
      <formula>$C46="Staff Salary"</formula>
    </cfRule>
    <cfRule type="expression" dxfId="12419" priority="299">
      <formula>$C46="Rent"</formula>
    </cfRule>
    <cfRule type="expression" dxfId="12418" priority="300">
      <formula>$C46="Petrol"</formula>
    </cfRule>
    <cfRule type="expression" dxfId="12417" priority="301">
      <formula>$C46="Bills"</formula>
    </cfRule>
    <cfRule type="expression" dxfId="12416" priority="302">
      <formula>$C46="Sales"</formula>
    </cfRule>
    <cfRule type="expression" dxfId="12415" priority="303">
      <formula>$C46="Expences"</formula>
    </cfRule>
    <cfRule type="expression" dxfId="12414" priority="304">
      <formula>$C46="Garlic Purchase"</formula>
    </cfRule>
    <cfRule type="expression" dxfId="12413" priority="305">
      <formula>$C46="Ginger Purchase"</formula>
    </cfRule>
  </conditionalFormatting>
  <conditionalFormatting sqref="B46 B48:B50 B52 B54 B56 B58 B60 B62:B64 B66 B68:B69 B71:B72 B75:B76 B78:B79 B81:B82 B84 B86">
    <cfRule type="expression" dxfId="12412" priority="306">
      <formula>$C46="Advance"</formula>
    </cfRule>
  </conditionalFormatting>
  <conditionalFormatting sqref="B46 B48:B50 B52 B54 B56 B58 B60 B62:B64 B66 B68:B69 B71:B72 B75:B76 B78:B79 B81:B82 B84 B86">
    <cfRule type="expression" dxfId="12411" priority="287">
      <formula>$C46="Delivery charge"</formula>
    </cfRule>
    <cfRule type="expression" dxfId="12410" priority="288">
      <formula>$C46="Staff Salary"</formula>
    </cfRule>
    <cfRule type="expression" dxfId="12409" priority="289">
      <formula>$C46="Rent"</formula>
    </cfRule>
    <cfRule type="expression" dxfId="12408" priority="290">
      <formula>$C46="Petrol"</formula>
    </cfRule>
    <cfRule type="expression" dxfId="12407" priority="291">
      <formula>$C46="Bills"</formula>
    </cfRule>
    <cfRule type="expression" dxfId="12406" priority="292">
      <formula>$C46="Sales"</formula>
    </cfRule>
    <cfRule type="expression" dxfId="12405" priority="293">
      <formula>$C46="Expences"</formula>
    </cfRule>
    <cfRule type="expression" dxfId="12404" priority="294">
      <formula>$C46="Garlic Purchase"</formula>
    </cfRule>
    <cfRule type="expression" dxfId="12403" priority="295">
      <formula>$C46="Ginger Purchase"</formula>
    </cfRule>
  </conditionalFormatting>
  <conditionalFormatting sqref="B46 B48:B50 B52 B54 B56 B58 B60 B62:B64 B66 B68:B69 B71:B72 B75:B76 B78:B79 B81:B82 B84 B86">
    <cfRule type="expression" dxfId="12402" priority="296">
      <formula>$C46="Advance"</formula>
    </cfRule>
  </conditionalFormatting>
  <conditionalFormatting sqref="B46 B48:B50 B52 B54 B56 B58 B60 B62:B64 B66 B68:B69 B71:B72 B75:B76 B78:B79 B81:B82 B84 B86">
    <cfRule type="expression" dxfId="12401" priority="277">
      <formula>$C46="Delivery charge"</formula>
    </cfRule>
    <cfRule type="expression" dxfId="12400" priority="278">
      <formula>$C46="Staff Salary"</formula>
    </cfRule>
    <cfRule type="expression" dxfId="12399" priority="279">
      <formula>$C46="Rent"</formula>
    </cfRule>
    <cfRule type="expression" dxfId="12398" priority="280">
      <formula>$C46="Petrol"</formula>
    </cfRule>
    <cfRule type="expression" dxfId="12397" priority="281">
      <formula>$C46="Bills"</formula>
    </cfRule>
    <cfRule type="expression" dxfId="12396" priority="282">
      <formula>$C46="Sales"</formula>
    </cfRule>
    <cfRule type="expression" dxfId="12395" priority="283">
      <formula>$C46="Expences"</formula>
    </cfRule>
    <cfRule type="expression" dxfId="12394" priority="284">
      <formula>$C46="Garlic Purchase"</formula>
    </cfRule>
    <cfRule type="expression" dxfId="12393" priority="285">
      <formula>$C46="Ginger Purchase"</formula>
    </cfRule>
  </conditionalFormatting>
  <conditionalFormatting sqref="B46 B48:B50 B52 B54 B56 B58 B60 B62:B64 B66 B68:B69 B71:B72 B75:B76 B78:B79 B81:B82 B84 B86">
    <cfRule type="expression" dxfId="12392" priority="286">
      <formula>$C46="Advance"</formula>
    </cfRule>
  </conditionalFormatting>
  <conditionalFormatting sqref="B46 B48:B50 B52 B54 B56 B58 B60 B62:B64 B66 B68:B69 B71:B72 B75:B76 B78:B79 B81:B82 B84 B86">
    <cfRule type="expression" dxfId="12391" priority="267">
      <formula>$C46="Delivery charge"</formula>
    </cfRule>
    <cfRule type="expression" dxfId="12390" priority="268">
      <formula>$C46="Staff Salary"</formula>
    </cfRule>
    <cfRule type="expression" dxfId="12389" priority="269">
      <formula>$C46="Rent"</formula>
    </cfRule>
    <cfRule type="expression" dxfId="12388" priority="270">
      <formula>$C46="Petrol"</formula>
    </cfRule>
    <cfRule type="expression" dxfId="12387" priority="271">
      <formula>$C46="Bills"</formula>
    </cfRule>
    <cfRule type="expression" dxfId="12386" priority="272">
      <formula>$C46="Sales"</formula>
    </cfRule>
    <cfRule type="expression" dxfId="12385" priority="273">
      <formula>$C46="Expences"</formula>
    </cfRule>
    <cfRule type="expression" dxfId="12384" priority="274">
      <formula>$C46="Garlic Purchase"</formula>
    </cfRule>
    <cfRule type="expression" dxfId="12383" priority="275">
      <formula>$C46="Ginger Purchase"</formula>
    </cfRule>
  </conditionalFormatting>
  <conditionalFormatting sqref="B46 B48:B50 B52 B54 B56 B58 B60 B62:B64 B66 B68:B69 B71:B72 B75:B76 B78:B79 B81:B82 B84 B86">
    <cfRule type="expression" dxfId="12382" priority="276">
      <formula>$C46="Advance"</formula>
    </cfRule>
  </conditionalFormatting>
  <conditionalFormatting sqref="B46 B48:B50 B52 B54 B56 B58 B60 B62:B64 B66 B68:B69 B71:B72 B75:B76 B78:B79 B81:B82 B84 B86">
    <cfRule type="expression" dxfId="12381" priority="257">
      <formula>$C46="Delivery charge"</formula>
    </cfRule>
    <cfRule type="expression" dxfId="12380" priority="258">
      <formula>$C46="Staff Salary"</formula>
    </cfRule>
    <cfRule type="expression" dxfId="12379" priority="259">
      <formula>$C46="Rent"</formula>
    </cfRule>
    <cfRule type="expression" dxfId="12378" priority="260">
      <formula>$C46="Petrol"</formula>
    </cfRule>
    <cfRule type="expression" dxfId="12377" priority="261">
      <formula>$C46="Bills"</formula>
    </cfRule>
    <cfRule type="expression" dxfId="12376" priority="262">
      <formula>$C46="Sales"</formula>
    </cfRule>
    <cfRule type="expression" dxfId="12375" priority="263">
      <formula>$C46="Expences"</formula>
    </cfRule>
    <cfRule type="expression" dxfId="12374" priority="264">
      <formula>$C46="Garlic Purchase"</formula>
    </cfRule>
    <cfRule type="expression" dxfId="12373" priority="265">
      <formula>$C46="Ginger Purchase"</formula>
    </cfRule>
  </conditionalFormatting>
  <conditionalFormatting sqref="B46 B48:B50 B52 B54 B56 B58 B60 B62:B64 B66 B68:B69 B71:B72 B75:B76 B78:B79 B81:B82 B84 B86">
    <cfRule type="expression" dxfId="12372" priority="266">
      <formula>$C46="Advance"</formula>
    </cfRule>
  </conditionalFormatting>
  <conditionalFormatting sqref="B46 B48:B50 B52 B54 B56 B58 B60 B62:B64 B66 B68:B69 B71:B72 B75:B76 B78:B79 B81:B82 B84 B86">
    <cfRule type="expression" dxfId="12371" priority="247">
      <formula>$C46="Delivery charge"</formula>
    </cfRule>
    <cfRule type="expression" dxfId="12370" priority="248">
      <formula>$C46="Staff Salary"</formula>
    </cfRule>
    <cfRule type="expression" dxfId="12369" priority="249">
      <formula>$C46="Rent"</formula>
    </cfRule>
    <cfRule type="expression" dxfId="12368" priority="250">
      <formula>$C46="Petrol"</formula>
    </cfRule>
    <cfRule type="expression" dxfId="12367" priority="251">
      <formula>$C46="Bills"</formula>
    </cfRule>
    <cfRule type="expression" dxfId="12366" priority="252">
      <formula>$C46="Sales"</formula>
    </cfRule>
    <cfRule type="expression" dxfId="12365" priority="253">
      <formula>$C46="Expences"</formula>
    </cfRule>
    <cfRule type="expression" dxfId="12364" priority="254">
      <formula>$C46="Garlic Purchase"</formula>
    </cfRule>
    <cfRule type="expression" dxfId="12363" priority="255">
      <formula>$C46="Ginger Purchase"</formula>
    </cfRule>
  </conditionalFormatting>
  <conditionalFormatting sqref="B46 B48:B50 B52 B54 B56 B58 B60 B62:B64 B66 B68:B69 B71:B72 B75:B76 B78:B79 B81:B82 B84 B86">
    <cfRule type="expression" dxfId="12362" priority="256">
      <formula>$C46="Advance"</formula>
    </cfRule>
  </conditionalFormatting>
  <conditionalFormatting sqref="B46 B48:B50 B52 B54 B56 B58 B60 B62:B64 B66 B68:B69 B71:B72 B75:B76 B78:B79 B81:B82 B84 B86">
    <cfRule type="expression" dxfId="12361" priority="237">
      <formula>$C46="Delivery charge"</formula>
    </cfRule>
    <cfRule type="expression" dxfId="12360" priority="238">
      <formula>$C46="Staff Salary"</formula>
    </cfRule>
    <cfRule type="expression" dxfId="12359" priority="239">
      <formula>$C46="Rent"</formula>
    </cfRule>
    <cfRule type="expression" dxfId="12358" priority="240">
      <formula>$C46="Petrol"</formula>
    </cfRule>
    <cfRule type="expression" dxfId="12357" priority="241">
      <formula>$C46="Bills"</formula>
    </cfRule>
    <cfRule type="expression" dxfId="12356" priority="242">
      <formula>$C46="Sales"</formula>
    </cfRule>
    <cfRule type="expression" dxfId="12355" priority="243">
      <formula>$C46="Expences"</formula>
    </cfRule>
    <cfRule type="expression" dxfId="12354" priority="244">
      <formula>$C46="Garlic Purchase"</formula>
    </cfRule>
    <cfRule type="expression" dxfId="12353" priority="245">
      <formula>$C46="Ginger Purchase"</formula>
    </cfRule>
  </conditionalFormatting>
  <conditionalFormatting sqref="B46 B48:B50 B52 B54 B56 B58 B60 B62:B64 B66 B68:B69 B71:B72 B75:B76 B78:B79 B81:B82 B84 B86">
    <cfRule type="expression" dxfId="12352" priority="246">
      <formula>$C46="Advance"</formula>
    </cfRule>
  </conditionalFormatting>
  <conditionalFormatting sqref="B46 B48:B50 B52 B54 B56 B58 B60 B62:B64 B66 B68:B69 B71:B72 B75:B76 B78:B79 B81:B82 B84 B86">
    <cfRule type="expression" dxfId="12351" priority="227">
      <formula>$C46="Delivery charge"</formula>
    </cfRule>
    <cfRule type="expression" dxfId="12350" priority="228">
      <formula>$C46="Staff Salary"</formula>
    </cfRule>
    <cfRule type="expression" dxfId="12349" priority="229">
      <formula>$C46="Rent"</formula>
    </cfRule>
    <cfRule type="expression" dxfId="12348" priority="230">
      <formula>$C46="Petrol"</formula>
    </cfRule>
    <cfRule type="expression" dxfId="12347" priority="231">
      <formula>$C46="Bills"</formula>
    </cfRule>
    <cfRule type="expression" dxfId="12346" priority="232">
      <formula>$C46="Sales"</formula>
    </cfRule>
    <cfRule type="expression" dxfId="12345" priority="233">
      <formula>$C46="Expences"</formula>
    </cfRule>
    <cfRule type="expression" dxfId="12344" priority="234">
      <formula>$C46="Garlic Purchase"</formula>
    </cfRule>
    <cfRule type="expression" dxfId="12343" priority="235">
      <formula>$C46="Ginger Purchase"</formula>
    </cfRule>
  </conditionalFormatting>
  <conditionalFormatting sqref="B46 B48:B50 B52 B54 B56 B58 B60 B62:B64 B66 B68:B69 B71:B72 B75:B76 B78:B79 B81:B82 B84 B86">
    <cfRule type="expression" dxfId="12342" priority="236">
      <formula>$C46="Advance"</formula>
    </cfRule>
  </conditionalFormatting>
  <conditionalFormatting sqref="B46 B48:B50 B52 B54 B56 B58 B60 B62:B64 B66 B68:B69 B71:B72 B75:B76 B78:B79 B81:B82 B84 B86">
    <cfRule type="expression" dxfId="12341" priority="217">
      <formula>$C46="Delivery charge"</formula>
    </cfRule>
    <cfRule type="expression" dxfId="12340" priority="218">
      <formula>$C46="Staff Salary"</formula>
    </cfRule>
    <cfRule type="expression" dxfId="12339" priority="219">
      <formula>$C46="Rent"</formula>
    </cfRule>
    <cfRule type="expression" dxfId="12338" priority="220">
      <formula>$C46="Petrol"</formula>
    </cfRule>
    <cfRule type="expression" dxfId="12337" priority="221">
      <formula>$C46="Bills"</formula>
    </cfRule>
    <cfRule type="expression" dxfId="12336" priority="222">
      <formula>$C46="Sales"</formula>
    </cfRule>
    <cfRule type="expression" dxfId="12335" priority="223">
      <formula>$C46="Expences"</formula>
    </cfRule>
    <cfRule type="expression" dxfId="12334" priority="224">
      <formula>$C46="Garlic Purchase"</formula>
    </cfRule>
    <cfRule type="expression" dxfId="12333" priority="225">
      <formula>$C46="Ginger Purchase"</formula>
    </cfRule>
  </conditionalFormatting>
  <conditionalFormatting sqref="B46 B48:B50 B52 B54 B56 B58 B60 B62:B64 B66 B68:B69 B71:B72 B75:B76 B78:B79 B81:B82 B84 B86">
    <cfRule type="expression" dxfId="12332" priority="226">
      <formula>$C46="Advance"</formula>
    </cfRule>
  </conditionalFormatting>
  <conditionalFormatting sqref="B46 B48:B50 B52 B54 B56 B58 B60 B62:B64 B66 B68:B69 B71:B72 B75:B76 B78:B79 B81:B82 B84 B86">
    <cfRule type="expression" dxfId="12331" priority="207">
      <formula>$C46="Delivery charge"</formula>
    </cfRule>
    <cfRule type="expression" dxfId="12330" priority="208">
      <formula>$C46="Staff Salary"</formula>
    </cfRule>
    <cfRule type="expression" dxfId="12329" priority="209">
      <formula>$C46="Rent"</formula>
    </cfRule>
    <cfRule type="expression" dxfId="12328" priority="210">
      <formula>$C46="Petrol"</formula>
    </cfRule>
    <cfRule type="expression" dxfId="12327" priority="211">
      <formula>$C46="Bills"</formula>
    </cfRule>
    <cfRule type="expression" dxfId="12326" priority="212">
      <formula>$C46="Sales"</formula>
    </cfRule>
    <cfRule type="expression" dxfId="12325" priority="213">
      <formula>$C46="Expences"</formula>
    </cfRule>
    <cfRule type="expression" dxfId="12324" priority="214">
      <formula>$C46="Garlic Purchase"</formula>
    </cfRule>
    <cfRule type="expression" dxfId="12323" priority="215">
      <formula>$C46="Ginger Purchase"</formula>
    </cfRule>
  </conditionalFormatting>
  <conditionalFormatting sqref="B46 B48:B50 B52 B54 B56 B58 B60 B62:B64 B66 B68:B69 B71:B72 B75:B76 B78:B79 B81:B82 B84 B86">
    <cfRule type="expression" dxfId="12322" priority="216">
      <formula>$C46="Advance"</formula>
    </cfRule>
  </conditionalFormatting>
  <conditionalFormatting sqref="B46 B48:B50 B52 B54 B56 B58 B60 B62:B64 B66 B68:B69 B71:B72 B75:B76 B78:B79 B81:B82 B84 B86">
    <cfRule type="expression" dxfId="12321" priority="197">
      <formula>$C46="Delivery charge"</formula>
    </cfRule>
    <cfRule type="expression" dxfId="12320" priority="198">
      <formula>$C46="Staff Salary"</formula>
    </cfRule>
    <cfRule type="expression" dxfId="12319" priority="199">
      <formula>$C46="Rent"</formula>
    </cfRule>
    <cfRule type="expression" dxfId="12318" priority="200">
      <formula>$C46="Petrol"</formula>
    </cfRule>
    <cfRule type="expression" dxfId="12317" priority="201">
      <formula>$C46="Bills"</formula>
    </cfRule>
    <cfRule type="expression" dxfId="12316" priority="202">
      <formula>$C46="Sales"</formula>
    </cfRule>
    <cfRule type="expression" dxfId="12315" priority="203">
      <formula>$C46="Expences"</formula>
    </cfRule>
    <cfRule type="expression" dxfId="12314" priority="204">
      <formula>$C46="Garlic Purchase"</formula>
    </cfRule>
    <cfRule type="expression" dxfId="12313" priority="205">
      <formula>$C46="Ginger Purchase"</formula>
    </cfRule>
  </conditionalFormatting>
  <conditionalFormatting sqref="B46 B48:B50 B52 B54 B56 B58 B60 B62:B64 B66 B68:B69 B71:B72 B75:B76 B78:B79 B81:B82 B84 B86">
    <cfRule type="expression" dxfId="12312" priority="206">
      <formula>$C46="Advance"</formula>
    </cfRule>
  </conditionalFormatting>
  <conditionalFormatting sqref="B46 B48:B50 B52 B54 B56 B58 B60 B62:B64 B66 B68:B69 B71:B72 B75:B76 B78:B79 B81:B82 B84 B86">
    <cfRule type="expression" dxfId="12311" priority="187">
      <formula>$C46="Delivery charge"</formula>
    </cfRule>
    <cfRule type="expression" dxfId="12310" priority="188">
      <formula>$C46="Staff Salary"</formula>
    </cfRule>
    <cfRule type="expression" dxfId="12309" priority="189">
      <formula>$C46="Rent"</formula>
    </cfRule>
    <cfRule type="expression" dxfId="12308" priority="190">
      <formula>$C46="Petrol"</formula>
    </cfRule>
    <cfRule type="expression" dxfId="12307" priority="191">
      <formula>$C46="Bills"</formula>
    </cfRule>
    <cfRule type="expression" dxfId="12306" priority="192">
      <formula>$C46="Sales"</formula>
    </cfRule>
    <cfRule type="expression" dxfId="12305" priority="193">
      <formula>$C46="Expences"</formula>
    </cfRule>
    <cfRule type="expression" dxfId="12304" priority="194">
      <formula>$C46="Garlic Purchase"</formula>
    </cfRule>
    <cfRule type="expression" dxfId="12303" priority="195">
      <formula>$C46="Ginger Purchase"</formula>
    </cfRule>
  </conditionalFormatting>
  <conditionalFormatting sqref="B46 B48:B50 B52 B54 B56 B58 B60 B62:B64 B66 B68:B69 B71:B72 B75:B76 B78:B79 B81:B82 B84 B86">
    <cfRule type="expression" dxfId="12302" priority="196">
      <formula>$C46="Advance"</formula>
    </cfRule>
  </conditionalFormatting>
  <conditionalFormatting sqref="B46 B48:B50 B52 B54 B56 B58 B60 B62:B64 B66 B68:B69 B71:B72 B75:B76 B78:B79 B81:B82 B84 B86">
    <cfRule type="expression" dxfId="12301" priority="177">
      <formula>$C46="Delivery charge"</formula>
    </cfRule>
    <cfRule type="expression" dxfId="12300" priority="178">
      <formula>$C46="Staff Salary"</formula>
    </cfRule>
    <cfRule type="expression" dxfId="12299" priority="179">
      <formula>$C46="Rent"</formula>
    </cfRule>
    <cfRule type="expression" dxfId="12298" priority="180">
      <formula>$C46="Petrol"</formula>
    </cfRule>
    <cfRule type="expression" dxfId="12297" priority="181">
      <formula>$C46="Bills"</formula>
    </cfRule>
    <cfRule type="expression" dxfId="12296" priority="182">
      <formula>$C46="Sales"</formula>
    </cfRule>
    <cfRule type="expression" dxfId="12295" priority="183">
      <formula>$C46="Expences"</formula>
    </cfRule>
    <cfRule type="expression" dxfId="12294" priority="184">
      <formula>$C46="Garlic Purchase"</formula>
    </cfRule>
    <cfRule type="expression" dxfId="12293" priority="185">
      <formula>$C46="Ginger Purchase"</formula>
    </cfRule>
  </conditionalFormatting>
  <conditionalFormatting sqref="B46 B48:B50 B52 B54 B56 B58 B60 B62:B64 B66 B68:B69 B71:B72 B75:B76 B78:B79 B81:B82 B84 B86">
    <cfRule type="expression" dxfId="12292" priority="186">
      <formula>$C46="Advance"</formula>
    </cfRule>
  </conditionalFormatting>
  <conditionalFormatting sqref="B46 B48:B50 B52 B54 B56 B58 B60 B62:B64 B66 B68:B69 B71:B72 B75:B76 B78:B79 B81:B82 B84 B86">
    <cfRule type="expression" dxfId="12291" priority="167">
      <formula>$C46="Delivery charge"</formula>
    </cfRule>
    <cfRule type="expression" dxfId="12290" priority="168">
      <formula>$C46="Staff Salary"</formula>
    </cfRule>
    <cfRule type="expression" dxfId="12289" priority="169">
      <formula>$C46="Rent"</formula>
    </cfRule>
    <cfRule type="expression" dxfId="12288" priority="170">
      <formula>$C46="Petrol"</formula>
    </cfRule>
    <cfRule type="expression" dxfId="12287" priority="171">
      <formula>$C46="Bills"</formula>
    </cfRule>
    <cfRule type="expression" dxfId="12286" priority="172">
      <formula>$C46="Sales"</formula>
    </cfRule>
    <cfRule type="expression" dxfId="12285" priority="173">
      <formula>$C46="Expences"</formula>
    </cfRule>
    <cfRule type="expression" dxfId="12284" priority="174">
      <formula>$C46="Garlic Purchase"</formula>
    </cfRule>
    <cfRule type="expression" dxfId="12283" priority="175">
      <formula>$C46="Ginger Purchase"</formula>
    </cfRule>
  </conditionalFormatting>
  <conditionalFormatting sqref="B46 B48:B50 B52 B54 B56 B58 B60 B62:B64 B66 B68:B69 B71:B72 B75:B76 B78:B79 B81:B82 B84 B86">
    <cfRule type="expression" dxfId="12282" priority="176">
      <formula>$C46="Advance"</formula>
    </cfRule>
  </conditionalFormatting>
  <conditionalFormatting sqref="B46 B48:B50 B52 B54 B56 B58 B60 B62:B64 B66 B68:B69 B71:B72 B75:B76 B78:B79 B81:B82 B84 B86">
    <cfRule type="expression" dxfId="12281" priority="157">
      <formula>$C46="Delivery charge"</formula>
    </cfRule>
    <cfRule type="expression" dxfId="12280" priority="158">
      <formula>$C46="Staff Salary"</formula>
    </cfRule>
    <cfRule type="expression" dxfId="12279" priority="159">
      <formula>$C46="Rent"</formula>
    </cfRule>
    <cfRule type="expression" dxfId="12278" priority="160">
      <formula>$C46="Petrol"</formula>
    </cfRule>
    <cfRule type="expression" dxfId="12277" priority="161">
      <formula>$C46="Bills"</formula>
    </cfRule>
    <cfRule type="expression" dxfId="12276" priority="162">
      <formula>$C46="Sales"</formula>
    </cfRule>
    <cfRule type="expression" dxfId="12275" priority="163">
      <formula>$C46="Expences"</formula>
    </cfRule>
    <cfRule type="expression" dxfId="12274" priority="164">
      <formula>$C46="Garlic Purchase"</formula>
    </cfRule>
    <cfRule type="expression" dxfId="12273" priority="165">
      <formula>$C46="Ginger Purchase"</formula>
    </cfRule>
  </conditionalFormatting>
  <conditionalFormatting sqref="B46 B48:B50 B52 B54 B56 B58 B60 B62:B64 B66 B68:B69 B71:B72 B75:B76 B78:B79 B81:B82 B84 B86">
    <cfRule type="expression" dxfId="12272" priority="166">
      <formula>$C46="Advance"</formula>
    </cfRule>
  </conditionalFormatting>
  <conditionalFormatting sqref="B46 B48:B50 B52 B54 B56 B58 B60 B62:B64 B66 B68:B69 B71:B72 B75:B76 B78:B79 B81:B82 B84 B86">
    <cfRule type="expression" dxfId="12271" priority="147">
      <formula>$C46="Delivery charge"</formula>
    </cfRule>
    <cfRule type="expression" dxfId="12270" priority="148">
      <formula>$C46="Staff Salary"</formula>
    </cfRule>
    <cfRule type="expression" dxfId="12269" priority="149">
      <formula>$C46="Rent"</formula>
    </cfRule>
    <cfRule type="expression" dxfId="12268" priority="150">
      <formula>$C46="Petrol"</formula>
    </cfRule>
    <cfRule type="expression" dxfId="12267" priority="151">
      <formula>$C46="Bills"</formula>
    </cfRule>
    <cfRule type="expression" dxfId="12266" priority="152">
      <formula>$C46="Sales"</formula>
    </cfRule>
    <cfRule type="expression" dxfId="12265" priority="153">
      <formula>$C46="Expences"</formula>
    </cfRule>
    <cfRule type="expression" dxfId="12264" priority="154">
      <formula>$C46="Garlic Purchase"</formula>
    </cfRule>
    <cfRule type="expression" dxfId="12263" priority="155">
      <formula>$C46="Ginger Purchase"</formula>
    </cfRule>
  </conditionalFormatting>
  <conditionalFormatting sqref="B46 B48:B50 B52 B54 B56 B58 B60 B62:B64 B66 B68:B69 B71:B72 B75:B76 B78:B79 B81:B82 B84 B86">
    <cfRule type="expression" dxfId="12262" priority="156">
      <formula>$C46="Advance"</formula>
    </cfRule>
  </conditionalFormatting>
  <conditionalFormatting sqref="B46 B48:B50 B52 B54 B56 B58 B60 B62:B64 B66 B68:B69 B71:B72 B75:B76 B78:B79 B81:B82 B84 B86">
    <cfRule type="expression" dxfId="12261" priority="137">
      <formula>$C46="Delivery charge"</formula>
    </cfRule>
    <cfRule type="expression" dxfId="12260" priority="138">
      <formula>$C46="Staff Salary"</formula>
    </cfRule>
    <cfRule type="expression" dxfId="12259" priority="139">
      <formula>$C46="Rent"</formula>
    </cfRule>
    <cfRule type="expression" dxfId="12258" priority="140">
      <formula>$C46="Petrol"</formula>
    </cfRule>
    <cfRule type="expression" dxfId="12257" priority="141">
      <formula>$C46="Bills"</formula>
    </cfRule>
    <cfRule type="expression" dxfId="12256" priority="142">
      <formula>$C46="Sales"</formula>
    </cfRule>
    <cfRule type="expression" dxfId="12255" priority="143">
      <formula>$C46="Expences"</formula>
    </cfRule>
    <cfRule type="expression" dxfId="12254" priority="144">
      <formula>$C46="Garlic Purchase"</formula>
    </cfRule>
    <cfRule type="expression" dxfId="12253" priority="145">
      <formula>$C46="Ginger Purchase"</formula>
    </cfRule>
  </conditionalFormatting>
  <conditionalFormatting sqref="B46 B48:B50 B52 B54 B56 B58 B60 B62:B64 B66 B68:B69 B71:B72 B75:B76 B78:B79 B81:B82 B84 B86">
    <cfRule type="expression" dxfId="12252" priority="146">
      <formula>$C46="Advance"</formula>
    </cfRule>
  </conditionalFormatting>
  <conditionalFormatting sqref="B46 B48:B50 B52 B54 B56 B58 B60 B62:B64 B66 B68:B69 B71:B72 B75:B76 B78:B79 B81:B82 B84 B86">
    <cfRule type="expression" dxfId="12251" priority="127">
      <formula>$C46="Delivery charge"</formula>
    </cfRule>
    <cfRule type="expression" dxfId="12250" priority="128">
      <formula>$C46="Staff Salary"</formula>
    </cfRule>
    <cfRule type="expression" dxfId="12249" priority="129">
      <formula>$C46="Rent"</formula>
    </cfRule>
    <cfRule type="expression" dxfId="12248" priority="130">
      <formula>$C46="Petrol"</formula>
    </cfRule>
    <cfRule type="expression" dxfId="12247" priority="131">
      <formula>$C46="Bills"</formula>
    </cfRule>
    <cfRule type="expression" dxfId="12246" priority="132">
      <formula>$C46="Sales"</formula>
    </cfRule>
    <cfRule type="expression" dxfId="12245" priority="133">
      <formula>$C46="Expences"</formula>
    </cfRule>
    <cfRule type="expression" dxfId="12244" priority="134">
      <formula>$C46="Garlic Purchase"</formula>
    </cfRule>
    <cfRule type="expression" dxfId="12243" priority="135">
      <formula>$C46="Ginger Purchase"</formula>
    </cfRule>
  </conditionalFormatting>
  <conditionalFormatting sqref="B46 B48:B50 B52 B54 B56 B58 B60 B62:B64 B66 B68:B69 B71:B72 B75:B76 B78:B79 B81:B82 B84 B86">
    <cfRule type="expression" dxfId="12242" priority="136">
      <formula>$C46="Advance"</formula>
    </cfRule>
  </conditionalFormatting>
  <conditionalFormatting sqref="B46 B48:B50 B52 B54 B56 B58 B60 B62:B64 B66 B68:B69 B71:B72 B75:B76 B78:B79 B81:B82 B84 B86">
    <cfRule type="expression" dxfId="12241" priority="117">
      <formula>$C46="Delivery charge"</formula>
    </cfRule>
    <cfRule type="expression" dxfId="12240" priority="118">
      <formula>$C46="Staff Salary"</formula>
    </cfRule>
    <cfRule type="expression" dxfId="12239" priority="119">
      <formula>$C46="Rent"</formula>
    </cfRule>
    <cfRule type="expression" dxfId="12238" priority="120">
      <formula>$C46="Petrol"</formula>
    </cfRule>
    <cfRule type="expression" dxfId="12237" priority="121">
      <formula>$C46="Bills"</formula>
    </cfRule>
    <cfRule type="expression" dxfId="12236" priority="122">
      <formula>$C46="Sales"</formula>
    </cfRule>
    <cfRule type="expression" dxfId="12235" priority="123">
      <formula>$C46="Expences"</formula>
    </cfRule>
    <cfRule type="expression" dxfId="12234" priority="124">
      <formula>$C46="Garlic Purchase"</formula>
    </cfRule>
    <cfRule type="expression" dxfId="12233" priority="125">
      <formula>$C46="Ginger Purchase"</formula>
    </cfRule>
  </conditionalFormatting>
  <conditionalFormatting sqref="B46 B48:B50 B52 B54 B56 B58 B60 B62:B64 B66 B68:B69 B71:B72 B75:B76 B78:B79 B81:B82 B84 B86">
    <cfRule type="expression" dxfId="12232" priority="126">
      <formula>$C46="Advance"</formula>
    </cfRule>
  </conditionalFormatting>
  <conditionalFormatting sqref="B46 B48:B50 B52 B54 B56 B58 B60 B62:B64 B66 B68:B69 B71:B72 B75:B76 B78:B79 B81:B82 B84 B86">
    <cfRule type="expression" dxfId="12231" priority="107">
      <formula>$C46="Delivery charge"</formula>
    </cfRule>
    <cfRule type="expression" dxfId="12230" priority="108">
      <formula>$C46="Staff Salary"</formula>
    </cfRule>
    <cfRule type="expression" dxfId="12229" priority="109">
      <formula>$C46="Rent"</formula>
    </cfRule>
    <cfRule type="expression" dxfId="12228" priority="110">
      <formula>$C46="Petrol"</formula>
    </cfRule>
    <cfRule type="expression" dxfId="12227" priority="111">
      <formula>$C46="Bills"</formula>
    </cfRule>
    <cfRule type="expression" dxfId="12226" priority="112">
      <formula>$C46="Sales"</formula>
    </cfRule>
    <cfRule type="expression" dxfId="12225" priority="113">
      <formula>$C46="Expences"</formula>
    </cfRule>
    <cfRule type="expression" dxfId="12224" priority="114">
      <formula>$C46="Garlic Purchase"</formula>
    </cfRule>
    <cfRule type="expression" dxfId="12223" priority="115">
      <formula>$C46="Ginger Purchase"</formula>
    </cfRule>
  </conditionalFormatting>
  <conditionalFormatting sqref="B46 B48:B50 B52 B54 B56 B58 B60 B62:B64 B66 B68:B69 B71:B72 B75:B76 B78:B79 B81:B82 B84 B86">
    <cfRule type="expression" dxfId="12222" priority="116">
      <formula>$C46="Advance"</formula>
    </cfRule>
  </conditionalFormatting>
  <conditionalFormatting sqref="B46 B48:B50 B52 B54 B56 B58 B60 B62:B64 B66 B68:B69 B71:B72 B75:B76 B78:B79 B81:B82 B84 B86">
    <cfRule type="expression" dxfId="12221" priority="97">
      <formula>$C46="Delivery charge"</formula>
    </cfRule>
    <cfRule type="expression" dxfId="12220" priority="98">
      <formula>$C46="Staff Salary"</formula>
    </cfRule>
    <cfRule type="expression" dxfId="12219" priority="99">
      <formula>$C46="Rent"</formula>
    </cfRule>
    <cfRule type="expression" dxfId="12218" priority="100">
      <formula>$C46="Petrol"</formula>
    </cfRule>
    <cfRule type="expression" dxfId="12217" priority="101">
      <formula>$C46="Bills"</formula>
    </cfRule>
    <cfRule type="expression" dxfId="12216" priority="102">
      <formula>$C46="Sales"</formula>
    </cfRule>
    <cfRule type="expression" dxfId="12215" priority="103">
      <formula>$C46="Expences"</formula>
    </cfRule>
    <cfRule type="expression" dxfId="12214" priority="104">
      <formula>$C46="Garlic Purchase"</formula>
    </cfRule>
    <cfRule type="expression" dxfId="12213" priority="105">
      <formula>$C46="Ginger Purchase"</formula>
    </cfRule>
  </conditionalFormatting>
  <conditionalFormatting sqref="B46 B48:B50 B52 B54 B56 B58 B60 B62:B64 B66 B68:B69 B71:B72 B75:B76 B78:B79 B81:B82 B84 B86">
    <cfRule type="expression" dxfId="12212" priority="106">
      <formula>$C46="Advance"</formula>
    </cfRule>
  </conditionalFormatting>
  <conditionalFormatting sqref="B46 B48:B50 B52 B54 B56 B58 B60 B62:B64 B66 B68:B69 B71:B72 B75:B76 B78:B79 B81:B82 B84 B86">
    <cfRule type="expression" dxfId="12211" priority="87">
      <formula>$C46="Delivery charge"</formula>
    </cfRule>
    <cfRule type="expression" dxfId="12210" priority="88">
      <formula>$C46="Staff Salary"</formula>
    </cfRule>
    <cfRule type="expression" dxfId="12209" priority="89">
      <formula>$C46="Rent"</formula>
    </cfRule>
    <cfRule type="expression" dxfId="12208" priority="90">
      <formula>$C46="Petrol"</formula>
    </cfRule>
    <cfRule type="expression" dxfId="12207" priority="91">
      <formula>$C46="Bills"</formula>
    </cfRule>
    <cfRule type="expression" dxfId="12206" priority="92">
      <formula>$C46="Sales"</formula>
    </cfRule>
    <cfRule type="expression" dxfId="12205" priority="93">
      <formula>$C46="Expences"</formula>
    </cfRule>
    <cfRule type="expression" dxfId="12204" priority="94">
      <formula>$C46="Garlic Purchase"</formula>
    </cfRule>
    <cfRule type="expression" dxfId="12203" priority="95">
      <formula>$C46="Ginger Purchase"</formula>
    </cfRule>
  </conditionalFormatting>
  <conditionalFormatting sqref="B46 B48:B50 B52 B54 B56 B58 B60 B62:B64 B66 B68:B69 B71:B72 B75:B76 B78:B79 B81:B82 B84 B86">
    <cfRule type="expression" dxfId="12202" priority="96">
      <formula>$C46="Advance"</formula>
    </cfRule>
  </conditionalFormatting>
  <conditionalFormatting sqref="B46 B48:B50 B52 B54 B56 B58 B60 B62:B64 B66 B68:B69 B71:B72 B75:B76 B78:B79 B81:B82 B84 B86">
    <cfRule type="expression" dxfId="12201" priority="77">
      <formula>$C46="Delivery charge"</formula>
    </cfRule>
    <cfRule type="expression" dxfId="12200" priority="78">
      <formula>$C46="Staff Salary"</formula>
    </cfRule>
    <cfRule type="expression" dxfId="12199" priority="79">
      <formula>$C46="Rent"</formula>
    </cfRule>
    <cfRule type="expression" dxfId="12198" priority="80">
      <formula>$C46="Petrol"</formula>
    </cfRule>
    <cfRule type="expression" dxfId="12197" priority="81">
      <formula>$C46="Bills"</formula>
    </cfRule>
    <cfRule type="expression" dxfId="12196" priority="82">
      <formula>$C46="Sales"</formula>
    </cfRule>
    <cfRule type="expression" dxfId="12195" priority="83">
      <formula>$C46="Expences"</formula>
    </cfRule>
    <cfRule type="expression" dxfId="12194" priority="84">
      <formula>$C46="Garlic Purchase"</formula>
    </cfRule>
    <cfRule type="expression" dxfId="12193" priority="85">
      <formula>$C46="Ginger Purchase"</formula>
    </cfRule>
  </conditionalFormatting>
  <conditionalFormatting sqref="B46 B48:B50 B52 B54 B56 B58 B60 B62:B64 B66 B68:B69 B71:B72 B75:B76 B78:B79 B81:B82 B84 B86">
    <cfRule type="expression" dxfId="12192" priority="86">
      <formula>$C46="Advance"</formula>
    </cfRule>
  </conditionalFormatting>
  <conditionalFormatting sqref="B46 B48:B50 B52 B54 B56 B58 B60 B62:B64 B66 B68:B69 B71:B72 B75:B76 B78:B79 B81:B82 B84 B86">
    <cfRule type="expression" dxfId="12191" priority="67">
      <formula>$C46="Delivery charge"</formula>
    </cfRule>
    <cfRule type="expression" dxfId="12190" priority="68">
      <formula>$C46="Staff Salary"</formula>
    </cfRule>
    <cfRule type="expression" dxfId="12189" priority="69">
      <formula>$C46="Rent"</formula>
    </cfRule>
    <cfRule type="expression" dxfId="12188" priority="70">
      <formula>$C46="Petrol"</formula>
    </cfRule>
    <cfRule type="expression" dxfId="12187" priority="71">
      <formula>$C46="Bills"</formula>
    </cfRule>
    <cfRule type="expression" dxfId="12186" priority="72">
      <formula>$C46="Sales"</formula>
    </cfRule>
    <cfRule type="expression" dxfId="12185" priority="73">
      <formula>$C46="Expences"</formula>
    </cfRule>
    <cfRule type="expression" dxfId="12184" priority="74">
      <formula>$C46="Garlic Purchase"</formula>
    </cfRule>
    <cfRule type="expression" dxfId="12183" priority="75">
      <formula>$C46="Ginger Purchase"</formula>
    </cfRule>
  </conditionalFormatting>
  <conditionalFormatting sqref="B46 B48:B50 B52 B54 B56 B58 B60 B62:B64 B66 B68:B69 B71:B72 B75:B76 B78:B79 B81:B82 B84 B86">
    <cfRule type="expression" dxfId="12182" priority="76">
      <formula>$C46="Advance"</formula>
    </cfRule>
  </conditionalFormatting>
  <conditionalFormatting sqref="B46 B48:B50 B52 B54 B56 B58 B60 B62:B64 B66 B68:B69 B71:B72 B75:B76 B78:B79 B81:B82 B84 B86">
    <cfRule type="expression" dxfId="12181" priority="57">
      <formula>$C46="Delivery charge"</formula>
    </cfRule>
    <cfRule type="expression" dxfId="12180" priority="58">
      <formula>$C46="Staff Salary"</formula>
    </cfRule>
    <cfRule type="expression" dxfId="12179" priority="59">
      <formula>$C46="Rent"</formula>
    </cfRule>
    <cfRule type="expression" dxfId="12178" priority="60">
      <formula>$C46="Petrol"</formula>
    </cfRule>
    <cfRule type="expression" dxfId="12177" priority="61">
      <formula>$C46="Bills"</formula>
    </cfRule>
    <cfRule type="expression" dxfId="12176" priority="62">
      <formula>$C46="Sales"</formula>
    </cfRule>
    <cfRule type="expression" dxfId="12175" priority="63">
      <formula>$C46="Expences"</formula>
    </cfRule>
    <cfRule type="expression" dxfId="12174" priority="64">
      <formula>$C46="Garlic Purchase"</formula>
    </cfRule>
    <cfRule type="expression" dxfId="12173" priority="65">
      <formula>$C46="Ginger Purchase"</formula>
    </cfRule>
  </conditionalFormatting>
  <conditionalFormatting sqref="B46 B48:B50 B52 B54 B56 B58 B60 B62:B64 B66 B68:B69 B71:B72 B75:B76 B78:B79 B81:B82 B84 B86">
    <cfRule type="expression" dxfId="12172" priority="66">
      <formula>$C46="Advance"</formula>
    </cfRule>
  </conditionalFormatting>
  <conditionalFormatting sqref="B46 B48:B50 B52 B54 B56 B58 B60 B62:B64 B66 B68:B69 B71:B72 B75:B76 B78:B79 B81:B82 B84 B86">
    <cfRule type="expression" dxfId="12171" priority="47">
      <formula>$C46="Delivery charge"</formula>
    </cfRule>
    <cfRule type="expression" dxfId="12170" priority="48">
      <formula>$C46="Staff Salary"</formula>
    </cfRule>
    <cfRule type="expression" dxfId="12169" priority="49">
      <formula>$C46="Rent"</formula>
    </cfRule>
    <cfRule type="expression" dxfId="12168" priority="50">
      <formula>$C46="Petrol"</formula>
    </cfRule>
    <cfRule type="expression" dxfId="12167" priority="51">
      <formula>$C46="Bills"</formula>
    </cfRule>
    <cfRule type="expression" dxfId="12166" priority="52">
      <formula>$C46="Sales"</formula>
    </cfRule>
    <cfRule type="expression" dxfId="12165" priority="53">
      <formula>$C46="Expences"</formula>
    </cfRule>
    <cfRule type="expression" dxfId="12164" priority="54">
      <formula>$C46="Garlic Purchase"</formula>
    </cfRule>
    <cfRule type="expression" dxfId="12163" priority="55">
      <formula>$C46="Ginger Purchase"</formula>
    </cfRule>
  </conditionalFormatting>
  <conditionalFormatting sqref="B46 B48:B50 B52 B54 B56 B58 B60 B62:B64 B66 B68:B69 B71:B72 B75:B76 B78:B79 B81:B82 B84 B86">
    <cfRule type="expression" dxfId="12162" priority="56">
      <formula>$C46="Advance"</formula>
    </cfRule>
  </conditionalFormatting>
  <conditionalFormatting sqref="B46 B48:B50 B52 B54 B56 B58 B60 B62:B64 B66 B68:B69 B71:B72 B75:B76 B78:B79 B81:B82 B84 B86">
    <cfRule type="expression" dxfId="12161" priority="37">
      <formula>$C46="Delivery charge"</formula>
    </cfRule>
    <cfRule type="expression" dxfId="12160" priority="38">
      <formula>$C46="Staff Salary"</formula>
    </cfRule>
    <cfRule type="expression" dxfId="12159" priority="39">
      <formula>$C46="Rent"</formula>
    </cfRule>
    <cfRule type="expression" dxfId="12158" priority="40">
      <formula>$C46="Petrol"</formula>
    </cfRule>
    <cfRule type="expression" dxfId="12157" priority="41">
      <formula>$C46="Bills"</formula>
    </cfRule>
    <cfRule type="expression" dxfId="12156" priority="42">
      <formula>$C46="Sales"</formula>
    </cfRule>
    <cfRule type="expression" dxfId="12155" priority="43">
      <formula>$C46="Expences"</formula>
    </cfRule>
    <cfRule type="expression" dxfId="12154" priority="44">
      <formula>$C46="Garlic Purchase"</formula>
    </cfRule>
    <cfRule type="expression" dxfId="12153" priority="45">
      <formula>$C46="Ginger Purchase"</formula>
    </cfRule>
  </conditionalFormatting>
  <conditionalFormatting sqref="B46 B48:B50 B52 B54 B56 B58 B60 B62:B64 B66 B68:B69 B71:B72 B75:B76 B78:B79 B81:B82 B84 B86">
    <cfRule type="expression" dxfId="12152" priority="27">
      <formula>$C46="Delivery charge"</formula>
    </cfRule>
    <cfRule type="expression" dxfId="12151" priority="28">
      <formula>$C46="Staff Salary"</formula>
    </cfRule>
    <cfRule type="expression" dxfId="12150" priority="29">
      <formula>$C46="Rent"</formula>
    </cfRule>
    <cfRule type="expression" dxfId="12149" priority="30">
      <formula>$C46="Petrol"</formula>
    </cfRule>
    <cfRule type="expression" dxfId="12148" priority="31">
      <formula>$C46="Bills"</formula>
    </cfRule>
    <cfRule type="expression" dxfId="12147" priority="32">
      <formula>$C46="Sales"</formula>
    </cfRule>
    <cfRule type="expression" dxfId="12146" priority="33">
      <formula>$C46="Expences"</formula>
    </cfRule>
    <cfRule type="expression" dxfId="12145" priority="34">
      <formula>$C46="Garlic Purchase"</formula>
    </cfRule>
    <cfRule type="expression" dxfId="12144" priority="35">
      <formula>$C46="Ginger Purchase"</formula>
    </cfRule>
  </conditionalFormatting>
  <conditionalFormatting sqref="B46 B48:B50 B52 B54 B56 B58 B60 B62:B64 B66 B68:B69 B71:B72 B75:B76 B78:B79 B81:B82 B84 B86">
    <cfRule type="expression" dxfId="12143" priority="36">
      <formula>$C46="Advance"</formula>
    </cfRule>
  </conditionalFormatting>
  <conditionalFormatting sqref="B46 B48:B50 B52 B54 B56 B58 B60 B62:B64 B66 B68:B69 B71:B72 B75:B76 B78:B79 B81:B82 B84 B86">
    <cfRule type="expression" dxfId="12142" priority="17">
      <formula>$C46="Delivery charge"</formula>
    </cfRule>
    <cfRule type="expression" dxfId="12141" priority="18">
      <formula>$C46="Staff Salary"</formula>
    </cfRule>
    <cfRule type="expression" dxfId="12140" priority="19">
      <formula>$C46="Rent"</formula>
    </cfRule>
    <cfRule type="expression" dxfId="12139" priority="20">
      <formula>$C46="Petrol"</formula>
    </cfRule>
    <cfRule type="expression" dxfId="12138" priority="21">
      <formula>$C46="Bills"</formula>
    </cfRule>
    <cfRule type="expression" dxfId="12137" priority="22">
      <formula>$C46="Sales"</formula>
    </cfRule>
    <cfRule type="expression" dxfId="12136" priority="23">
      <formula>$C46="Expences"</formula>
    </cfRule>
    <cfRule type="expression" dxfId="12135" priority="24">
      <formula>$C46="Garlic Purchase"</formula>
    </cfRule>
    <cfRule type="expression" dxfId="12134" priority="25">
      <formula>$C46="Ginger Purchase"</formula>
    </cfRule>
  </conditionalFormatting>
  <conditionalFormatting sqref="B46 B48:B50 B52 B54 B56 B58 B60 B62:B64 B66 B68:B69 B71:B72 B75:B76 B78:B79 B81:B82 B84 B86">
    <cfRule type="expression" dxfId="12133" priority="26">
      <formula>$C46="Advance"</formula>
    </cfRule>
  </conditionalFormatting>
  <conditionalFormatting sqref="A76:A86">
    <cfRule type="expression" dxfId="12132" priority="12">
      <formula>$C76="Advance"</formula>
    </cfRule>
  </conditionalFormatting>
  <conditionalFormatting sqref="A45:A55">
    <cfRule type="expression" dxfId="12131" priority="15">
      <formula>$C45="Advance"</formula>
    </cfRule>
  </conditionalFormatting>
  <conditionalFormatting sqref="A56:A65">
    <cfRule type="expression" dxfId="12130" priority="14">
      <formula>$C56="Advance"</formula>
    </cfRule>
  </conditionalFormatting>
  <conditionalFormatting sqref="A66:A75">
    <cfRule type="expression" dxfId="12129" priority="13">
      <formula>$C66="Advance"</formula>
    </cfRule>
  </conditionalFormatting>
  <conditionalFormatting sqref="D205">
    <cfRule type="expression" dxfId="12128" priority="5404">
      <formula>$C204="Advance"</formula>
    </cfRule>
  </conditionalFormatting>
  <conditionalFormatting sqref="D205">
    <cfRule type="expression" dxfId="12127" priority="5414">
      <formula>$C204="Delivery charge"</formula>
    </cfRule>
    <cfRule type="expression" dxfId="12126" priority="5415">
      <formula>$C204="Staff Salary"</formula>
    </cfRule>
    <cfRule type="expression" dxfId="12125" priority="5416">
      <formula>$C204="Rent"</formula>
    </cfRule>
    <cfRule type="expression" dxfId="12124" priority="5417">
      <formula>$C204="Petrol"</formula>
    </cfRule>
    <cfRule type="expression" dxfId="12123" priority="5418">
      <formula>$C204="Bills"</formula>
    </cfRule>
    <cfRule type="expression" dxfId="12122" priority="5419">
      <formula>$C204="Sales"</formula>
    </cfRule>
    <cfRule type="expression" dxfId="12121" priority="5420">
      <formula>$C204="Expences"</formula>
    </cfRule>
    <cfRule type="expression" dxfId="12120" priority="5421">
      <formula>$C204="Garlic Purchase"</formula>
    </cfRule>
    <cfRule type="expression" dxfId="12119" priority="5422">
      <formula>$C204="Ginger Purchase"</formula>
    </cfRule>
  </conditionalFormatting>
  <pageMargins left="0.70866141732283472" right="0.70866141732283472" top="0.74803149606299213" bottom="0.74803149606299213" header="0" footer="0"/>
  <pageSetup paperSize="9" fitToWidth="0" orientation="portrait" r:id="rId3"/>
  <headerFooter>
    <oddHeader>&amp;CNFS Sales &amp; Expences - Nov 2025</oddHeader>
    <oddFooter>Page &amp;P of &amp;N</oddFooter>
  </headerFooter>
  <drawing r:id="rId4"/>
  <tableParts count="1">
    <tablePart r:id="rId5"/>
  </tableParts>
  <extLst>
    <ext xmlns:x14="http://schemas.microsoft.com/office/spreadsheetml/2009/9/main" uri="{CCE6A557-97BC-4b89-ADB6-D9C93CAAB3DF}">
      <x14:dataValidations xmlns:xm="http://schemas.microsoft.com/office/excel/2006/main" count="7">
        <x14:dataValidation type="list" allowBlank="1" showInputMessage="1" showErrorMessage="1">
          <x14:formula1>
            <xm:f>Sheet2!$A$1:$A$19</xm:f>
          </x14:formula1>
          <xm:sqref>C3:C317</xm:sqref>
        </x14:dataValidation>
        <x14:dataValidation type="list" allowBlank="1" showInputMessage="1" showErrorMessage="1">
          <x14:formula1>
            <xm:f>Sheet2!$C$1:$C$5</xm:f>
          </x14:formula1>
          <xm:sqref>K2:K317</xm:sqref>
        </x14:dataValidation>
        <x14:dataValidation type="list" allowBlank="1" showInputMessage="1" showErrorMessage="1">
          <x14:formula1>
            <xm:f>Sheet2!$E$1:$E$6</xm:f>
          </x14:formula1>
          <xm:sqref>G2:G317</xm:sqref>
        </x14:dataValidation>
        <x14:dataValidation type="list" allowBlank="1" showInputMessage="1" showErrorMessage="1">
          <x14:formula1>
            <xm:f>Sheet2!$D$1:$D$59</xm:f>
          </x14:formula1>
          <xm:sqref>F311:F317</xm:sqref>
        </x14:dataValidation>
        <x14:dataValidation type="list" allowBlank="1" showInputMessage="1" showErrorMessage="1">
          <x14:formula1>
            <xm:f>Sheet2!$D$1:$D$56</xm:f>
          </x14:formula1>
          <xm:sqref>F2:F51</xm:sqref>
        </x14:dataValidation>
        <x14:dataValidation type="list" allowBlank="1" showInputMessage="1" showErrorMessage="1">
          <x14:formula1>
            <xm:f>Sheet2!$D$1:$D$57</xm:f>
          </x14:formula1>
          <xm:sqref>F52:F228</xm:sqref>
        </x14:dataValidation>
        <x14:dataValidation type="list" allowBlank="1" showInputMessage="1" showErrorMessage="1">
          <x14:formula1>
            <xm:f>Sheet2!$D$1:$D$58</xm:f>
          </x14:formula1>
          <xm:sqref>F229:F310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10"/>
  <sheetViews>
    <sheetView tabSelected="1" zoomScale="85" zoomScaleNormal="85" workbookViewId="0">
      <pane ySplit="1" topLeftCell="A203" activePane="bottomLeft" state="frozen"/>
      <selection pane="bottomLeft" activeCell="N216" sqref="N216"/>
    </sheetView>
  </sheetViews>
  <sheetFormatPr defaultColWidth="14.42578125" defaultRowHeight="15" customHeight="1" x14ac:dyDescent="0.25"/>
  <cols>
    <col min="1" max="1" width="11.85546875" customWidth="1"/>
    <col min="2" max="2" width="11.7109375" customWidth="1"/>
    <col min="3" max="3" width="22.140625" bestFit="1" customWidth="1"/>
    <col min="4" max="5" width="13" bestFit="1" customWidth="1"/>
    <col min="6" max="6" width="36.42578125" style="73" customWidth="1"/>
    <col min="7" max="9" width="16" customWidth="1"/>
    <col min="10" max="10" width="16" style="230" customWidth="1"/>
    <col min="11" max="11" width="25.85546875" customWidth="1"/>
    <col min="12" max="12" width="12.140625" customWidth="1"/>
    <col min="13" max="13" width="25.140625" bestFit="1" customWidth="1"/>
    <col min="14" max="14" width="8.7109375" customWidth="1"/>
    <col min="15" max="15" width="31.140625" customWidth="1"/>
    <col min="16" max="16" width="12.28515625" customWidth="1"/>
    <col min="17" max="17" width="16" customWidth="1"/>
    <col min="18" max="18" width="5.42578125" customWidth="1"/>
    <col min="19" max="19" width="29.42578125" bestFit="1" customWidth="1"/>
    <col min="20" max="20" width="14.5703125" customWidth="1"/>
    <col min="21" max="21" width="15.28515625" customWidth="1"/>
    <col min="22" max="22" width="17.85546875" customWidth="1"/>
    <col min="23" max="24" width="8.5703125" customWidth="1"/>
    <col min="25" max="25" width="10.7109375" customWidth="1"/>
    <col min="26" max="26" width="4.5703125" customWidth="1"/>
    <col min="27" max="27" width="16.5703125" customWidth="1"/>
    <col min="28" max="28" width="7.28515625" customWidth="1"/>
    <col min="29" max="29" width="11.28515625" customWidth="1"/>
    <col min="30" max="30" width="10.140625" customWidth="1"/>
    <col min="31" max="31" width="6.5703125" customWidth="1"/>
    <col min="32" max="32" width="16.140625" customWidth="1"/>
    <col min="33" max="33" width="11.5703125" customWidth="1"/>
    <col min="34" max="34" width="14" customWidth="1"/>
    <col min="35" max="35" width="30.7109375" customWidth="1"/>
    <col min="36" max="36" width="20.5703125" customWidth="1"/>
    <col min="37" max="37" width="8" customWidth="1"/>
    <col min="38" max="38" width="12.7109375" customWidth="1"/>
    <col min="39" max="39" width="5.42578125" customWidth="1"/>
    <col min="40" max="40" width="12.140625" customWidth="1"/>
    <col min="41" max="41" width="18.28515625" customWidth="1"/>
    <col min="42" max="42" width="13.85546875" customWidth="1"/>
    <col min="43" max="43" width="11.7109375" customWidth="1"/>
    <col min="44" max="44" width="12.140625" customWidth="1"/>
    <col min="45" max="45" width="15.140625" customWidth="1"/>
    <col min="46" max="46" width="12.42578125" customWidth="1"/>
    <col min="47" max="47" width="26" customWidth="1"/>
    <col min="48" max="48" width="15.7109375" customWidth="1"/>
    <col min="49" max="49" width="6.42578125" customWidth="1"/>
    <col min="50" max="50" width="10.28515625" customWidth="1"/>
    <col min="51" max="60" width="5" customWidth="1"/>
    <col min="61" max="61" width="6" customWidth="1"/>
    <col min="62" max="62" width="7.28515625" customWidth="1"/>
    <col min="63" max="63" width="11.28515625" customWidth="1"/>
  </cols>
  <sheetData>
    <row r="1" spans="1:13" x14ac:dyDescent="0.25">
      <c r="A1" s="275" t="s">
        <v>1</v>
      </c>
      <c r="B1" s="276" t="s">
        <v>61</v>
      </c>
      <c r="C1" s="276" t="s">
        <v>2</v>
      </c>
      <c r="D1" s="276" t="s">
        <v>32</v>
      </c>
      <c r="E1" s="276" t="s">
        <v>33</v>
      </c>
      <c r="F1" s="277" t="s">
        <v>605</v>
      </c>
      <c r="G1" s="276" t="s">
        <v>616</v>
      </c>
      <c r="H1" s="276" t="s">
        <v>5</v>
      </c>
      <c r="I1" s="276" t="s">
        <v>668</v>
      </c>
      <c r="J1" s="278" t="s">
        <v>617</v>
      </c>
      <c r="K1" s="276" t="s">
        <v>3</v>
      </c>
      <c r="L1" s="276" t="s">
        <v>34</v>
      </c>
      <c r="M1" s="279" t="s">
        <v>8</v>
      </c>
    </row>
    <row r="2" spans="1:13" x14ac:dyDescent="0.25">
      <c r="A2" s="313"/>
      <c r="B2" s="314"/>
      <c r="C2" s="394" t="s">
        <v>62</v>
      </c>
      <c r="D2" s="315">
        <f>'Nov 2025 - Sales'!D321</f>
        <v>60995.5</v>
      </c>
      <c r="E2" s="314"/>
      <c r="F2" s="316"/>
      <c r="G2" s="36"/>
      <c r="H2" s="36"/>
      <c r="I2" s="36"/>
      <c r="J2" s="223"/>
      <c r="K2" s="36"/>
      <c r="L2" s="36"/>
      <c r="M2" s="273"/>
    </row>
    <row r="3" spans="1:13" x14ac:dyDescent="0.25">
      <c r="A3" s="302">
        <v>45992</v>
      </c>
      <c r="B3" s="314" t="s">
        <v>1614</v>
      </c>
      <c r="C3" s="314" t="s">
        <v>32</v>
      </c>
      <c r="D3" s="317">
        <v>1280</v>
      </c>
      <c r="E3" s="318"/>
      <c r="F3" s="319" t="s">
        <v>753</v>
      </c>
      <c r="G3" s="78"/>
      <c r="H3" s="78"/>
      <c r="I3" s="78"/>
      <c r="J3" s="224"/>
      <c r="K3" s="78"/>
      <c r="L3" s="36"/>
      <c r="M3" s="273"/>
    </row>
    <row r="4" spans="1:13" x14ac:dyDescent="0.25">
      <c r="A4" s="302">
        <v>45992</v>
      </c>
      <c r="B4" s="320" t="s">
        <v>1615</v>
      </c>
      <c r="C4" s="314" t="s">
        <v>32</v>
      </c>
      <c r="D4" s="317">
        <v>320</v>
      </c>
      <c r="E4" s="318"/>
      <c r="F4" s="319" t="s">
        <v>765</v>
      </c>
      <c r="G4" s="78"/>
      <c r="H4" s="78"/>
      <c r="I4" s="78"/>
      <c r="J4" s="224"/>
      <c r="K4" s="78"/>
      <c r="L4" s="36"/>
      <c r="M4" s="273"/>
    </row>
    <row r="5" spans="1:13" x14ac:dyDescent="0.25">
      <c r="A5" s="302">
        <v>45992</v>
      </c>
      <c r="B5" s="314" t="s">
        <v>1616</v>
      </c>
      <c r="C5" s="314" t="s">
        <v>32</v>
      </c>
      <c r="D5" s="317">
        <v>800</v>
      </c>
      <c r="E5" s="321"/>
      <c r="F5" s="322" t="s">
        <v>1171</v>
      </c>
      <c r="G5" s="70"/>
      <c r="H5" s="70"/>
      <c r="I5" s="70"/>
      <c r="J5" s="223"/>
      <c r="K5" s="70"/>
      <c r="L5" s="36"/>
      <c r="M5" s="273"/>
    </row>
    <row r="6" spans="1:13" x14ac:dyDescent="0.25">
      <c r="A6" s="302">
        <v>45992</v>
      </c>
      <c r="B6" s="320" t="s">
        <v>1617</v>
      </c>
      <c r="C6" s="314" t="s">
        <v>32</v>
      </c>
      <c r="D6" s="317">
        <v>160</v>
      </c>
      <c r="E6" s="321"/>
      <c r="F6" s="322" t="s">
        <v>1554</v>
      </c>
      <c r="G6" s="70"/>
      <c r="H6" s="70"/>
      <c r="I6" s="70"/>
      <c r="J6" s="223"/>
      <c r="K6" s="70"/>
      <c r="L6" s="36"/>
      <c r="M6" s="273"/>
    </row>
    <row r="7" spans="1:13" x14ac:dyDescent="0.25">
      <c r="A7" s="302">
        <v>45992</v>
      </c>
      <c r="B7" s="314" t="s">
        <v>1618</v>
      </c>
      <c r="C7" s="314" t="s">
        <v>32</v>
      </c>
      <c r="D7" s="317">
        <v>300</v>
      </c>
      <c r="E7" s="321"/>
      <c r="F7" s="322" t="s">
        <v>1345</v>
      </c>
      <c r="G7" s="70"/>
      <c r="H7" s="70"/>
      <c r="I7" s="70"/>
      <c r="J7" s="223"/>
      <c r="K7" s="70"/>
      <c r="L7" s="36"/>
      <c r="M7" s="273"/>
    </row>
    <row r="8" spans="1:13" x14ac:dyDescent="0.25">
      <c r="A8" s="302">
        <v>45992</v>
      </c>
      <c r="B8" s="320" t="s">
        <v>1619</v>
      </c>
      <c r="C8" s="314" t="s">
        <v>32</v>
      </c>
      <c r="D8" s="317">
        <v>2250</v>
      </c>
      <c r="E8" s="318"/>
      <c r="F8" s="319" t="s">
        <v>1270</v>
      </c>
      <c r="G8" s="78"/>
      <c r="H8" s="78"/>
      <c r="I8" s="78"/>
      <c r="J8" s="224"/>
      <c r="K8" s="78"/>
      <c r="L8" s="36"/>
      <c r="M8" s="273"/>
    </row>
    <row r="9" spans="1:13" x14ac:dyDescent="0.25">
      <c r="A9" s="302">
        <v>45992</v>
      </c>
      <c r="B9" s="314" t="s">
        <v>1620</v>
      </c>
      <c r="C9" s="314" t="s">
        <v>32</v>
      </c>
      <c r="D9" s="317">
        <v>90</v>
      </c>
      <c r="E9" s="321"/>
      <c r="F9" s="322" t="s">
        <v>521</v>
      </c>
      <c r="G9" s="70"/>
      <c r="H9" s="70"/>
      <c r="I9" s="70"/>
      <c r="J9" s="223"/>
      <c r="K9" s="70"/>
      <c r="L9" s="36"/>
      <c r="M9" s="273"/>
    </row>
    <row r="10" spans="1:13" x14ac:dyDescent="0.25">
      <c r="A10" s="302">
        <v>45992</v>
      </c>
      <c r="B10" s="320" t="s">
        <v>1621</v>
      </c>
      <c r="C10" s="314" t="s">
        <v>32</v>
      </c>
      <c r="D10" s="317">
        <v>170</v>
      </c>
      <c r="E10" s="323"/>
      <c r="F10" s="324" t="s">
        <v>817</v>
      </c>
      <c r="G10" s="129"/>
      <c r="H10" s="129"/>
      <c r="I10" s="129"/>
      <c r="J10" s="225"/>
      <c r="K10" s="129"/>
      <c r="L10" s="36"/>
      <c r="M10" s="273"/>
    </row>
    <row r="11" spans="1:13" x14ac:dyDescent="0.25">
      <c r="A11" s="302">
        <v>45992</v>
      </c>
      <c r="B11" s="314" t="s">
        <v>1622</v>
      </c>
      <c r="C11" s="314" t="s">
        <v>32</v>
      </c>
      <c r="D11" s="317">
        <v>160</v>
      </c>
      <c r="E11" s="323"/>
      <c r="F11" s="324" t="s">
        <v>1361</v>
      </c>
      <c r="G11" s="129"/>
      <c r="H11" s="129"/>
      <c r="I11" s="129"/>
      <c r="J11" s="225"/>
      <c r="K11" s="129"/>
      <c r="L11" s="36"/>
      <c r="M11" s="273"/>
    </row>
    <row r="12" spans="1:13" x14ac:dyDescent="0.25">
      <c r="A12" s="302">
        <v>45992</v>
      </c>
      <c r="B12" s="320" t="s">
        <v>1623</v>
      </c>
      <c r="C12" s="314" t="s">
        <v>32</v>
      </c>
      <c r="D12" s="317">
        <v>640</v>
      </c>
      <c r="E12" s="318"/>
      <c r="F12" s="319" t="s">
        <v>1352</v>
      </c>
      <c r="G12" s="78"/>
      <c r="H12" s="78"/>
      <c r="I12" s="78"/>
      <c r="J12" s="224"/>
      <c r="K12" s="78"/>
      <c r="L12" s="36"/>
      <c r="M12" s="273"/>
    </row>
    <row r="13" spans="1:13" x14ac:dyDescent="0.25">
      <c r="A13" s="302">
        <v>45992</v>
      </c>
      <c r="B13" s="314" t="s">
        <v>1624</v>
      </c>
      <c r="C13" s="314" t="s">
        <v>32</v>
      </c>
      <c r="D13" s="317">
        <v>1500</v>
      </c>
      <c r="E13" s="323"/>
      <c r="F13" s="324" t="s">
        <v>752</v>
      </c>
      <c r="G13" s="129"/>
      <c r="H13" s="129"/>
      <c r="I13" s="129"/>
      <c r="J13" s="225"/>
      <c r="K13" s="129"/>
      <c r="L13" s="36"/>
      <c r="M13" s="273"/>
    </row>
    <row r="14" spans="1:13" x14ac:dyDescent="0.25">
      <c r="A14" s="302">
        <v>45992</v>
      </c>
      <c r="B14" s="320"/>
      <c r="C14" s="314" t="s">
        <v>33</v>
      </c>
      <c r="D14" s="317"/>
      <c r="E14" s="323">
        <v>30</v>
      </c>
      <c r="F14" s="324"/>
      <c r="G14" s="129"/>
      <c r="H14" s="129"/>
      <c r="I14" s="129"/>
      <c r="J14" s="225"/>
      <c r="K14" s="129"/>
      <c r="L14" s="36"/>
      <c r="M14" s="273" t="s">
        <v>1625</v>
      </c>
    </row>
    <row r="15" spans="1:13" x14ac:dyDescent="0.25">
      <c r="A15" s="302">
        <v>45992</v>
      </c>
      <c r="B15" s="320"/>
      <c r="C15" s="314" t="s">
        <v>618</v>
      </c>
      <c r="D15" s="317"/>
      <c r="E15" s="323">
        <v>160</v>
      </c>
      <c r="F15" s="324"/>
      <c r="G15" s="129"/>
      <c r="H15" s="129"/>
      <c r="I15" s="129"/>
      <c r="J15" s="225"/>
      <c r="K15" s="129"/>
      <c r="L15" s="36"/>
      <c r="M15" s="274"/>
    </row>
    <row r="16" spans="1:13" x14ac:dyDescent="0.25">
      <c r="A16" s="302">
        <v>45992</v>
      </c>
      <c r="B16" s="320"/>
      <c r="C16" s="314" t="s">
        <v>33</v>
      </c>
      <c r="D16" s="317"/>
      <c r="E16" s="323">
        <v>50</v>
      </c>
      <c r="F16" s="324"/>
      <c r="G16" s="129"/>
      <c r="H16" s="129"/>
      <c r="I16" s="129"/>
      <c r="J16" s="225"/>
      <c r="K16" s="129"/>
      <c r="L16" s="36"/>
      <c r="M16" s="273"/>
    </row>
    <row r="17" spans="1:17" x14ac:dyDescent="0.25">
      <c r="A17" s="302">
        <v>45992</v>
      </c>
      <c r="B17" s="320"/>
      <c r="C17" s="314" t="s">
        <v>682</v>
      </c>
      <c r="D17" s="317"/>
      <c r="E17" s="323">
        <v>430</v>
      </c>
      <c r="F17" s="324"/>
      <c r="G17" s="129"/>
      <c r="H17" s="129"/>
      <c r="I17" s="129"/>
      <c r="J17" s="225"/>
      <c r="K17" s="129"/>
      <c r="L17" s="36"/>
      <c r="M17" s="273"/>
    </row>
    <row r="18" spans="1:17" x14ac:dyDescent="0.25">
      <c r="A18" s="302">
        <v>45993</v>
      </c>
      <c r="B18" s="320"/>
      <c r="C18" s="314" t="s">
        <v>145</v>
      </c>
      <c r="D18" s="317"/>
      <c r="E18" s="317">
        <v>3400</v>
      </c>
      <c r="F18" s="325"/>
      <c r="G18" s="37" t="s">
        <v>619</v>
      </c>
      <c r="H18" s="37">
        <v>68</v>
      </c>
      <c r="I18" s="37"/>
      <c r="J18" s="223">
        <v>50</v>
      </c>
      <c r="K18" s="37" t="s">
        <v>19</v>
      </c>
      <c r="L18" s="36"/>
      <c r="M18" s="273"/>
      <c r="O18" s="73"/>
      <c r="P18" s="79"/>
      <c r="Q18" s="79"/>
    </row>
    <row r="19" spans="1:17" x14ac:dyDescent="0.25">
      <c r="A19" s="302">
        <v>45993</v>
      </c>
      <c r="B19" s="399"/>
      <c r="C19" s="398" t="s">
        <v>161</v>
      </c>
      <c r="D19" s="400"/>
      <c r="E19" s="401">
        <v>500</v>
      </c>
      <c r="F19" s="402"/>
      <c r="G19" s="373"/>
      <c r="H19" s="373"/>
      <c r="I19" s="373"/>
      <c r="J19" s="375"/>
      <c r="K19" s="373"/>
      <c r="L19" s="371"/>
      <c r="M19" s="376" t="s">
        <v>1670</v>
      </c>
      <c r="O19" s="73"/>
      <c r="P19" s="79"/>
      <c r="Q19" s="79"/>
    </row>
    <row r="20" spans="1:17" x14ac:dyDescent="0.25">
      <c r="A20" s="302">
        <v>45993</v>
      </c>
      <c r="B20" s="320" t="s">
        <v>1626</v>
      </c>
      <c r="C20" s="326" t="s">
        <v>32</v>
      </c>
      <c r="D20" s="317">
        <v>1500</v>
      </c>
      <c r="E20" s="318"/>
      <c r="F20" s="319" t="s">
        <v>794</v>
      </c>
      <c r="G20" s="78"/>
      <c r="H20" s="78"/>
      <c r="I20" s="78"/>
      <c r="J20" s="224"/>
      <c r="K20" s="78"/>
      <c r="L20" s="36"/>
      <c r="M20" s="273"/>
      <c r="O20" s="73"/>
      <c r="P20" s="79"/>
      <c r="Q20" s="79"/>
    </row>
    <row r="21" spans="1:17" x14ac:dyDescent="0.25">
      <c r="A21" s="302">
        <v>45993</v>
      </c>
      <c r="B21" s="320" t="s">
        <v>1627</v>
      </c>
      <c r="C21" s="326" t="s">
        <v>32</v>
      </c>
      <c r="D21" s="317">
        <v>260</v>
      </c>
      <c r="E21" s="323"/>
      <c r="F21" s="324" t="s">
        <v>521</v>
      </c>
      <c r="G21" s="129"/>
      <c r="H21" s="129"/>
      <c r="I21" s="129"/>
      <c r="J21" s="225"/>
      <c r="K21" s="129"/>
      <c r="L21" s="36"/>
      <c r="M21" s="273"/>
      <c r="O21" s="73"/>
      <c r="P21" s="79"/>
      <c r="Q21" s="79"/>
    </row>
    <row r="22" spans="1:17" x14ac:dyDescent="0.25">
      <c r="A22" s="302">
        <v>45993</v>
      </c>
      <c r="B22" s="320" t="s">
        <v>1628</v>
      </c>
      <c r="C22" s="314" t="s">
        <v>32</v>
      </c>
      <c r="D22" s="317">
        <v>240</v>
      </c>
      <c r="E22" s="318"/>
      <c r="F22" s="319" t="s">
        <v>1554</v>
      </c>
      <c r="G22" s="78"/>
      <c r="H22" s="78"/>
      <c r="I22" s="78"/>
      <c r="J22" s="224"/>
      <c r="K22" s="78"/>
      <c r="L22" s="36"/>
      <c r="M22" s="273"/>
      <c r="O22" s="73"/>
      <c r="P22" s="79"/>
      <c r="Q22" s="79"/>
    </row>
    <row r="23" spans="1:17" x14ac:dyDescent="0.25">
      <c r="A23" s="302">
        <v>45993</v>
      </c>
      <c r="B23" s="320" t="s">
        <v>1629</v>
      </c>
      <c r="C23" s="314" t="s">
        <v>32</v>
      </c>
      <c r="D23" s="317">
        <v>160</v>
      </c>
      <c r="E23" s="323"/>
      <c r="F23" s="324" t="s">
        <v>1359</v>
      </c>
      <c r="G23" s="129"/>
      <c r="H23" s="129"/>
      <c r="I23" s="129"/>
      <c r="J23" s="225"/>
      <c r="K23" s="129"/>
      <c r="L23" s="36"/>
      <c r="M23" s="273"/>
      <c r="O23" s="73"/>
      <c r="P23" s="79"/>
      <c r="Q23" s="79"/>
    </row>
    <row r="24" spans="1:17" x14ac:dyDescent="0.25">
      <c r="A24" s="302">
        <v>45993</v>
      </c>
      <c r="B24" s="320" t="s">
        <v>1630</v>
      </c>
      <c r="C24" s="326" t="s">
        <v>32</v>
      </c>
      <c r="D24" s="317">
        <v>320</v>
      </c>
      <c r="E24" s="323"/>
      <c r="F24" s="324" t="s">
        <v>753</v>
      </c>
      <c r="G24" s="129"/>
      <c r="H24" s="129"/>
      <c r="I24" s="129"/>
      <c r="J24" s="225"/>
      <c r="K24" s="129"/>
      <c r="L24" s="36"/>
      <c r="M24" s="273"/>
      <c r="O24" s="73"/>
      <c r="P24" s="79"/>
      <c r="Q24" s="79"/>
    </row>
    <row r="25" spans="1:17" x14ac:dyDescent="0.25">
      <c r="A25" s="302">
        <v>45993</v>
      </c>
      <c r="B25" s="320" t="s">
        <v>1631</v>
      </c>
      <c r="C25" s="314" t="s">
        <v>32</v>
      </c>
      <c r="D25" s="317">
        <v>750</v>
      </c>
      <c r="E25" s="323"/>
      <c r="F25" s="324" t="s">
        <v>804</v>
      </c>
      <c r="G25" s="129"/>
      <c r="H25" s="129"/>
      <c r="I25" s="129"/>
      <c r="J25" s="225"/>
      <c r="K25" s="129"/>
      <c r="L25" s="36"/>
      <c r="M25" s="273"/>
      <c r="O25" s="73"/>
      <c r="P25" s="79"/>
      <c r="Q25" s="79"/>
    </row>
    <row r="26" spans="1:17" x14ac:dyDescent="0.25">
      <c r="A26" s="302">
        <v>45993</v>
      </c>
      <c r="B26" s="320" t="s">
        <v>1632</v>
      </c>
      <c r="C26" s="314" t="s">
        <v>32</v>
      </c>
      <c r="D26" s="317">
        <v>160</v>
      </c>
      <c r="E26" s="323"/>
      <c r="F26" s="324" t="s">
        <v>847</v>
      </c>
      <c r="G26" s="129"/>
      <c r="H26" s="129"/>
      <c r="I26" s="129"/>
      <c r="J26" s="225"/>
      <c r="K26" s="129"/>
      <c r="L26" s="36"/>
      <c r="M26" s="273"/>
      <c r="O26" s="73"/>
      <c r="P26" s="79"/>
      <c r="Q26" s="79"/>
    </row>
    <row r="27" spans="1:17" x14ac:dyDescent="0.25">
      <c r="A27" s="302">
        <v>45993</v>
      </c>
      <c r="B27" s="320" t="s">
        <v>1633</v>
      </c>
      <c r="C27" s="36" t="s">
        <v>32</v>
      </c>
      <c r="D27" s="37">
        <v>320</v>
      </c>
      <c r="E27" s="129"/>
      <c r="F27" s="253" t="s">
        <v>1361</v>
      </c>
      <c r="G27" s="129"/>
      <c r="H27" s="129"/>
      <c r="I27" s="129"/>
      <c r="J27" s="225"/>
      <c r="K27" s="129"/>
      <c r="L27" s="36"/>
      <c r="M27" s="273"/>
      <c r="O27" s="73"/>
      <c r="P27" s="79"/>
      <c r="Q27" s="79"/>
    </row>
    <row r="28" spans="1:17" x14ac:dyDescent="0.25">
      <c r="A28" s="302">
        <v>45993</v>
      </c>
      <c r="B28" s="320" t="s">
        <v>1634</v>
      </c>
      <c r="C28" s="36" t="s">
        <v>32</v>
      </c>
      <c r="D28" s="37">
        <v>750</v>
      </c>
      <c r="E28" s="129"/>
      <c r="F28" s="253" t="s">
        <v>752</v>
      </c>
      <c r="G28" s="129"/>
      <c r="H28" s="129"/>
      <c r="I28" s="129"/>
      <c r="J28" s="225"/>
      <c r="K28" s="129"/>
      <c r="L28" s="36"/>
      <c r="M28" s="273"/>
      <c r="O28" s="73"/>
      <c r="P28" s="79"/>
      <c r="Q28" s="79"/>
    </row>
    <row r="29" spans="1:17" x14ac:dyDescent="0.25">
      <c r="A29" s="302">
        <v>45993</v>
      </c>
      <c r="B29" s="320" t="s">
        <v>1635</v>
      </c>
      <c r="C29" s="290" t="s">
        <v>32</v>
      </c>
      <c r="D29" s="37">
        <v>750</v>
      </c>
      <c r="E29" s="78"/>
      <c r="F29" s="312" t="s">
        <v>741</v>
      </c>
      <c r="G29" s="78"/>
      <c r="H29" s="78"/>
      <c r="I29" s="78"/>
      <c r="J29" s="224"/>
      <c r="K29" s="78"/>
      <c r="L29" s="36"/>
      <c r="M29" s="273"/>
      <c r="O29" s="197" t="s">
        <v>163</v>
      </c>
      <c r="P29" s="83" t="s">
        <v>165</v>
      </c>
      <c r="Q29" s="83" t="s">
        <v>164</v>
      </c>
    </row>
    <row r="30" spans="1:17" x14ac:dyDescent="0.25">
      <c r="A30" s="302">
        <v>45993</v>
      </c>
      <c r="B30" s="320"/>
      <c r="C30" s="290" t="s">
        <v>33</v>
      </c>
      <c r="D30" s="37"/>
      <c r="E30" s="129">
        <v>50</v>
      </c>
      <c r="F30" s="253"/>
      <c r="G30" s="129"/>
      <c r="H30" s="129"/>
      <c r="I30" s="129"/>
      <c r="J30" s="225"/>
      <c r="K30" s="129"/>
      <c r="L30" s="36"/>
      <c r="M30" s="273"/>
      <c r="O30" s="198" t="s">
        <v>62</v>
      </c>
      <c r="P30" s="124">
        <v>60995.5</v>
      </c>
      <c r="Q30" s="124"/>
    </row>
    <row r="31" spans="1:17" x14ac:dyDescent="0.25">
      <c r="A31" s="302">
        <v>45994</v>
      </c>
      <c r="B31" s="320" t="s">
        <v>1636</v>
      </c>
      <c r="C31" s="290" t="s">
        <v>32</v>
      </c>
      <c r="D31" s="37">
        <v>750</v>
      </c>
      <c r="E31" s="129"/>
      <c r="F31" s="253" t="s">
        <v>741</v>
      </c>
      <c r="G31" s="129"/>
      <c r="H31" s="129"/>
      <c r="I31" s="129"/>
      <c r="J31" s="225"/>
      <c r="K31" s="129"/>
      <c r="L31" s="36"/>
      <c r="M31" s="273"/>
      <c r="O31" s="198" t="s">
        <v>234</v>
      </c>
      <c r="P31" s="124"/>
      <c r="Q31" s="124"/>
    </row>
    <row r="32" spans="1:17" x14ac:dyDescent="0.25">
      <c r="A32" s="302">
        <v>45994</v>
      </c>
      <c r="B32" s="320" t="s">
        <v>1637</v>
      </c>
      <c r="C32" s="36" t="s">
        <v>32</v>
      </c>
      <c r="D32" s="37">
        <v>320</v>
      </c>
      <c r="E32" s="129"/>
      <c r="F32" s="253" t="s">
        <v>753</v>
      </c>
      <c r="G32" s="129"/>
      <c r="H32" s="129"/>
      <c r="I32" s="129"/>
      <c r="J32" s="225"/>
      <c r="K32" s="129"/>
      <c r="L32" s="36"/>
      <c r="M32" s="273"/>
      <c r="O32" s="198" t="s">
        <v>32</v>
      </c>
      <c r="P32" s="124">
        <v>78870</v>
      </c>
      <c r="Q32" s="124"/>
    </row>
    <row r="33" spans="1:17" x14ac:dyDescent="0.25">
      <c r="A33" s="302">
        <v>45994</v>
      </c>
      <c r="B33" s="320" t="s">
        <v>1638</v>
      </c>
      <c r="C33" s="36" t="s">
        <v>32</v>
      </c>
      <c r="D33" s="37">
        <v>320</v>
      </c>
      <c r="E33" s="129"/>
      <c r="F33" s="253" t="s">
        <v>795</v>
      </c>
      <c r="G33" s="129"/>
      <c r="H33" s="129"/>
      <c r="I33" s="129"/>
      <c r="J33" s="225"/>
      <c r="K33" s="129"/>
      <c r="L33" s="36"/>
      <c r="M33" s="273"/>
      <c r="O33" s="198" t="s">
        <v>33</v>
      </c>
      <c r="P33" s="124"/>
      <c r="Q33" s="124">
        <v>500</v>
      </c>
    </row>
    <row r="34" spans="1:17" x14ac:dyDescent="0.25">
      <c r="A34" s="302">
        <v>45994</v>
      </c>
      <c r="B34" s="320" t="s">
        <v>1639</v>
      </c>
      <c r="C34" s="36" t="s">
        <v>32</v>
      </c>
      <c r="D34" s="37">
        <v>340</v>
      </c>
      <c r="E34" s="129"/>
      <c r="F34" s="253" t="s">
        <v>817</v>
      </c>
      <c r="G34" s="129"/>
      <c r="H34" s="129"/>
      <c r="I34" s="129"/>
      <c r="J34" s="225"/>
      <c r="K34" s="129"/>
      <c r="L34" s="36"/>
      <c r="M34" s="273"/>
      <c r="O34" s="198" t="s">
        <v>618</v>
      </c>
      <c r="P34" s="124"/>
      <c r="Q34" s="124">
        <v>320</v>
      </c>
    </row>
    <row r="35" spans="1:17" x14ac:dyDescent="0.25">
      <c r="A35" s="302">
        <v>45994</v>
      </c>
      <c r="B35" s="320" t="s">
        <v>1640</v>
      </c>
      <c r="C35" s="36" t="s">
        <v>32</v>
      </c>
      <c r="D35" s="37">
        <v>1500</v>
      </c>
      <c r="E35" s="136"/>
      <c r="F35" s="252" t="s">
        <v>752</v>
      </c>
      <c r="G35" s="136"/>
      <c r="H35" s="136"/>
      <c r="I35" s="136"/>
      <c r="J35" s="226"/>
      <c r="K35" s="136"/>
      <c r="L35" s="36"/>
      <c r="M35" s="273"/>
      <c r="O35" s="198" t="s">
        <v>682</v>
      </c>
      <c r="P35" s="124"/>
      <c r="Q35" s="124">
        <v>1020</v>
      </c>
    </row>
    <row r="36" spans="1:17" x14ac:dyDescent="0.25">
      <c r="A36" s="302">
        <v>45994</v>
      </c>
      <c r="B36" s="320" t="s">
        <v>1641</v>
      </c>
      <c r="C36" s="36" t="s">
        <v>32</v>
      </c>
      <c r="D36" s="37">
        <v>1350</v>
      </c>
      <c r="E36" s="129"/>
      <c r="F36" s="253" t="s">
        <v>748</v>
      </c>
      <c r="G36" s="129"/>
      <c r="H36" s="129"/>
      <c r="I36" s="129"/>
      <c r="J36" s="225"/>
      <c r="K36" s="129"/>
      <c r="L36" s="36"/>
      <c r="M36" s="273"/>
      <c r="O36" s="198" t="s">
        <v>145</v>
      </c>
      <c r="P36" s="124"/>
      <c r="Q36" s="124">
        <v>10300</v>
      </c>
    </row>
    <row r="37" spans="1:17" x14ac:dyDescent="0.25">
      <c r="A37" s="302">
        <v>45994</v>
      </c>
      <c r="B37" s="320" t="s">
        <v>1642</v>
      </c>
      <c r="C37" s="36" t="s">
        <v>32</v>
      </c>
      <c r="D37" s="37">
        <v>220</v>
      </c>
      <c r="E37" s="78"/>
      <c r="F37" s="312" t="s">
        <v>1554</v>
      </c>
      <c r="G37" s="78"/>
      <c r="H37" s="78"/>
      <c r="I37" s="78"/>
      <c r="J37" s="224"/>
      <c r="K37" s="78"/>
      <c r="L37" s="36"/>
      <c r="M37" s="273"/>
      <c r="O37" s="198" t="s">
        <v>546</v>
      </c>
      <c r="P37" s="124"/>
      <c r="Q37" s="124">
        <v>600</v>
      </c>
    </row>
    <row r="38" spans="1:17" x14ac:dyDescent="0.25">
      <c r="A38" s="302">
        <v>45994</v>
      </c>
      <c r="B38" s="320" t="s">
        <v>1643</v>
      </c>
      <c r="C38" s="36" t="s">
        <v>32</v>
      </c>
      <c r="D38" s="37">
        <v>150</v>
      </c>
      <c r="E38" s="129"/>
      <c r="F38" s="253" t="s">
        <v>1345</v>
      </c>
      <c r="G38" s="129"/>
      <c r="H38" s="129"/>
      <c r="I38" s="129"/>
      <c r="J38" s="225"/>
      <c r="K38" s="129"/>
      <c r="L38" s="36"/>
      <c r="M38" s="273"/>
      <c r="O38" s="198" t="s">
        <v>207</v>
      </c>
      <c r="P38" s="124"/>
      <c r="Q38" s="124">
        <v>8610</v>
      </c>
    </row>
    <row r="39" spans="1:17" x14ac:dyDescent="0.25">
      <c r="A39" s="302">
        <v>45994</v>
      </c>
      <c r="B39" s="320" t="s">
        <v>1644</v>
      </c>
      <c r="C39" s="36" t="s">
        <v>32</v>
      </c>
      <c r="D39" s="37">
        <v>1600</v>
      </c>
      <c r="E39" s="129"/>
      <c r="F39" s="253" t="s">
        <v>740</v>
      </c>
      <c r="G39" s="129"/>
      <c r="H39" s="129"/>
      <c r="I39" s="129"/>
      <c r="J39" s="225"/>
      <c r="K39" s="129"/>
      <c r="L39" s="36"/>
      <c r="M39" s="273"/>
      <c r="O39" s="198" t="s">
        <v>77</v>
      </c>
      <c r="P39" s="124"/>
      <c r="Q39" s="124">
        <v>9000</v>
      </c>
    </row>
    <row r="40" spans="1:17" x14ac:dyDescent="0.25">
      <c r="A40" s="302">
        <v>45994</v>
      </c>
      <c r="B40" s="320"/>
      <c r="C40" s="36" t="s">
        <v>546</v>
      </c>
      <c r="D40" s="37"/>
      <c r="E40" s="129">
        <v>50</v>
      </c>
      <c r="F40" s="253"/>
      <c r="G40" s="129"/>
      <c r="H40" s="129"/>
      <c r="I40" s="129"/>
      <c r="J40" s="225"/>
      <c r="K40" s="129"/>
      <c r="L40" s="36"/>
      <c r="M40" s="273"/>
      <c r="O40" s="198" t="s">
        <v>109</v>
      </c>
      <c r="P40" s="124"/>
      <c r="Q40" s="124">
        <v>770</v>
      </c>
    </row>
    <row r="41" spans="1:17" x14ac:dyDescent="0.25">
      <c r="A41" s="302">
        <v>45994</v>
      </c>
      <c r="B41" s="320"/>
      <c r="C41" s="36" t="s">
        <v>207</v>
      </c>
      <c r="D41" s="37"/>
      <c r="E41" s="129">
        <v>30</v>
      </c>
      <c r="F41" s="253"/>
      <c r="G41" s="129"/>
      <c r="H41" s="129"/>
      <c r="I41" s="129"/>
      <c r="J41" s="225"/>
      <c r="K41" s="129"/>
      <c r="L41" s="36"/>
      <c r="M41" s="273"/>
      <c r="O41" s="198" t="s">
        <v>161</v>
      </c>
      <c r="P41" s="124"/>
      <c r="Q41" s="124">
        <v>5850</v>
      </c>
    </row>
    <row r="42" spans="1:17" x14ac:dyDescent="0.25">
      <c r="A42" s="302">
        <v>45994</v>
      </c>
      <c r="B42" s="320"/>
      <c r="C42" s="36" t="s">
        <v>33</v>
      </c>
      <c r="D42" s="37"/>
      <c r="E42" s="129">
        <v>50</v>
      </c>
      <c r="F42" s="253"/>
      <c r="G42" s="129"/>
      <c r="H42" s="129"/>
      <c r="I42" s="129"/>
      <c r="J42" s="225"/>
      <c r="K42" s="129"/>
      <c r="L42" s="36"/>
      <c r="M42" s="273"/>
      <c r="O42" s="198" t="s">
        <v>818</v>
      </c>
      <c r="P42" s="124"/>
      <c r="Q42" s="124">
        <v>60</v>
      </c>
    </row>
    <row r="43" spans="1:17" x14ac:dyDescent="0.25">
      <c r="A43" s="302">
        <v>45995</v>
      </c>
      <c r="B43" s="320" t="s">
        <v>1645</v>
      </c>
      <c r="C43" s="36" t="s">
        <v>32</v>
      </c>
      <c r="D43" s="37">
        <v>160</v>
      </c>
      <c r="E43" s="129"/>
      <c r="F43" s="253" t="s">
        <v>1554</v>
      </c>
      <c r="G43" s="129"/>
      <c r="H43" s="129"/>
      <c r="I43" s="129"/>
      <c r="J43" s="225"/>
      <c r="K43" s="129"/>
      <c r="L43" s="36"/>
      <c r="M43" s="273"/>
      <c r="O43" s="198" t="s">
        <v>147</v>
      </c>
      <c r="P43" s="124"/>
      <c r="Q43" s="124">
        <v>45300</v>
      </c>
    </row>
    <row r="44" spans="1:17" x14ac:dyDescent="0.25">
      <c r="A44" s="302">
        <v>45995</v>
      </c>
      <c r="B44" s="320" t="s">
        <v>1646</v>
      </c>
      <c r="C44" s="36" t="s">
        <v>32</v>
      </c>
      <c r="D44" s="37">
        <v>320</v>
      </c>
      <c r="E44" s="129"/>
      <c r="F44" s="253" t="s">
        <v>753</v>
      </c>
      <c r="G44" s="129"/>
      <c r="H44" s="129"/>
      <c r="I44" s="129"/>
      <c r="J44" s="225"/>
      <c r="K44" s="129"/>
      <c r="L44" s="36"/>
      <c r="M44" s="273"/>
      <c r="O44" s="198" t="s">
        <v>16</v>
      </c>
      <c r="P44" s="124">
        <v>139865.5</v>
      </c>
      <c r="Q44" s="124">
        <v>82330</v>
      </c>
    </row>
    <row r="45" spans="1:17" x14ac:dyDescent="0.25">
      <c r="A45" s="302">
        <v>45995</v>
      </c>
      <c r="B45" s="320" t="s">
        <v>1647</v>
      </c>
      <c r="C45" s="36" t="s">
        <v>32</v>
      </c>
      <c r="D45" s="37">
        <v>80</v>
      </c>
      <c r="E45" s="129"/>
      <c r="F45" s="253" t="s">
        <v>847</v>
      </c>
      <c r="G45" s="129"/>
      <c r="H45" s="129"/>
      <c r="I45" s="129"/>
      <c r="J45" s="225"/>
      <c r="K45" s="129"/>
      <c r="L45" s="36"/>
      <c r="M45" s="273"/>
    </row>
    <row r="46" spans="1:17" x14ac:dyDescent="0.25">
      <c r="A46" s="302">
        <v>45995</v>
      </c>
      <c r="B46" s="320" t="s">
        <v>1648</v>
      </c>
      <c r="C46" s="36" t="s">
        <v>32</v>
      </c>
      <c r="D46" s="37">
        <v>160</v>
      </c>
      <c r="E46" s="129"/>
      <c r="F46" s="253" t="s">
        <v>1103</v>
      </c>
      <c r="G46" s="129"/>
      <c r="H46" s="129"/>
      <c r="I46" s="129"/>
      <c r="J46" s="225"/>
      <c r="K46" s="129"/>
      <c r="L46" s="36"/>
      <c r="M46" s="273"/>
    </row>
    <row r="47" spans="1:17" x14ac:dyDescent="0.25">
      <c r="A47" s="302">
        <v>45995</v>
      </c>
      <c r="B47" s="320" t="s">
        <v>1649</v>
      </c>
      <c r="C47" s="36" t="s">
        <v>32</v>
      </c>
      <c r="D47" s="37">
        <v>340</v>
      </c>
      <c r="E47" s="129"/>
      <c r="F47" s="253" t="s">
        <v>1349</v>
      </c>
      <c r="G47" s="129"/>
      <c r="H47" s="129"/>
      <c r="I47" s="129"/>
      <c r="J47" s="225"/>
      <c r="K47" s="129"/>
      <c r="L47" s="36"/>
      <c r="M47" s="273"/>
      <c r="O47" s="385"/>
      <c r="P47" s="382"/>
      <c r="Q47" s="382"/>
    </row>
    <row r="48" spans="1:17" x14ac:dyDescent="0.25">
      <c r="A48" s="302">
        <v>45995</v>
      </c>
      <c r="B48" s="320" t="s">
        <v>1650</v>
      </c>
      <c r="C48" s="36" t="s">
        <v>32</v>
      </c>
      <c r="D48" s="37">
        <v>160</v>
      </c>
      <c r="E48" s="129"/>
      <c r="F48" s="253" t="s">
        <v>1188</v>
      </c>
      <c r="G48" s="129"/>
      <c r="H48" s="129"/>
      <c r="I48" s="129"/>
      <c r="J48" s="225"/>
      <c r="K48" s="129"/>
      <c r="L48" s="36"/>
      <c r="M48" s="273"/>
      <c r="O48" s="385"/>
      <c r="P48" s="382"/>
      <c r="Q48" s="382"/>
    </row>
    <row r="49" spans="1:17" x14ac:dyDescent="0.25">
      <c r="A49" s="302">
        <v>45995</v>
      </c>
      <c r="B49" s="320" t="s">
        <v>1651</v>
      </c>
      <c r="C49" s="36" t="s">
        <v>32</v>
      </c>
      <c r="D49" s="37">
        <v>3000</v>
      </c>
      <c r="E49" s="129"/>
      <c r="F49" s="253" t="s">
        <v>752</v>
      </c>
      <c r="G49" s="129"/>
      <c r="H49" s="129"/>
      <c r="I49" s="129"/>
      <c r="J49" s="225"/>
      <c r="K49" s="129"/>
      <c r="L49" s="36"/>
      <c r="M49" s="273"/>
      <c r="O49" s="385"/>
      <c r="P49" s="382"/>
      <c r="Q49" s="382"/>
    </row>
    <row r="50" spans="1:17" x14ac:dyDescent="0.25">
      <c r="A50" s="302">
        <v>45995</v>
      </c>
      <c r="B50" s="320" t="s">
        <v>1652</v>
      </c>
      <c r="C50" s="36" t="s">
        <v>32</v>
      </c>
      <c r="D50" s="37">
        <v>750</v>
      </c>
      <c r="E50" s="129"/>
      <c r="F50" s="253" t="s">
        <v>804</v>
      </c>
      <c r="G50" s="129"/>
      <c r="H50" s="129"/>
      <c r="I50" s="129"/>
      <c r="J50" s="225"/>
      <c r="K50" s="129"/>
      <c r="L50" s="36"/>
      <c r="M50" s="273"/>
      <c r="O50" s="386"/>
      <c r="P50" s="387"/>
      <c r="Q50" s="387"/>
    </row>
    <row r="51" spans="1:17" x14ac:dyDescent="0.25">
      <c r="A51" s="302">
        <v>45995</v>
      </c>
      <c r="B51" s="320"/>
      <c r="C51" s="36" t="s">
        <v>33</v>
      </c>
      <c r="D51" s="37"/>
      <c r="E51" s="129">
        <v>50</v>
      </c>
      <c r="F51" s="253"/>
      <c r="G51" s="129"/>
      <c r="H51" s="129"/>
      <c r="I51" s="129"/>
      <c r="J51" s="225"/>
      <c r="K51" s="129"/>
      <c r="L51" s="36"/>
      <c r="M51" s="273"/>
      <c r="O51" s="386"/>
      <c r="P51" s="387"/>
      <c r="Q51" s="387"/>
    </row>
    <row r="52" spans="1:17" x14ac:dyDescent="0.25">
      <c r="A52" s="302">
        <v>45996</v>
      </c>
      <c r="B52" s="320" t="s">
        <v>1653</v>
      </c>
      <c r="C52" s="36" t="s">
        <v>32</v>
      </c>
      <c r="D52" s="37">
        <v>3000</v>
      </c>
      <c r="E52" s="129"/>
      <c r="F52" s="253" t="s">
        <v>752</v>
      </c>
      <c r="G52" s="129"/>
      <c r="H52" s="129"/>
      <c r="I52" s="129"/>
      <c r="J52" s="225"/>
      <c r="K52" s="129"/>
      <c r="L52" s="36"/>
      <c r="M52" s="273"/>
      <c r="O52" s="73"/>
      <c r="P52" s="79"/>
      <c r="Q52" s="79"/>
    </row>
    <row r="53" spans="1:17" x14ac:dyDescent="0.25">
      <c r="A53" s="302">
        <v>45996</v>
      </c>
      <c r="B53" s="320" t="s">
        <v>1654</v>
      </c>
      <c r="C53" s="36" t="s">
        <v>32</v>
      </c>
      <c r="D53" s="37">
        <v>340</v>
      </c>
      <c r="E53" s="129"/>
      <c r="F53" s="253" t="s">
        <v>817</v>
      </c>
      <c r="G53" s="129"/>
      <c r="H53" s="129"/>
      <c r="I53" s="129"/>
      <c r="J53" s="225"/>
      <c r="K53" s="129"/>
      <c r="L53" s="36"/>
      <c r="M53" s="273"/>
      <c r="O53" s="197" t="s">
        <v>163</v>
      </c>
      <c r="P53" s="124" t="s">
        <v>165</v>
      </c>
    </row>
    <row r="54" spans="1:17" x14ac:dyDescent="0.25">
      <c r="A54" s="302">
        <v>45996</v>
      </c>
      <c r="B54" s="320" t="s">
        <v>1655</v>
      </c>
      <c r="C54" s="36" t="s">
        <v>32</v>
      </c>
      <c r="D54" s="37">
        <v>160</v>
      </c>
      <c r="E54" s="129"/>
      <c r="F54" s="253" t="s">
        <v>1554</v>
      </c>
      <c r="G54" s="129"/>
      <c r="H54" s="129"/>
      <c r="I54" s="129"/>
      <c r="J54" s="225"/>
      <c r="K54" s="129"/>
      <c r="L54" s="36"/>
      <c r="M54" s="273"/>
      <c r="O54" s="198" t="s">
        <v>234</v>
      </c>
      <c r="P54" s="124">
        <v>60995.5</v>
      </c>
    </row>
    <row r="55" spans="1:17" x14ac:dyDescent="0.25">
      <c r="A55" s="302">
        <v>45996</v>
      </c>
      <c r="B55" s="320" t="s">
        <v>1656</v>
      </c>
      <c r="C55" s="36" t="s">
        <v>32</v>
      </c>
      <c r="D55" s="37">
        <v>320</v>
      </c>
      <c r="E55" s="78"/>
      <c r="F55" s="312" t="s">
        <v>753</v>
      </c>
      <c r="G55" s="78"/>
      <c r="H55" s="78"/>
      <c r="I55" s="78"/>
      <c r="J55" s="224"/>
      <c r="K55" s="78"/>
      <c r="L55" s="36"/>
      <c r="M55" s="273"/>
      <c r="O55" s="198" t="s">
        <v>753</v>
      </c>
      <c r="P55" s="124">
        <v>4320</v>
      </c>
    </row>
    <row r="56" spans="1:17" x14ac:dyDescent="0.25">
      <c r="A56" s="302">
        <v>45996</v>
      </c>
      <c r="B56" s="320" t="s">
        <v>1657</v>
      </c>
      <c r="C56" s="36" t="s">
        <v>32</v>
      </c>
      <c r="D56" s="37">
        <v>80</v>
      </c>
      <c r="E56" s="129"/>
      <c r="F56" s="253" t="s">
        <v>1103</v>
      </c>
      <c r="G56" s="129"/>
      <c r="H56" s="129"/>
      <c r="I56" s="129"/>
      <c r="J56" s="225"/>
      <c r="K56" s="129"/>
      <c r="L56" s="36"/>
      <c r="M56" s="273"/>
      <c r="O56" s="198" t="s">
        <v>765</v>
      </c>
      <c r="P56" s="124">
        <v>320</v>
      </c>
    </row>
    <row r="57" spans="1:17" x14ac:dyDescent="0.25">
      <c r="A57" s="302">
        <v>45996</v>
      </c>
      <c r="B57" s="320" t="s">
        <v>1658</v>
      </c>
      <c r="C57" s="36" t="s">
        <v>32</v>
      </c>
      <c r="D57" s="37">
        <v>3000</v>
      </c>
      <c r="E57" s="129"/>
      <c r="F57" s="253" t="s">
        <v>766</v>
      </c>
      <c r="G57" s="129"/>
      <c r="H57" s="129"/>
      <c r="I57" s="129"/>
      <c r="J57" s="225"/>
      <c r="K57" s="129"/>
      <c r="L57" s="36"/>
      <c r="M57" s="273"/>
      <c r="O57" s="198" t="s">
        <v>1171</v>
      </c>
      <c r="P57" s="124">
        <v>800</v>
      </c>
    </row>
    <row r="58" spans="1:17" x14ac:dyDescent="0.25">
      <c r="A58" s="302">
        <v>45996</v>
      </c>
      <c r="B58" s="320" t="s">
        <v>1659</v>
      </c>
      <c r="C58" s="36" t="s">
        <v>32</v>
      </c>
      <c r="D58" s="37">
        <v>750</v>
      </c>
      <c r="E58" s="129"/>
      <c r="F58" s="253" t="s">
        <v>804</v>
      </c>
      <c r="G58" s="129"/>
      <c r="H58" s="129"/>
      <c r="I58" s="129"/>
      <c r="J58" s="225"/>
      <c r="K58" s="129"/>
      <c r="L58" s="36"/>
      <c r="M58" s="273"/>
      <c r="O58" s="198" t="s">
        <v>1554</v>
      </c>
      <c r="P58" s="124">
        <v>1500</v>
      </c>
    </row>
    <row r="59" spans="1:17" x14ac:dyDescent="0.25">
      <c r="A59" s="302">
        <v>45996</v>
      </c>
      <c r="B59" s="320" t="s">
        <v>1660</v>
      </c>
      <c r="C59" s="36" t="s">
        <v>32</v>
      </c>
      <c r="D59" s="37">
        <v>510</v>
      </c>
      <c r="E59" s="129"/>
      <c r="F59" s="253" t="s">
        <v>817</v>
      </c>
      <c r="G59" s="129"/>
      <c r="H59" s="129"/>
      <c r="I59" s="129"/>
      <c r="J59" s="225"/>
      <c r="K59" s="129"/>
      <c r="L59" s="36"/>
      <c r="M59" s="273"/>
      <c r="O59" s="198" t="s">
        <v>1345</v>
      </c>
      <c r="P59" s="124">
        <v>450</v>
      </c>
    </row>
    <row r="60" spans="1:17" x14ac:dyDescent="0.25">
      <c r="A60" s="302">
        <v>45996</v>
      </c>
      <c r="B60" s="320" t="s">
        <v>1661</v>
      </c>
      <c r="C60" s="36" t="s">
        <v>32</v>
      </c>
      <c r="D60" s="37">
        <v>1600</v>
      </c>
      <c r="E60" s="129"/>
      <c r="F60" s="253" t="s">
        <v>740</v>
      </c>
      <c r="G60" s="129"/>
      <c r="H60" s="129"/>
      <c r="I60" s="129"/>
      <c r="J60" s="225"/>
      <c r="K60" s="129"/>
      <c r="L60" s="36"/>
      <c r="M60" s="273"/>
      <c r="O60" s="198" t="s">
        <v>1270</v>
      </c>
      <c r="P60" s="124">
        <v>6750</v>
      </c>
    </row>
    <row r="61" spans="1:17" x14ac:dyDescent="0.25">
      <c r="A61" s="302">
        <v>45996</v>
      </c>
      <c r="B61" s="320"/>
      <c r="C61" s="36" t="s">
        <v>77</v>
      </c>
      <c r="D61" s="331"/>
      <c r="E61" s="332">
        <v>9000</v>
      </c>
      <c r="F61" s="256"/>
      <c r="G61" s="332"/>
      <c r="H61" s="332"/>
      <c r="I61" s="332"/>
      <c r="J61" s="334"/>
      <c r="K61" s="332"/>
      <c r="L61" s="330"/>
      <c r="M61" s="335"/>
      <c r="O61" s="198" t="s">
        <v>521</v>
      </c>
      <c r="P61" s="124">
        <v>2070</v>
      </c>
    </row>
    <row r="62" spans="1:17" x14ac:dyDescent="0.25">
      <c r="A62" s="302">
        <v>45996</v>
      </c>
      <c r="B62" s="320"/>
      <c r="C62" s="36" t="s">
        <v>109</v>
      </c>
      <c r="D62" s="331"/>
      <c r="E62" s="332">
        <v>400</v>
      </c>
      <c r="F62" s="333"/>
      <c r="G62" s="332"/>
      <c r="H62" s="332"/>
      <c r="I62" s="332"/>
      <c r="J62" s="334"/>
      <c r="K62" s="332"/>
      <c r="L62" s="330"/>
      <c r="M62" s="335"/>
      <c r="O62" s="198" t="s">
        <v>817</v>
      </c>
      <c r="P62" s="124">
        <v>12150</v>
      </c>
    </row>
    <row r="63" spans="1:17" x14ac:dyDescent="0.25">
      <c r="A63" s="302">
        <v>45997</v>
      </c>
      <c r="B63" s="320"/>
      <c r="C63" s="36" t="s">
        <v>161</v>
      </c>
      <c r="D63" s="331"/>
      <c r="E63" s="332">
        <v>5000</v>
      </c>
      <c r="F63" s="256"/>
      <c r="G63" s="332"/>
      <c r="H63" s="332"/>
      <c r="I63" s="332"/>
      <c r="J63" s="334"/>
      <c r="K63" s="332"/>
      <c r="L63" s="330"/>
      <c r="M63" s="273" t="s">
        <v>1670</v>
      </c>
      <c r="O63" s="198" t="s">
        <v>1361</v>
      </c>
      <c r="P63" s="124">
        <v>480</v>
      </c>
    </row>
    <row r="64" spans="1:17" x14ac:dyDescent="0.25">
      <c r="A64" s="302">
        <v>45997</v>
      </c>
      <c r="B64" s="314"/>
      <c r="C64" s="36" t="s">
        <v>145</v>
      </c>
      <c r="D64" s="37"/>
      <c r="E64" s="122">
        <v>3500</v>
      </c>
      <c r="F64" s="256"/>
      <c r="G64" s="122" t="s">
        <v>619</v>
      </c>
      <c r="H64" s="122">
        <v>70</v>
      </c>
      <c r="I64" s="122"/>
      <c r="J64" s="227">
        <v>50</v>
      </c>
      <c r="K64" s="122" t="s">
        <v>19</v>
      </c>
      <c r="L64" s="36"/>
      <c r="M64" s="273"/>
      <c r="O64" s="198" t="s">
        <v>1352</v>
      </c>
      <c r="P64" s="124">
        <v>640</v>
      </c>
    </row>
    <row r="65" spans="1:17" x14ac:dyDescent="0.25">
      <c r="A65" s="302">
        <v>45997</v>
      </c>
      <c r="B65" s="314" t="s">
        <v>1662</v>
      </c>
      <c r="C65" s="36" t="s">
        <v>32</v>
      </c>
      <c r="D65" s="37">
        <v>400</v>
      </c>
      <c r="E65" s="122"/>
      <c r="F65" s="256" t="s">
        <v>1554</v>
      </c>
      <c r="G65" s="122"/>
      <c r="H65" s="122"/>
      <c r="I65" s="122"/>
      <c r="J65" s="227"/>
      <c r="K65" s="122"/>
      <c r="L65" s="36"/>
      <c r="M65" s="273"/>
      <c r="O65" s="198" t="s">
        <v>752</v>
      </c>
      <c r="P65" s="124">
        <v>15000</v>
      </c>
    </row>
    <row r="66" spans="1:17" x14ac:dyDescent="0.25">
      <c r="A66" s="302">
        <v>45997</v>
      </c>
      <c r="B66" s="320" t="s">
        <v>1663</v>
      </c>
      <c r="C66" s="36" t="s">
        <v>32</v>
      </c>
      <c r="D66" s="331">
        <v>1500</v>
      </c>
      <c r="E66" s="332"/>
      <c r="F66" s="256" t="s">
        <v>804</v>
      </c>
      <c r="G66" s="332"/>
      <c r="H66" s="332"/>
      <c r="I66" s="332"/>
      <c r="J66" s="334"/>
      <c r="K66" s="332"/>
      <c r="L66" s="330"/>
      <c r="M66" s="335"/>
      <c r="O66" s="198" t="s">
        <v>794</v>
      </c>
      <c r="P66" s="124">
        <v>2300</v>
      </c>
    </row>
    <row r="67" spans="1:17" x14ac:dyDescent="0.25">
      <c r="A67" s="302">
        <v>45997</v>
      </c>
      <c r="B67" s="314" t="s">
        <v>1671</v>
      </c>
      <c r="C67" s="36" t="s">
        <v>32</v>
      </c>
      <c r="D67" s="331">
        <v>800</v>
      </c>
      <c r="E67" s="332"/>
      <c r="F67" s="256" t="s">
        <v>753</v>
      </c>
      <c r="G67" s="332"/>
      <c r="H67" s="332"/>
      <c r="I67" s="332"/>
      <c r="J67" s="334"/>
      <c r="K67" s="332"/>
      <c r="L67" s="330"/>
      <c r="M67" s="335"/>
      <c r="O67" s="198" t="s">
        <v>1359</v>
      </c>
      <c r="P67" s="124">
        <v>160</v>
      </c>
    </row>
    <row r="68" spans="1:17" x14ac:dyDescent="0.25">
      <c r="A68" s="302">
        <v>45997</v>
      </c>
      <c r="B68" s="320" t="s">
        <v>1672</v>
      </c>
      <c r="C68" s="36" t="s">
        <v>32</v>
      </c>
      <c r="D68" s="331">
        <v>2880</v>
      </c>
      <c r="E68" s="332"/>
      <c r="F68" s="256" t="s">
        <v>817</v>
      </c>
      <c r="G68" s="332"/>
      <c r="H68" s="332"/>
      <c r="I68" s="332"/>
      <c r="J68" s="334"/>
      <c r="K68" s="332"/>
      <c r="L68" s="330"/>
      <c r="M68" s="335"/>
      <c r="O68" s="198" t="s">
        <v>804</v>
      </c>
      <c r="P68" s="124">
        <v>6750</v>
      </c>
    </row>
    <row r="69" spans="1:17" x14ac:dyDescent="0.25">
      <c r="A69" s="302">
        <v>45997</v>
      </c>
      <c r="B69" s="314" t="s">
        <v>1673</v>
      </c>
      <c r="C69" s="36" t="s">
        <v>32</v>
      </c>
      <c r="D69" s="331">
        <v>600</v>
      </c>
      <c r="E69" s="332"/>
      <c r="F69" s="256" t="s">
        <v>1068</v>
      </c>
      <c r="G69" s="332"/>
      <c r="H69" s="332"/>
      <c r="I69" s="332"/>
      <c r="J69" s="334"/>
      <c r="K69" s="332"/>
      <c r="L69" s="330"/>
      <c r="M69" s="335"/>
      <c r="O69" s="198" t="s">
        <v>847</v>
      </c>
      <c r="P69" s="124">
        <v>240</v>
      </c>
    </row>
    <row r="70" spans="1:17" x14ac:dyDescent="0.25">
      <c r="A70" s="302">
        <v>45997</v>
      </c>
      <c r="B70" s="320" t="s">
        <v>1674</v>
      </c>
      <c r="C70" s="36" t="s">
        <v>32</v>
      </c>
      <c r="D70" s="331">
        <v>720</v>
      </c>
      <c r="E70" s="332"/>
      <c r="F70" s="256" t="s">
        <v>521</v>
      </c>
      <c r="G70" s="332"/>
      <c r="H70" s="332"/>
      <c r="I70" s="332"/>
      <c r="J70" s="334"/>
      <c r="K70" s="332"/>
      <c r="L70" s="330"/>
      <c r="M70" s="335"/>
      <c r="O70" s="198" t="s">
        <v>741</v>
      </c>
      <c r="P70" s="124">
        <v>2580</v>
      </c>
    </row>
    <row r="71" spans="1:17" x14ac:dyDescent="0.25">
      <c r="A71" s="302">
        <v>45997</v>
      </c>
      <c r="B71" s="314" t="s">
        <v>1675</v>
      </c>
      <c r="C71" s="36" t="s">
        <v>32</v>
      </c>
      <c r="D71" s="331">
        <v>480</v>
      </c>
      <c r="E71" s="332"/>
      <c r="F71" s="256" t="s">
        <v>741</v>
      </c>
      <c r="G71" s="332"/>
      <c r="H71" s="332"/>
      <c r="I71" s="332"/>
      <c r="J71" s="334"/>
      <c r="K71" s="332"/>
      <c r="L71" s="330"/>
      <c r="M71" s="335"/>
      <c r="O71" s="198" t="s">
        <v>795</v>
      </c>
      <c r="P71" s="124">
        <v>640</v>
      </c>
    </row>
    <row r="72" spans="1:17" x14ac:dyDescent="0.25">
      <c r="A72" s="302">
        <v>45997</v>
      </c>
      <c r="B72" s="320" t="s">
        <v>1676</v>
      </c>
      <c r="C72" s="36" t="s">
        <v>32</v>
      </c>
      <c r="D72" s="37">
        <v>240</v>
      </c>
      <c r="E72" s="332"/>
      <c r="F72" s="256" t="s">
        <v>1360</v>
      </c>
      <c r="G72" s="332"/>
      <c r="H72" s="332"/>
      <c r="I72" s="332"/>
      <c r="J72" s="334"/>
      <c r="K72" s="332"/>
      <c r="L72" s="330"/>
      <c r="M72" s="335"/>
      <c r="O72" s="198" t="s">
        <v>748</v>
      </c>
      <c r="P72" s="124">
        <v>1350</v>
      </c>
    </row>
    <row r="73" spans="1:17" x14ac:dyDescent="0.25">
      <c r="A73" s="302">
        <v>45997</v>
      </c>
      <c r="B73" s="314"/>
      <c r="C73" s="36" t="s">
        <v>161</v>
      </c>
      <c r="D73" s="331"/>
      <c r="E73" s="332">
        <v>200</v>
      </c>
      <c r="F73" s="256"/>
      <c r="G73" s="332"/>
      <c r="H73" s="332"/>
      <c r="I73" s="332"/>
      <c r="J73" s="334"/>
      <c r="K73" s="332"/>
      <c r="L73" s="330"/>
      <c r="M73" s="335"/>
      <c r="O73" s="198" t="s">
        <v>740</v>
      </c>
      <c r="P73" s="124">
        <v>4800</v>
      </c>
      <c r="Q73" s="79"/>
    </row>
    <row r="74" spans="1:17" x14ac:dyDescent="0.25">
      <c r="A74" s="302">
        <v>45997</v>
      </c>
      <c r="B74" s="320"/>
      <c r="C74" s="36" t="s">
        <v>682</v>
      </c>
      <c r="D74" s="331"/>
      <c r="E74" s="332">
        <v>160</v>
      </c>
      <c r="F74" s="256"/>
      <c r="G74" s="332"/>
      <c r="H74" s="332"/>
      <c r="I74" s="332"/>
      <c r="J74" s="334"/>
      <c r="K74" s="332"/>
      <c r="L74" s="330"/>
      <c r="M74" s="335"/>
      <c r="O74" s="198" t="s">
        <v>1103</v>
      </c>
      <c r="P74" s="124">
        <v>240</v>
      </c>
      <c r="Q74" s="79"/>
    </row>
    <row r="75" spans="1:17" x14ac:dyDescent="0.25">
      <c r="A75" s="302">
        <v>45997</v>
      </c>
      <c r="B75" s="314"/>
      <c r="C75" s="36" t="s">
        <v>33</v>
      </c>
      <c r="D75" s="37"/>
      <c r="E75" s="122">
        <v>50</v>
      </c>
      <c r="F75" s="256"/>
      <c r="G75" s="122"/>
      <c r="H75" s="122"/>
      <c r="I75" s="122"/>
      <c r="J75" s="227"/>
      <c r="K75" s="122"/>
      <c r="L75" s="36"/>
      <c r="M75" s="273"/>
      <c r="O75" s="198" t="s">
        <v>1188</v>
      </c>
      <c r="P75" s="124">
        <v>320</v>
      </c>
      <c r="Q75" s="79"/>
    </row>
    <row r="76" spans="1:17" x14ac:dyDescent="0.25">
      <c r="A76" s="302">
        <v>45997</v>
      </c>
      <c r="B76" s="314"/>
      <c r="C76" s="36" t="s">
        <v>207</v>
      </c>
      <c r="D76" s="331"/>
      <c r="E76" s="332">
        <v>80</v>
      </c>
      <c r="F76" s="256"/>
      <c r="G76" s="332"/>
      <c r="H76" s="332"/>
      <c r="I76" s="332"/>
      <c r="J76" s="334"/>
      <c r="K76" s="332"/>
      <c r="L76" s="330"/>
      <c r="M76" s="335"/>
      <c r="O76" s="198" t="s">
        <v>766</v>
      </c>
      <c r="P76" s="124">
        <v>6000</v>
      </c>
      <c r="Q76" s="79"/>
    </row>
    <row r="77" spans="1:17" x14ac:dyDescent="0.25">
      <c r="A77" s="302">
        <v>45997</v>
      </c>
      <c r="B77" s="314" t="s">
        <v>1677</v>
      </c>
      <c r="C77" s="36" t="s">
        <v>32</v>
      </c>
      <c r="D77" s="331">
        <v>2000</v>
      </c>
      <c r="E77" s="332"/>
      <c r="F77" s="256" t="s">
        <v>777</v>
      </c>
      <c r="G77" s="332"/>
      <c r="H77" s="332"/>
      <c r="I77" s="332"/>
      <c r="J77" s="334"/>
      <c r="K77" s="332"/>
      <c r="L77" s="330"/>
      <c r="M77" s="335"/>
      <c r="O77" s="198" t="s">
        <v>1068</v>
      </c>
      <c r="P77" s="124">
        <v>600</v>
      </c>
    </row>
    <row r="78" spans="1:17" x14ac:dyDescent="0.25">
      <c r="A78" s="302">
        <v>45997</v>
      </c>
      <c r="B78" s="398" t="s">
        <v>1678</v>
      </c>
      <c r="C78" s="371" t="s">
        <v>32</v>
      </c>
      <c r="D78" s="372">
        <v>1500</v>
      </c>
      <c r="E78" s="373"/>
      <c r="F78" s="374" t="s">
        <v>752</v>
      </c>
      <c r="G78" s="373"/>
      <c r="H78" s="373"/>
      <c r="I78" s="373"/>
      <c r="J78" s="375"/>
      <c r="K78" s="373"/>
      <c r="L78" s="371"/>
      <c r="M78" s="376"/>
      <c r="O78" s="198" t="s">
        <v>1360</v>
      </c>
      <c r="P78" s="124">
        <v>240</v>
      </c>
    </row>
    <row r="79" spans="1:17" x14ac:dyDescent="0.25">
      <c r="A79" s="302">
        <v>45997</v>
      </c>
      <c r="B79" s="398" t="s">
        <v>1679</v>
      </c>
      <c r="C79" s="371" t="s">
        <v>32</v>
      </c>
      <c r="D79" s="372">
        <v>1100</v>
      </c>
      <c r="E79" s="373"/>
      <c r="F79" s="374" t="s">
        <v>1344</v>
      </c>
      <c r="G79" s="373"/>
      <c r="H79" s="373"/>
      <c r="I79" s="373"/>
      <c r="J79" s="375"/>
      <c r="K79" s="373"/>
      <c r="L79" s="371"/>
      <c r="M79" s="376"/>
      <c r="O79" s="198" t="s">
        <v>777</v>
      </c>
      <c r="P79" s="124">
        <v>2000</v>
      </c>
    </row>
    <row r="80" spans="1:17" x14ac:dyDescent="0.25">
      <c r="A80" s="302">
        <v>45998</v>
      </c>
      <c r="B80" s="314" t="s">
        <v>1680</v>
      </c>
      <c r="C80" s="371" t="s">
        <v>32</v>
      </c>
      <c r="D80" s="372">
        <v>320</v>
      </c>
      <c r="E80" s="373"/>
      <c r="F80" s="374" t="s">
        <v>795</v>
      </c>
      <c r="G80" s="373"/>
      <c r="H80" s="373"/>
      <c r="I80" s="373"/>
      <c r="J80" s="375"/>
      <c r="K80" s="373"/>
      <c r="L80" s="371"/>
      <c r="M80" s="376"/>
      <c r="O80" s="198" t="s">
        <v>1344</v>
      </c>
      <c r="P80" s="124">
        <v>1300</v>
      </c>
    </row>
    <row r="81" spans="1:16" x14ac:dyDescent="0.25">
      <c r="A81" s="302">
        <v>45998</v>
      </c>
      <c r="B81" s="398" t="s">
        <v>1681</v>
      </c>
      <c r="C81" s="371" t="s">
        <v>32</v>
      </c>
      <c r="D81" s="372">
        <v>800</v>
      </c>
      <c r="E81" s="373"/>
      <c r="F81" s="374" t="s">
        <v>778</v>
      </c>
      <c r="G81" s="373"/>
      <c r="H81" s="373"/>
      <c r="I81" s="373"/>
      <c r="J81" s="375"/>
      <c r="K81" s="373"/>
      <c r="L81" s="371"/>
      <c r="M81" s="376"/>
      <c r="O81" s="198" t="s">
        <v>778</v>
      </c>
      <c r="P81" s="124">
        <v>800</v>
      </c>
    </row>
    <row r="82" spans="1:16" x14ac:dyDescent="0.25">
      <c r="A82" s="302">
        <v>45998</v>
      </c>
      <c r="B82" s="398" t="s">
        <v>1682</v>
      </c>
      <c r="C82" s="371" t="s">
        <v>32</v>
      </c>
      <c r="D82" s="372">
        <v>800</v>
      </c>
      <c r="E82" s="373"/>
      <c r="F82" s="374" t="s">
        <v>794</v>
      </c>
      <c r="G82" s="373"/>
      <c r="H82" s="373"/>
      <c r="I82" s="373"/>
      <c r="J82" s="375"/>
      <c r="K82" s="373"/>
      <c r="L82" s="371"/>
      <c r="M82" s="376"/>
      <c r="O82" s="198" t="s">
        <v>739</v>
      </c>
      <c r="P82" s="124">
        <v>800</v>
      </c>
    </row>
    <row r="83" spans="1:16" x14ac:dyDescent="0.25">
      <c r="A83" s="302">
        <v>45998</v>
      </c>
      <c r="B83" s="314" t="s">
        <v>1683</v>
      </c>
      <c r="C83" s="371" t="s">
        <v>32</v>
      </c>
      <c r="D83" s="372">
        <v>750</v>
      </c>
      <c r="E83" s="373"/>
      <c r="F83" s="374" t="s">
        <v>804</v>
      </c>
      <c r="G83" s="373"/>
      <c r="H83" s="373"/>
      <c r="I83" s="373"/>
      <c r="J83" s="375"/>
      <c r="K83" s="373"/>
      <c r="L83" s="371"/>
      <c r="M83" s="376"/>
      <c r="O83" s="198" t="s">
        <v>749</v>
      </c>
      <c r="P83" s="124">
        <v>2850</v>
      </c>
    </row>
    <row r="84" spans="1:16" x14ac:dyDescent="0.25">
      <c r="A84" s="302">
        <v>45998</v>
      </c>
      <c r="B84" s="398" t="s">
        <v>1684</v>
      </c>
      <c r="C84" s="371" t="s">
        <v>32</v>
      </c>
      <c r="D84" s="372">
        <v>220</v>
      </c>
      <c r="E84" s="373"/>
      <c r="F84" s="374" t="s">
        <v>1349</v>
      </c>
      <c r="G84" s="373"/>
      <c r="H84" s="373"/>
      <c r="I84" s="373"/>
      <c r="J84" s="375"/>
      <c r="K84" s="373"/>
      <c r="L84" s="371"/>
      <c r="M84" s="376"/>
      <c r="O84" s="198" t="s">
        <v>1350</v>
      </c>
      <c r="P84" s="124">
        <v>160</v>
      </c>
    </row>
    <row r="85" spans="1:16" x14ac:dyDescent="0.25">
      <c r="A85" s="302">
        <v>45998</v>
      </c>
      <c r="B85" s="398"/>
      <c r="C85" s="371" t="s">
        <v>33</v>
      </c>
      <c r="D85" s="372"/>
      <c r="E85" s="373">
        <v>20</v>
      </c>
      <c r="F85" s="374"/>
      <c r="G85" s="373"/>
      <c r="H85" s="373"/>
      <c r="I85" s="373"/>
      <c r="J85" s="375"/>
      <c r="K85" s="373"/>
      <c r="L85" s="371"/>
      <c r="M85" s="376"/>
      <c r="O85" s="198" t="s">
        <v>797</v>
      </c>
      <c r="P85" s="124">
        <v>160</v>
      </c>
    </row>
    <row r="86" spans="1:16" x14ac:dyDescent="0.25">
      <c r="A86" s="302">
        <v>45999</v>
      </c>
      <c r="B86" s="314" t="s">
        <v>1685</v>
      </c>
      <c r="C86" s="371" t="s">
        <v>32</v>
      </c>
      <c r="D86" s="372">
        <v>180</v>
      </c>
      <c r="E86" s="373"/>
      <c r="F86" s="374" t="s">
        <v>1349</v>
      </c>
      <c r="G86" s="373"/>
      <c r="H86" s="373"/>
      <c r="I86" s="373"/>
      <c r="J86" s="375"/>
      <c r="K86" s="373"/>
      <c r="L86" s="371"/>
      <c r="M86" s="376"/>
      <c r="O86" s="198" t="s">
        <v>1346</v>
      </c>
      <c r="P86" s="124">
        <v>100</v>
      </c>
    </row>
    <row r="87" spans="1:16" x14ac:dyDescent="0.25">
      <c r="A87" s="302">
        <v>45999</v>
      </c>
      <c r="B87" s="314" t="s">
        <v>1686</v>
      </c>
      <c r="C87" s="371" t="s">
        <v>32</v>
      </c>
      <c r="D87" s="372">
        <v>90</v>
      </c>
      <c r="E87" s="373"/>
      <c r="F87" s="374" t="s">
        <v>817</v>
      </c>
      <c r="G87" s="373"/>
      <c r="H87" s="373"/>
      <c r="I87" s="373"/>
      <c r="J87" s="375"/>
      <c r="K87" s="373"/>
      <c r="L87" s="371"/>
      <c r="M87" s="376"/>
      <c r="O87" s="198" t="s">
        <v>16</v>
      </c>
      <c r="P87" s="124">
        <v>139865.5</v>
      </c>
    </row>
    <row r="88" spans="1:16" x14ac:dyDescent="0.25">
      <c r="A88" s="302">
        <v>45999</v>
      </c>
      <c r="B88" s="314" t="s">
        <v>1687</v>
      </c>
      <c r="C88" s="371" t="s">
        <v>32</v>
      </c>
      <c r="D88" s="372">
        <v>320</v>
      </c>
      <c r="E88" s="373"/>
      <c r="F88" s="374" t="s">
        <v>753</v>
      </c>
      <c r="G88" s="373"/>
      <c r="H88" s="373"/>
      <c r="I88" s="373"/>
      <c r="J88" s="375"/>
      <c r="K88" s="373"/>
      <c r="L88" s="371"/>
      <c r="M88" s="376"/>
      <c r="O88" s="395"/>
      <c r="P88" s="396"/>
    </row>
    <row r="89" spans="1:16" x14ac:dyDescent="0.25">
      <c r="A89" s="302">
        <v>45999</v>
      </c>
      <c r="B89" s="314" t="s">
        <v>1688</v>
      </c>
      <c r="C89" s="371" t="s">
        <v>32</v>
      </c>
      <c r="D89" s="372">
        <v>300</v>
      </c>
      <c r="E89" s="373"/>
      <c r="F89" s="374" t="s">
        <v>766</v>
      </c>
      <c r="G89" s="373"/>
      <c r="H89" s="373"/>
      <c r="I89" s="373"/>
      <c r="J89" s="375"/>
      <c r="K89" s="373"/>
      <c r="L89" s="371"/>
      <c r="M89" s="376"/>
      <c r="O89" s="395"/>
      <c r="P89" s="396"/>
    </row>
    <row r="90" spans="1:16" x14ac:dyDescent="0.25">
      <c r="A90" s="302">
        <v>45999</v>
      </c>
      <c r="B90" s="314" t="s">
        <v>1689</v>
      </c>
      <c r="C90" s="371" t="s">
        <v>32</v>
      </c>
      <c r="D90" s="372">
        <v>750</v>
      </c>
      <c r="E90" s="373"/>
      <c r="F90" s="374" t="s">
        <v>752</v>
      </c>
      <c r="G90" s="373"/>
      <c r="H90" s="373"/>
      <c r="I90" s="373"/>
      <c r="J90" s="375"/>
      <c r="K90" s="373"/>
      <c r="L90" s="371"/>
      <c r="M90" s="376"/>
      <c r="O90" s="395"/>
      <c r="P90" s="396"/>
    </row>
    <row r="91" spans="1:16" x14ac:dyDescent="0.25">
      <c r="A91" s="302">
        <v>45999</v>
      </c>
      <c r="B91" s="314" t="s">
        <v>1690</v>
      </c>
      <c r="C91" s="371" t="s">
        <v>32</v>
      </c>
      <c r="D91" s="372">
        <v>480</v>
      </c>
      <c r="E91" s="373"/>
      <c r="F91" s="374" t="s">
        <v>739</v>
      </c>
      <c r="G91" s="373"/>
      <c r="H91" s="373"/>
      <c r="I91" s="373"/>
      <c r="J91" s="375"/>
      <c r="K91" s="373"/>
      <c r="L91" s="371"/>
      <c r="M91" s="376"/>
      <c r="O91" s="395"/>
      <c r="P91" s="396"/>
    </row>
    <row r="92" spans="1:16" x14ac:dyDescent="0.25">
      <c r="A92" s="302">
        <v>45999</v>
      </c>
      <c r="B92" s="314"/>
      <c r="C92" s="371" t="s">
        <v>161</v>
      </c>
      <c r="D92" s="372"/>
      <c r="E92" s="373">
        <v>150</v>
      </c>
      <c r="F92" s="374"/>
      <c r="G92" s="373"/>
      <c r="H92" s="373"/>
      <c r="I92" s="373"/>
      <c r="J92" s="375"/>
      <c r="K92" s="373"/>
      <c r="L92" s="371"/>
      <c r="M92" s="376"/>
      <c r="O92" s="395"/>
      <c r="P92" s="396"/>
    </row>
    <row r="93" spans="1:16" x14ac:dyDescent="0.25">
      <c r="A93" s="302">
        <v>45999</v>
      </c>
      <c r="B93" s="314"/>
      <c r="C93" s="371" t="s">
        <v>33</v>
      </c>
      <c r="D93" s="372"/>
      <c r="E93" s="373">
        <v>50</v>
      </c>
      <c r="F93" s="374"/>
      <c r="G93" s="373"/>
      <c r="H93" s="373"/>
      <c r="I93" s="373"/>
      <c r="J93" s="375"/>
      <c r="K93" s="373"/>
      <c r="L93" s="371"/>
      <c r="M93" s="376"/>
      <c r="O93" s="395"/>
      <c r="P93" s="396"/>
    </row>
    <row r="94" spans="1:16" x14ac:dyDescent="0.25">
      <c r="A94" s="302">
        <v>45999</v>
      </c>
      <c r="B94" s="314"/>
      <c r="C94" s="371" t="s">
        <v>618</v>
      </c>
      <c r="D94" s="372"/>
      <c r="E94" s="373">
        <v>160</v>
      </c>
      <c r="F94" s="374"/>
      <c r="G94" s="373"/>
      <c r="H94" s="373"/>
      <c r="I94" s="373"/>
      <c r="J94" s="375"/>
      <c r="K94" s="373"/>
      <c r="L94" s="371"/>
      <c r="M94" s="376"/>
      <c r="O94" s="395"/>
      <c r="P94" s="396"/>
    </row>
    <row r="95" spans="1:16" x14ac:dyDescent="0.25">
      <c r="A95" s="302">
        <v>45999</v>
      </c>
      <c r="B95" s="314"/>
      <c r="C95" s="371" t="s">
        <v>682</v>
      </c>
      <c r="D95" s="372"/>
      <c r="E95" s="373">
        <v>430</v>
      </c>
      <c r="F95" s="374"/>
      <c r="G95" s="373"/>
      <c r="H95" s="373"/>
      <c r="I95" s="373"/>
      <c r="J95" s="375"/>
      <c r="K95" s="373"/>
      <c r="L95" s="371"/>
      <c r="M95" s="376"/>
      <c r="O95" s="395"/>
      <c r="P95" s="396"/>
    </row>
    <row r="96" spans="1:16" x14ac:dyDescent="0.25">
      <c r="A96" s="397">
        <v>46000</v>
      </c>
      <c r="B96" s="398" t="s">
        <v>1691</v>
      </c>
      <c r="C96" s="371" t="s">
        <v>32</v>
      </c>
      <c r="D96" s="372">
        <v>4500</v>
      </c>
      <c r="E96" s="373"/>
      <c r="F96" s="374" t="s">
        <v>1270</v>
      </c>
      <c r="G96" s="373"/>
      <c r="H96" s="373"/>
      <c r="I96" s="373"/>
      <c r="J96" s="375"/>
      <c r="K96" s="373"/>
      <c r="L96" s="371"/>
      <c r="M96" s="376"/>
      <c r="O96" s="395"/>
      <c r="P96" s="396"/>
    </row>
    <row r="97" spans="1:16" x14ac:dyDescent="0.25">
      <c r="A97" s="397">
        <v>46000</v>
      </c>
      <c r="B97" s="398" t="s">
        <v>1692</v>
      </c>
      <c r="C97" s="371" t="s">
        <v>32</v>
      </c>
      <c r="D97" s="372">
        <v>200</v>
      </c>
      <c r="E97" s="373"/>
      <c r="F97" s="374" t="s">
        <v>1344</v>
      </c>
      <c r="G97" s="373"/>
      <c r="H97" s="373"/>
      <c r="I97" s="373"/>
      <c r="J97" s="375"/>
      <c r="K97" s="373"/>
      <c r="L97" s="371"/>
      <c r="M97" s="376"/>
      <c r="O97" s="395"/>
      <c r="P97" s="396"/>
    </row>
    <row r="98" spans="1:16" x14ac:dyDescent="0.25">
      <c r="A98" s="397">
        <v>46000</v>
      </c>
      <c r="B98" s="398" t="s">
        <v>1693</v>
      </c>
      <c r="C98" s="371" t="s">
        <v>32</v>
      </c>
      <c r="D98" s="372">
        <v>170</v>
      </c>
      <c r="E98" s="373"/>
      <c r="F98" s="374" t="s">
        <v>1349</v>
      </c>
      <c r="G98" s="373"/>
      <c r="H98" s="373"/>
      <c r="I98" s="373"/>
      <c r="J98" s="375"/>
      <c r="K98" s="373"/>
      <c r="L98" s="371"/>
      <c r="M98" s="376"/>
      <c r="O98" s="395"/>
      <c r="P98" s="396"/>
    </row>
    <row r="99" spans="1:16" x14ac:dyDescent="0.25">
      <c r="A99" s="397">
        <v>46000</v>
      </c>
      <c r="B99" s="398" t="s">
        <v>1694</v>
      </c>
      <c r="C99" s="371" t="s">
        <v>32</v>
      </c>
      <c r="D99" s="372">
        <v>750</v>
      </c>
      <c r="E99" s="373"/>
      <c r="F99" s="374" t="s">
        <v>804</v>
      </c>
      <c r="G99" s="373"/>
      <c r="H99" s="373"/>
      <c r="I99" s="373"/>
      <c r="J99" s="375"/>
      <c r="K99" s="373"/>
      <c r="L99" s="371"/>
      <c r="M99" s="376"/>
      <c r="O99" s="395"/>
      <c r="P99" s="396"/>
    </row>
    <row r="100" spans="1:16" x14ac:dyDescent="0.25">
      <c r="A100" s="397">
        <v>46000</v>
      </c>
      <c r="B100" s="398" t="s">
        <v>1695</v>
      </c>
      <c r="C100" s="371" t="s">
        <v>32</v>
      </c>
      <c r="D100" s="372">
        <v>5290</v>
      </c>
      <c r="E100" s="373"/>
      <c r="F100" s="374" t="s">
        <v>817</v>
      </c>
      <c r="G100" s="373"/>
      <c r="H100" s="373"/>
      <c r="I100" s="373"/>
      <c r="J100" s="375"/>
      <c r="K100" s="373"/>
      <c r="L100" s="371"/>
      <c r="M100" s="376"/>
      <c r="O100" s="395"/>
      <c r="P100" s="396"/>
    </row>
    <row r="101" spans="1:16" x14ac:dyDescent="0.25">
      <c r="A101" s="397">
        <v>46000</v>
      </c>
      <c r="B101" s="398" t="s">
        <v>1696</v>
      </c>
      <c r="C101" s="371" t="s">
        <v>32</v>
      </c>
      <c r="D101" s="372">
        <v>2700</v>
      </c>
      <c r="E101" s="373"/>
      <c r="F101" s="374" t="s">
        <v>766</v>
      </c>
      <c r="G101" s="373"/>
      <c r="H101" s="373"/>
      <c r="I101" s="373"/>
      <c r="J101" s="375"/>
      <c r="K101" s="373"/>
      <c r="L101" s="371"/>
      <c r="M101" s="376"/>
      <c r="O101" s="395"/>
      <c r="P101" s="396"/>
    </row>
    <row r="102" spans="1:16" x14ac:dyDescent="0.25">
      <c r="A102" s="397">
        <v>46000</v>
      </c>
      <c r="B102" s="398" t="s">
        <v>1697</v>
      </c>
      <c r="C102" s="371" t="s">
        <v>32</v>
      </c>
      <c r="D102" s="372">
        <v>1350</v>
      </c>
      <c r="E102" s="373"/>
      <c r="F102" s="374" t="s">
        <v>749</v>
      </c>
      <c r="G102" s="373"/>
      <c r="H102" s="373"/>
      <c r="I102" s="373"/>
      <c r="J102" s="375"/>
      <c r="K102" s="373"/>
      <c r="L102" s="371"/>
      <c r="M102" s="376"/>
      <c r="O102" s="395"/>
      <c r="P102" s="396"/>
    </row>
    <row r="103" spans="1:16" x14ac:dyDescent="0.25">
      <c r="A103" s="397">
        <v>46000</v>
      </c>
      <c r="B103" s="398"/>
      <c r="C103" s="371" t="s">
        <v>33</v>
      </c>
      <c r="D103" s="372"/>
      <c r="E103" s="373">
        <v>50</v>
      </c>
      <c r="F103" s="374"/>
      <c r="G103" s="373"/>
      <c r="H103" s="373"/>
      <c r="I103" s="373"/>
      <c r="J103" s="375"/>
      <c r="K103" s="373"/>
      <c r="L103" s="371"/>
      <c r="M103" s="376"/>
      <c r="O103" s="395"/>
      <c r="P103" s="396"/>
    </row>
    <row r="104" spans="1:16" x14ac:dyDescent="0.25">
      <c r="A104" s="397">
        <v>46001</v>
      </c>
      <c r="B104" s="398"/>
      <c r="C104" s="371" t="s">
        <v>145</v>
      </c>
      <c r="D104" s="372"/>
      <c r="E104" s="373">
        <v>3400</v>
      </c>
      <c r="F104" s="374"/>
      <c r="G104" s="373" t="s">
        <v>619</v>
      </c>
      <c r="H104" s="373">
        <v>68</v>
      </c>
      <c r="I104" s="373"/>
      <c r="J104" s="375">
        <v>50</v>
      </c>
      <c r="K104" s="373" t="s">
        <v>19</v>
      </c>
      <c r="L104" s="371"/>
      <c r="M104" s="376"/>
      <c r="O104" s="395"/>
      <c r="P104" s="396"/>
    </row>
    <row r="105" spans="1:16" x14ac:dyDescent="0.25">
      <c r="A105" s="397">
        <v>46001</v>
      </c>
      <c r="B105" s="398" t="s">
        <v>1698</v>
      </c>
      <c r="C105" s="371" t="s">
        <v>32</v>
      </c>
      <c r="D105" s="372">
        <v>350</v>
      </c>
      <c r="E105" s="373"/>
      <c r="F105" s="374" t="s">
        <v>817</v>
      </c>
      <c r="G105" s="373"/>
      <c r="H105" s="373"/>
      <c r="I105" s="373"/>
      <c r="J105" s="375"/>
      <c r="K105" s="373"/>
      <c r="L105" s="371"/>
      <c r="M105" s="376"/>
      <c r="O105" s="395"/>
      <c r="P105" s="396"/>
    </row>
    <row r="106" spans="1:16" x14ac:dyDescent="0.25">
      <c r="A106" s="397">
        <v>46001</v>
      </c>
      <c r="B106" s="398" t="s">
        <v>1699</v>
      </c>
      <c r="C106" s="371" t="s">
        <v>32</v>
      </c>
      <c r="D106" s="372">
        <v>600</v>
      </c>
      <c r="E106" s="373"/>
      <c r="F106" s="374" t="s">
        <v>741</v>
      </c>
      <c r="G106" s="373"/>
      <c r="H106" s="373"/>
      <c r="I106" s="373"/>
      <c r="J106" s="375"/>
      <c r="K106" s="373"/>
      <c r="L106" s="371"/>
      <c r="M106" s="376"/>
      <c r="O106" s="395"/>
      <c r="P106" s="396"/>
    </row>
    <row r="107" spans="1:16" x14ac:dyDescent="0.25">
      <c r="A107" s="397">
        <v>46001</v>
      </c>
      <c r="B107" s="398" t="s">
        <v>1700</v>
      </c>
      <c r="C107" s="371" t="s">
        <v>32</v>
      </c>
      <c r="D107" s="372">
        <v>160</v>
      </c>
      <c r="E107" s="373"/>
      <c r="F107" s="374" t="s">
        <v>1554</v>
      </c>
      <c r="G107" s="373"/>
      <c r="H107" s="373"/>
      <c r="I107" s="373"/>
      <c r="J107" s="375"/>
      <c r="K107" s="373"/>
      <c r="L107" s="371"/>
      <c r="M107" s="376"/>
      <c r="O107" s="395"/>
      <c r="P107" s="396"/>
    </row>
    <row r="108" spans="1:16" x14ac:dyDescent="0.25">
      <c r="A108" s="397">
        <v>46001</v>
      </c>
      <c r="B108" s="398" t="s">
        <v>1701</v>
      </c>
      <c r="C108" s="371" t="s">
        <v>32</v>
      </c>
      <c r="D108" s="372">
        <v>320</v>
      </c>
      <c r="E108" s="373"/>
      <c r="F108" s="374" t="s">
        <v>753</v>
      </c>
      <c r="G108" s="373"/>
      <c r="H108" s="373"/>
      <c r="I108" s="373"/>
      <c r="J108" s="375"/>
      <c r="K108" s="373"/>
      <c r="L108" s="371"/>
      <c r="M108" s="376"/>
      <c r="O108" s="395"/>
      <c r="P108" s="396"/>
    </row>
    <row r="109" spans="1:16" x14ac:dyDescent="0.25">
      <c r="A109" s="397">
        <v>46001</v>
      </c>
      <c r="B109" s="398" t="s">
        <v>1702</v>
      </c>
      <c r="C109" s="371" t="s">
        <v>32</v>
      </c>
      <c r="D109" s="372">
        <v>400</v>
      </c>
      <c r="E109" s="373"/>
      <c r="F109" s="374" t="s">
        <v>1358</v>
      </c>
      <c r="G109" s="373"/>
      <c r="H109" s="373"/>
      <c r="I109" s="373"/>
      <c r="J109" s="375"/>
      <c r="K109" s="373"/>
      <c r="L109" s="371"/>
      <c r="M109" s="376"/>
      <c r="O109" s="395"/>
      <c r="P109" s="396"/>
    </row>
    <row r="110" spans="1:16" x14ac:dyDescent="0.25">
      <c r="A110" s="397">
        <v>46001</v>
      </c>
      <c r="B110" s="398" t="s">
        <v>1703</v>
      </c>
      <c r="C110" s="371" t="s">
        <v>32</v>
      </c>
      <c r="D110" s="372">
        <v>90</v>
      </c>
      <c r="E110" s="373"/>
      <c r="F110" s="374" t="s">
        <v>1349</v>
      </c>
      <c r="G110" s="373"/>
      <c r="H110" s="373"/>
      <c r="I110" s="373"/>
      <c r="J110" s="375"/>
      <c r="K110" s="373"/>
      <c r="L110" s="371"/>
      <c r="M110" s="376"/>
      <c r="O110" s="395"/>
      <c r="P110" s="396"/>
    </row>
    <row r="111" spans="1:16" x14ac:dyDescent="0.25">
      <c r="A111" s="397">
        <v>46001</v>
      </c>
      <c r="B111" s="398" t="s">
        <v>1704</v>
      </c>
      <c r="C111" s="371" t="s">
        <v>32</v>
      </c>
      <c r="D111" s="372">
        <v>320</v>
      </c>
      <c r="E111" s="373"/>
      <c r="F111" s="374" t="s">
        <v>739</v>
      </c>
      <c r="G111" s="373"/>
      <c r="H111" s="373"/>
      <c r="I111" s="373"/>
      <c r="J111" s="375"/>
      <c r="K111" s="373"/>
      <c r="L111" s="371"/>
      <c r="M111" s="376"/>
      <c r="O111" s="395"/>
      <c r="P111" s="396"/>
    </row>
    <row r="112" spans="1:16" x14ac:dyDescent="0.25">
      <c r="A112" s="397">
        <v>46001</v>
      </c>
      <c r="B112" s="398" t="s">
        <v>1705</v>
      </c>
      <c r="C112" s="371" t="s">
        <v>32</v>
      </c>
      <c r="D112" s="372">
        <v>1500</v>
      </c>
      <c r="E112" s="373"/>
      <c r="F112" s="374" t="s">
        <v>752</v>
      </c>
      <c r="G112" s="373"/>
      <c r="H112" s="373"/>
      <c r="I112" s="373"/>
      <c r="J112" s="375"/>
      <c r="K112" s="373"/>
      <c r="L112" s="371"/>
      <c r="M112" s="376"/>
      <c r="O112" s="395"/>
      <c r="P112" s="396"/>
    </row>
    <row r="113" spans="1:16" x14ac:dyDescent="0.25">
      <c r="A113" s="397">
        <v>46001</v>
      </c>
      <c r="B113" s="398" t="s">
        <v>1706</v>
      </c>
      <c r="C113" s="371" t="s">
        <v>32</v>
      </c>
      <c r="D113" s="372">
        <v>750</v>
      </c>
      <c r="E113" s="373"/>
      <c r="F113" s="374" t="s">
        <v>804</v>
      </c>
      <c r="G113" s="373"/>
      <c r="H113" s="373"/>
      <c r="I113" s="373"/>
      <c r="J113" s="375"/>
      <c r="K113" s="373"/>
      <c r="L113" s="371"/>
      <c r="M113" s="376"/>
      <c r="O113" s="395"/>
      <c r="P113" s="396"/>
    </row>
    <row r="114" spans="1:16" x14ac:dyDescent="0.25">
      <c r="A114" s="397">
        <v>46001</v>
      </c>
      <c r="B114" s="398" t="s">
        <v>1707</v>
      </c>
      <c r="C114" s="371" t="s">
        <v>32</v>
      </c>
      <c r="D114" s="372">
        <v>1600</v>
      </c>
      <c r="E114" s="373"/>
      <c r="F114" s="374" t="s">
        <v>740</v>
      </c>
      <c r="G114" s="373"/>
      <c r="H114" s="373"/>
      <c r="I114" s="373"/>
      <c r="J114" s="375"/>
      <c r="K114" s="373"/>
      <c r="L114" s="371"/>
      <c r="M114" s="376"/>
      <c r="O114" s="395"/>
      <c r="P114" s="396"/>
    </row>
    <row r="115" spans="1:16" x14ac:dyDescent="0.25">
      <c r="A115" s="397">
        <v>46001</v>
      </c>
      <c r="B115" s="398"/>
      <c r="C115" s="371" t="s">
        <v>207</v>
      </c>
      <c r="D115" s="372"/>
      <c r="E115" s="373">
        <v>8500</v>
      </c>
      <c r="F115" s="374"/>
      <c r="G115" s="373"/>
      <c r="H115" s="373"/>
      <c r="I115" s="373"/>
      <c r="J115" s="375"/>
      <c r="K115" s="373"/>
      <c r="L115" s="371"/>
      <c r="M115" s="376" t="s">
        <v>1716</v>
      </c>
      <c r="O115" s="395"/>
      <c r="P115" s="396"/>
    </row>
    <row r="116" spans="1:16" x14ac:dyDescent="0.25">
      <c r="A116" s="397">
        <v>46001</v>
      </c>
      <c r="B116" s="398"/>
      <c r="C116" s="371" t="s">
        <v>33</v>
      </c>
      <c r="D116" s="372"/>
      <c r="E116" s="373">
        <v>50</v>
      </c>
      <c r="F116" s="374"/>
      <c r="G116" s="373"/>
      <c r="H116" s="373"/>
      <c r="I116" s="373"/>
      <c r="J116" s="375"/>
      <c r="K116" s="373"/>
      <c r="L116" s="371"/>
      <c r="M116" s="376"/>
      <c r="O116" s="395"/>
      <c r="P116" s="396"/>
    </row>
    <row r="117" spans="1:16" x14ac:dyDescent="0.25">
      <c r="A117" s="397">
        <v>46002</v>
      </c>
      <c r="B117" s="398"/>
      <c r="C117" s="371" t="s">
        <v>147</v>
      </c>
      <c r="D117" s="372"/>
      <c r="E117" s="373">
        <v>45300</v>
      </c>
      <c r="F117" s="374"/>
      <c r="G117" s="373" t="s">
        <v>621</v>
      </c>
      <c r="H117" s="373">
        <v>75</v>
      </c>
      <c r="I117" s="373">
        <v>2400</v>
      </c>
      <c r="J117" s="375">
        <v>42</v>
      </c>
      <c r="K117" s="373" t="s">
        <v>667</v>
      </c>
      <c r="L117" s="371"/>
      <c r="M117" s="376"/>
      <c r="O117" s="395"/>
      <c r="P117" s="396"/>
    </row>
    <row r="118" spans="1:16" x14ac:dyDescent="0.25">
      <c r="A118" s="397">
        <v>46002</v>
      </c>
      <c r="B118" s="398"/>
      <c r="C118" s="371" t="s">
        <v>147</v>
      </c>
      <c r="D118" s="372"/>
      <c r="E118" s="373"/>
      <c r="F118" s="374"/>
      <c r="G118" s="373" t="s">
        <v>621</v>
      </c>
      <c r="H118" s="373">
        <v>65</v>
      </c>
      <c r="I118" s="373"/>
      <c r="J118" s="375">
        <v>390</v>
      </c>
      <c r="K118" s="373" t="s">
        <v>667</v>
      </c>
      <c r="L118" s="371"/>
      <c r="M118" s="376"/>
      <c r="O118" s="395"/>
      <c r="P118" s="396"/>
    </row>
    <row r="119" spans="1:16" x14ac:dyDescent="0.25">
      <c r="A119" s="397">
        <v>46002</v>
      </c>
      <c r="B119" s="398"/>
      <c r="C119" s="371" t="s">
        <v>147</v>
      </c>
      <c r="D119" s="372"/>
      <c r="E119" s="373"/>
      <c r="F119" s="374"/>
      <c r="G119" s="373" t="s">
        <v>623</v>
      </c>
      <c r="H119" s="373">
        <v>60</v>
      </c>
      <c r="I119" s="373"/>
      <c r="J119" s="375">
        <v>240</v>
      </c>
      <c r="K119" s="373" t="s">
        <v>667</v>
      </c>
      <c r="L119" s="371"/>
      <c r="M119" s="376"/>
      <c r="O119" s="395"/>
      <c r="P119" s="396"/>
    </row>
    <row r="120" spans="1:16" x14ac:dyDescent="0.25">
      <c r="A120" s="397">
        <v>46002</v>
      </c>
      <c r="B120" s="398" t="s">
        <v>1708</v>
      </c>
      <c r="C120" s="371" t="s">
        <v>32</v>
      </c>
      <c r="D120" s="372">
        <v>1500</v>
      </c>
      <c r="E120" s="373"/>
      <c r="F120" s="374" t="s">
        <v>749</v>
      </c>
      <c r="G120" s="373"/>
      <c r="H120" s="373"/>
      <c r="I120" s="373"/>
      <c r="J120" s="375"/>
      <c r="K120" s="373"/>
      <c r="L120" s="371"/>
      <c r="M120" s="376"/>
      <c r="O120" s="395"/>
      <c r="P120" s="396"/>
    </row>
    <row r="121" spans="1:16" x14ac:dyDescent="0.25">
      <c r="A121" s="397">
        <v>46002</v>
      </c>
      <c r="B121" s="398" t="s">
        <v>1709</v>
      </c>
      <c r="C121" s="371" t="s">
        <v>32</v>
      </c>
      <c r="D121" s="372">
        <v>160</v>
      </c>
      <c r="E121" s="373"/>
      <c r="F121" s="374" t="s">
        <v>1350</v>
      </c>
      <c r="G121" s="373"/>
      <c r="H121" s="373"/>
      <c r="I121" s="373"/>
      <c r="J121" s="375"/>
      <c r="K121" s="373"/>
      <c r="L121" s="371"/>
      <c r="M121" s="376"/>
      <c r="O121" s="395"/>
      <c r="P121" s="396"/>
    </row>
    <row r="122" spans="1:16" x14ac:dyDescent="0.25">
      <c r="A122" s="397">
        <v>46002</v>
      </c>
      <c r="B122" s="398" t="s">
        <v>1710</v>
      </c>
      <c r="C122" s="371" t="s">
        <v>32</v>
      </c>
      <c r="D122" s="372">
        <v>160</v>
      </c>
      <c r="E122" s="373"/>
      <c r="F122" s="374" t="s">
        <v>1554</v>
      </c>
      <c r="G122" s="373"/>
      <c r="H122" s="373"/>
      <c r="I122" s="373"/>
      <c r="J122" s="375"/>
      <c r="K122" s="373"/>
      <c r="L122" s="371"/>
      <c r="M122" s="376"/>
      <c r="O122" s="395"/>
      <c r="P122" s="396"/>
    </row>
    <row r="123" spans="1:16" x14ac:dyDescent="0.25">
      <c r="A123" s="397">
        <v>46002</v>
      </c>
      <c r="B123" s="398" t="s">
        <v>1711</v>
      </c>
      <c r="C123" s="371" t="s">
        <v>32</v>
      </c>
      <c r="D123" s="372">
        <v>160</v>
      </c>
      <c r="E123" s="373"/>
      <c r="F123" s="374" t="s">
        <v>797</v>
      </c>
      <c r="G123" s="373"/>
      <c r="H123" s="373"/>
      <c r="I123" s="373"/>
      <c r="J123" s="375"/>
      <c r="K123" s="373"/>
      <c r="L123" s="371"/>
      <c r="M123" s="376"/>
      <c r="O123" s="395"/>
      <c r="P123" s="396"/>
    </row>
    <row r="124" spans="1:16" x14ac:dyDescent="0.25">
      <c r="A124" s="397">
        <v>46002</v>
      </c>
      <c r="B124" s="398" t="s">
        <v>1712</v>
      </c>
      <c r="C124" s="371" t="s">
        <v>32</v>
      </c>
      <c r="D124" s="372">
        <v>320</v>
      </c>
      <c r="E124" s="373"/>
      <c r="F124" s="374" t="s">
        <v>753</v>
      </c>
      <c r="G124" s="373"/>
      <c r="H124" s="373"/>
      <c r="I124" s="373"/>
      <c r="J124" s="375"/>
      <c r="K124" s="373"/>
      <c r="L124" s="371"/>
      <c r="M124" s="376"/>
      <c r="O124" s="395"/>
      <c r="P124" s="396"/>
    </row>
    <row r="125" spans="1:16" x14ac:dyDescent="0.25">
      <c r="A125" s="397">
        <v>46002</v>
      </c>
      <c r="B125" s="398" t="s">
        <v>1713</v>
      </c>
      <c r="C125" s="371" t="s">
        <v>32</v>
      </c>
      <c r="D125" s="372">
        <v>160</v>
      </c>
      <c r="E125" s="373"/>
      <c r="F125" s="374" t="s">
        <v>1188</v>
      </c>
      <c r="G125" s="373"/>
      <c r="H125" s="373"/>
      <c r="I125" s="373"/>
      <c r="J125" s="375"/>
      <c r="K125" s="373"/>
      <c r="L125" s="371"/>
      <c r="M125" s="376"/>
      <c r="O125" s="395"/>
      <c r="P125" s="396"/>
    </row>
    <row r="126" spans="1:16" x14ac:dyDescent="0.25">
      <c r="A126" s="397">
        <v>46002</v>
      </c>
      <c r="B126" s="398" t="s">
        <v>1714</v>
      </c>
      <c r="C126" s="371" t="s">
        <v>32</v>
      </c>
      <c r="D126" s="372">
        <v>2180</v>
      </c>
      <c r="E126" s="373"/>
      <c r="F126" s="374" t="s">
        <v>817</v>
      </c>
      <c r="G126" s="373"/>
      <c r="H126" s="373"/>
      <c r="I126" s="373"/>
      <c r="J126" s="375"/>
      <c r="K126" s="373"/>
      <c r="L126" s="371"/>
      <c r="M126" s="376"/>
      <c r="O126" s="395"/>
      <c r="P126" s="396"/>
    </row>
    <row r="127" spans="1:16" x14ac:dyDescent="0.25">
      <c r="A127" s="397">
        <v>46002</v>
      </c>
      <c r="B127" s="398" t="s">
        <v>1715</v>
      </c>
      <c r="C127" s="371" t="s">
        <v>32</v>
      </c>
      <c r="D127" s="372">
        <v>100</v>
      </c>
      <c r="E127" s="373"/>
      <c r="F127" s="374" t="s">
        <v>1346</v>
      </c>
      <c r="G127" s="373"/>
      <c r="H127" s="373"/>
      <c r="I127" s="373"/>
      <c r="J127" s="375"/>
      <c r="K127" s="373"/>
      <c r="L127" s="371"/>
      <c r="M127" s="376"/>
      <c r="O127" s="395"/>
      <c r="P127" s="396"/>
    </row>
    <row r="128" spans="1:16" x14ac:dyDescent="0.25">
      <c r="A128" s="397">
        <v>46002</v>
      </c>
      <c r="B128" s="398" t="s">
        <v>1717</v>
      </c>
      <c r="C128" s="371" t="s">
        <v>32</v>
      </c>
      <c r="D128" s="372">
        <v>750</v>
      </c>
      <c r="E128" s="373"/>
      <c r="F128" s="374" t="s">
        <v>804</v>
      </c>
      <c r="G128" s="373"/>
      <c r="H128" s="373"/>
      <c r="I128" s="373"/>
      <c r="J128" s="375"/>
      <c r="K128" s="373"/>
      <c r="L128" s="371"/>
      <c r="M128" s="376"/>
      <c r="O128" s="395"/>
      <c r="P128" s="396"/>
    </row>
    <row r="129" spans="1:16" x14ac:dyDescent="0.25">
      <c r="A129" s="397">
        <v>46002</v>
      </c>
      <c r="B129" s="398" t="s">
        <v>1718</v>
      </c>
      <c r="C129" s="371" t="s">
        <v>32</v>
      </c>
      <c r="D129" s="372">
        <v>1500</v>
      </c>
      <c r="E129" s="373"/>
      <c r="F129" s="374" t="s">
        <v>752</v>
      </c>
      <c r="G129" s="373"/>
      <c r="H129" s="373"/>
      <c r="I129" s="373"/>
      <c r="J129" s="375"/>
      <c r="K129" s="373"/>
      <c r="L129" s="371"/>
      <c r="M129" s="376"/>
      <c r="O129" s="395"/>
      <c r="P129" s="396"/>
    </row>
    <row r="130" spans="1:16" x14ac:dyDescent="0.25">
      <c r="A130" s="397">
        <v>46002</v>
      </c>
      <c r="B130" s="398"/>
      <c r="C130" s="371" t="s">
        <v>109</v>
      </c>
      <c r="D130" s="372"/>
      <c r="E130" s="373">
        <v>370</v>
      </c>
      <c r="F130" s="374"/>
      <c r="G130" s="373"/>
      <c r="H130" s="373"/>
      <c r="I130" s="373"/>
      <c r="J130" s="375"/>
      <c r="K130" s="373"/>
      <c r="L130" s="371"/>
      <c r="M130" s="376"/>
      <c r="O130" s="395"/>
      <c r="P130" s="396"/>
    </row>
    <row r="131" spans="1:16" x14ac:dyDescent="0.25">
      <c r="A131" s="397">
        <v>46002</v>
      </c>
      <c r="B131" s="398"/>
      <c r="C131" s="371" t="s">
        <v>546</v>
      </c>
      <c r="D131" s="372"/>
      <c r="E131" s="373">
        <v>550</v>
      </c>
      <c r="F131" s="374"/>
      <c r="G131" s="373"/>
      <c r="H131" s="373"/>
      <c r="I131" s="373"/>
      <c r="J131" s="375"/>
      <c r="K131" s="373"/>
      <c r="L131" s="371"/>
      <c r="M131" s="376"/>
      <c r="O131" s="395"/>
      <c r="P131" s="396"/>
    </row>
    <row r="132" spans="1:16" x14ac:dyDescent="0.25">
      <c r="A132" s="397">
        <v>46002</v>
      </c>
      <c r="B132" s="398"/>
      <c r="C132" s="371" t="s">
        <v>33</v>
      </c>
      <c r="D132" s="372"/>
      <c r="E132" s="373">
        <v>50</v>
      </c>
      <c r="F132" s="374"/>
      <c r="G132" s="373"/>
      <c r="H132" s="373"/>
      <c r="I132" s="373"/>
      <c r="J132" s="375"/>
      <c r="K132" s="373"/>
      <c r="L132" s="371"/>
      <c r="M132" s="376"/>
      <c r="O132" s="395"/>
      <c r="P132" s="396"/>
    </row>
    <row r="133" spans="1:16" x14ac:dyDescent="0.25">
      <c r="A133" s="397">
        <v>46002</v>
      </c>
      <c r="B133" s="398"/>
      <c r="C133" s="371" t="s">
        <v>818</v>
      </c>
      <c r="D133" s="372"/>
      <c r="E133" s="373">
        <v>60</v>
      </c>
      <c r="F133" s="374"/>
      <c r="G133" s="373"/>
      <c r="H133" s="373"/>
      <c r="I133" s="373"/>
      <c r="J133" s="375"/>
      <c r="K133" s="373"/>
      <c r="L133" s="371"/>
      <c r="M133" s="376"/>
      <c r="O133" s="395"/>
      <c r="P133" s="396"/>
    </row>
    <row r="134" spans="1:16" x14ac:dyDescent="0.25">
      <c r="A134" s="397">
        <v>46003</v>
      </c>
      <c r="B134" s="398" t="s">
        <v>1719</v>
      </c>
      <c r="C134" s="371" t="s">
        <v>32</v>
      </c>
      <c r="D134" s="372">
        <v>160</v>
      </c>
      <c r="E134" s="373"/>
      <c r="F134" s="374" t="s">
        <v>1554</v>
      </c>
      <c r="G134" s="373"/>
      <c r="H134" s="373"/>
      <c r="I134" s="373"/>
      <c r="J134" s="375"/>
      <c r="K134" s="373"/>
      <c r="L134" s="371"/>
      <c r="M134" s="376"/>
      <c r="O134" s="395"/>
      <c r="P134" s="396"/>
    </row>
    <row r="135" spans="1:16" x14ac:dyDescent="0.25">
      <c r="A135" s="397">
        <v>46003</v>
      </c>
      <c r="B135" s="398" t="s">
        <v>1720</v>
      </c>
      <c r="C135" s="371" t="s">
        <v>32</v>
      </c>
      <c r="D135" s="372">
        <v>320</v>
      </c>
      <c r="E135" s="373"/>
      <c r="F135" s="374" t="s">
        <v>753</v>
      </c>
      <c r="G135" s="373"/>
      <c r="H135" s="373"/>
      <c r="I135" s="373"/>
      <c r="J135" s="375"/>
      <c r="K135" s="373"/>
      <c r="L135" s="371"/>
      <c r="M135" s="376"/>
      <c r="O135" s="395"/>
      <c r="P135" s="396"/>
    </row>
    <row r="136" spans="1:16" x14ac:dyDescent="0.25">
      <c r="A136" s="397">
        <v>46003</v>
      </c>
      <c r="B136" s="398" t="s">
        <v>1721</v>
      </c>
      <c r="C136" s="371" t="s">
        <v>32</v>
      </c>
      <c r="D136" s="372">
        <v>750</v>
      </c>
      <c r="E136" s="373"/>
      <c r="F136" s="374" t="s">
        <v>804</v>
      </c>
      <c r="G136" s="373"/>
      <c r="H136" s="373"/>
      <c r="I136" s="373"/>
      <c r="J136" s="375"/>
      <c r="K136" s="373"/>
      <c r="L136" s="371"/>
      <c r="M136" s="376"/>
      <c r="O136" s="395"/>
      <c r="P136" s="396"/>
    </row>
    <row r="137" spans="1:16" x14ac:dyDescent="0.25">
      <c r="A137" s="397">
        <v>46003</v>
      </c>
      <c r="B137" s="398" t="s">
        <v>1722</v>
      </c>
      <c r="C137" s="371" t="s">
        <v>32</v>
      </c>
      <c r="D137" s="372">
        <v>480</v>
      </c>
      <c r="E137" s="373"/>
      <c r="F137" s="374" t="s">
        <v>741</v>
      </c>
      <c r="G137" s="373"/>
      <c r="H137" s="373"/>
      <c r="I137" s="373"/>
      <c r="J137" s="375"/>
      <c r="K137" s="373"/>
      <c r="L137" s="371"/>
      <c r="M137" s="376"/>
      <c r="O137" s="395"/>
      <c r="P137" s="396"/>
    </row>
    <row r="138" spans="1:16" x14ac:dyDescent="0.25">
      <c r="A138" s="397">
        <v>46003</v>
      </c>
      <c r="B138" s="398" t="s">
        <v>1723</v>
      </c>
      <c r="C138" s="371" t="s">
        <v>32</v>
      </c>
      <c r="D138" s="372">
        <v>1500</v>
      </c>
      <c r="E138" s="373"/>
      <c r="F138" s="374" t="s">
        <v>752</v>
      </c>
      <c r="G138" s="373"/>
      <c r="H138" s="373"/>
      <c r="I138" s="373"/>
      <c r="J138" s="375"/>
      <c r="K138" s="373"/>
      <c r="L138" s="371"/>
      <c r="M138" s="376"/>
      <c r="O138" s="395"/>
      <c r="P138" s="396"/>
    </row>
    <row r="139" spans="1:16" x14ac:dyDescent="0.25">
      <c r="A139" s="397">
        <v>46003</v>
      </c>
      <c r="B139" s="398" t="s">
        <v>1724</v>
      </c>
      <c r="C139" s="371" t="s">
        <v>32</v>
      </c>
      <c r="D139" s="372">
        <v>320</v>
      </c>
      <c r="E139" s="373"/>
      <c r="F139" s="374" t="s">
        <v>795</v>
      </c>
      <c r="G139" s="373"/>
      <c r="H139" s="373"/>
      <c r="I139" s="373"/>
      <c r="J139" s="375"/>
      <c r="K139" s="373"/>
      <c r="L139" s="371"/>
      <c r="M139" s="376"/>
      <c r="O139" s="395"/>
      <c r="P139" s="396"/>
    </row>
    <row r="140" spans="1:16" x14ac:dyDescent="0.25">
      <c r="A140" s="397">
        <v>46003</v>
      </c>
      <c r="B140" s="398" t="s">
        <v>1725</v>
      </c>
      <c r="C140" s="371" t="s">
        <v>32</v>
      </c>
      <c r="D140" s="372">
        <v>1600</v>
      </c>
      <c r="E140" s="373"/>
      <c r="F140" s="374" t="s">
        <v>740</v>
      </c>
      <c r="G140" s="373"/>
      <c r="H140" s="373"/>
      <c r="I140" s="373"/>
      <c r="J140" s="375"/>
      <c r="K140" s="373"/>
      <c r="L140" s="371"/>
      <c r="M140" s="376"/>
      <c r="O140" s="395"/>
      <c r="P140" s="396"/>
    </row>
    <row r="141" spans="1:16" x14ac:dyDescent="0.25">
      <c r="A141" s="397">
        <v>46003</v>
      </c>
      <c r="B141" s="398" t="s">
        <v>1726</v>
      </c>
      <c r="C141" s="371" t="s">
        <v>32</v>
      </c>
      <c r="D141" s="372">
        <v>750</v>
      </c>
      <c r="E141" s="373"/>
      <c r="F141" s="374" t="s">
        <v>749</v>
      </c>
      <c r="G141" s="373"/>
      <c r="H141" s="373"/>
      <c r="I141" s="373"/>
      <c r="J141" s="375"/>
      <c r="K141" s="373"/>
      <c r="L141" s="371"/>
      <c r="M141" s="376"/>
      <c r="O141" s="395"/>
      <c r="P141" s="396"/>
    </row>
    <row r="142" spans="1:16" x14ac:dyDescent="0.25">
      <c r="A142" s="397">
        <v>46003</v>
      </c>
      <c r="B142" s="398"/>
      <c r="C142" s="371" t="s">
        <v>207</v>
      </c>
      <c r="D142" s="372"/>
      <c r="E142" s="373">
        <v>56</v>
      </c>
      <c r="F142" s="374"/>
      <c r="G142" s="373"/>
      <c r="H142" s="373"/>
      <c r="I142" s="373"/>
      <c r="J142" s="375"/>
      <c r="K142" s="373"/>
      <c r="L142" s="371"/>
      <c r="M142" s="376"/>
      <c r="O142" s="395"/>
      <c r="P142" s="396"/>
    </row>
    <row r="143" spans="1:16" x14ac:dyDescent="0.25">
      <c r="A143" s="397">
        <v>46003</v>
      </c>
      <c r="B143" s="398"/>
      <c r="C143" s="371" t="s">
        <v>33</v>
      </c>
      <c r="D143" s="372"/>
      <c r="E143" s="373">
        <v>50</v>
      </c>
      <c r="F143" s="374"/>
      <c r="G143" s="373"/>
      <c r="H143" s="373"/>
      <c r="I143" s="373"/>
      <c r="J143" s="375"/>
      <c r="K143" s="373"/>
      <c r="L143" s="371"/>
      <c r="M143" s="376"/>
      <c r="O143" s="395"/>
      <c r="P143" s="396"/>
    </row>
    <row r="144" spans="1:16" x14ac:dyDescent="0.25">
      <c r="A144" s="397">
        <v>46004</v>
      </c>
      <c r="B144" s="398"/>
      <c r="C144" s="371" t="s">
        <v>145</v>
      </c>
      <c r="D144" s="372"/>
      <c r="E144" s="373">
        <v>3400</v>
      </c>
      <c r="F144" s="374"/>
      <c r="G144" s="373" t="s">
        <v>619</v>
      </c>
      <c r="H144" s="373">
        <v>68</v>
      </c>
      <c r="I144" s="373"/>
      <c r="J144" s="375">
        <v>50</v>
      </c>
      <c r="K144" s="373" t="s">
        <v>19</v>
      </c>
      <c r="L144" s="371"/>
      <c r="M144" s="376"/>
      <c r="O144" s="395"/>
      <c r="P144" s="396"/>
    </row>
    <row r="145" spans="1:16" x14ac:dyDescent="0.25">
      <c r="A145" s="397">
        <v>46004</v>
      </c>
      <c r="B145" s="398" t="s">
        <v>1727</v>
      </c>
      <c r="C145" s="371" t="s">
        <v>32</v>
      </c>
      <c r="D145" s="372">
        <v>2000</v>
      </c>
      <c r="E145" s="373"/>
      <c r="F145" s="374" t="s">
        <v>817</v>
      </c>
      <c r="G145" s="373"/>
      <c r="H145" s="373"/>
      <c r="I145" s="373"/>
      <c r="J145" s="375"/>
      <c r="K145" s="373"/>
      <c r="L145" s="371"/>
      <c r="M145" s="376"/>
      <c r="O145" s="395"/>
      <c r="P145" s="396"/>
    </row>
    <row r="146" spans="1:16" x14ac:dyDescent="0.25">
      <c r="A146" s="397">
        <v>46004</v>
      </c>
      <c r="B146" s="398" t="s">
        <v>1728</v>
      </c>
      <c r="C146" s="371" t="s">
        <v>32</v>
      </c>
      <c r="D146" s="372">
        <v>320</v>
      </c>
      <c r="E146" s="373"/>
      <c r="F146" s="374" t="s">
        <v>1554</v>
      </c>
      <c r="G146" s="373"/>
      <c r="H146" s="373"/>
      <c r="I146" s="373"/>
      <c r="J146" s="375"/>
      <c r="K146" s="373"/>
      <c r="L146" s="371"/>
      <c r="M146" s="376"/>
      <c r="O146" s="395"/>
      <c r="P146" s="396"/>
    </row>
    <row r="147" spans="1:16" x14ac:dyDescent="0.25">
      <c r="A147" s="397">
        <v>46004</v>
      </c>
      <c r="B147" s="398" t="s">
        <v>1729</v>
      </c>
      <c r="C147" s="371" t="s">
        <v>32</v>
      </c>
      <c r="D147" s="372">
        <v>640</v>
      </c>
      <c r="E147" s="373"/>
      <c r="F147" s="374" t="s">
        <v>753</v>
      </c>
      <c r="G147" s="373"/>
      <c r="H147" s="373"/>
      <c r="I147" s="373"/>
      <c r="J147" s="375"/>
      <c r="K147" s="373"/>
      <c r="L147" s="371"/>
      <c r="M147" s="376"/>
      <c r="O147" s="395"/>
      <c r="P147" s="396"/>
    </row>
    <row r="148" spans="1:16" x14ac:dyDescent="0.25">
      <c r="A148" s="397">
        <v>46004</v>
      </c>
      <c r="B148" s="398" t="s">
        <v>1730</v>
      </c>
      <c r="C148" s="371" t="s">
        <v>32</v>
      </c>
      <c r="D148" s="372">
        <v>160</v>
      </c>
      <c r="E148" s="373"/>
      <c r="F148" s="374" t="s">
        <v>797</v>
      </c>
      <c r="G148" s="373"/>
      <c r="H148" s="373"/>
      <c r="I148" s="373"/>
      <c r="J148" s="375"/>
      <c r="K148" s="373"/>
      <c r="L148" s="371"/>
      <c r="M148" s="376"/>
      <c r="O148" s="395"/>
      <c r="P148" s="396"/>
    </row>
    <row r="149" spans="1:16" x14ac:dyDescent="0.25">
      <c r="A149" s="397">
        <v>46004</v>
      </c>
      <c r="B149" s="398" t="s">
        <v>1731</v>
      </c>
      <c r="C149" s="371" t="s">
        <v>32</v>
      </c>
      <c r="D149" s="372">
        <v>310</v>
      </c>
      <c r="E149" s="373"/>
      <c r="F149" s="374" t="s">
        <v>521</v>
      </c>
      <c r="G149" s="373"/>
      <c r="H149" s="373"/>
      <c r="I149" s="373"/>
      <c r="J149" s="375"/>
      <c r="K149" s="373"/>
      <c r="L149" s="371"/>
      <c r="M149" s="376"/>
      <c r="O149" s="395"/>
      <c r="P149" s="396"/>
    </row>
    <row r="150" spans="1:16" x14ac:dyDescent="0.25">
      <c r="A150" s="397">
        <v>46004</v>
      </c>
      <c r="B150" s="398" t="s">
        <v>1732</v>
      </c>
      <c r="C150" s="371" t="s">
        <v>32</v>
      </c>
      <c r="D150" s="372">
        <v>400</v>
      </c>
      <c r="E150" s="373"/>
      <c r="F150" s="374" t="s">
        <v>778</v>
      </c>
      <c r="G150" s="373"/>
      <c r="H150" s="373"/>
      <c r="I150" s="373"/>
      <c r="J150" s="375"/>
      <c r="K150" s="373"/>
      <c r="L150" s="371"/>
      <c r="M150" s="376"/>
      <c r="O150" s="395"/>
      <c r="P150" s="396"/>
    </row>
    <row r="151" spans="1:16" x14ac:dyDescent="0.25">
      <c r="A151" s="397">
        <v>46004</v>
      </c>
      <c r="B151" s="398" t="s">
        <v>1733</v>
      </c>
      <c r="C151" s="371" t="s">
        <v>32</v>
      </c>
      <c r="D151" s="372">
        <v>3750</v>
      </c>
      <c r="E151" s="373"/>
      <c r="F151" s="374" t="s">
        <v>1739</v>
      </c>
      <c r="G151" s="373"/>
      <c r="H151" s="373"/>
      <c r="I151" s="373"/>
      <c r="J151" s="375"/>
      <c r="K151" s="373"/>
      <c r="L151" s="371"/>
      <c r="M151" s="376"/>
      <c r="O151" s="395"/>
      <c r="P151" s="396"/>
    </row>
    <row r="152" spans="1:16" x14ac:dyDescent="0.25">
      <c r="A152" s="397">
        <v>46004</v>
      </c>
      <c r="B152" s="398" t="s">
        <v>1734</v>
      </c>
      <c r="C152" s="371" t="s">
        <v>32</v>
      </c>
      <c r="D152" s="372">
        <v>3300</v>
      </c>
      <c r="E152" s="373"/>
      <c r="F152" s="374" t="s">
        <v>1068</v>
      </c>
      <c r="G152" s="373"/>
      <c r="H152" s="373"/>
      <c r="I152" s="373"/>
      <c r="J152" s="375"/>
      <c r="K152" s="373"/>
      <c r="L152" s="371"/>
      <c r="M152" s="376"/>
      <c r="O152" s="395"/>
      <c r="P152" s="396"/>
    </row>
    <row r="153" spans="1:16" x14ac:dyDescent="0.25">
      <c r="A153" s="397">
        <v>46004</v>
      </c>
      <c r="B153" s="398" t="s">
        <v>1735</v>
      </c>
      <c r="C153" s="371" t="s">
        <v>32</v>
      </c>
      <c r="D153" s="372">
        <v>2250</v>
      </c>
      <c r="E153" s="373"/>
      <c r="F153" s="374" t="s">
        <v>752</v>
      </c>
      <c r="G153" s="373"/>
      <c r="H153" s="373"/>
      <c r="I153" s="373"/>
      <c r="J153" s="375"/>
      <c r="K153" s="373"/>
      <c r="L153" s="371"/>
      <c r="M153" s="376"/>
      <c r="O153" s="395"/>
      <c r="P153" s="396"/>
    </row>
    <row r="154" spans="1:16" x14ac:dyDescent="0.25">
      <c r="A154" s="397">
        <v>46004</v>
      </c>
      <c r="B154" s="398" t="s">
        <v>1736</v>
      </c>
      <c r="C154" s="371" t="s">
        <v>32</v>
      </c>
      <c r="D154" s="372">
        <v>900</v>
      </c>
      <c r="E154" s="373"/>
      <c r="F154" s="374" t="s">
        <v>741</v>
      </c>
      <c r="G154" s="373"/>
      <c r="H154" s="373"/>
      <c r="I154" s="373"/>
      <c r="J154" s="375"/>
      <c r="K154" s="373"/>
      <c r="L154" s="371"/>
      <c r="M154" s="376"/>
      <c r="O154" s="395"/>
      <c r="P154" s="396"/>
    </row>
    <row r="155" spans="1:16" x14ac:dyDescent="0.25">
      <c r="A155" s="397">
        <v>46004</v>
      </c>
      <c r="B155" s="398" t="s">
        <v>1737</v>
      </c>
      <c r="C155" s="371" t="s">
        <v>32</v>
      </c>
      <c r="D155" s="372">
        <v>2250</v>
      </c>
      <c r="E155" s="373"/>
      <c r="F155" s="374" t="s">
        <v>749</v>
      </c>
      <c r="G155" s="373"/>
      <c r="H155" s="373"/>
      <c r="I155" s="373"/>
      <c r="J155" s="375"/>
      <c r="K155" s="373"/>
      <c r="L155" s="371"/>
      <c r="M155" s="376"/>
      <c r="O155" s="395"/>
      <c r="P155" s="396"/>
    </row>
    <row r="156" spans="1:16" x14ac:dyDescent="0.25">
      <c r="A156" s="302">
        <v>46004</v>
      </c>
      <c r="B156" s="398" t="s">
        <v>1738</v>
      </c>
      <c r="C156" s="36" t="s">
        <v>32</v>
      </c>
      <c r="D156" s="331">
        <v>320</v>
      </c>
      <c r="E156" s="332"/>
      <c r="F156" s="256" t="s">
        <v>1360</v>
      </c>
      <c r="G156" s="332"/>
      <c r="H156" s="332"/>
      <c r="I156" s="332"/>
      <c r="J156" s="334"/>
      <c r="K156" s="332"/>
      <c r="L156" s="330"/>
      <c r="M156" s="335"/>
    </row>
    <row r="157" spans="1:16" x14ac:dyDescent="0.25">
      <c r="A157" s="302">
        <v>46004</v>
      </c>
      <c r="B157" s="398" t="s">
        <v>1740</v>
      </c>
      <c r="C157" s="36" t="s">
        <v>32</v>
      </c>
      <c r="D157" s="331">
        <v>450</v>
      </c>
      <c r="E157" s="332"/>
      <c r="F157" s="256" t="s">
        <v>1352</v>
      </c>
      <c r="G157" s="332"/>
      <c r="H157" s="332"/>
      <c r="I157" s="332"/>
      <c r="J157" s="334"/>
      <c r="K157" s="332"/>
      <c r="L157" s="330"/>
      <c r="M157" s="335"/>
    </row>
    <row r="158" spans="1:16" x14ac:dyDescent="0.25">
      <c r="A158" s="302">
        <v>46004</v>
      </c>
      <c r="B158" s="398"/>
      <c r="C158" s="371" t="s">
        <v>818</v>
      </c>
      <c r="D158" s="372"/>
      <c r="E158" s="373">
        <v>80</v>
      </c>
      <c r="F158" s="374"/>
      <c r="G158" s="373"/>
      <c r="H158" s="373"/>
      <c r="I158" s="373"/>
      <c r="J158" s="375"/>
      <c r="K158" s="373"/>
      <c r="L158" s="371"/>
      <c r="M158" s="376"/>
    </row>
    <row r="159" spans="1:16" x14ac:dyDescent="0.25">
      <c r="A159" s="302">
        <v>46004</v>
      </c>
      <c r="B159" s="398"/>
      <c r="C159" s="371" t="s">
        <v>33</v>
      </c>
      <c r="D159" s="372"/>
      <c r="E159" s="373">
        <v>50</v>
      </c>
      <c r="F159" s="374"/>
      <c r="G159" s="373"/>
      <c r="H159" s="373"/>
      <c r="I159" s="373"/>
      <c r="J159" s="375"/>
      <c r="K159" s="373"/>
      <c r="L159" s="371"/>
      <c r="M159" s="376"/>
    </row>
    <row r="160" spans="1:16" x14ac:dyDescent="0.25">
      <c r="A160" s="302">
        <v>46004</v>
      </c>
      <c r="B160" s="398"/>
      <c r="C160" s="371" t="s">
        <v>682</v>
      </c>
      <c r="D160" s="372"/>
      <c r="E160" s="373">
        <v>430</v>
      </c>
      <c r="F160" s="374"/>
      <c r="G160" s="373"/>
      <c r="H160" s="373"/>
      <c r="I160" s="373"/>
      <c r="J160" s="375"/>
      <c r="K160" s="373"/>
      <c r="L160" s="371"/>
      <c r="M160" s="376"/>
    </row>
    <row r="161" spans="1:13" x14ac:dyDescent="0.25">
      <c r="A161" s="397">
        <v>46004</v>
      </c>
      <c r="B161" s="398" t="s">
        <v>1741</v>
      </c>
      <c r="C161" s="371" t="s">
        <v>32</v>
      </c>
      <c r="D161" s="372">
        <v>750</v>
      </c>
      <c r="E161" s="373"/>
      <c r="F161" s="374" t="s">
        <v>804</v>
      </c>
      <c r="G161" s="373"/>
      <c r="H161" s="373"/>
      <c r="I161" s="373"/>
      <c r="J161" s="375"/>
      <c r="K161" s="373"/>
      <c r="L161" s="371"/>
      <c r="M161" s="376"/>
    </row>
    <row r="162" spans="1:13" x14ac:dyDescent="0.25">
      <c r="A162" s="397">
        <v>46004</v>
      </c>
      <c r="B162" s="398" t="s">
        <v>1742</v>
      </c>
      <c r="C162" s="371" t="s">
        <v>32</v>
      </c>
      <c r="D162" s="372">
        <v>640</v>
      </c>
      <c r="E162" s="373"/>
      <c r="F162" s="374" t="s">
        <v>777</v>
      </c>
      <c r="G162" s="373"/>
      <c r="H162" s="373"/>
      <c r="I162" s="373"/>
      <c r="J162" s="375"/>
      <c r="K162" s="373"/>
      <c r="L162" s="371"/>
      <c r="M162" s="376"/>
    </row>
    <row r="163" spans="1:13" x14ac:dyDescent="0.25">
      <c r="A163" s="397">
        <v>46004</v>
      </c>
      <c r="B163" s="398" t="s">
        <v>1743</v>
      </c>
      <c r="C163" s="371" t="s">
        <v>32</v>
      </c>
      <c r="D163" s="372">
        <v>4050</v>
      </c>
      <c r="E163" s="373"/>
      <c r="F163" s="374" t="s">
        <v>741</v>
      </c>
      <c r="G163" s="373"/>
      <c r="H163" s="373"/>
      <c r="I163" s="373"/>
      <c r="J163" s="375"/>
      <c r="K163" s="373"/>
      <c r="L163" s="371"/>
      <c r="M163" s="376"/>
    </row>
    <row r="164" spans="1:13" x14ac:dyDescent="0.25">
      <c r="A164" s="397">
        <v>46005</v>
      </c>
      <c r="B164" s="398" t="s">
        <v>1744</v>
      </c>
      <c r="C164" s="371" t="s">
        <v>32</v>
      </c>
      <c r="D164" s="372">
        <v>170</v>
      </c>
      <c r="E164" s="373"/>
      <c r="F164" s="374" t="s">
        <v>817</v>
      </c>
      <c r="G164" s="373"/>
      <c r="H164" s="373"/>
      <c r="I164" s="373"/>
      <c r="J164" s="375"/>
      <c r="K164" s="373"/>
      <c r="L164" s="371"/>
      <c r="M164" s="376"/>
    </row>
    <row r="165" spans="1:13" x14ac:dyDescent="0.25">
      <c r="A165" s="397">
        <v>46005</v>
      </c>
      <c r="B165" s="398" t="s">
        <v>1745</v>
      </c>
      <c r="C165" s="371" t="s">
        <v>32</v>
      </c>
      <c r="D165" s="372">
        <v>750</v>
      </c>
      <c r="E165" s="373"/>
      <c r="F165" s="374" t="s">
        <v>804</v>
      </c>
      <c r="G165" s="373"/>
      <c r="H165" s="373"/>
      <c r="I165" s="373"/>
      <c r="J165" s="375"/>
      <c r="K165" s="373"/>
      <c r="L165" s="371"/>
      <c r="M165" s="376"/>
    </row>
    <row r="166" spans="1:13" x14ac:dyDescent="0.25">
      <c r="A166" s="397">
        <v>46006</v>
      </c>
      <c r="B166" s="398" t="s">
        <v>1746</v>
      </c>
      <c r="C166" s="371" t="s">
        <v>32</v>
      </c>
      <c r="D166" s="372">
        <v>1820</v>
      </c>
      <c r="E166" s="373"/>
      <c r="F166" s="374" t="s">
        <v>752</v>
      </c>
      <c r="G166" s="373"/>
      <c r="H166" s="373"/>
      <c r="I166" s="373"/>
      <c r="J166" s="375"/>
      <c r="K166" s="373"/>
      <c r="L166" s="371"/>
      <c r="M166" s="376"/>
    </row>
    <row r="167" spans="1:13" x14ac:dyDescent="0.25">
      <c r="A167" s="397">
        <v>46004</v>
      </c>
      <c r="B167" s="398" t="s">
        <v>1747</v>
      </c>
      <c r="C167" s="371" t="s">
        <v>32</v>
      </c>
      <c r="D167" s="372">
        <v>200</v>
      </c>
      <c r="E167" s="373"/>
      <c r="F167" s="374" t="s">
        <v>1361</v>
      </c>
      <c r="G167" s="373"/>
      <c r="H167" s="373"/>
      <c r="I167" s="373"/>
      <c r="J167" s="375"/>
      <c r="K167" s="373"/>
      <c r="L167" s="371"/>
      <c r="M167" s="376"/>
    </row>
    <row r="168" spans="1:13" x14ac:dyDescent="0.25">
      <c r="A168" s="397">
        <v>46006</v>
      </c>
      <c r="B168" s="398" t="s">
        <v>1748</v>
      </c>
      <c r="C168" s="371" t="s">
        <v>32</v>
      </c>
      <c r="D168" s="372">
        <v>160</v>
      </c>
      <c r="E168" s="373"/>
      <c r="F168" s="374" t="s">
        <v>1554</v>
      </c>
      <c r="G168" s="373"/>
      <c r="H168" s="373"/>
      <c r="I168" s="373"/>
      <c r="J168" s="375"/>
      <c r="K168" s="373"/>
      <c r="L168" s="371"/>
      <c r="M168" s="376"/>
    </row>
    <row r="169" spans="1:13" x14ac:dyDescent="0.25">
      <c r="A169" s="397">
        <v>46006</v>
      </c>
      <c r="B169" s="398" t="s">
        <v>1749</v>
      </c>
      <c r="C169" s="371" t="s">
        <v>32</v>
      </c>
      <c r="D169" s="372">
        <v>90</v>
      </c>
      <c r="E169" s="373"/>
      <c r="F169" s="374" t="s">
        <v>817</v>
      </c>
      <c r="G169" s="373"/>
      <c r="H169" s="373"/>
      <c r="I169" s="373"/>
      <c r="J169" s="375"/>
      <c r="K169" s="373"/>
      <c r="L169" s="371"/>
      <c r="M169" s="376"/>
    </row>
    <row r="170" spans="1:13" x14ac:dyDescent="0.25">
      <c r="A170" s="397">
        <v>46006</v>
      </c>
      <c r="B170" s="398" t="s">
        <v>1750</v>
      </c>
      <c r="C170" s="371" t="s">
        <v>32</v>
      </c>
      <c r="D170" s="372">
        <v>320</v>
      </c>
      <c r="E170" s="373"/>
      <c r="F170" s="374" t="s">
        <v>753</v>
      </c>
      <c r="G170" s="373"/>
      <c r="H170" s="373"/>
      <c r="I170" s="373"/>
      <c r="J170" s="375"/>
      <c r="K170" s="373"/>
      <c r="L170" s="371"/>
      <c r="M170" s="376"/>
    </row>
    <row r="171" spans="1:13" x14ac:dyDescent="0.25">
      <c r="A171" s="397">
        <v>46006</v>
      </c>
      <c r="B171" s="398" t="s">
        <v>1751</v>
      </c>
      <c r="C171" s="371" t="s">
        <v>32</v>
      </c>
      <c r="D171" s="372">
        <v>180</v>
      </c>
      <c r="E171" s="373"/>
      <c r="F171" s="374" t="s">
        <v>1344</v>
      </c>
      <c r="G171" s="373"/>
      <c r="H171" s="373"/>
      <c r="I171" s="373"/>
      <c r="J171" s="375"/>
      <c r="K171" s="373"/>
      <c r="L171" s="371"/>
      <c r="M171" s="376"/>
    </row>
    <row r="172" spans="1:13" x14ac:dyDescent="0.25">
      <c r="A172" s="397">
        <v>46006</v>
      </c>
      <c r="B172" s="398" t="s">
        <v>1752</v>
      </c>
      <c r="C172" s="371" t="s">
        <v>32</v>
      </c>
      <c r="D172" s="372">
        <v>750</v>
      </c>
      <c r="E172" s="373"/>
      <c r="F172" s="374" t="s">
        <v>804</v>
      </c>
      <c r="G172" s="373"/>
      <c r="H172" s="373"/>
      <c r="I172" s="373"/>
      <c r="J172" s="375"/>
      <c r="K172" s="373"/>
      <c r="L172" s="371"/>
      <c r="M172" s="376"/>
    </row>
    <row r="173" spans="1:13" x14ac:dyDescent="0.25">
      <c r="A173" s="397">
        <v>46006</v>
      </c>
      <c r="B173" s="398" t="s">
        <v>1753</v>
      </c>
      <c r="C173" s="371" t="s">
        <v>32</v>
      </c>
      <c r="D173" s="372">
        <v>1500</v>
      </c>
      <c r="E173" s="373"/>
      <c r="F173" s="374" t="s">
        <v>740</v>
      </c>
      <c r="G173" s="373"/>
      <c r="H173" s="373"/>
      <c r="I173" s="373"/>
      <c r="J173" s="375"/>
      <c r="K173" s="373"/>
      <c r="L173" s="371"/>
      <c r="M173" s="376"/>
    </row>
    <row r="174" spans="1:13" x14ac:dyDescent="0.25">
      <c r="A174" s="397">
        <v>46006</v>
      </c>
      <c r="B174" s="398" t="s">
        <v>1754</v>
      </c>
      <c r="C174" s="371" t="s">
        <v>32</v>
      </c>
      <c r="D174" s="372">
        <v>90</v>
      </c>
      <c r="E174" s="373"/>
      <c r="F174" s="374" t="s">
        <v>521</v>
      </c>
      <c r="G174" s="373"/>
      <c r="H174" s="373"/>
      <c r="I174" s="373"/>
      <c r="J174" s="375"/>
      <c r="K174" s="373"/>
      <c r="L174" s="371"/>
      <c r="M174" s="376"/>
    </row>
    <row r="175" spans="1:13" x14ac:dyDescent="0.25">
      <c r="A175" s="397">
        <v>46006</v>
      </c>
      <c r="B175" s="398" t="s">
        <v>1755</v>
      </c>
      <c r="C175" s="371" t="s">
        <v>32</v>
      </c>
      <c r="D175" s="372">
        <v>900</v>
      </c>
      <c r="E175" s="373"/>
      <c r="F175" s="374" t="s">
        <v>1068</v>
      </c>
      <c r="G175" s="373"/>
      <c r="H175" s="373"/>
      <c r="I175" s="373"/>
      <c r="J175" s="375"/>
      <c r="K175" s="373"/>
      <c r="L175" s="371"/>
      <c r="M175" s="376"/>
    </row>
    <row r="176" spans="1:13" x14ac:dyDescent="0.25">
      <c r="A176" s="397">
        <v>46006</v>
      </c>
      <c r="B176" s="398" t="s">
        <v>1756</v>
      </c>
      <c r="C176" s="371" t="s">
        <v>32</v>
      </c>
      <c r="D176" s="372">
        <v>1500</v>
      </c>
      <c r="E176" s="373"/>
      <c r="F176" s="374" t="s">
        <v>1739</v>
      </c>
      <c r="G176" s="373"/>
      <c r="H176" s="373"/>
      <c r="I176" s="373"/>
      <c r="J176" s="375"/>
      <c r="K176" s="373"/>
      <c r="L176" s="371"/>
      <c r="M176" s="376"/>
    </row>
    <row r="177" spans="1:13" x14ac:dyDescent="0.25">
      <c r="A177" s="397">
        <v>46006</v>
      </c>
      <c r="B177" s="398" t="s">
        <v>1757</v>
      </c>
      <c r="C177" s="371" t="s">
        <v>32</v>
      </c>
      <c r="D177" s="372">
        <v>300</v>
      </c>
      <c r="E177" s="373"/>
      <c r="F177" s="374" t="s">
        <v>749</v>
      </c>
      <c r="G177" s="373"/>
      <c r="H177" s="373"/>
      <c r="I177" s="373"/>
      <c r="J177" s="375"/>
      <c r="K177" s="373"/>
      <c r="L177" s="371"/>
      <c r="M177" s="376"/>
    </row>
    <row r="178" spans="1:13" x14ac:dyDescent="0.25">
      <c r="A178" s="397">
        <v>46007</v>
      </c>
      <c r="B178" s="398"/>
      <c r="C178" s="371" t="s">
        <v>145</v>
      </c>
      <c r="D178" s="372"/>
      <c r="E178" s="373">
        <v>3300</v>
      </c>
      <c r="F178" s="374"/>
      <c r="G178" s="373" t="s">
        <v>619</v>
      </c>
      <c r="H178" s="373">
        <v>66</v>
      </c>
      <c r="I178" s="373"/>
      <c r="J178" s="375">
        <v>50</v>
      </c>
      <c r="K178" s="373" t="s">
        <v>19</v>
      </c>
      <c r="L178" s="371"/>
      <c r="M178" s="376"/>
    </row>
    <row r="179" spans="1:13" x14ac:dyDescent="0.25">
      <c r="A179" s="397">
        <v>46007</v>
      </c>
      <c r="B179" s="398"/>
      <c r="C179" s="371" t="s">
        <v>207</v>
      </c>
      <c r="D179" s="372"/>
      <c r="E179" s="373">
        <v>110</v>
      </c>
      <c r="F179" s="374"/>
      <c r="G179" s="373"/>
      <c r="H179" s="373"/>
      <c r="I179" s="373"/>
      <c r="J179" s="375"/>
      <c r="K179" s="373"/>
      <c r="L179" s="371"/>
      <c r="M179" s="376"/>
    </row>
    <row r="180" spans="1:13" x14ac:dyDescent="0.25">
      <c r="A180" s="397">
        <v>46007</v>
      </c>
      <c r="B180" s="398"/>
      <c r="C180" s="371" t="s">
        <v>33</v>
      </c>
      <c r="D180" s="372"/>
      <c r="E180" s="373">
        <v>50</v>
      </c>
      <c r="F180" s="374"/>
      <c r="G180" s="373"/>
      <c r="H180" s="373"/>
      <c r="I180" s="373"/>
      <c r="J180" s="375"/>
      <c r="K180" s="373"/>
      <c r="L180" s="371"/>
      <c r="M180" s="376"/>
    </row>
    <row r="181" spans="1:13" x14ac:dyDescent="0.25">
      <c r="A181" s="397">
        <v>46007</v>
      </c>
      <c r="B181" s="398" t="s">
        <v>1758</v>
      </c>
      <c r="C181" s="371" t="s">
        <v>32</v>
      </c>
      <c r="D181" s="372">
        <v>750</v>
      </c>
      <c r="E181" s="373"/>
      <c r="F181" s="374" t="s">
        <v>1068</v>
      </c>
      <c r="G181" s="373"/>
      <c r="H181" s="373"/>
      <c r="I181" s="373"/>
      <c r="J181" s="375"/>
      <c r="K181" s="373"/>
      <c r="L181" s="371"/>
      <c r="M181" s="376"/>
    </row>
    <row r="182" spans="1:13" x14ac:dyDescent="0.25">
      <c r="A182" s="397">
        <v>46007</v>
      </c>
      <c r="B182" s="398" t="s">
        <v>1759</v>
      </c>
      <c r="C182" s="371" t="s">
        <v>32</v>
      </c>
      <c r="D182" s="372">
        <v>320</v>
      </c>
      <c r="E182" s="373"/>
      <c r="F182" s="374" t="s">
        <v>753</v>
      </c>
      <c r="G182" s="373"/>
      <c r="H182" s="373"/>
      <c r="I182" s="373"/>
      <c r="J182" s="375"/>
      <c r="K182" s="373"/>
      <c r="L182" s="371"/>
      <c r="M182" s="376"/>
    </row>
    <row r="183" spans="1:13" x14ac:dyDescent="0.25">
      <c r="A183" s="397">
        <v>46007</v>
      </c>
      <c r="B183" s="398" t="s">
        <v>1760</v>
      </c>
      <c r="C183" s="371" t="s">
        <v>32</v>
      </c>
      <c r="D183" s="372">
        <v>80</v>
      </c>
      <c r="E183" s="373"/>
      <c r="F183" s="374" t="s">
        <v>847</v>
      </c>
      <c r="G183" s="373"/>
      <c r="H183" s="373"/>
      <c r="I183" s="373"/>
      <c r="J183" s="375"/>
      <c r="K183" s="373"/>
      <c r="L183" s="371"/>
      <c r="M183" s="376"/>
    </row>
    <row r="184" spans="1:13" x14ac:dyDescent="0.25">
      <c r="A184" s="397">
        <v>46007</v>
      </c>
      <c r="B184" s="398" t="s">
        <v>1761</v>
      </c>
      <c r="C184" s="371" t="s">
        <v>32</v>
      </c>
      <c r="D184" s="372">
        <v>320</v>
      </c>
      <c r="E184" s="373"/>
      <c r="F184" s="374" t="s">
        <v>795</v>
      </c>
      <c r="G184" s="373"/>
      <c r="H184" s="373"/>
      <c r="I184" s="373"/>
      <c r="J184" s="375"/>
      <c r="K184" s="373"/>
      <c r="L184" s="371"/>
      <c r="M184" s="376"/>
    </row>
    <row r="185" spans="1:13" x14ac:dyDescent="0.25">
      <c r="A185" s="397">
        <v>46007</v>
      </c>
      <c r="B185" s="398" t="s">
        <v>1762</v>
      </c>
      <c r="C185" s="371" t="s">
        <v>32</v>
      </c>
      <c r="D185" s="372">
        <v>480</v>
      </c>
      <c r="E185" s="373"/>
      <c r="F185" s="374" t="s">
        <v>1768</v>
      </c>
      <c r="G185" s="373"/>
      <c r="H185" s="373"/>
      <c r="I185" s="373"/>
      <c r="J185" s="375"/>
      <c r="K185" s="373"/>
      <c r="L185" s="371"/>
      <c r="M185" s="376"/>
    </row>
    <row r="186" spans="1:13" x14ac:dyDescent="0.25">
      <c r="A186" s="397">
        <v>46007</v>
      </c>
      <c r="B186" s="398" t="s">
        <v>1763</v>
      </c>
      <c r="C186" s="371" t="s">
        <v>32</v>
      </c>
      <c r="D186" s="372">
        <v>2250</v>
      </c>
      <c r="E186" s="373"/>
      <c r="F186" s="374" t="s">
        <v>752</v>
      </c>
      <c r="G186" s="373"/>
      <c r="H186" s="373"/>
      <c r="I186" s="373"/>
      <c r="J186" s="375"/>
      <c r="K186" s="373"/>
      <c r="L186" s="371"/>
      <c r="M186" s="376"/>
    </row>
    <row r="187" spans="1:13" x14ac:dyDescent="0.25">
      <c r="A187" s="397">
        <v>46007</v>
      </c>
      <c r="B187" s="398" t="s">
        <v>1764</v>
      </c>
      <c r="C187" s="371" t="s">
        <v>32</v>
      </c>
      <c r="D187" s="372">
        <v>750</v>
      </c>
      <c r="E187" s="373"/>
      <c r="F187" s="374" t="s">
        <v>804</v>
      </c>
      <c r="G187" s="373"/>
      <c r="H187" s="373"/>
      <c r="I187" s="373"/>
      <c r="J187" s="375"/>
      <c r="K187" s="373"/>
      <c r="L187" s="371"/>
      <c r="M187" s="376"/>
    </row>
    <row r="188" spans="1:13" x14ac:dyDescent="0.25">
      <c r="A188" s="397">
        <v>46007</v>
      </c>
      <c r="B188" s="398" t="s">
        <v>1765</v>
      </c>
      <c r="C188" s="371" t="s">
        <v>32</v>
      </c>
      <c r="D188" s="372">
        <v>850</v>
      </c>
      <c r="E188" s="373"/>
      <c r="F188" s="374" t="s">
        <v>1739</v>
      </c>
      <c r="G188" s="373"/>
      <c r="H188" s="373"/>
      <c r="I188" s="373"/>
      <c r="J188" s="375"/>
      <c r="K188" s="373"/>
      <c r="L188" s="371"/>
      <c r="M188" s="376"/>
    </row>
    <row r="189" spans="1:13" x14ac:dyDescent="0.25">
      <c r="A189" s="397">
        <v>46007</v>
      </c>
      <c r="B189" s="398" t="s">
        <v>1766</v>
      </c>
      <c r="C189" s="371" t="s">
        <v>32</v>
      </c>
      <c r="D189" s="372">
        <v>170</v>
      </c>
      <c r="E189" s="373"/>
      <c r="F189" s="374" t="s">
        <v>817</v>
      </c>
      <c r="G189" s="373"/>
      <c r="H189" s="373"/>
      <c r="I189" s="373"/>
      <c r="J189" s="375"/>
      <c r="K189" s="373"/>
      <c r="L189" s="371"/>
      <c r="M189" s="376"/>
    </row>
    <row r="190" spans="1:13" x14ac:dyDescent="0.25">
      <c r="A190" s="397">
        <v>46007</v>
      </c>
      <c r="B190" s="398" t="s">
        <v>1767</v>
      </c>
      <c r="C190" s="371" t="s">
        <v>32</v>
      </c>
      <c r="D190" s="372">
        <v>750</v>
      </c>
      <c r="E190" s="373"/>
      <c r="F190" s="374" t="s">
        <v>741</v>
      </c>
      <c r="G190" s="373"/>
      <c r="H190" s="373"/>
      <c r="I190" s="373"/>
      <c r="J190" s="375"/>
      <c r="K190" s="373"/>
      <c r="L190" s="371"/>
      <c r="M190" s="376"/>
    </row>
    <row r="191" spans="1:13" x14ac:dyDescent="0.25">
      <c r="A191" s="397">
        <v>46007</v>
      </c>
      <c r="B191" s="398" t="s">
        <v>1769</v>
      </c>
      <c r="C191" s="371" t="s">
        <v>32</v>
      </c>
      <c r="D191" s="372">
        <v>300</v>
      </c>
      <c r="E191" s="373"/>
      <c r="F191" s="374" t="s">
        <v>749</v>
      </c>
      <c r="G191" s="373"/>
      <c r="H191" s="373"/>
      <c r="I191" s="373"/>
      <c r="J191" s="375"/>
      <c r="K191" s="373"/>
      <c r="L191" s="371"/>
      <c r="M191" s="376"/>
    </row>
    <row r="192" spans="1:13" x14ac:dyDescent="0.25">
      <c r="A192" s="397">
        <v>46007</v>
      </c>
      <c r="B192" s="398"/>
      <c r="C192" s="371" t="s">
        <v>33</v>
      </c>
      <c r="D192" s="372"/>
      <c r="E192" s="373">
        <v>50</v>
      </c>
      <c r="F192" s="374"/>
      <c r="G192" s="373"/>
      <c r="H192" s="373"/>
      <c r="I192" s="373"/>
      <c r="J192" s="375"/>
      <c r="K192" s="373"/>
      <c r="L192" s="371"/>
      <c r="M192" s="376"/>
    </row>
    <row r="193" spans="1:13" x14ac:dyDescent="0.25">
      <c r="A193" s="397">
        <v>46007</v>
      </c>
      <c r="B193" s="398"/>
      <c r="C193" s="371" t="s">
        <v>618</v>
      </c>
      <c r="D193" s="372"/>
      <c r="E193" s="373">
        <v>200</v>
      </c>
      <c r="F193" s="374"/>
      <c r="G193" s="373"/>
      <c r="H193" s="373"/>
      <c r="I193" s="373"/>
      <c r="J193" s="375"/>
      <c r="K193" s="373"/>
      <c r="L193" s="371"/>
      <c r="M193" s="376"/>
    </row>
    <row r="194" spans="1:13" x14ac:dyDescent="0.25">
      <c r="A194" s="397">
        <v>46008</v>
      </c>
      <c r="B194" s="398" t="s">
        <v>1770</v>
      </c>
      <c r="C194" s="371" t="s">
        <v>32</v>
      </c>
      <c r="D194" s="372">
        <v>160</v>
      </c>
      <c r="E194" s="373"/>
      <c r="F194" s="374" t="s">
        <v>1188</v>
      </c>
      <c r="G194" s="373"/>
      <c r="H194" s="373"/>
      <c r="I194" s="373"/>
      <c r="J194" s="375"/>
      <c r="K194" s="373"/>
      <c r="L194" s="371"/>
      <c r="M194" s="376"/>
    </row>
    <row r="195" spans="1:13" x14ac:dyDescent="0.25">
      <c r="A195" s="397">
        <v>46008</v>
      </c>
      <c r="B195" s="398" t="s">
        <v>1771</v>
      </c>
      <c r="C195" s="371" t="s">
        <v>32</v>
      </c>
      <c r="D195" s="372">
        <v>320</v>
      </c>
      <c r="E195" s="373"/>
      <c r="F195" s="374" t="s">
        <v>753</v>
      </c>
      <c r="G195" s="373"/>
      <c r="H195" s="373"/>
      <c r="I195" s="373"/>
      <c r="J195" s="375"/>
      <c r="K195" s="373"/>
      <c r="L195" s="371"/>
      <c r="M195" s="376"/>
    </row>
    <row r="196" spans="1:13" x14ac:dyDescent="0.25">
      <c r="A196" s="397">
        <v>46008</v>
      </c>
      <c r="B196" s="398" t="s">
        <v>1772</v>
      </c>
      <c r="C196" s="371" t="s">
        <v>32</v>
      </c>
      <c r="D196" s="372">
        <v>170</v>
      </c>
      <c r="E196" s="373"/>
      <c r="F196" s="374" t="s">
        <v>817</v>
      </c>
      <c r="G196" s="373"/>
      <c r="H196" s="373"/>
      <c r="I196" s="373"/>
      <c r="J196" s="375"/>
      <c r="K196" s="373"/>
      <c r="L196" s="371"/>
      <c r="M196" s="376"/>
    </row>
    <row r="197" spans="1:13" x14ac:dyDescent="0.25">
      <c r="A197" s="397">
        <v>46008</v>
      </c>
      <c r="B197" s="398" t="s">
        <v>1773</v>
      </c>
      <c r="C197" s="371" t="s">
        <v>32</v>
      </c>
      <c r="D197" s="372">
        <v>750</v>
      </c>
      <c r="E197" s="373"/>
      <c r="F197" s="374" t="s">
        <v>804</v>
      </c>
      <c r="G197" s="373"/>
      <c r="H197" s="373"/>
      <c r="I197" s="373"/>
      <c r="J197" s="375"/>
      <c r="K197" s="373"/>
      <c r="L197" s="371"/>
      <c r="M197" s="376"/>
    </row>
    <row r="198" spans="1:13" x14ac:dyDescent="0.25">
      <c r="A198" s="397">
        <v>46008</v>
      </c>
      <c r="B198" s="398" t="s">
        <v>1774</v>
      </c>
      <c r="C198" s="371" t="s">
        <v>32</v>
      </c>
      <c r="D198" s="372">
        <v>80</v>
      </c>
      <c r="E198" s="373"/>
      <c r="F198" s="374" t="s">
        <v>847</v>
      </c>
      <c r="G198" s="373"/>
      <c r="H198" s="373"/>
      <c r="I198" s="373"/>
      <c r="J198" s="375"/>
      <c r="K198" s="373"/>
      <c r="L198" s="371"/>
      <c r="M198" s="376"/>
    </row>
    <row r="199" spans="1:13" x14ac:dyDescent="0.25">
      <c r="A199" s="397">
        <v>46008</v>
      </c>
      <c r="B199" s="398" t="s">
        <v>1775</v>
      </c>
      <c r="C199" s="371" t="s">
        <v>32</v>
      </c>
      <c r="D199" s="372">
        <v>2400</v>
      </c>
      <c r="E199" s="373"/>
      <c r="F199" s="374" t="s">
        <v>741</v>
      </c>
      <c r="G199" s="373"/>
      <c r="H199" s="373"/>
      <c r="I199" s="373"/>
      <c r="J199" s="375"/>
      <c r="K199" s="373"/>
      <c r="L199" s="371"/>
      <c r="M199" s="376"/>
    </row>
    <row r="200" spans="1:13" x14ac:dyDescent="0.25">
      <c r="A200" s="397">
        <v>46008</v>
      </c>
      <c r="B200" s="398" t="s">
        <v>1776</v>
      </c>
      <c r="C200" s="371" t="s">
        <v>32</v>
      </c>
      <c r="D200" s="372">
        <v>170</v>
      </c>
      <c r="E200" s="373"/>
      <c r="F200" s="374" t="s">
        <v>1739</v>
      </c>
      <c r="G200" s="373"/>
      <c r="H200" s="373"/>
      <c r="I200" s="373"/>
      <c r="J200" s="375"/>
      <c r="K200" s="373"/>
      <c r="L200" s="371"/>
      <c r="M200" s="376"/>
    </row>
    <row r="201" spans="1:13" x14ac:dyDescent="0.25">
      <c r="A201" s="397">
        <v>46008</v>
      </c>
      <c r="B201" s="398" t="s">
        <v>1777</v>
      </c>
      <c r="C201" s="371" t="s">
        <v>32</v>
      </c>
      <c r="D201" s="372">
        <v>1500</v>
      </c>
      <c r="E201" s="373"/>
      <c r="F201" s="374" t="s">
        <v>752</v>
      </c>
      <c r="G201" s="373"/>
      <c r="H201" s="373"/>
      <c r="I201" s="373"/>
      <c r="J201" s="375"/>
      <c r="K201" s="373"/>
      <c r="L201" s="371"/>
      <c r="M201" s="376"/>
    </row>
    <row r="202" spans="1:13" x14ac:dyDescent="0.25">
      <c r="A202" s="397">
        <v>46008</v>
      </c>
      <c r="B202" s="398" t="s">
        <v>1778</v>
      </c>
      <c r="C202" s="371" t="s">
        <v>32</v>
      </c>
      <c r="D202" s="372">
        <v>750</v>
      </c>
      <c r="E202" s="373"/>
      <c r="F202" s="374" t="s">
        <v>749</v>
      </c>
      <c r="G202" s="373"/>
      <c r="H202" s="373"/>
      <c r="I202" s="373"/>
      <c r="J202" s="375"/>
      <c r="K202" s="373"/>
      <c r="L202" s="371"/>
      <c r="M202" s="376"/>
    </row>
    <row r="203" spans="1:13" x14ac:dyDescent="0.25">
      <c r="A203" s="397">
        <v>46008</v>
      </c>
      <c r="B203" s="398"/>
      <c r="C203" s="371" t="s">
        <v>33</v>
      </c>
      <c r="D203" s="372"/>
      <c r="E203" s="373">
        <v>50</v>
      </c>
      <c r="F203" s="374"/>
      <c r="G203" s="373"/>
      <c r="H203" s="373"/>
      <c r="I203" s="373"/>
      <c r="J203" s="375"/>
      <c r="K203" s="373"/>
      <c r="L203" s="371"/>
      <c r="M203" s="376"/>
    </row>
    <row r="204" spans="1:13" x14ac:dyDescent="0.25">
      <c r="A204" s="397">
        <v>46009</v>
      </c>
      <c r="B204" s="398"/>
      <c r="C204" s="371" t="s">
        <v>33</v>
      </c>
      <c r="D204" s="372"/>
      <c r="E204" s="373">
        <v>50</v>
      </c>
      <c r="F204" s="374"/>
      <c r="G204" s="373"/>
      <c r="H204" s="373"/>
      <c r="I204" s="373"/>
      <c r="J204" s="375"/>
      <c r="K204" s="373"/>
      <c r="L204" s="371"/>
      <c r="M204" s="376"/>
    </row>
    <row r="205" spans="1:13" x14ac:dyDescent="0.25">
      <c r="A205" s="397">
        <v>46009</v>
      </c>
      <c r="B205" s="398" t="s">
        <v>1779</v>
      </c>
      <c r="C205" s="371" t="s">
        <v>32</v>
      </c>
      <c r="D205" s="372">
        <v>320</v>
      </c>
      <c r="E205" s="373"/>
      <c r="F205" s="374" t="s">
        <v>753</v>
      </c>
      <c r="G205" s="373"/>
      <c r="H205" s="373"/>
      <c r="I205" s="373"/>
      <c r="J205" s="375"/>
      <c r="K205" s="373"/>
      <c r="L205" s="371"/>
      <c r="M205" s="376"/>
    </row>
    <row r="206" spans="1:13" x14ac:dyDescent="0.25">
      <c r="A206" s="397">
        <v>46009</v>
      </c>
      <c r="B206" s="398" t="s">
        <v>1780</v>
      </c>
      <c r="C206" s="371" t="s">
        <v>32</v>
      </c>
      <c r="D206" s="372">
        <v>240</v>
      </c>
      <c r="E206" s="373"/>
      <c r="F206" s="374" t="s">
        <v>1358</v>
      </c>
      <c r="G206" s="373"/>
      <c r="H206" s="373"/>
      <c r="I206" s="373"/>
      <c r="J206" s="375"/>
      <c r="K206" s="373"/>
      <c r="L206" s="371"/>
      <c r="M206" s="376"/>
    </row>
    <row r="207" spans="1:13" x14ac:dyDescent="0.25">
      <c r="A207" s="397">
        <v>46009</v>
      </c>
      <c r="B207" s="398" t="s">
        <v>1781</v>
      </c>
      <c r="C207" s="371" t="s">
        <v>32</v>
      </c>
      <c r="D207" s="372">
        <v>150</v>
      </c>
      <c r="E207" s="373"/>
      <c r="F207" s="374" t="s">
        <v>1345</v>
      </c>
      <c r="G207" s="373"/>
      <c r="H207" s="373"/>
      <c r="I207" s="373"/>
      <c r="J207" s="375"/>
      <c r="K207" s="373"/>
      <c r="L207" s="371"/>
      <c r="M207" s="376"/>
    </row>
    <row r="208" spans="1:13" x14ac:dyDescent="0.25">
      <c r="A208" s="397">
        <v>46009</v>
      </c>
      <c r="B208" s="398" t="s">
        <v>1782</v>
      </c>
      <c r="C208" s="371" t="s">
        <v>32</v>
      </c>
      <c r="D208" s="372">
        <v>400</v>
      </c>
      <c r="E208" s="373"/>
      <c r="F208" s="374" t="s">
        <v>1344</v>
      </c>
      <c r="G208" s="373"/>
      <c r="H208" s="373"/>
      <c r="I208" s="373"/>
      <c r="J208" s="375"/>
      <c r="K208" s="373"/>
      <c r="L208" s="371"/>
      <c r="M208" s="376"/>
    </row>
    <row r="209" spans="1:13" x14ac:dyDescent="0.25">
      <c r="A209" s="397">
        <v>46009</v>
      </c>
      <c r="B209" s="398" t="s">
        <v>1783</v>
      </c>
      <c r="C209" s="371" t="s">
        <v>32</v>
      </c>
      <c r="D209" s="372">
        <v>750</v>
      </c>
      <c r="E209" s="373"/>
      <c r="F209" s="374" t="s">
        <v>739</v>
      </c>
      <c r="G209" s="373"/>
      <c r="H209" s="373"/>
      <c r="I209" s="373"/>
      <c r="J209" s="375"/>
      <c r="K209" s="373"/>
      <c r="L209" s="371"/>
      <c r="M209" s="376"/>
    </row>
    <row r="210" spans="1:13" x14ac:dyDescent="0.25">
      <c r="A210" s="397">
        <v>46009</v>
      </c>
      <c r="B210" s="398" t="s">
        <v>1784</v>
      </c>
      <c r="C210" s="371" t="s">
        <v>32</v>
      </c>
      <c r="D210" s="372">
        <v>750</v>
      </c>
      <c r="E210" s="373"/>
      <c r="F210" s="374" t="s">
        <v>804</v>
      </c>
      <c r="G210" s="373"/>
      <c r="H210" s="373"/>
      <c r="I210" s="373"/>
      <c r="J210" s="375"/>
      <c r="K210" s="373"/>
      <c r="L210" s="371"/>
      <c r="M210" s="376"/>
    </row>
    <row r="211" spans="1:13" x14ac:dyDescent="0.25">
      <c r="A211" s="397">
        <v>46009</v>
      </c>
      <c r="B211" s="398" t="s">
        <v>1785</v>
      </c>
      <c r="C211" s="371" t="s">
        <v>32</v>
      </c>
      <c r="D211" s="372">
        <v>1500</v>
      </c>
      <c r="E211" s="373"/>
      <c r="F211" s="374" t="s">
        <v>740</v>
      </c>
      <c r="G211" s="373"/>
      <c r="H211" s="373"/>
      <c r="I211" s="373"/>
      <c r="J211" s="375"/>
      <c r="K211" s="373"/>
      <c r="L211" s="371"/>
      <c r="M211" s="376"/>
    </row>
    <row r="212" spans="1:13" x14ac:dyDescent="0.25">
      <c r="A212" s="397">
        <v>46009</v>
      </c>
      <c r="B212" s="398" t="s">
        <v>1786</v>
      </c>
      <c r="C212" s="371" t="s">
        <v>32</v>
      </c>
      <c r="D212" s="372">
        <v>680</v>
      </c>
      <c r="E212" s="373"/>
      <c r="F212" s="374" t="s">
        <v>1768</v>
      </c>
      <c r="G212" s="373"/>
      <c r="H212" s="373"/>
      <c r="I212" s="373"/>
      <c r="J212" s="375"/>
      <c r="K212" s="373"/>
      <c r="L212" s="371"/>
      <c r="M212" s="376"/>
    </row>
    <row r="213" spans="1:13" x14ac:dyDescent="0.25">
      <c r="A213" s="397">
        <v>46009</v>
      </c>
      <c r="B213" s="398" t="s">
        <v>1787</v>
      </c>
      <c r="C213" s="371" t="s">
        <v>32</v>
      </c>
      <c r="D213" s="372">
        <v>480</v>
      </c>
      <c r="E213" s="373"/>
      <c r="F213" s="374" t="s">
        <v>741</v>
      </c>
      <c r="G213" s="373"/>
      <c r="H213" s="373"/>
      <c r="I213" s="373"/>
      <c r="J213" s="375"/>
      <c r="K213" s="373"/>
      <c r="L213" s="371"/>
      <c r="M213" s="376"/>
    </row>
    <row r="214" spans="1:13" x14ac:dyDescent="0.25">
      <c r="A214" s="397">
        <v>46009</v>
      </c>
      <c r="B214" s="398" t="s">
        <v>1788</v>
      </c>
      <c r="C214" s="371" t="s">
        <v>32</v>
      </c>
      <c r="D214" s="372">
        <v>750</v>
      </c>
      <c r="E214" s="373"/>
      <c r="F214" s="374" t="s">
        <v>749</v>
      </c>
      <c r="G214" s="373"/>
      <c r="H214" s="373"/>
      <c r="I214" s="373"/>
      <c r="J214" s="375"/>
      <c r="K214" s="373"/>
      <c r="L214" s="371"/>
      <c r="M214" s="376"/>
    </row>
    <row r="215" spans="1:13" x14ac:dyDescent="0.25">
      <c r="A215" s="397">
        <v>46010</v>
      </c>
      <c r="B215" s="398"/>
      <c r="C215" s="371" t="s">
        <v>145</v>
      </c>
      <c r="D215" s="372"/>
      <c r="E215" s="373">
        <v>3400</v>
      </c>
      <c r="F215" s="374"/>
      <c r="G215" s="373" t="s">
        <v>619</v>
      </c>
      <c r="H215" s="373">
        <v>68</v>
      </c>
      <c r="I215" s="373"/>
      <c r="J215" s="375">
        <v>50</v>
      </c>
      <c r="K215" s="373" t="s">
        <v>19</v>
      </c>
      <c r="L215" s="371"/>
      <c r="M215" s="376"/>
    </row>
    <row r="216" spans="1:13" x14ac:dyDescent="0.25">
      <c r="A216" s="397">
        <v>46010</v>
      </c>
      <c r="B216" s="398" t="s">
        <v>1789</v>
      </c>
      <c r="C216" s="371" t="s">
        <v>32</v>
      </c>
      <c r="D216" s="372">
        <v>320</v>
      </c>
      <c r="E216" s="373"/>
      <c r="F216" s="374" t="s">
        <v>753</v>
      </c>
      <c r="G216" s="373"/>
      <c r="H216" s="373"/>
      <c r="I216" s="373"/>
      <c r="J216" s="375"/>
      <c r="K216" s="373"/>
      <c r="L216" s="371"/>
      <c r="M216" s="376"/>
    </row>
    <row r="217" spans="1:13" x14ac:dyDescent="0.25">
      <c r="A217" s="397">
        <v>46010</v>
      </c>
      <c r="B217" s="398" t="s">
        <v>1790</v>
      </c>
      <c r="C217" s="371" t="s">
        <v>32</v>
      </c>
      <c r="D217" s="372">
        <v>80</v>
      </c>
      <c r="E217" s="373"/>
      <c r="F217" s="374" t="s">
        <v>847</v>
      </c>
      <c r="G217" s="373"/>
      <c r="H217" s="373"/>
      <c r="I217" s="373"/>
      <c r="J217" s="375"/>
      <c r="K217" s="373"/>
      <c r="L217" s="371"/>
      <c r="M217" s="376"/>
    </row>
    <row r="218" spans="1:13" x14ac:dyDescent="0.25">
      <c r="A218" s="397">
        <v>46010</v>
      </c>
      <c r="B218" s="398" t="s">
        <v>1791</v>
      </c>
      <c r="C218" s="371" t="s">
        <v>32</v>
      </c>
      <c r="D218" s="372">
        <v>640</v>
      </c>
      <c r="E218" s="373"/>
      <c r="F218" s="374" t="s">
        <v>741</v>
      </c>
      <c r="G218" s="373"/>
      <c r="H218" s="373"/>
      <c r="I218" s="373"/>
      <c r="J218" s="375"/>
      <c r="K218" s="373"/>
      <c r="L218" s="371"/>
      <c r="M218" s="376"/>
    </row>
    <row r="219" spans="1:13" x14ac:dyDescent="0.25">
      <c r="A219" s="397">
        <v>46010</v>
      </c>
      <c r="B219" s="398" t="s">
        <v>1792</v>
      </c>
      <c r="C219" s="371" t="s">
        <v>32</v>
      </c>
      <c r="D219" s="372">
        <v>600</v>
      </c>
      <c r="E219" s="373"/>
      <c r="F219" s="374" t="s">
        <v>749</v>
      </c>
      <c r="G219" s="373"/>
      <c r="H219" s="373"/>
      <c r="I219" s="373"/>
      <c r="J219" s="375"/>
      <c r="K219" s="373"/>
      <c r="L219" s="371"/>
      <c r="M219" s="376"/>
    </row>
    <row r="220" spans="1:13" x14ac:dyDescent="0.25">
      <c r="A220" s="397">
        <v>46010</v>
      </c>
      <c r="B220" s="398" t="s">
        <v>1793</v>
      </c>
      <c r="C220" s="371" t="s">
        <v>32</v>
      </c>
      <c r="D220" s="372">
        <v>2250</v>
      </c>
      <c r="E220" s="373"/>
      <c r="F220" s="374" t="s">
        <v>1350</v>
      </c>
      <c r="G220" s="373"/>
      <c r="H220" s="373"/>
      <c r="I220" s="373"/>
      <c r="J220" s="375"/>
      <c r="K220" s="373"/>
      <c r="L220" s="371"/>
      <c r="M220" s="376"/>
    </row>
    <row r="221" spans="1:13" x14ac:dyDescent="0.25">
      <c r="A221" s="397">
        <v>46010</v>
      </c>
      <c r="B221" s="398"/>
      <c r="C221" s="371" t="s">
        <v>168</v>
      </c>
      <c r="D221" s="372"/>
      <c r="E221" s="373">
        <v>12840</v>
      </c>
      <c r="F221" s="374"/>
      <c r="G221" s="373"/>
      <c r="H221" s="373"/>
      <c r="I221" s="373"/>
      <c r="J221" s="375"/>
      <c r="K221" s="373"/>
      <c r="L221" s="371"/>
      <c r="M221" s="376"/>
    </row>
    <row r="222" spans="1:13" x14ac:dyDescent="0.25">
      <c r="A222" s="397">
        <v>46010</v>
      </c>
      <c r="B222" s="398"/>
      <c r="C222" s="371" t="s">
        <v>168</v>
      </c>
      <c r="D222" s="372"/>
      <c r="E222" s="373">
        <v>550</v>
      </c>
      <c r="F222" s="374"/>
      <c r="G222" s="373"/>
      <c r="H222" s="373"/>
      <c r="I222" s="373"/>
      <c r="J222" s="375"/>
      <c r="K222" s="373"/>
      <c r="L222" s="371"/>
      <c r="M222" s="376"/>
    </row>
    <row r="223" spans="1:13" x14ac:dyDescent="0.25">
      <c r="A223" s="397">
        <v>46010</v>
      </c>
      <c r="B223" s="398"/>
      <c r="C223" s="371" t="s">
        <v>207</v>
      </c>
      <c r="D223" s="372"/>
      <c r="E223" s="373">
        <v>250</v>
      </c>
      <c r="F223" s="374"/>
      <c r="G223" s="373"/>
      <c r="H223" s="373"/>
      <c r="I223" s="373"/>
      <c r="J223" s="375"/>
      <c r="K223" s="373"/>
      <c r="L223" s="371"/>
      <c r="M223" s="376"/>
    </row>
    <row r="224" spans="1:13" x14ac:dyDescent="0.25">
      <c r="A224" s="397">
        <v>46010</v>
      </c>
      <c r="B224" s="398"/>
      <c r="C224" s="371" t="s">
        <v>33</v>
      </c>
      <c r="D224" s="372"/>
      <c r="E224" s="373">
        <v>20</v>
      </c>
      <c r="F224" s="374"/>
      <c r="G224" s="373"/>
      <c r="H224" s="373"/>
      <c r="I224" s="373"/>
      <c r="J224" s="375"/>
      <c r="K224" s="373"/>
      <c r="L224" s="371"/>
      <c r="M224" s="376"/>
    </row>
    <row r="225" spans="1:13" x14ac:dyDescent="0.25">
      <c r="A225" s="397">
        <v>46010</v>
      </c>
      <c r="B225" s="398"/>
      <c r="C225" s="371"/>
      <c r="D225" s="372"/>
      <c r="E225" s="373"/>
      <c r="F225" s="374"/>
      <c r="G225" s="373"/>
      <c r="H225" s="373"/>
      <c r="I225" s="373"/>
      <c r="J225" s="375"/>
      <c r="K225" s="373"/>
      <c r="L225" s="371"/>
      <c r="M225" s="376"/>
    </row>
    <row r="226" spans="1:13" x14ac:dyDescent="0.25">
      <c r="A226" s="397"/>
      <c r="B226" s="398"/>
      <c r="C226" s="371"/>
      <c r="D226" s="372"/>
      <c r="E226" s="373"/>
      <c r="F226" s="374"/>
      <c r="G226" s="373"/>
      <c r="H226" s="373"/>
      <c r="I226" s="373"/>
      <c r="J226" s="375"/>
      <c r="K226" s="373"/>
      <c r="L226" s="371"/>
      <c r="M226" s="376"/>
    </row>
    <row r="227" spans="1:13" x14ac:dyDescent="0.25">
      <c r="A227" s="397"/>
      <c r="B227" s="398"/>
      <c r="C227" s="371"/>
      <c r="D227" s="372"/>
      <c r="E227" s="373"/>
      <c r="F227" s="374"/>
      <c r="G227" s="373"/>
      <c r="H227" s="373"/>
      <c r="I227" s="373"/>
      <c r="J227" s="375"/>
      <c r="K227" s="373"/>
      <c r="L227" s="371"/>
      <c r="M227" s="376"/>
    </row>
    <row r="228" spans="1:13" x14ac:dyDescent="0.25">
      <c r="A228" s="397"/>
      <c r="B228" s="398"/>
      <c r="C228" s="371"/>
      <c r="D228" s="372"/>
      <c r="E228" s="373"/>
      <c r="F228" s="374"/>
      <c r="G228" s="373"/>
      <c r="H228" s="373"/>
      <c r="I228" s="373"/>
      <c r="J228" s="375"/>
      <c r="K228" s="373"/>
      <c r="L228" s="371"/>
      <c r="M228" s="376"/>
    </row>
    <row r="229" spans="1:13" x14ac:dyDescent="0.25">
      <c r="A229" s="397"/>
      <c r="B229" s="398"/>
      <c r="C229" s="371"/>
      <c r="D229" s="372"/>
      <c r="E229" s="373"/>
      <c r="F229" s="374"/>
      <c r="G229" s="373"/>
      <c r="H229" s="373"/>
      <c r="I229" s="373"/>
      <c r="J229" s="375"/>
      <c r="K229" s="373"/>
      <c r="L229" s="371"/>
      <c r="M229" s="376"/>
    </row>
    <row r="230" spans="1:13" x14ac:dyDescent="0.25">
      <c r="A230" s="397"/>
      <c r="B230" s="398"/>
      <c r="C230" s="371"/>
      <c r="D230" s="372"/>
      <c r="E230" s="373"/>
      <c r="F230" s="374"/>
      <c r="G230" s="373"/>
      <c r="H230" s="373"/>
      <c r="I230" s="373"/>
      <c r="J230" s="375"/>
      <c r="K230" s="373"/>
      <c r="L230" s="371"/>
      <c r="M230" s="376"/>
    </row>
    <row r="231" spans="1:13" x14ac:dyDescent="0.25">
      <c r="A231" s="397"/>
      <c r="B231" s="398"/>
      <c r="C231" s="371"/>
      <c r="D231" s="372"/>
      <c r="E231" s="373"/>
      <c r="F231" s="374"/>
      <c r="G231" s="373"/>
      <c r="H231" s="373"/>
      <c r="I231" s="373"/>
      <c r="J231" s="375"/>
      <c r="K231" s="373"/>
      <c r="L231" s="371"/>
      <c r="M231" s="376"/>
    </row>
    <row r="232" spans="1:13" x14ac:dyDescent="0.25">
      <c r="A232" s="397"/>
      <c r="B232" s="398"/>
      <c r="C232" s="371"/>
      <c r="D232" s="372"/>
      <c r="E232" s="373"/>
      <c r="F232" s="374"/>
      <c r="G232" s="373"/>
      <c r="H232" s="373"/>
      <c r="I232" s="373"/>
      <c r="J232" s="375"/>
      <c r="K232" s="373"/>
      <c r="L232" s="371"/>
      <c r="M232" s="376"/>
    </row>
    <row r="233" spans="1:13" x14ac:dyDescent="0.25">
      <c r="A233" s="397"/>
      <c r="B233" s="398"/>
      <c r="C233" s="371"/>
      <c r="D233" s="372"/>
      <c r="E233" s="373"/>
      <c r="F233" s="374"/>
      <c r="G233" s="373"/>
      <c r="H233" s="373"/>
      <c r="I233" s="373"/>
      <c r="J233" s="375"/>
      <c r="K233" s="373"/>
      <c r="L233" s="371"/>
      <c r="M233" s="376"/>
    </row>
    <row r="234" spans="1:13" x14ac:dyDescent="0.25">
      <c r="A234" s="397"/>
      <c r="B234" s="398"/>
      <c r="C234" s="371"/>
      <c r="D234" s="372"/>
      <c r="E234" s="373"/>
      <c r="F234" s="374"/>
      <c r="G234" s="373"/>
      <c r="H234" s="373"/>
      <c r="I234" s="373"/>
      <c r="J234" s="375"/>
      <c r="K234" s="373"/>
      <c r="L234" s="371"/>
      <c r="M234" s="376"/>
    </row>
    <row r="235" spans="1:13" x14ac:dyDescent="0.25">
      <c r="A235" s="397"/>
      <c r="B235" s="398"/>
      <c r="C235" s="371"/>
      <c r="D235" s="372"/>
      <c r="E235" s="373"/>
      <c r="F235" s="374"/>
      <c r="G235" s="373"/>
      <c r="H235" s="373"/>
      <c r="I235" s="373"/>
      <c r="J235" s="375"/>
      <c r="K235" s="373"/>
      <c r="L235" s="371"/>
      <c r="M235" s="376"/>
    </row>
    <row r="236" spans="1:13" x14ac:dyDescent="0.25">
      <c r="A236" s="397"/>
      <c r="B236" s="398"/>
      <c r="C236" s="371"/>
      <c r="D236" s="372"/>
      <c r="E236" s="373"/>
      <c r="F236" s="374"/>
      <c r="G236" s="373"/>
      <c r="H236" s="373"/>
      <c r="I236" s="373"/>
      <c r="J236" s="375"/>
      <c r="K236" s="373"/>
      <c r="L236" s="371"/>
      <c r="M236" s="376"/>
    </row>
    <row r="237" spans="1:13" x14ac:dyDescent="0.25">
      <c r="A237" s="397"/>
      <c r="B237" s="398"/>
      <c r="C237" s="371"/>
      <c r="D237" s="372"/>
      <c r="E237" s="373"/>
      <c r="F237" s="374"/>
      <c r="G237" s="373"/>
      <c r="H237" s="373"/>
      <c r="I237" s="373"/>
      <c r="J237" s="375"/>
      <c r="K237" s="373"/>
      <c r="L237" s="371"/>
      <c r="M237" s="376"/>
    </row>
    <row r="238" spans="1:13" x14ac:dyDescent="0.25">
      <c r="A238" s="397"/>
      <c r="B238" s="398"/>
      <c r="C238" s="371"/>
      <c r="D238" s="372"/>
      <c r="E238" s="373"/>
      <c r="F238" s="374"/>
      <c r="G238" s="373"/>
      <c r="H238" s="373"/>
      <c r="I238" s="373"/>
      <c r="J238" s="375"/>
      <c r="K238" s="373"/>
      <c r="L238" s="371"/>
      <c r="M238" s="376"/>
    </row>
    <row r="239" spans="1:13" ht="15.75" customHeight="1" x14ac:dyDescent="0.25">
      <c r="A239" s="302"/>
      <c r="B239" s="314"/>
      <c r="C239" s="36"/>
      <c r="D239" s="331"/>
      <c r="E239" s="332"/>
      <c r="F239" s="256"/>
      <c r="G239" s="332"/>
      <c r="H239" s="332"/>
      <c r="I239" s="332"/>
      <c r="J239" s="334"/>
      <c r="K239" s="332"/>
      <c r="L239" s="330"/>
      <c r="M239" s="335"/>
    </row>
    <row r="240" spans="1:13" ht="15.75" customHeight="1" x14ac:dyDescent="0.25">
      <c r="A240" s="302"/>
      <c r="B240" s="370"/>
      <c r="C240" s="371"/>
      <c r="D240" s="372"/>
      <c r="E240" s="373"/>
      <c r="F240" s="374"/>
      <c r="G240" s="373"/>
      <c r="H240" s="373"/>
      <c r="I240" s="373"/>
      <c r="J240" s="375"/>
      <c r="K240" s="373"/>
      <c r="L240" s="371"/>
      <c r="M240" s="376"/>
    </row>
    <row r="241" spans="1:13" ht="15.75" customHeight="1" x14ac:dyDescent="0.25">
      <c r="A241" s="36"/>
      <c r="B241" s="36"/>
      <c r="C241" s="7" t="s">
        <v>126</v>
      </c>
      <c r="D241" s="9">
        <f>SUM(D3:D240)</f>
        <v>139760</v>
      </c>
      <c r="E241" s="36" t="s">
        <v>706</v>
      </c>
      <c r="F241" s="250" t="s">
        <v>706</v>
      </c>
      <c r="G241" s="36" t="s">
        <v>706</v>
      </c>
      <c r="H241" s="36" t="s">
        <v>706</v>
      </c>
      <c r="I241" s="36" t="s">
        <v>706</v>
      </c>
      <c r="J241" s="223" t="s">
        <v>706</v>
      </c>
      <c r="K241" s="36" t="s">
        <v>706</v>
      </c>
      <c r="L241" s="36" t="s">
        <v>706</v>
      </c>
      <c r="M241" s="36" t="s">
        <v>706</v>
      </c>
    </row>
    <row r="242" spans="1:13" ht="15.75" customHeight="1" x14ac:dyDescent="0.25">
      <c r="A242" s="36"/>
      <c r="B242" s="36"/>
      <c r="C242" s="39" t="s">
        <v>21</v>
      </c>
      <c r="D242" s="40">
        <f>SUM(D241,D2)</f>
        <v>200755.5</v>
      </c>
      <c r="E242" s="40">
        <f>SUM(E2:E241)</f>
        <v>107266</v>
      </c>
      <c r="F242" s="257"/>
      <c r="G242" s="40"/>
      <c r="H242" s="40"/>
      <c r="I242" s="40"/>
      <c r="J242" s="228"/>
      <c r="K242" s="40"/>
      <c r="L242" s="36"/>
      <c r="M242" s="36"/>
    </row>
    <row r="243" spans="1:13" ht="15.75" customHeight="1" x14ac:dyDescent="0.25">
      <c r="A243" s="10"/>
      <c r="B243" s="10"/>
      <c r="C243" s="10"/>
      <c r="D243" s="10"/>
      <c r="E243" s="10"/>
      <c r="F243" s="258"/>
      <c r="G243" s="10"/>
      <c r="H243" s="10"/>
      <c r="I243" s="10"/>
      <c r="J243" s="229"/>
      <c r="K243" s="10"/>
      <c r="L243" s="10"/>
      <c r="M243" s="10"/>
    </row>
    <row r="244" spans="1:13" ht="15.75" customHeight="1" x14ac:dyDescent="0.25">
      <c r="A244" s="10"/>
      <c r="B244" s="10"/>
      <c r="C244" s="29" t="s">
        <v>127</v>
      </c>
      <c r="D244" s="41">
        <f>D241-E242</f>
        <v>32494</v>
      </c>
      <c r="E244" s="10"/>
      <c r="F244" s="258"/>
      <c r="G244" s="10"/>
      <c r="H244" s="10"/>
      <c r="I244" s="10"/>
      <c r="J244" s="229"/>
      <c r="K244" s="10"/>
      <c r="L244" s="10"/>
      <c r="M244" s="10"/>
    </row>
    <row r="245" spans="1:13" ht="15.75" customHeight="1" x14ac:dyDescent="0.25">
      <c r="A245" s="10"/>
      <c r="B245" s="10"/>
      <c r="C245" s="29" t="s">
        <v>60</v>
      </c>
      <c r="D245" s="30">
        <f>D242-E242</f>
        <v>93489.5</v>
      </c>
      <c r="E245" s="10"/>
      <c r="F245" s="258"/>
      <c r="G245" s="10"/>
      <c r="H245" s="10"/>
      <c r="I245" s="10"/>
      <c r="J245" s="229"/>
      <c r="K245" s="10"/>
      <c r="L245" s="10"/>
      <c r="M245" s="10"/>
    </row>
    <row r="246" spans="1:13" ht="15.75" customHeight="1" x14ac:dyDescent="0.25"/>
    <row r="247" spans="1:13" ht="15.75" customHeight="1" x14ac:dyDescent="0.25">
      <c r="C247" s="119" t="s">
        <v>196</v>
      </c>
      <c r="D247" s="120"/>
    </row>
    <row r="248" spans="1:13" ht="15.75" customHeight="1" x14ac:dyDescent="0.25"/>
    <row r="249" spans="1:13" ht="15.75" customHeight="1" x14ac:dyDescent="0.25"/>
    <row r="250" spans="1:13" ht="15.75" customHeight="1" x14ac:dyDescent="0.25"/>
    <row r="251" spans="1:13" ht="15.75" customHeight="1" x14ac:dyDescent="0.25"/>
    <row r="252" spans="1:13" ht="15.75" customHeight="1" x14ac:dyDescent="0.25"/>
    <row r="253" spans="1:13" ht="15.75" customHeight="1" x14ac:dyDescent="0.25"/>
    <row r="254" spans="1:13" ht="15.75" customHeight="1" x14ac:dyDescent="0.25"/>
    <row r="255" spans="1:13" ht="15.75" customHeight="1" x14ac:dyDescent="0.25"/>
    <row r="256" spans="1:13"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row r="1015" ht="15.75" customHeight="1" x14ac:dyDescent="0.25"/>
    <row r="1016" ht="15.75" customHeight="1" x14ac:dyDescent="0.25"/>
    <row r="1017" ht="15.75" customHeight="1" x14ac:dyDescent="0.25"/>
    <row r="1018" ht="15.75" customHeight="1" x14ac:dyDescent="0.25"/>
    <row r="1019" ht="15.75" customHeight="1" x14ac:dyDescent="0.25"/>
    <row r="1020" ht="15.75" customHeight="1" x14ac:dyDescent="0.25"/>
    <row r="1021" ht="15.75" customHeight="1" x14ac:dyDescent="0.25"/>
    <row r="1022" ht="15.75" customHeight="1" x14ac:dyDescent="0.25"/>
    <row r="1023" ht="15.75" customHeight="1" x14ac:dyDescent="0.25"/>
    <row r="1024" ht="15.75" customHeight="1" x14ac:dyDescent="0.25"/>
    <row r="1025" ht="15.75" customHeight="1" x14ac:dyDescent="0.25"/>
    <row r="1026" ht="15.75" customHeight="1" x14ac:dyDescent="0.25"/>
    <row r="1027" ht="15.75" customHeight="1" x14ac:dyDescent="0.25"/>
    <row r="1028" ht="15.75" customHeight="1" x14ac:dyDescent="0.25"/>
    <row r="1029" ht="15.75" customHeight="1" x14ac:dyDescent="0.25"/>
    <row r="1030" ht="15.75" customHeight="1" x14ac:dyDescent="0.25"/>
    <row r="1031" ht="15.75" customHeight="1" x14ac:dyDescent="0.25"/>
    <row r="1032" ht="15.75" customHeight="1" x14ac:dyDescent="0.25"/>
    <row r="1033" ht="15.75" customHeight="1" x14ac:dyDescent="0.25"/>
    <row r="1034" ht="15.75" customHeight="1" x14ac:dyDescent="0.25"/>
    <row r="1035" ht="15.75" customHeight="1" x14ac:dyDescent="0.25"/>
    <row r="1036" ht="15.75" customHeight="1" x14ac:dyDescent="0.25"/>
    <row r="1037" ht="15.75" customHeight="1" x14ac:dyDescent="0.25"/>
    <row r="1038" ht="15.75" customHeight="1" x14ac:dyDescent="0.25"/>
    <row r="1039" ht="15.75" customHeight="1" x14ac:dyDescent="0.25"/>
    <row r="1040" ht="15.75" customHeight="1" x14ac:dyDescent="0.25"/>
    <row r="1041" ht="15.75" customHeight="1" x14ac:dyDescent="0.25"/>
    <row r="1042" ht="15.75" customHeight="1" x14ac:dyDescent="0.25"/>
    <row r="1043" ht="15.75" customHeight="1" x14ac:dyDescent="0.25"/>
    <row r="1044" ht="15.75" customHeight="1" x14ac:dyDescent="0.25"/>
    <row r="1045" ht="15.75" customHeight="1" x14ac:dyDescent="0.25"/>
    <row r="1046" ht="15.75" customHeight="1" x14ac:dyDescent="0.25"/>
    <row r="1047" ht="15.75" customHeight="1" x14ac:dyDescent="0.25"/>
    <row r="1048" ht="15.75" customHeight="1" x14ac:dyDescent="0.25"/>
    <row r="1049" ht="15.75" customHeight="1" x14ac:dyDescent="0.25"/>
    <row r="1050" ht="15.75" customHeight="1" x14ac:dyDescent="0.25"/>
    <row r="1051" ht="15.75" customHeight="1" x14ac:dyDescent="0.25"/>
    <row r="1052" ht="15.75" customHeight="1" x14ac:dyDescent="0.25"/>
    <row r="1053" ht="15.75" customHeight="1" x14ac:dyDescent="0.25"/>
    <row r="1054" ht="15.75" customHeight="1" x14ac:dyDescent="0.25"/>
    <row r="1055" ht="15.75" customHeight="1" x14ac:dyDescent="0.25"/>
    <row r="1056" ht="15.75" customHeight="1" x14ac:dyDescent="0.25"/>
    <row r="1057" ht="15.75" customHeight="1" x14ac:dyDescent="0.25"/>
    <row r="1058" ht="15.75" customHeight="1" x14ac:dyDescent="0.25"/>
    <row r="1059" ht="15.75" customHeight="1" x14ac:dyDescent="0.25"/>
    <row r="1060" ht="15.75" customHeight="1" x14ac:dyDescent="0.25"/>
    <row r="1061" ht="15.75" customHeight="1" x14ac:dyDescent="0.25"/>
    <row r="1062" ht="15.75" customHeight="1" x14ac:dyDescent="0.25"/>
    <row r="1063" ht="15.75" customHeight="1" x14ac:dyDescent="0.25"/>
    <row r="1064" ht="15.75" customHeight="1" x14ac:dyDescent="0.25"/>
    <row r="1065" ht="15.75" customHeight="1" x14ac:dyDescent="0.25"/>
    <row r="1066" ht="15.75" customHeight="1" x14ac:dyDescent="0.25"/>
    <row r="1067" ht="15.75" customHeight="1" x14ac:dyDescent="0.25"/>
    <row r="1068" ht="15.75" customHeight="1" x14ac:dyDescent="0.25"/>
    <row r="1069" ht="15.75" customHeight="1" x14ac:dyDescent="0.25"/>
    <row r="1070" ht="15.75" customHeight="1" x14ac:dyDescent="0.25"/>
    <row r="1071" ht="15.75" customHeight="1" x14ac:dyDescent="0.25"/>
    <row r="1072" ht="15.75" customHeight="1" x14ac:dyDescent="0.25"/>
    <row r="1073" ht="15.75" customHeight="1" x14ac:dyDescent="0.25"/>
    <row r="1074" ht="15.75" customHeight="1" x14ac:dyDescent="0.25"/>
    <row r="1075" ht="15.75" customHeight="1" x14ac:dyDescent="0.25"/>
    <row r="1076" ht="15.75" customHeight="1" x14ac:dyDescent="0.25"/>
    <row r="1077" ht="15.75" customHeight="1" x14ac:dyDescent="0.25"/>
    <row r="1078" ht="15.75" customHeight="1" x14ac:dyDescent="0.25"/>
    <row r="1079" ht="15.75" customHeight="1" x14ac:dyDescent="0.25"/>
    <row r="1080" ht="15.75" customHeight="1" x14ac:dyDescent="0.25"/>
    <row r="1081" ht="15.75" customHeight="1" x14ac:dyDescent="0.25"/>
    <row r="1082" ht="15.75" customHeight="1" x14ac:dyDescent="0.25"/>
    <row r="1083" ht="15.75" customHeight="1" x14ac:dyDescent="0.25"/>
    <row r="1084" ht="15.75" customHeight="1" x14ac:dyDescent="0.25"/>
    <row r="1085" ht="15.75" customHeight="1" x14ac:dyDescent="0.25"/>
    <row r="1086" ht="15.75" customHeight="1" x14ac:dyDescent="0.25"/>
    <row r="1087" ht="15.75" customHeight="1" x14ac:dyDescent="0.25"/>
    <row r="1088" ht="15.75" customHeight="1" x14ac:dyDescent="0.25"/>
    <row r="1089" ht="15.75" customHeight="1" x14ac:dyDescent="0.25"/>
    <row r="1090" ht="15.75" customHeight="1" x14ac:dyDescent="0.25"/>
    <row r="1091" ht="15.75" customHeight="1" x14ac:dyDescent="0.25"/>
    <row r="1092" ht="15.75" customHeight="1" x14ac:dyDescent="0.25"/>
    <row r="1093" ht="15.75" customHeight="1" x14ac:dyDescent="0.25"/>
    <row r="1094" ht="15.75" customHeight="1" x14ac:dyDescent="0.25"/>
    <row r="1095" ht="15.75" customHeight="1" x14ac:dyDescent="0.25"/>
    <row r="1096" ht="15.75" customHeight="1" x14ac:dyDescent="0.25"/>
    <row r="1097" ht="15.75" customHeight="1" x14ac:dyDescent="0.25"/>
    <row r="1098" ht="15.75" customHeight="1" x14ac:dyDescent="0.25"/>
    <row r="1099" ht="15.75" customHeight="1" x14ac:dyDescent="0.25"/>
    <row r="1100" ht="15.75" customHeight="1" x14ac:dyDescent="0.25"/>
    <row r="1101" ht="15.75" customHeight="1" x14ac:dyDescent="0.25"/>
    <row r="1102" ht="15.75" customHeight="1" x14ac:dyDescent="0.25"/>
    <row r="1103" ht="15.75" customHeight="1" x14ac:dyDescent="0.25"/>
    <row r="1104" ht="15.75" customHeight="1" x14ac:dyDescent="0.25"/>
    <row r="1105" ht="15.75" customHeight="1" x14ac:dyDescent="0.25"/>
    <row r="1106" ht="15.75" customHeight="1" x14ac:dyDescent="0.25"/>
    <row r="1107" ht="15.75" customHeight="1" x14ac:dyDescent="0.25"/>
    <row r="1108" ht="15.75" customHeight="1" x14ac:dyDescent="0.25"/>
    <row r="1109" ht="15.75" customHeight="1" x14ac:dyDescent="0.25"/>
    <row r="1110" ht="15.75" customHeight="1" x14ac:dyDescent="0.25"/>
  </sheetData>
  <dataConsolidate/>
  <conditionalFormatting sqref="D247">
    <cfRule type="cellIs" dxfId="12118" priority="10805" operator="lessThan">
      <formula>0</formula>
    </cfRule>
    <cfRule type="cellIs" dxfId="12117" priority="10806" operator="greaterThan">
      <formula>0</formula>
    </cfRule>
  </conditionalFormatting>
  <conditionalFormatting sqref="A2:M2 E22:M23 B15:M15 C3:M14 C16:M21 A240:M240 A96:A115 C24:M239 A121:A239 B17:B239">
    <cfRule type="expression" dxfId="2643" priority="10804">
      <formula>$C2="Advance"</formula>
    </cfRule>
  </conditionalFormatting>
  <conditionalFormatting sqref="E22:M23 B2:M2 B15:M15 C3:M14 C16:M21 C24:M240 B17:B240">
    <cfRule type="expression" dxfId="2642" priority="10794">
      <formula>$C2="Delivery charge"</formula>
    </cfRule>
    <cfRule type="expression" dxfId="2641" priority="10796">
      <formula>$C2="Staff Salary"</formula>
    </cfRule>
    <cfRule type="expression" dxfId="2640" priority="10797">
      <formula>$C2="Rent"</formula>
    </cfRule>
    <cfRule type="expression" dxfId="2639" priority="10798">
      <formula>$C2="Petrol"</formula>
    </cfRule>
    <cfRule type="expression" dxfId="2638" priority="10799">
      <formula>$C2="Bills"</formula>
    </cfRule>
    <cfRule type="expression" dxfId="2637" priority="10800">
      <formula>$C2="Sales"</formula>
    </cfRule>
    <cfRule type="expression" dxfId="2636" priority="10801">
      <formula>$C2="Expences"</formula>
    </cfRule>
    <cfRule type="expression" dxfId="2635" priority="10802">
      <formula>$C2="Garlic Purchase"</formula>
    </cfRule>
    <cfRule type="expression" dxfId="2634" priority="10803">
      <formula>$C2="Ginger Purchase"</formula>
    </cfRule>
  </conditionalFormatting>
  <conditionalFormatting sqref="A3">
    <cfRule type="expression" dxfId="12116" priority="10795">
      <formula>$C3="Advance"</formula>
    </cfRule>
  </conditionalFormatting>
  <conditionalFormatting sqref="C22:D23">
    <cfRule type="expression" dxfId="12115" priority="10793">
      <formula>$C22="Advance"</formula>
    </cfRule>
  </conditionalFormatting>
  <conditionalFormatting sqref="C22:D23">
    <cfRule type="expression" dxfId="12114" priority="10784">
      <formula>$C22="Delivery charge"</formula>
    </cfRule>
    <cfRule type="expression" dxfId="12113" priority="10785">
      <formula>$C22="Staff Salary"</formula>
    </cfRule>
    <cfRule type="expression" dxfId="12112" priority="10786">
      <formula>$C22="Rent"</formula>
    </cfRule>
    <cfRule type="expression" dxfId="12111" priority="10787">
      <formula>$C22="Petrol"</formula>
    </cfRule>
    <cfRule type="expression" dxfId="12110" priority="10788">
      <formula>$C22="Bills"</formula>
    </cfRule>
    <cfRule type="expression" dxfId="12109" priority="10789">
      <formula>$C22="Sales"</formula>
    </cfRule>
    <cfRule type="expression" dxfId="12108" priority="10790">
      <formula>$C22="Expences"</formula>
    </cfRule>
    <cfRule type="expression" dxfId="12107" priority="10791">
      <formula>$C22="Garlic Purchase"</formula>
    </cfRule>
    <cfRule type="expression" dxfId="12106" priority="10792">
      <formula>$C22="Ginger Purchase"</formula>
    </cfRule>
  </conditionalFormatting>
  <conditionalFormatting sqref="B13 B15:B20 B22 B24 B26 B28 B30">
    <cfRule type="expression" dxfId="12105" priority="10563">
      <formula>$C13="Advance"</formula>
    </cfRule>
  </conditionalFormatting>
  <conditionalFormatting sqref="B39 B41:B65 B67 B69:B73 B75:B239">
    <cfRule type="expression" dxfId="2633" priority="8993">
      <formula>$C39="Advance"</formula>
    </cfRule>
  </conditionalFormatting>
  <conditionalFormatting sqref="B3:B63">
    <cfRule type="expression" dxfId="12104" priority="10783">
      <formula>$C3="Advance"</formula>
    </cfRule>
  </conditionalFormatting>
  <conditionalFormatting sqref="B3:B63">
    <cfRule type="expression" dxfId="12103" priority="10774">
      <formula>$C3="Delivery charge"</formula>
    </cfRule>
    <cfRule type="expression" dxfId="12102" priority="10775">
      <formula>$C3="Staff Salary"</formula>
    </cfRule>
    <cfRule type="expression" dxfId="12101" priority="10776">
      <formula>$C3="Rent"</formula>
    </cfRule>
    <cfRule type="expression" dxfId="12100" priority="10777">
      <formula>$C3="Petrol"</formula>
    </cfRule>
    <cfRule type="expression" dxfId="12099" priority="10778">
      <formula>$C3="Bills"</formula>
    </cfRule>
    <cfRule type="expression" dxfId="12098" priority="10779">
      <formula>$C3="Sales"</formula>
    </cfRule>
    <cfRule type="expression" dxfId="12097" priority="10780">
      <formula>$C3="Expences"</formula>
    </cfRule>
    <cfRule type="expression" dxfId="12096" priority="10781">
      <formula>$C3="Garlic Purchase"</formula>
    </cfRule>
    <cfRule type="expression" dxfId="12095" priority="10782">
      <formula>$C3="Ginger Purchase"</formula>
    </cfRule>
  </conditionalFormatting>
  <conditionalFormatting sqref="B3 B15:B17 B20 B5 B7 B9 B11 B13 B22 B24 B26 B28 B30">
    <cfRule type="expression" dxfId="12094" priority="10764">
      <formula>$C3="Delivery charge"</formula>
    </cfRule>
    <cfRule type="expression" dxfId="12093" priority="10765">
      <formula>$C3="Staff Salary"</formula>
    </cfRule>
    <cfRule type="expression" dxfId="12092" priority="10766">
      <formula>$C3="Rent"</formula>
    </cfRule>
    <cfRule type="expression" dxfId="12091" priority="10767">
      <formula>$C3="Petrol"</formula>
    </cfRule>
    <cfRule type="expression" dxfId="12090" priority="10768">
      <formula>$C3="Bills"</formula>
    </cfRule>
    <cfRule type="expression" dxfId="12089" priority="10769">
      <formula>$C3="Sales"</formula>
    </cfRule>
    <cfRule type="expression" dxfId="12088" priority="10770">
      <formula>$C3="Expences"</formula>
    </cfRule>
    <cfRule type="expression" dxfId="12087" priority="10771">
      <formula>$C3="Garlic Purchase"</formula>
    </cfRule>
    <cfRule type="expression" dxfId="12086" priority="10772">
      <formula>$C3="Ginger Purchase"</formula>
    </cfRule>
  </conditionalFormatting>
  <conditionalFormatting sqref="B3 B15:B17 B20 B5 B7 B9 B11 B13 B22 B24 B26 B28 B30">
    <cfRule type="expression" dxfId="12085" priority="10773">
      <formula>$C3="Advance"</formula>
    </cfRule>
  </conditionalFormatting>
  <conditionalFormatting sqref="B4 B21 B14 B16:B19 B6 B8 B10 B12 B23:B25 B27 B29 B31 B33 B35 B37 B39 B41 B43 B47 B51">
    <cfRule type="expression" dxfId="12084" priority="10754">
      <formula>$C4="Delivery charge"</formula>
    </cfRule>
    <cfRule type="expression" dxfId="12083" priority="10755">
      <formula>$C4="Staff Salary"</formula>
    </cfRule>
    <cfRule type="expression" dxfId="12082" priority="10756">
      <formula>$C4="Rent"</formula>
    </cfRule>
    <cfRule type="expression" dxfId="12081" priority="10757">
      <formula>$C4="Petrol"</formula>
    </cfRule>
    <cfRule type="expression" dxfId="12080" priority="10758">
      <formula>$C4="Bills"</formula>
    </cfRule>
    <cfRule type="expression" dxfId="12079" priority="10759">
      <formula>$C4="Sales"</formula>
    </cfRule>
    <cfRule type="expression" dxfId="12078" priority="10760">
      <formula>$C4="Expences"</formula>
    </cfRule>
    <cfRule type="expression" dxfId="12077" priority="10761">
      <formula>$C4="Garlic Purchase"</formula>
    </cfRule>
    <cfRule type="expression" dxfId="12076" priority="10762">
      <formula>$C4="Ginger Purchase"</formula>
    </cfRule>
  </conditionalFormatting>
  <conditionalFormatting sqref="B4 B21 B14 B16:B19 B6 B8 B10 B12 B23:B25 B27 B29 B31 B33 B35 B37 B39 B41 B43 B47 B51">
    <cfRule type="expression" dxfId="12075" priority="10763">
      <formula>$C4="Advance"</formula>
    </cfRule>
  </conditionalFormatting>
  <conditionalFormatting sqref="B4 B21 B14 B16:B19 B6 B8 B10 B12 B23:B25 B27 B29 B31 B33 B35 B37 B39 B41 B43 B47 B51">
    <cfRule type="expression" dxfId="12074" priority="10744">
      <formula>$C4="Delivery charge"</formula>
    </cfRule>
    <cfRule type="expression" dxfId="12073" priority="10745">
      <formula>$C4="Staff Salary"</formula>
    </cfRule>
    <cfRule type="expression" dxfId="12072" priority="10746">
      <formula>$C4="Rent"</formula>
    </cfRule>
    <cfRule type="expression" dxfId="12071" priority="10747">
      <formula>$C4="Petrol"</formula>
    </cfRule>
    <cfRule type="expression" dxfId="12070" priority="10748">
      <formula>$C4="Bills"</formula>
    </cfRule>
    <cfRule type="expression" dxfId="12069" priority="10749">
      <formula>$C4="Sales"</formula>
    </cfRule>
    <cfRule type="expression" dxfId="12068" priority="10750">
      <formula>$C4="Expences"</formula>
    </cfRule>
    <cfRule type="expression" dxfId="12067" priority="10751">
      <formula>$C4="Garlic Purchase"</formula>
    </cfRule>
    <cfRule type="expression" dxfId="12066" priority="10752">
      <formula>$C4="Ginger Purchase"</formula>
    </cfRule>
  </conditionalFormatting>
  <conditionalFormatting sqref="B4 B21 B14 B16:B19 B6 B8 B10 B12 B23:B25 B27 B29 B31 B33 B35 B37 B39 B41 B43 B47 B51">
    <cfRule type="expression" dxfId="12065" priority="10753">
      <formula>$C4="Advance"</formula>
    </cfRule>
  </conditionalFormatting>
  <conditionalFormatting sqref="B4 B21 B14 B16:B19 B6 B8 B10 B12 B23:B25 B27 B29 B31 B33 B35 B37 B39 B41 B43 B47 B51">
    <cfRule type="expression" dxfId="12064" priority="10734">
      <formula>$C4="Delivery charge"</formula>
    </cfRule>
    <cfRule type="expression" dxfId="12063" priority="10735">
      <formula>$C4="Staff Salary"</formula>
    </cfRule>
    <cfRule type="expression" dxfId="12062" priority="10736">
      <formula>$C4="Rent"</formula>
    </cfRule>
    <cfRule type="expression" dxfId="12061" priority="10737">
      <formula>$C4="Petrol"</formula>
    </cfRule>
    <cfRule type="expression" dxfId="12060" priority="10738">
      <formula>$C4="Bills"</formula>
    </cfRule>
    <cfRule type="expression" dxfId="12059" priority="10739">
      <formula>$C4="Sales"</formula>
    </cfRule>
    <cfRule type="expression" dxfId="12058" priority="10740">
      <formula>$C4="Expences"</formula>
    </cfRule>
    <cfRule type="expression" dxfId="12057" priority="10741">
      <formula>$C4="Garlic Purchase"</formula>
    </cfRule>
    <cfRule type="expression" dxfId="12056" priority="10742">
      <formula>$C4="Ginger Purchase"</formula>
    </cfRule>
  </conditionalFormatting>
  <conditionalFormatting sqref="B4 B21 B14 B16:B19 B6 B8 B10 B12 B23:B25 B27 B29 B31 B33 B35 B37 B39 B41 B43 B47 B51">
    <cfRule type="expression" dxfId="12055" priority="10743">
      <formula>$C4="Advance"</formula>
    </cfRule>
  </conditionalFormatting>
  <conditionalFormatting sqref="B4 B21 B14 B16:B19 B6 B8 B10 B12 B23:B25 B27 B29 B31 B33 B35 B37 B39 B41 B43 B47 B51">
    <cfRule type="expression" dxfId="12054" priority="10724">
      <formula>$C4="Delivery charge"</formula>
    </cfRule>
    <cfRule type="expression" dxfId="12053" priority="10725">
      <formula>$C4="Staff Salary"</formula>
    </cfRule>
    <cfRule type="expression" dxfId="12052" priority="10726">
      <formula>$C4="Rent"</formula>
    </cfRule>
    <cfRule type="expression" dxfId="12051" priority="10727">
      <formula>$C4="Petrol"</formula>
    </cfRule>
    <cfRule type="expression" dxfId="12050" priority="10728">
      <formula>$C4="Bills"</formula>
    </cfRule>
    <cfRule type="expression" dxfId="12049" priority="10729">
      <formula>$C4="Sales"</formula>
    </cfRule>
    <cfRule type="expression" dxfId="12048" priority="10730">
      <formula>$C4="Expences"</formula>
    </cfRule>
    <cfRule type="expression" dxfId="12047" priority="10731">
      <formula>$C4="Garlic Purchase"</formula>
    </cfRule>
    <cfRule type="expression" dxfId="12046" priority="10732">
      <formula>$C4="Ginger Purchase"</formula>
    </cfRule>
  </conditionalFormatting>
  <conditionalFormatting sqref="B4 B21 B14 B16:B19 B6 B8 B10 B12 B23:B25 B27 B29 B31 B33 B35 B37 B39 B41 B43 B47 B51">
    <cfRule type="expression" dxfId="12045" priority="10733">
      <formula>$C4="Advance"</formula>
    </cfRule>
  </conditionalFormatting>
  <conditionalFormatting sqref="B12">
    <cfRule type="expression" dxfId="12044" priority="10714">
      <formula>$C12="Delivery charge"</formula>
    </cfRule>
    <cfRule type="expression" dxfId="12043" priority="10715">
      <formula>$C12="Staff Salary"</formula>
    </cfRule>
    <cfRule type="expression" dxfId="12042" priority="10716">
      <formula>$C12="Rent"</formula>
    </cfRule>
    <cfRule type="expression" dxfId="12041" priority="10717">
      <formula>$C12="Petrol"</formula>
    </cfRule>
    <cfRule type="expression" dxfId="12040" priority="10718">
      <formula>$C12="Bills"</formula>
    </cfRule>
    <cfRule type="expression" dxfId="12039" priority="10719">
      <formula>$C12="Sales"</formula>
    </cfRule>
    <cfRule type="expression" dxfId="12038" priority="10720">
      <formula>$C12="Expences"</formula>
    </cfRule>
    <cfRule type="expression" dxfId="12037" priority="10721">
      <formula>$C12="Garlic Purchase"</formula>
    </cfRule>
    <cfRule type="expression" dxfId="12036" priority="10722">
      <formula>$C12="Ginger Purchase"</formula>
    </cfRule>
  </conditionalFormatting>
  <conditionalFormatting sqref="B12">
    <cfRule type="expression" dxfId="12035" priority="10723">
      <formula>$C12="Advance"</formula>
    </cfRule>
  </conditionalFormatting>
  <conditionalFormatting sqref="B11 B13 B16 B20 B22 B24 B26 B28 B30">
    <cfRule type="expression" dxfId="12034" priority="10704">
      <formula>$C11="Delivery charge"</formula>
    </cfRule>
    <cfRule type="expression" dxfId="12033" priority="10705">
      <formula>$C11="Staff Salary"</formula>
    </cfRule>
    <cfRule type="expression" dxfId="12032" priority="10706">
      <formula>$C11="Rent"</formula>
    </cfRule>
    <cfRule type="expression" dxfId="12031" priority="10707">
      <formula>$C11="Petrol"</formula>
    </cfRule>
    <cfRule type="expression" dxfId="12030" priority="10708">
      <formula>$C11="Bills"</formula>
    </cfRule>
    <cfRule type="expression" dxfId="12029" priority="10709">
      <formula>$C11="Sales"</formula>
    </cfRule>
    <cfRule type="expression" dxfId="12028" priority="10710">
      <formula>$C11="Expences"</formula>
    </cfRule>
    <cfRule type="expression" dxfId="12027" priority="10711">
      <formula>$C11="Garlic Purchase"</formula>
    </cfRule>
    <cfRule type="expression" dxfId="12026" priority="10712">
      <formula>$C11="Ginger Purchase"</formula>
    </cfRule>
  </conditionalFormatting>
  <conditionalFormatting sqref="B11 B13 B16 B20 B22 B24 B26 B28 B30">
    <cfRule type="expression" dxfId="12025" priority="10713">
      <formula>$C11="Advance"</formula>
    </cfRule>
  </conditionalFormatting>
  <conditionalFormatting sqref="B11 B13 B16 B20 B22 B24 B26 B28 B30">
    <cfRule type="expression" dxfId="12024" priority="10694">
      <formula>$C11="Delivery charge"</formula>
    </cfRule>
    <cfRule type="expression" dxfId="12023" priority="10695">
      <formula>$C11="Staff Salary"</formula>
    </cfRule>
    <cfRule type="expression" dxfId="12022" priority="10696">
      <formula>$C11="Rent"</formula>
    </cfRule>
    <cfRule type="expression" dxfId="12021" priority="10697">
      <formula>$C11="Petrol"</formula>
    </cfRule>
    <cfRule type="expression" dxfId="12020" priority="10698">
      <formula>$C11="Bills"</formula>
    </cfRule>
    <cfRule type="expression" dxfId="12019" priority="10699">
      <formula>$C11="Sales"</formula>
    </cfRule>
    <cfRule type="expression" dxfId="12018" priority="10700">
      <formula>$C11="Expences"</formula>
    </cfRule>
    <cfRule type="expression" dxfId="12017" priority="10701">
      <formula>$C11="Garlic Purchase"</formula>
    </cfRule>
    <cfRule type="expression" dxfId="12016" priority="10702">
      <formula>$C11="Ginger Purchase"</formula>
    </cfRule>
  </conditionalFormatting>
  <conditionalFormatting sqref="B11 B13 B16 B20 B22 B24 B26 B28 B30">
    <cfRule type="expression" dxfId="12015" priority="10703">
      <formula>$C11="Advance"</formula>
    </cfRule>
  </conditionalFormatting>
  <conditionalFormatting sqref="B11 B13 B16 B20 B22 B24 B26 B28 B30">
    <cfRule type="expression" dxfId="12014" priority="10684">
      <formula>$C11="Delivery charge"</formula>
    </cfRule>
    <cfRule type="expression" dxfId="12013" priority="10685">
      <formula>$C11="Staff Salary"</formula>
    </cfRule>
    <cfRule type="expression" dxfId="12012" priority="10686">
      <formula>$C11="Rent"</formula>
    </cfRule>
    <cfRule type="expression" dxfId="12011" priority="10687">
      <formula>$C11="Petrol"</formula>
    </cfRule>
    <cfRule type="expression" dxfId="12010" priority="10688">
      <formula>$C11="Bills"</formula>
    </cfRule>
    <cfRule type="expression" dxfId="12009" priority="10689">
      <formula>$C11="Sales"</formula>
    </cfRule>
    <cfRule type="expression" dxfId="12008" priority="10690">
      <formula>$C11="Expences"</formula>
    </cfRule>
    <cfRule type="expression" dxfId="12007" priority="10691">
      <formula>$C11="Garlic Purchase"</formula>
    </cfRule>
    <cfRule type="expression" dxfId="12006" priority="10692">
      <formula>$C11="Ginger Purchase"</formula>
    </cfRule>
  </conditionalFormatting>
  <conditionalFormatting sqref="B11 B13 B16 B20 B22 B24 B26 B28 B30">
    <cfRule type="expression" dxfId="12005" priority="10693">
      <formula>$C11="Advance"</formula>
    </cfRule>
  </conditionalFormatting>
  <conditionalFormatting sqref="B11 B13 B16 B20 B22 B24 B26 B28 B30">
    <cfRule type="expression" dxfId="12004" priority="10674">
      <formula>$C11="Delivery charge"</formula>
    </cfRule>
    <cfRule type="expression" dxfId="12003" priority="10675">
      <formula>$C11="Staff Salary"</formula>
    </cfRule>
    <cfRule type="expression" dxfId="12002" priority="10676">
      <formula>$C11="Rent"</formula>
    </cfRule>
    <cfRule type="expression" dxfId="12001" priority="10677">
      <formula>$C11="Petrol"</formula>
    </cfRule>
    <cfRule type="expression" dxfId="12000" priority="10678">
      <formula>$C11="Bills"</formula>
    </cfRule>
    <cfRule type="expression" dxfId="11999" priority="10679">
      <formula>$C11="Sales"</formula>
    </cfRule>
    <cfRule type="expression" dxfId="11998" priority="10680">
      <formula>$C11="Expences"</formula>
    </cfRule>
    <cfRule type="expression" dxfId="11997" priority="10681">
      <formula>$C11="Garlic Purchase"</formula>
    </cfRule>
    <cfRule type="expression" dxfId="11996" priority="10682">
      <formula>$C11="Ginger Purchase"</formula>
    </cfRule>
  </conditionalFormatting>
  <conditionalFormatting sqref="B11 B13 B16 B20 B22 B24 B26 B28 B30">
    <cfRule type="expression" dxfId="11995" priority="10683">
      <formula>$C11="Advance"</formula>
    </cfRule>
  </conditionalFormatting>
  <conditionalFormatting sqref="B14 B12 B21 B16:B19 B23:B25 B27 B29 B31 B33 B35 B37 B39 B41 B43 B47 B51">
    <cfRule type="expression" dxfId="11994" priority="10673">
      <formula>$C12="Advance"</formula>
    </cfRule>
  </conditionalFormatting>
  <conditionalFormatting sqref="B14 B12 B21 B16:B19 B23:B25 B27 B29 B31 B33 B35 B37 B39 B41 B43 B47 B51">
    <cfRule type="expression" dxfId="11993" priority="10664">
      <formula>$C12="Delivery charge"</formula>
    </cfRule>
    <cfRule type="expression" dxfId="11992" priority="10665">
      <formula>$C12="Staff Salary"</formula>
    </cfRule>
    <cfRule type="expression" dxfId="11991" priority="10666">
      <formula>$C12="Rent"</formula>
    </cfRule>
    <cfRule type="expression" dxfId="11990" priority="10667">
      <formula>$C12="Petrol"</formula>
    </cfRule>
    <cfRule type="expression" dxfId="11989" priority="10668">
      <formula>$C12="Bills"</formula>
    </cfRule>
    <cfRule type="expression" dxfId="11988" priority="10669">
      <formula>$C12="Sales"</formula>
    </cfRule>
    <cfRule type="expression" dxfId="11987" priority="10670">
      <formula>$C12="Expences"</formula>
    </cfRule>
    <cfRule type="expression" dxfId="11986" priority="10671">
      <formula>$C12="Garlic Purchase"</formula>
    </cfRule>
    <cfRule type="expression" dxfId="11985" priority="10672">
      <formula>$C12="Ginger Purchase"</formula>
    </cfRule>
  </conditionalFormatting>
  <conditionalFormatting sqref="B13 B16 B20 B22 B24 B26 B28 B30">
    <cfRule type="expression" dxfId="11984" priority="10654">
      <formula>$C13="Delivery charge"</formula>
    </cfRule>
    <cfRule type="expression" dxfId="11983" priority="10655">
      <formula>$C13="Staff Salary"</formula>
    </cfRule>
    <cfRule type="expression" dxfId="11982" priority="10656">
      <formula>$C13="Rent"</formula>
    </cfRule>
    <cfRule type="expression" dxfId="11981" priority="10657">
      <formula>$C13="Petrol"</formula>
    </cfRule>
    <cfRule type="expression" dxfId="11980" priority="10658">
      <formula>$C13="Bills"</formula>
    </cfRule>
    <cfRule type="expression" dxfId="11979" priority="10659">
      <formula>$C13="Sales"</formula>
    </cfRule>
    <cfRule type="expression" dxfId="11978" priority="10660">
      <formula>$C13="Expences"</formula>
    </cfRule>
    <cfRule type="expression" dxfId="11977" priority="10661">
      <formula>$C13="Garlic Purchase"</formula>
    </cfRule>
    <cfRule type="expression" dxfId="11976" priority="10662">
      <formula>$C13="Ginger Purchase"</formula>
    </cfRule>
  </conditionalFormatting>
  <conditionalFormatting sqref="B13 B16 B20 B22 B24 B26 B28 B30">
    <cfRule type="expression" dxfId="11975" priority="10663">
      <formula>$C13="Advance"</formula>
    </cfRule>
  </conditionalFormatting>
  <conditionalFormatting sqref="B13 B16 B20 B22 B24 B26 B28 B30">
    <cfRule type="expression" dxfId="11974" priority="10644">
      <formula>$C13="Delivery charge"</formula>
    </cfRule>
    <cfRule type="expression" dxfId="11973" priority="10645">
      <formula>$C13="Staff Salary"</formula>
    </cfRule>
    <cfRule type="expression" dxfId="11972" priority="10646">
      <formula>$C13="Rent"</formula>
    </cfRule>
    <cfRule type="expression" dxfId="11971" priority="10647">
      <formula>$C13="Petrol"</formula>
    </cfRule>
    <cfRule type="expression" dxfId="11970" priority="10648">
      <formula>$C13="Bills"</formula>
    </cfRule>
    <cfRule type="expression" dxfId="11969" priority="10649">
      <formula>$C13="Sales"</formula>
    </cfRule>
    <cfRule type="expression" dxfId="11968" priority="10650">
      <formula>$C13="Expences"</formula>
    </cfRule>
    <cfRule type="expression" dxfId="11967" priority="10651">
      <formula>$C13="Garlic Purchase"</formula>
    </cfRule>
    <cfRule type="expression" dxfId="11966" priority="10652">
      <formula>$C13="Ginger Purchase"</formula>
    </cfRule>
  </conditionalFormatting>
  <conditionalFormatting sqref="B13 B16 B20 B22 B24 B26 B28 B30">
    <cfRule type="expression" dxfId="11965" priority="10653">
      <formula>$C13="Advance"</formula>
    </cfRule>
  </conditionalFormatting>
  <conditionalFormatting sqref="B13 B16 B20 B22 B24 B26 B28 B30">
    <cfRule type="expression" dxfId="11964" priority="10634">
      <formula>$C13="Delivery charge"</formula>
    </cfRule>
    <cfRule type="expression" dxfId="11963" priority="10635">
      <formula>$C13="Staff Salary"</formula>
    </cfRule>
    <cfRule type="expression" dxfId="11962" priority="10636">
      <formula>$C13="Rent"</formula>
    </cfRule>
    <cfRule type="expression" dxfId="11961" priority="10637">
      <formula>$C13="Petrol"</formula>
    </cfRule>
    <cfRule type="expression" dxfId="11960" priority="10638">
      <formula>$C13="Bills"</formula>
    </cfRule>
    <cfRule type="expression" dxfId="11959" priority="10639">
      <formula>$C13="Sales"</formula>
    </cfRule>
    <cfRule type="expression" dxfId="11958" priority="10640">
      <formula>$C13="Expences"</formula>
    </cfRule>
    <cfRule type="expression" dxfId="11957" priority="10641">
      <formula>$C13="Garlic Purchase"</formula>
    </cfRule>
    <cfRule type="expression" dxfId="11956" priority="10642">
      <formula>$C13="Ginger Purchase"</formula>
    </cfRule>
  </conditionalFormatting>
  <conditionalFormatting sqref="B13 B16 B20 B22 B24 B26 B28 B30">
    <cfRule type="expression" dxfId="11955" priority="10643">
      <formula>$C13="Advance"</formula>
    </cfRule>
  </conditionalFormatting>
  <conditionalFormatting sqref="B13 B16 B20 B22 B24 B26 B28 B30">
    <cfRule type="expression" dxfId="11954" priority="10624">
      <formula>$C13="Delivery charge"</formula>
    </cfRule>
    <cfRule type="expression" dxfId="11953" priority="10625">
      <formula>$C13="Staff Salary"</formula>
    </cfRule>
    <cfRule type="expression" dxfId="11952" priority="10626">
      <formula>$C13="Rent"</formula>
    </cfRule>
    <cfRule type="expression" dxfId="11951" priority="10627">
      <formula>$C13="Petrol"</formula>
    </cfRule>
    <cfRule type="expression" dxfId="11950" priority="10628">
      <formula>$C13="Bills"</formula>
    </cfRule>
    <cfRule type="expression" dxfId="11949" priority="10629">
      <formula>$C13="Sales"</formula>
    </cfRule>
    <cfRule type="expression" dxfId="11948" priority="10630">
      <formula>$C13="Expences"</formula>
    </cfRule>
    <cfRule type="expression" dxfId="11947" priority="10631">
      <formula>$C13="Garlic Purchase"</formula>
    </cfRule>
    <cfRule type="expression" dxfId="11946" priority="10632">
      <formula>$C13="Ginger Purchase"</formula>
    </cfRule>
  </conditionalFormatting>
  <conditionalFormatting sqref="B13 B16 B20 B22 B24 B26 B28 B30">
    <cfRule type="expression" dxfId="11945" priority="10633">
      <formula>$C13="Advance"</formula>
    </cfRule>
  </conditionalFormatting>
  <conditionalFormatting sqref="B13 B16 B20 B22 B24 B26 B28 B30">
    <cfRule type="expression" dxfId="11944" priority="10614">
      <formula>$C13="Delivery charge"</formula>
    </cfRule>
    <cfRule type="expression" dxfId="11943" priority="10615">
      <formula>$C13="Staff Salary"</formula>
    </cfRule>
    <cfRule type="expression" dxfId="11942" priority="10616">
      <formula>$C13="Rent"</formula>
    </cfRule>
    <cfRule type="expression" dxfId="11941" priority="10617">
      <formula>$C13="Petrol"</formula>
    </cfRule>
    <cfRule type="expression" dxfId="11940" priority="10618">
      <formula>$C13="Bills"</formula>
    </cfRule>
    <cfRule type="expression" dxfId="11939" priority="10619">
      <formula>$C13="Sales"</formula>
    </cfRule>
    <cfRule type="expression" dxfId="11938" priority="10620">
      <formula>$C13="Expences"</formula>
    </cfRule>
    <cfRule type="expression" dxfId="11937" priority="10621">
      <formula>$C13="Garlic Purchase"</formula>
    </cfRule>
    <cfRule type="expression" dxfId="11936" priority="10622">
      <formula>$C13="Ginger Purchase"</formula>
    </cfRule>
  </conditionalFormatting>
  <conditionalFormatting sqref="B13 B16 B20 B22 B24 B26 B28 B30">
    <cfRule type="expression" dxfId="11935" priority="10623">
      <formula>$C13="Advance"</formula>
    </cfRule>
  </conditionalFormatting>
  <conditionalFormatting sqref="B12 B14 B21 B16:B19 B23:B25 B27 B29 B31 B33 B35 B37 B39 B41 B43 B47 B51">
    <cfRule type="expression" dxfId="11934" priority="10604">
      <formula>$C12="Delivery charge"</formula>
    </cfRule>
    <cfRule type="expression" dxfId="11933" priority="10605">
      <formula>$C12="Staff Salary"</formula>
    </cfRule>
    <cfRule type="expression" dxfId="11932" priority="10606">
      <formula>$C12="Rent"</formula>
    </cfRule>
    <cfRule type="expression" dxfId="11931" priority="10607">
      <formula>$C12="Petrol"</formula>
    </cfRule>
    <cfRule type="expression" dxfId="11930" priority="10608">
      <formula>$C12="Bills"</formula>
    </cfRule>
    <cfRule type="expression" dxfId="11929" priority="10609">
      <formula>$C12="Sales"</formula>
    </cfRule>
    <cfRule type="expression" dxfId="11928" priority="10610">
      <formula>$C12="Expences"</formula>
    </cfRule>
    <cfRule type="expression" dxfId="11927" priority="10611">
      <formula>$C12="Garlic Purchase"</formula>
    </cfRule>
    <cfRule type="expression" dxfId="11926" priority="10612">
      <formula>$C12="Ginger Purchase"</formula>
    </cfRule>
  </conditionalFormatting>
  <conditionalFormatting sqref="B12 B14 B21 B16:B19 B23:B25 B27 B29 B31 B33 B35 B37 B39 B41 B43 B47 B51">
    <cfRule type="expression" dxfId="11925" priority="10613">
      <formula>$C12="Advance"</formula>
    </cfRule>
  </conditionalFormatting>
  <conditionalFormatting sqref="B12 B14 B21 B16:B19 B23:B25 B27 B29 B31 B33 B35 B37 B39 B41 B43 B47 B51">
    <cfRule type="expression" dxfId="11924" priority="10594">
      <formula>$C12="Delivery charge"</formula>
    </cfRule>
    <cfRule type="expression" dxfId="11923" priority="10595">
      <formula>$C12="Staff Salary"</formula>
    </cfRule>
    <cfRule type="expression" dxfId="11922" priority="10596">
      <formula>$C12="Rent"</formula>
    </cfRule>
    <cfRule type="expression" dxfId="11921" priority="10597">
      <formula>$C12="Petrol"</formula>
    </cfRule>
    <cfRule type="expression" dxfId="11920" priority="10598">
      <formula>$C12="Bills"</formula>
    </cfRule>
    <cfRule type="expression" dxfId="11919" priority="10599">
      <formula>$C12="Sales"</formula>
    </cfRule>
    <cfRule type="expression" dxfId="11918" priority="10600">
      <formula>$C12="Expences"</formula>
    </cfRule>
    <cfRule type="expression" dxfId="11917" priority="10601">
      <formula>$C12="Garlic Purchase"</formula>
    </cfRule>
    <cfRule type="expression" dxfId="11916" priority="10602">
      <formula>$C12="Ginger Purchase"</formula>
    </cfRule>
  </conditionalFormatting>
  <conditionalFormatting sqref="B12 B14 B21 B16:B19 B23:B25 B27 B29 B31 B33 B35 B37 B39 B41 B43 B47 B51">
    <cfRule type="expression" dxfId="11915" priority="10603">
      <formula>$C12="Advance"</formula>
    </cfRule>
  </conditionalFormatting>
  <conditionalFormatting sqref="B12 B14 B21 B16:B19 B23:B25 B27 B29 B31 B33 B35 B37 B39 B41 B43 B47 B51">
    <cfRule type="expression" dxfId="11914" priority="10584">
      <formula>$C12="Delivery charge"</formula>
    </cfRule>
    <cfRule type="expression" dxfId="11913" priority="10585">
      <formula>$C12="Staff Salary"</formula>
    </cfRule>
    <cfRule type="expression" dxfId="11912" priority="10586">
      <formula>$C12="Rent"</formula>
    </cfRule>
    <cfRule type="expression" dxfId="11911" priority="10587">
      <formula>$C12="Petrol"</formula>
    </cfRule>
    <cfRule type="expression" dxfId="11910" priority="10588">
      <formula>$C12="Bills"</formula>
    </cfRule>
    <cfRule type="expression" dxfId="11909" priority="10589">
      <formula>$C12="Sales"</formula>
    </cfRule>
    <cfRule type="expression" dxfId="11908" priority="10590">
      <formula>$C12="Expences"</formula>
    </cfRule>
    <cfRule type="expression" dxfId="11907" priority="10591">
      <formula>$C12="Garlic Purchase"</formula>
    </cfRule>
    <cfRule type="expression" dxfId="11906" priority="10592">
      <formula>$C12="Ginger Purchase"</formula>
    </cfRule>
  </conditionalFormatting>
  <conditionalFormatting sqref="B12 B14 B21 B16:B19 B23:B25 B27 B29 B31 B33 B35 B37 B39 B41 B43 B47 B51">
    <cfRule type="expression" dxfId="11905" priority="10593">
      <formula>$C12="Advance"</formula>
    </cfRule>
  </conditionalFormatting>
  <conditionalFormatting sqref="B12 B14 B21 B16:B19 B23:B25 B27 B29 B31 B33 B35 B37 B39 B41 B43 B47 B51">
    <cfRule type="expression" dxfId="11904" priority="10574">
      <formula>$C12="Delivery charge"</formula>
    </cfRule>
    <cfRule type="expression" dxfId="11903" priority="10575">
      <formula>$C12="Staff Salary"</formula>
    </cfRule>
    <cfRule type="expression" dxfId="11902" priority="10576">
      <formula>$C12="Rent"</formula>
    </cfRule>
    <cfRule type="expression" dxfId="11901" priority="10577">
      <formula>$C12="Petrol"</formula>
    </cfRule>
    <cfRule type="expression" dxfId="11900" priority="10578">
      <formula>$C12="Bills"</formula>
    </cfRule>
    <cfRule type="expression" dxfId="11899" priority="10579">
      <formula>$C12="Sales"</formula>
    </cfRule>
    <cfRule type="expression" dxfId="11898" priority="10580">
      <formula>$C12="Expences"</formula>
    </cfRule>
    <cfRule type="expression" dxfId="11897" priority="10581">
      <formula>$C12="Garlic Purchase"</formula>
    </cfRule>
    <cfRule type="expression" dxfId="11896" priority="10582">
      <formula>$C12="Ginger Purchase"</formula>
    </cfRule>
  </conditionalFormatting>
  <conditionalFormatting sqref="B12 B14 B21 B16:B19 B23:B25 B27 B29 B31 B33 B35 B37 B39 B41 B43 B47 B51">
    <cfRule type="expression" dxfId="11895" priority="10583">
      <formula>$C12="Advance"</formula>
    </cfRule>
  </conditionalFormatting>
  <conditionalFormatting sqref="B14 B21 B16:B19 B23:B25 B27 B29 B31 B33 B35 B37 B39 B41 B43 B47 B51">
    <cfRule type="expression" dxfId="11894" priority="10564">
      <formula>$C14="Delivery charge"</formula>
    </cfRule>
    <cfRule type="expression" dxfId="11893" priority="10565">
      <formula>$C14="Staff Salary"</formula>
    </cfRule>
    <cfRule type="expression" dxfId="11892" priority="10566">
      <formula>$C14="Rent"</formula>
    </cfRule>
    <cfRule type="expression" dxfId="11891" priority="10567">
      <formula>$C14="Petrol"</formula>
    </cfRule>
    <cfRule type="expression" dxfId="11890" priority="10568">
      <formula>$C14="Bills"</formula>
    </cfRule>
    <cfRule type="expression" dxfId="11889" priority="10569">
      <formula>$C14="Sales"</formula>
    </cfRule>
    <cfRule type="expression" dxfId="11888" priority="10570">
      <formula>$C14="Expences"</formula>
    </cfRule>
    <cfRule type="expression" dxfId="11887" priority="10571">
      <formula>$C14="Garlic Purchase"</formula>
    </cfRule>
    <cfRule type="expression" dxfId="11886" priority="10572">
      <formula>$C14="Ginger Purchase"</formula>
    </cfRule>
  </conditionalFormatting>
  <conditionalFormatting sqref="B14 B21 B16:B19 B23:B25 B27 B29 B31 B33 B35 B37 B39 B41 B43 B47 B51">
    <cfRule type="expression" dxfId="11885" priority="10573">
      <formula>$C14="Advance"</formula>
    </cfRule>
  </conditionalFormatting>
  <conditionalFormatting sqref="B13 B15:B20 B22 B24 B26 B28 B30">
    <cfRule type="expression" dxfId="11884" priority="10554">
      <formula>$C13="Delivery charge"</formula>
    </cfRule>
    <cfRule type="expression" dxfId="11883" priority="10555">
      <formula>$C13="Staff Salary"</formula>
    </cfRule>
    <cfRule type="expression" dxfId="11882" priority="10556">
      <formula>$C13="Rent"</formula>
    </cfRule>
    <cfRule type="expression" dxfId="11881" priority="10557">
      <formula>$C13="Petrol"</formula>
    </cfRule>
    <cfRule type="expression" dxfId="11880" priority="10558">
      <formula>$C13="Bills"</formula>
    </cfRule>
    <cfRule type="expression" dxfId="11879" priority="10559">
      <formula>$C13="Sales"</formula>
    </cfRule>
    <cfRule type="expression" dxfId="11878" priority="10560">
      <formula>$C13="Expences"</formula>
    </cfRule>
    <cfRule type="expression" dxfId="11877" priority="10561">
      <formula>$C13="Garlic Purchase"</formula>
    </cfRule>
    <cfRule type="expression" dxfId="11876" priority="10562">
      <formula>$C13="Ginger Purchase"</formula>
    </cfRule>
  </conditionalFormatting>
  <conditionalFormatting sqref="B13 B15:B20 B22 B24 B26 B28 B30">
    <cfRule type="expression" dxfId="11875" priority="10544">
      <formula>$C13="Delivery charge"</formula>
    </cfRule>
    <cfRule type="expression" dxfId="11874" priority="10545">
      <formula>$C13="Staff Salary"</formula>
    </cfRule>
    <cfRule type="expression" dxfId="11873" priority="10546">
      <formula>$C13="Rent"</formula>
    </cfRule>
    <cfRule type="expression" dxfId="11872" priority="10547">
      <formula>$C13="Petrol"</formula>
    </cfRule>
    <cfRule type="expression" dxfId="11871" priority="10548">
      <formula>$C13="Bills"</formula>
    </cfRule>
    <cfRule type="expression" dxfId="11870" priority="10549">
      <formula>$C13="Sales"</formula>
    </cfRule>
    <cfRule type="expression" dxfId="11869" priority="10550">
      <formula>$C13="Expences"</formula>
    </cfRule>
    <cfRule type="expression" dxfId="11868" priority="10551">
      <formula>$C13="Garlic Purchase"</formula>
    </cfRule>
    <cfRule type="expression" dxfId="11867" priority="10552">
      <formula>$C13="Ginger Purchase"</formula>
    </cfRule>
  </conditionalFormatting>
  <conditionalFormatting sqref="B13 B15:B20 B22 B24 B26 B28 B30">
    <cfRule type="expression" dxfId="11866" priority="10553">
      <formula>$C13="Advance"</formula>
    </cfRule>
  </conditionalFormatting>
  <conditionalFormatting sqref="B13 B15:B20 B22 B24 B26 B28 B30">
    <cfRule type="expression" dxfId="11865" priority="10534">
      <formula>$C13="Delivery charge"</formula>
    </cfRule>
    <cfRule type="expression" dxfId="11864" priority="10535">
      <formula>$C13="Staff Salary"</formula>
    </cfRule>
    <cfRule type="expression" dxfId="11863" priority="10536">
      <formula>$C13="Rent"</formula>
    </cfRule>
    <cfRule type="expression" dxfId="11862" priority="10537">
      <formula>$C13="Petrol"</formula>
    </cfRule>
    <cfRule type="expression" dxfId="11861" priority="10538">
      <formula>$C13="Bills"</formula>
    </cfRule>
    <cfRule type="expression" dxfId="11860" priority="10539">
      <formula>$C13="Sales"</formula>
    </cfRule>
    <cfRule type="expression" dxfId="11859" priority="10540">
      <formula>$C13="Expences"</formula>
    </cfRule>
    <cfRule type="expression" dxfId="11858" priority="10541">
      <formula>$C13="Garlic Purchase"</formula>
    </cfRule>
    <cfRule type="expression" dxfId="11857" priority="10542">
      <formula>$C13="Ginger Purchase"</formula>
    </cfRule>
  </conditionalFormatting>
  <conditionalFormatting sqref="B13 B15:B20 B22 B24 B26 B28 B30">
    <cfRule type="expression" dxfId="11856" priority="10543">
      <formula>$C13="Advance"</formula>
    </cfRule>
  </conditionalFormatting>
  <conditionalFormatting sqref="B13 B15:B20 B22 B24 B26 B28 B30">
    <cfRule type="expression" dxfId="11855" priority="10524">
      <formula>$C13="Delivery charge"</formula>
    </cfRule>
    <cfRule type="expression" dxfId="11854" priority="10525">
      <formula>$C13="Staff Salary"</formula>
    </cfRule>
    <cfRule type="expression" dxfId="11853" priority="10526">
      <formula>$C13="Rent"</formula>
    </cfRule>
    <cfRule type="expression" dxfId="11852" priority="10527">
      <formula>$C13="Petrol"</formula>
    </cfRule>
    <cfRule type="expression" dxfId="11851" priority="10528">
      <formula>$C13="Bills"</formula>
    </cfRule>
    <cfRule type="expression" dxfId="11850" priority="10529">
      <formula>$C13="Sales"</formula>
    </cfRule>
    <cfRule type="expression" dxfId="11849" priority="10530">
      <formula>$C13="Expences"</formula>
    </cfRule>
    <cfRule type="expression" dxfId="11848" priority="10531">
      <formula>$C13="Garlic Purchase"</formula>
    </cfRule>
    <cfRule type="expression" dxfId="11847" priority="10532">
      <formula>$C13="Ginger Purchase"</formula>
    </cfRule>
  </conditionalFormatting>
  <conditionalFormatting sqref="B13 B15:B20 B22 B24 B26 B28 B30">
    <cfRule type="expression" dxfId="11846" priority="10533">
      <formula>$C13="Advance"</formula>
    </cfRule>
  </conditionalFormatting>
  <conditionalFormatting sqref="B13 B16 B20 B22 B24 B26 B28 B30">
    <cfRule type="expression" dxfId="11845" priority="10514">
      <formula>$C13="Delivery charge"</formula>
    </cfRule>
    <cfRule type="expression" dxfId="11844" priority="10515">
      <formula>$C13="Staff Salary"</formula>
    </cfRule>
    <cfRule type="expression" dxfId="11843" priority="10516">
      <formula>$C13="Rent"</formula>
    </cfRule>
    <cfRule type="expression" dxfId="11842" priority="10517">
      <formula>$C13="Petrol"</formula>
    </cfRule>
    <cfRule type="expression" dxfId="11841" priority="10518">
      <formula>$C13="Bills"</formula>
    </cfRule>
    <cfRule type="expression" dxfId="11840" priority="10519">
      <formula>$C13="Sales"</formula>
    </cfRule>
    <cfRule type="expression" dxfId="11839" priority="10520">
      <formula>$C13="Expences"</formula>
    </cfRule>
    <cfRule type="expression" dxfId="11838" priority="10521">
      <formula>$C13="Garlic Purchase"</formula>
    </cfRule>
    <cfRule type="expression" dxfId="11837" priority="10522">
      <formula>$C13="Ginger Purchase"</formula>
    </cfRule>
  </conditionalFormatting>
  <conditionalFormatting sqref="B13 B16 B20 B22 B24 B26 B28 B30">
    <cfRule type="expression" dxfId="11836" priority="10523">
      <formula>$C13="Advance"</formula>
    </cfRule>
  </conditionalFormatting>
  <conditionalFormatting sqref="B14 B21 B16:B19 B23:B25 B27 B29 B31 B33 B35 B37 B39 B41 B43 B47 B51">
    <cfRule type="expression" dxfId="11835" priority="10504">
      <formula>$C14="Delivery charge"</formula>
    </cfRule>
    <cfRule type="expression" dxfId="11834" priority="10505">
      <formula>$C14="Staff Salary"</formula>
    </cfRule>
    <cfRule type="expression" dxfId="11833" priority="10506">
      <formula>$C14="Rent"</formula>
    </cfRule>
    <cfRule type="expression" dxfId="11832" priority="10507">
      <formula>$C14="Petrol"</formula>
    </cfRule>
    <cfRule type="expression" dxfId="11831" priority="10508">
      <formula>$C14="Bills"</formula>
    </cfRule>
    <cfRule type="expression" dxfId="11830" priority="10509">
      <formula>$C14="Sales"</formula>
    </cfRule>
    <cfRule type="expression" dxfId="11829" priority="10510">
      <formula>$C14="Expences"</formula>
    </cfRule>
    <cfRule type="expression" dxfId="11828" priority="10511">
      <formula>$C14="Garlic Purchase"</formula>
    </cfRule>
    <cfRule type="expression" dxfId="11827" priority="10512">
      <formula>$C14="Ginger Purchase"</formula>
    </cfRule>
  </conditionalFormatting>
  <conditionalFormatting sqref="B14 B21 B16:B19 B23:B25 B27 B29 B31 B33 B35 B37 B39 B41 B43 B47 B51">
    <cfRule type="expression" dxfId="11826" priority="10513">
      <formula>$C14="Advance"</formula>
    </cfRule>
  </conditionalFormatting>
  <conditionalFormatting sqref="B14 B21 B16:B19 B23:B25 B27 B29 B31 B33 B35 B37 B39 B41 B43 B47 B51">
    <cfRule type="expression" dxfId="11825" priority="10494">
      <formula>$C14="Delivery charge"</formula>
    </cfRule>
    <cfRule type="expression" dxfId="11824" priority="10495">
      <formula>$C14="Staff Salary"</formula>
    </cfRule>
    <cfRule type="expression" dxfId="11823" priority="10496">
      <formula>$C14="Rent"</formula>
    </cfRule>
    <cfRule type="expression" dxfId="11822" priority="10497">
      <formula>$C14="Petrol"</formula>
    </cfRule>
    <cfRule type="expression" dxfId="11821" priority="10498">
      <formula>$C14="Bills"</formula>
    </cfRule>
    <cfRule type="expression" dxfId="11820" priority="10499">
      <formula>$C14="Sales"</formula>
    </cfRule>
    <cfRule type="expression" dxfId="11819" priority="10500">
      <formula>$C14="Expences"</formula>
    </cfRule>
    <cfRule type="expression" dxfId="11818" priority="10501">
      <formula>$C14="Garlic Purchase"</formula>
    </cfRule>
    <cfRule type="expression" dxfId="11817" priority="10502">
      <formula>$C14="Ginger Purchase"</formula>
    </cfRule>
  </conditionalFormatting>
  <conditionalFormatting sqref="B14 B21 B16:B19 B23:B25 B27 B29 B31 B33 B35 B37 B39 B41 B43 B47 B51">
    <cfRule type="expression" dxfId="11816" priority="10503">
      <formula>$C14="Advance"</formula>
    </cfRule>
  </conditionalFormatting>
  <conditionalFormatting sqref="B14 B21 B16:B19 B23:B25 B27 B29 B31 B33 B35 B37 B39 B41 B43 B47 B51">
    <cfRule type="expression" dxfId="11815" priority="10484">
      <formula>$C14="Delivery charge"</formula>
    </cfRule>
    <cfRule type="expression" dxfId="11814" priority="10485">
      <formula>$C14="Staff Salary"</formula>
    </cfRule>
    <cfRule type="expression" dxfId="11813" priority="10486">
      <formula>$C14="Rent"</formula>
    </cfRule>
    <cfRule type="expression" dxfId="11812" priority="10487">
      <formula>$C14="Petrol"</formula>
    </cfRule>
    <cfRule type="expression" dxfId="11811" priority="10488">
      <formula>$C14="Bills"</formula>
    </cfRule>
    <cfRule type="expression" dxfId="11810" priority="10489">
      <formula>$C14="Sales"</formula>
    </cfRule>
    <cfRule type="expression" dxfId="11809" priority="10490">
      <formula>$C14="Expences"</formula>
    </cfRule>
    <cfRule type="expression" dxfId="11808" priority="10491">
      <formula>$C14="Garlic Purchase"</formula>
    </cfRule>
    <cfRule type="expression" dxfId="11807" priority="10492">
      <formula>$C14="Ginger Purchase"</formula>
    </cfRule>
  </conditionalFormatting>
  <conditionalFormatting sqref="B14 B21 B16:B19 B23:B25 B27 B29 B31 B33 B35 B37 B39 B41 B43 B47 B51">
    <cfRule type="expression" dxfId="11806" priority="10493">
      <formula>$C14="Advance"</formula>
    </cfRule>
  </conditionalFormatting>
  <conditionalFormatting sqref="B14 B21 B16:B19 B23:B25 B27 B29 B31 B33 B35 B37 B39 B41 B43 B47 B51">
    <cfRule type="expression" dxfId="11805" priority="10474">
      <formula>$C14="Delivery charge"</formula>
    </cfRule>
    <cfRule type="expression" dxfId="11804" priority="10475">
      <formula>$C14="Staff Salary"</formula>
    </cfRule>
    <cfRule type="expression" dxfId="11803" priority="10476">
      <formula>$C14="Rent"</formula>
    </cfRule>
    <cfRule type="expression" dxfId="11802" priority="10477">
      <formula>$C14="Petrol"</formula>
    </cfRule>
    <cfRule type="expression" dxfId="11801" priority="10478">
      <formula>$C14="Bills"</formula>
    </cfRule>
    <cfRule type="expression" dxfId="11800" priority="10479">
      <formula>$C14="Sales"</formula>
    </cfRule>
    <cfRule type="expression" dxfId="11799" priority="10480">
      <formula>$C14="Expences"</formula>
    </cfRule>
    <cfRule type="expression" dxfId="11798" priority="10481">
      <formula>$C14="Garlic Purchase"</formula>
    </cfRule>
    <cfRule type="expression" dxfId="11797" priority="10482">
      <formula>$C14="Ginger Purchase"</formula>
    </cfRule>
  </conditionalFormatting>
  <conditionalFormatting sqref="B14 B21 B16:B19 B23:B25 B27 B29 B31 B33 B35 B37 B39 B41 B43 B47 B51">
    <cfRule type="expression" dxfId="11796" priority="10483">
      <formula>$C14="Advance"</formula>
    </cfRule>
  </conditionalFormatting>
  <conditionalFormatting sqref="B13 B15:B20 B22 B24 B26 B28 B30">
    <cfRule type="expression" dxfId="11795" priority="10464">
      <formula>$C13="Delivery charge"</formula>
    </cfRule>
    <cfRule type="expression" dxfId="11794" priority="10465">
      <formula>$C13="Staff Salary"</formula>
    </cfRule>
    <cfRule type="expression" dxfId="11793" priority="10466">
      <formula>$C13="Rent"</formula>
    </cfRule>
    <cfRule type="expression" dxfId="11792" priority="10467">
      <formula>$C13="Petrol"</formula>
    </cfRule>
    <cfRule type="expression" dxfId="11791" priority="10468">
      <formula>$C13="Bills"</formula>
    </cfRule>
    <cfRule type="expression" dxfId="11790" priority="10469">
      <formula>$C13="Sales"</formula>
    </cfRule>
    <cfRule type="expression" dxfId="11789" priority="10470">
      <formula>$C13="Expences"</formula>
    </cfRule>
    <cfRule type="expression" dxfId="11788" priority="10471">
      <formula>$C13="Garlic Purchase"</formula>
    </cfRule>
    <cfRule type="expression" dxfId="11787" priority="10472">
      <formula>$C13="Ginger Purchase"</formula>
    </cfRule>
  </conditionalFormatting>
  <conditionalFormatting sqref="B13 B15:B20 B22 B24 B26 B28 B30">
    <cfRule type="expression" dxfId="11786" priority="10473">
      <formula>$C13="Advance"</formula>
    </cfRule>
  </conditionalFormatting>
  <conditionalFormatting sqref="B14 B21 B16:B19 B23:B25 B27 B29 B31 B33 B35 B37 B39 B41 B43 B47 B51">
    <cfRule type="expression" dxfId="11785" priority="10454">
      <formula>$C14="Delivery charge"</formula>
    </cfRule>
    <cfRule type="expression" dxfId="11784" priority="10455">
      <formula>$C14="Staff Salary"</formula>
    </cfRule>
    <cfRule type="expression" dxfId="11783" priority="10456">
      <formula>$C14="Rent"</formula>
    </cfRule>
    <cfRule type="expression" dxfId="11782" priority="10457">
      <formula>$C14="Petrol"</formula>
    </cfRule>
    <cfRule type="expression" dxfId="11781" priority="10458">
      <formula>$C14="Bills"</formula>
    </cfRule>
    <cfRule type="expression" dxfId="11780" priority="10459">
      <formula>$C14="Sales"</formula>
    </cfRule>
    <cfRule type="expression" dxfId="11779" priority="10460">
      <formula>$C14="Expences"</formula>
    </cfRule>
    <cfRule type="expression" dxfId="11778" priority="10461">
      <formula>$C14="Garlic Purchase"</formula>
    </cfRule>
    <cfRule type="expression" dxfId="11777" priority="10462">
      <formula>$C14="Ginger Purchase"</formula>
    </cfRule>
  </conditionalFormatting>
  <conditionalFormatting sqref="B14 B21 B16:B19 B23:B25 B27 B29 B31 B33 B35 B37 B39 B41 B43 B47 B51">
    <cfRule type="expression" dxfId="11776" priority="10463">
      <formula>$C14="Advance"</formula>
    </cfRule>
  </conditionalFormatting>
  <conditionalFormatting sqref="B14 B21 B16:B19 B23:B25 B27 B29 B31 B33 B35 B37 B39 B41 B43 B47 B51">
    <cfRule type="expression" dxfId="11775" priority="10444">
      <formula>$C14="Delivery charge"</formula>
    </cfRule>
    <cfRule type="expression" dxfId="11774" priority="10445">
      <formula>$C14="Staff Salary"</formula>
    </cfRule>
    <cfRule type="expression" dxfId="11773" priority="10446">
      <formula>$C14="Rent"</formula>
    </cfRule>
    <cfRule type="expression" dxfId="11772" priority="10447">
      <formula>$C14="Petrol"</formula>
    </cfRule>
    <cfRule type="expression" dxfId="11771" priority="10448">
      <formula>$C14="Bills"</formula>
    </cfRule>
    <cfRule type="expression" dxfId="11770" priority="10449">
      <formula>$C14="Sales"</formula>
    </cfRule>
    <cfRule type="expression" dxfId="11769" priority="10450">
      <formula>$C14="Expences"</formula>
    </cfRule>
    <cfRule type="expression" dxfId="11768" priority="10451">
      <formula>$C14="Garlic Purchase"</formula>
    </cfRule>
    <cfRule type="expression" dxfId="11767" priority="10452">
      <formula>$C14="Ginger Purchase"</formula>
    </cfRule>
  </conditionalFormatting>
  <conditionalFormatting sqref="B14 B21 B16:B19 B23:B25 B27 B29 B31 B33 B35 B37 B39 B41 B43 B47 B51">
    <cfRule type="expression" dxfId="11766" priority="10453">
      <formula>$C14="Advance"</formula>
    </cfRule>
  </conditionalFormatting>
  <conditionalFormatting sqref="B14 B21 B16:B19 B23:B25 B27 B29 B31 B33 B35 B37 B39 B41 B43 B47 B51">
    <cfRule type="expression" dxfId="11765" priority="10434">
      <formula>$C14="Delivery charge"</formula>
    </cfRule>
    <cfRule type="expression" dxfId="11764" priority="10435">
      <formula>$C14="Staff Salary"</formula>
    </cfRule>
    <cfRule type="expression" dxfId="11763" priority="10436">
      <formula>$C14="Rent"</formula>
    </cfRule>
    <cfRule type="expression" dxfId="11762" priority="10437">
      <formula>$C14="Petrol"</formula>
    </cfRule>
    <cfRule type="expression" dxfId="11761" priority="10438">
      <formula>$C14="Bills"</formula>
    </cfRule>
    <cfRule type="expression" dxfId="11760" priority="10439">
      <formula>$C14="Sales"</formula>
    </cfRule>
    <cfRule type="expression" dxfId="11759" priority="10440">
      <formula>$C14="Expences"</formula>
    </cfRule>
    <cfRule type="expression" dxfId="11758" priority="10441">
      <formula>$C14="Garlic Purchase"</formula>
    </cfRule>
    <cfRule type="expression" dxfId="11757" priority="10442">
      <formula>$C14="Ginger Purchase"</formula>
    </cfRule>
  </conditionalFormatting>
  <conditionalFormatting sqref="B14 B21 B16:B19 B23:B25 B27 B29 B31 B33 B35 B37 B39 B41 B43 B47 B51">
    <cfRule type="expression" dxfId="11756" priority="10443">
      <formula>$C14="Advance"</formula>
    </cfRule>
  </conditionalFormatting>
  <conditionalFormatting sqref="B14 B21 B16:B19 B23:B25 B27 B29 B31 B33 B35 B37 B39 B41 B43 B47 B51">
    <cfRule type="expression" dxfId="11755" priority="10424">
      <formula>$C14="Delivery charge"</formula>
    </cfRule>
    <cfRule type="expression" dxfId="11754" priority="10425">
      <formula>$C14="Staff Salary"</formula>
    </cfRule>
    <cfRule type="expression" dxfId="11753" priority="10426">
      <formula>$C14="Rent"</formula>
    </cfRule>
    <cfRule type="expression" dxfId="11752" priority="10427">
      <formula>$C14="Petrol"</formula>
    </cfRule>
    <cfRule type="expression" dxfId="11751" priority="10428">
      <formula>$C14="Bills"</formula>
    </cfRule>
    <cfRule type="expression" dxfId="11750" priority="10429">
      <formula>$C14="Sales"</formula>
    </cfRule>
    <cfRule type="expression" dxfId="11749" priority="10430">
      <formula>$C14="Expences"</formula>
    </cfRule>
    <cfRule type="expression" dxfId="11748" priority="10431">
      <formula>$C14="Garlic Purchase"</formula>
    </cfRule>
    <cfRule type="expression" dxfId="11747" priority="10432">
      <formula>$C14="Ginger Purchase"</formula>
    </cfRule>
  </conditionalFormatting>
  <conditionalFormatting sqref="B14 B21 B16:B19 B23:B25 B27 B29 B31 B33 B35 B37 B39 B41 B43 B47 B51">
    <cfRule type="expression" dxfId="11746" priority="10433">
      <formula>$C14="Advance"</formula>
    </cfRule>
  </conditionalFormatting>
  <conditionalFormatting sqref="B14 B21 B16:B19 B23:B25 B27 B29 B31 B33 B35 B37 B39 B41 B43 B47 B51">
    <cfRule type="expression" dxfId="11745" priority="10414">
      <formula>$C14="Delivery charge"</formula>
    </cfRule>
    <cfRule type="expression" dxfId="11744" priority="10415">
      <formula>$C14="Staff Salary"</formula>
    </cfRule>
    <cfRule type="expression" dxfId="11743" priority="10416">
      <formula>$C14="Rent"</formula>
    </cfRule>
    <cfRule type="expression" dxfId="11742" priority="10417">
      <formula>$C14="Petrol"</formula>
    </cfRule>
    <cfRule type="expression" dxfId="11741" priority="10418">
      <formula>$C14="Bills"</formula>
    </cfRule>
    <cfRule type="expression" dxfId="11740" priority="10419">
      <formula>$C14="Sales"</formula>
    </cfRule>
    <cfRule type="expression" dxfId="11739" priority="10420">
      <formula>$C14="Expences"</formula>
    </cfRule>
    <cfRule type="expression" dxfId="11738" priority="10421">
      <formula>$C14="Garlic Purchase"</formula>
    </cfRule>
    <cfRule type="expression" dxfId="11737" priority="10422">
      <formula>$C14="Ginger Purchase"</formula>
    </cfRule>
  </conditionalFormatting>
  <conditionalFormatting sqref="B14 B21 B16:B19 B23:B25 B27 B29 B31 B33 B35 B37 B39 B41 B43 B47 B51">
    <cfRule type="expression" dxfId="11736" priority="10423">
      <formula>$C14="Advance"</formula>
    </cfRule>
  </conditionalFormatting>
  <conditionalFormatting sqref="B13 B15:B20 B22 B24 B26 B28 B30">
    <cfRule type="expression" dxfId="11735" priority="10404">
      <formula>$C13="Delivery charge"</formula>
    </cfRule>
    <cfRule type="expression" dxfId="11734" priority="10405">
      <formula>$C13="Staff Salary"</formula>
    </cfRule>
    <cfRule type="expression" dxfId="11733" priority="10406">
      <formula>$C13="Rent"</formula>
    </cfRule>
    <cfRule type="expression" dxfId="11732" priority="10407">
      <formula>$C13="Petrol"</formula>
    </cfRule>
    <cfRule type="expression" dxfId="11731" priority="10408">
      <formula>$C13="Bills"</formula>
    </cfRule>
    <cfRule type="expression" dxfId="11730" priority="10409">
      <formula>$C13="Sales"</formula>
    </cfRule>
    <cfRule type="expression" dxfId="11729" priority="10410">
      <formula>$C13="Expences"</formula>
    </cfRule>
    <cfRule type="expression" dxfId="11728" priority="10411">
      <formula>$C13="Garlic Purchase"</formula>
    </cfRule>
    <cfRule type="expression" dxfId="11727" priority="10412">
      <formula>$C13="Ginger Purchase"</formula>
    </cfRule>
  </conditionalFormatting>
  <conditionalFormatting sqref="B13 B15:B20 B22 B24 B26 B28 B30">
    <cfRule type="expression" dxfId="11726" priority="10413">
      <formula>$C13="Advance"</formula>
    </cfRule>
  </conditionalFormatting>
  <conditionalFormatting sqref="B13 B15:B20 B22 B24 B26 B28 B30">
    <cfRule type="expression" dxfId="11725" priority="10394">
      <formula>$C13="Delivery charge"</formula>
    </cfRule>
    <cfRule type="expression" dxfId="11724" priority="10395">
      <formula>$C13="Staff Salary"</formula>
    </cfRule>
    <cfRule type="expression" dxfId="11723" priority="10396">
      <formula>$C13="Rent"</formula>
    </cfRule>
    <cfRule type="expression" dxfId="11722" priority="10397">
      <formula>$C13="Petrol"</formula>
    </cfRule>
    <cfRule type="expression" dxfId="11721" priority="10398">
      <formula>$C13="Bills"</formula>
    </cfRule>
    <cfRule type="expression" dxfId="11720" priority="10399">
      <formula>$C13="Sales"</formula>
    </cfRule>
    <cfRule type="expression" dxfId="11719" priority="10400">
      <formula>$C13="Expences"</formula>
    </cfRule>
    <cfRule type="expression" dxfId="11718" priority="10401">
      <formula>$C13="Garlic Purchase"</formula>
    </cfRule>
    <cfRule type="expression" dxfId="11717" priority="10402">
      <formula>$C13="Ginger Purchase"</formula>
    </cfRule>
  </conditionalFormatting>
  <conditionalFormatting sqref="B13 B15:B20 B22 B24 B26 B28 B30">
    <cfRule type="expression" dxfId="11716" priority="10403">
      <formula>$C13="Advance"</formula>
    </cfRule>
  </conditionalFormatting>
  <conditionalFormatting sqref="B13 B15:B20 B22 B24 B26 B28 B30">
    <cfRule type="expression" dxfId="11715" priority="10384">
      <formula>$C13="Delivery charge"</formula>
    </cfRule>
    <cfRule type="expression" dxfId="11714" priority="10385">
      <formula>$C13="Staff Salary"</formula>
    </cfRule>
    <cfRule type="expression" dxfId="11713" priority="10386">
      <formula>$C13="Rent"</formula>
    </cfRule>
    <cfRule type="expression" dxfId="11712" priority="10387">
      <formula>$C13="Petrol"</formula>
    </cfRule>
    <cfRule type="expression" dxfId="11711" priority="10388">
      <formula>$C13="Bills"</formula>
    </cfRule>
    <cfRule type="expression" dxfId="11710" priority="10389">
      <formula>$C13="Sales"</formula>
    </cfRule>
    <cfRule type="expression" dxfId="11709" priority="10390">
      <formula>$C13="Expences"</formula>
    </cfRule>
    <cfRule type="expression" dxfId="11708" priority="10391">
      <formula>$C13="Garlic Purchase"</formula>
    </cfRule>
    <cfRule type="expression" dxfId="11707" priority="10392">
      <formula>$C13="Ginger Purchase"</formula>
    </cfRule>
  </conditionalFormatting>
  <conditionalFormatting sqref="B13 B15:B20 B22 B24 B26 B28 B30">
    <cfRule type="expression" dxfId="11706" priority="10393">
      <formula>$C13="Advance"</formula>
    </cfRule>
  </conditionalFormatting>
  <conditionalFormatting sqref="B13 B15:B20 B22 B24 B26 B28 B30">
    <cfRule type="expression" dxfId="11705" priority="10374">
      <formula>$C13="Delivery charge"</formula>
    </cfRule>
    <cfRule type="expression" dxfId="11704" priority="10375">
      <formula>$C13="Staff Salary"</formula>
    </cfRule>
    <cfRule type="expression" dxfId="11703" priority="10376">
      <formula>$C13="Rent"</formula>
    </cfRule>
    <cfRule type="expression" dxfId="11702" priority="10377">
      <formula>$C13="Petrol"</formula>
    </cfRule>
    <cfRule type="expression" dxfId="11701" priority="10378">
      <formula>$C13="Bills"</formula>
    </cfRule>
    <cfRule type="expression" dxfId="11700" priority="10379">
      <formula>$C13="Sales"</formula>
    </cfRule>
    <cfRule type="expression" dxfId="11699" priority="10380">
      <formula>$C13="Expences"</formula>
    </cfRule>
    <cfRule type="expression" dxfId="11698" priority="10381">
      <formula>$C13="Garlic Purchase"</formula>
    </cfRule>
    <cfRule type="expression" dxfId="11697" priority="10382">
      <formula>$C13="Ginger Purchase"</formula>
    </cfRule>
  </conditionalFormatting>
  <conditionalFormatting sqref="B13 B15:B20 B22 B24 B26 B28 B30">
    <cfRule type="expression" dxfId="11696" priority="10383">
      <formula>$C13="Advance"</formula>
    </cfRule>
  </conditionalFormatting>
  <conditionalFormatting sqref="B22">
    <cfRule type="expression" dxfId="11695" priority="10373">
      <formula>$C22="Advance"</formula>
    </cfRule>
  </conditionalFormatting>
  <conditionalFormatting sqref="B22">
    <cfRule type="expression" dxfId="11694" priority="10364">
      <formula>$C22="Delivery charge"</formula>
    </cfRule>
    <cfRule type="expression" dxfId="11693" priority="10365">
      <formula>$C22="Staff Salary"</formula>
    </cfRule>
    <cfRule type="expression" dxfId="11692" priority="10366">
      <formula>$C22="Rent"</formula>
    </cfRule>
    <cfRule type="expression" dxfId="11691" priority="10367">
      <formula>$C22="Petrol"</formula>
    </cfRule>
    <cfRule type="expression" dxfId="11690" priority="10368">
      <formula>$C22="Bills"</formula>
    </cfRule>
    <cfRule type="expression" dxfId="11689" priority="10369">
      <formula>$C22="Sales"</formula>
    </cfRule>
    <cfRule type="expression" dxfId="11688" priority="10370">
      <formula>$C22="Expences"</formula>
    </cfRule>
    <cfRule type="expression" dxfId="11687" priority="10371">
      <formula>$C22="Garlic Purchase"</formula>
    </cfRule>
    <cfRule type="expression" dxfId="11686" priority="10372">
      <formula>$C22="Ginger Purchase"</formula>
    </cfRule>
  </conditionalFormatting>
  <conditionalFormatting sqref="B23">
    <cfRule type="expression" dxfId="11685" priority="10354">
      <formula>$C23="Delivery charge"</formula>
    </cfRule>
    <cfRule type="expression" dxfId="11684" priority="10355">
      <formula>$C23="Staff Salary"</formula>
    </cfRule>
    <cfRule type="expression" dxfId="11683" priority="10356">
      <formula>$C23="Rent"</formula>
    </cfRule>
    <cfRule type="expression" dxfId="11682" priority="10357">
      <formula>$C23="Petrol"</formula>
    </cfRule>
    <cfRule type="expression" dxfId="11681" priority="10358">
      <formula>$C23="Bills"</formula>
    </cfRule>
    <cfRule type="expression" dxfId="11680" priority="10359">
      <formula>$C23="Sales"</formula>
    </cfRule>
    <cfRule type="expression" dxfId="11679" priority="10360">
      <formula>$C23="Expences"</formula>
    </cfRule>
    <cfRule type="expression" dxfId="11678" priority="10361">
      <formula>$C23="Garlic Purchase"</formula>
    </cfRule>
    <cfRule type="expression" dxfId="11677" priority="10362">
      <formula>$C23="Ginger Purchase"</formula>
    </cfRule>
  </conditionalFormatting>
  <conditionalFormatting sqref="B23">
    <cfRule type="expression" dxfId="11676" priority="10363">
      <formula>$C23="Advance"</formula>
    </cfRule>
  </conditionalFormatting>
  <conditionalFormatting sqref="B23">
    <cfRule type="expression" dxfId="11675" priority="10344">
      <formula>$C23="Delivery charge"</formula>
    </cfRule>
    <cfRule type="expression" dxfId="11674" priority="10345">
      <formula>$C23="Staff Salary"</formula>
    </cfRule>
    <cfRule type="expression" dxfId="11673" priority="10346">
      <formula>$C23="Rent"</formula>
    </cfRule>
    <cfRule type="expression" dxfId="11672" priority="10347">
      <formula>$C23="Petrol"</formula>
    </cfRule>
    <cfRule type="expression" dxfId="11671" priority="10348">
      <formula>$C23="Bills"</formula>
    </cfRule>
    <cfRule type="expression" dxfId="11670" priority="10349">
      <formula>$C23="Sales"</formula>
    </cfRule>
    <cfRule type="expression" dxfId="11669" priority="10350">
      <formula>$C23="Expences"</formula>
    </cfRule>
    <cfRule type="expression" dxfId="11668" priority="10351">
      <formula>$C23="Garlic Purchase"</formula>
    </cfRule>
    <cfRule type="expression" dxfId="11667" priority="10352">
      <formula>$C23="Ginger Purchase"</formula>
    </cfRule>
  </conditionalFormatting>
  <conditionalFormatting sqref="B23">
    <cfRule type="expression" dxfId="11666" priority="10353">
      <formula>$C23="Advance"</formula>
    </cfRule>
  </conditionalFormatting>
  <conditionalFormatting sqref="B23">
    <cfRule type="expression" dxfId="11665" priority="10334">
      <formula>$C23="Delivery charge"</formula>
    </cfRule>
    <cfRule type="expression" dxfId="11664" priority="10335">
      <formula>$C23="Staff Salary"</formula>
    </cfRule>
    <cfRule type="expression" dxfId="11663" priority="10336">
      <formula>$C23="Rent"</formula>
    </cfRule>
    <cfRule type="expression" dxfId="11662" priority="10337">
      <formula>$C23="Petrol"</formula>
    </cfRule>
    <cfRule type="expression" dxfId="11661" priority="10338">
      <formula>$C23="Bills"</formula>
    </cfRule>
    <cfRule type="expression" dxfId="11660" priority="10339">
      <formula>$C23="Sales"</formula>
    </cfRule>
    <cfRule type="expression" dxfId="11659" priority="10340">
      <formula>$C23="Expences"</formula>
    </cfRule>
    <cfRule type="expression" dxfId="11658" priority="10341">
      <formula>$C23="Garlic Purchase"</formula>
    </cfRule>
    <cfRule type="expression" dxfId="11657" priority="10342">
      <formula>$C23="Ginger Purchase"</formula>
    </cfRule>
  </conditionalFormatting>
  <conditionalFormatting sqref="B23">
    <cfRule type="expression" dxfId="11656" priority="10343">
      <formula>$C23="Advance"</formula>
    </cfRule>
  </conditionalFormatting>
  <conditionalFormatting sqref="B23">
    <cfRule type="expression" dxfId="11655" priority="10324">
      <formula>$C23="Delivery charge"</formula>
    </cfRule>
    <cfRule type="expression" dxfId="11654" priority="10325">
      <formula>$C23="Staff Salary"</formula>
    </cfRule>
    <cfRule type="expression" dxfId="11653" priority="10326">
      <formula>$C23="Rent"</formula>
    </cfRule>
    <cfRule type="expression" dxfId="11652" priority="10327">
      <formula>$C23="Petrol"</formula>
    </cfRule>
    <cfRule type="expression" dxfId="11651" priority="10328">
      <formula>$C23="Bills"</formula>
    </cfRule>
    <cfRule type="expression" dxfId="11650" priority="10329">
      <formula>$C23="Sales"</formula>
    </cfRule>
    <cfRule type="expression" dxfId="11649" priority="10330">
      <formula>$C23="Expences"</formula>
    </cfRule>
    <cfRule type="expression" dxfId="11648" priority="10331">
      <formula>$C23="Garlic Purchase"</formula>
    </cfRule>
    <cfRule type="expression" dxfId="11647" priority="10332">
      <formula>$C23="Ginger Purchase"</formula>
    </cfRule>
  </conditionalFormatting>
  <conditionalFormatting sqref="B23">
    <cfRule type="expression" dxfId="11646" priority="10333">
      <formula>$C23="Advance"</formula>
    </cfRule>
  </conditionalFormatting>
  <conditionalFormatting sqref="B23">
    <cfRule type="expression" dxfId="11645" priority="10314">
      <formula>$C23="Delivery charge"</formula>
    </cfRule>
    <cfRule type="expression" dxfId="11644" priority="10315">
      <formula>$C23="Staff Salary"</formula>
    </cfRule>
    <cfRule type="expression" dxfId="11643" priority="10316">
      <formula>$C23="Rent"</formula>
    </cfRule>
    <cfRule type="expression" dxfId="11642" priority="10317">
      <formula>$C23="Petrol"</formula>
    </cfRule>
    <cfRule type="expression" dxfId="11641" priority="10318">
      <formula>$C23="Bills"</formula>
    </cfRule>
    <cfRule type="expression" dxfId="11640" priority="10319">
      <formula>$C23="Sales"</formula>
    </cfRule>
    <cfRule type="expression" dxfId="11639" priority="10320">
      <formula>$C23="Expences"</formula>
    </cfRule>
    <cfRule type="expression" dxfId="11638" priority="10321">
      <formula>$C23="Garlic Purchase"</formula>
    </cfRule>
    <cfRule type="expression" dxfId="11637" priority="10322">
      <formula>$C23="Ginger Purchase"</formula>
    </cfRule>
  </conditionalFormatting>
  <conditionalFormatting sqref="B23">
    <cfRule type="expression" dxfId="11636" priority="10323">
      <formula>$C23="Advance"</formula>
    </cfRule>
  </conditionalFormatting>
  <conditionalFormatting sqref="B23">
    <cfRule type="expression" dxfId="11635" priority="10304">
      <formula>$C23="Delivery charge"</formula>
    </cfRule>
    <cfRule type="expression" dxfId="11634" priority="10305">
      <formula>$C23="Staff Salary"</formula>
    </cfRule>
    <cfRule type="expression" dxfId="11633" priority="10306">
      <formula>$C23="Rent"</formula>
    </cfRule>
    <cfRule type="expression" dxfId="11632" priority="10307">
      <formula>$C23="Petrol"</formula>
    </cfRule>
    <cfRule type="expression" dxfId="11631" priority="10308">
      <formula>$C23="Bills"</formula>
    </cfRule>
    <cfRule type="expression" dxfId="11630" priority="10309">
      <formula>$C23="Sales"</formula>
    </cfRule>
    <cfRule type="expression" dxfId="11629" priority="10310">
      <formula>$C23="Expences"</formula>
    </cfRule>
    <cfRule type="expression" dxfId="11628" priority="10311">
      <formula>$C23="Garlic Purchase"</formula>
    </cfRule>
    <cfRule type="expression" dxfId="11627" priority="10312">
      <formula>$C23="Ginger Purchase"</formula>
    </cfRule>
  </conditionalFormatting>
  <conditionalFormatting sqref="B23">
    <cfRule type="expression" dxfId="11626" priority="10313">
      <formula>$C23="Advance"</formula>
    </cfRule>
  </conditionalFormatting>
  <conditionalFormatting sqref="B23">
    <cfRule type="expression" dxfId="11625" priority="10294">
      <formula>$C23="Delivery charge"</formula>
    </cfRule>
    <cfRule type="expression" dxfId="11624" priority="10295">
      <formula>$C23="Staff Salary"</formula>
    </cfRule>
    <cfRule type="expression" dxfId="11623" priority="10296">
      <formula>$C23="Rent"</formula>
    </cfRule>
    <cfRule type="expression" dxfId="11622" priority="10297">
      <formula>$C23="Petrol"</formula>
    </cfRule>
    <cfRule type="expression" dxfId="11621" priority="10298">
      <formula>$C23="Bills"</formula>
    </cfRule>
    <cfRule type="expression" dxfId="11620" priority="10299">
      <formula>$C23="Sales"</formula>
    </cfRule>
    <cfRule type="expression" dxfId="11619" priority="10300">
      <formula>$C23="Expences"</formula>
    </cfRule>
    <cfRule type="expression" dxfId="11618" priority="10301">
      <formula>$C23="Garlic Purchase"</formula>
    </cfRule>
    <cfRule type="expression" dxfId="11617" priority="10302">
      <formula>$C23="Ginger Purchase"</formula>
    </cfRule>
  </conditionalFormatting>
  <conditionalFormatting sqref="B23">
    <cfRule type="expression" dxfId="11616" priority="10303">
      <formula>$C23="Advance"</formula>
    </cfRule>
  </conditionalFormatting>
  <conditionalFormatting sqref="B23">
    <cfRule type="expression" dxfId="11615" priority="10284">
      <formula>$C23="Delivery charge"</formula>
    </cfRule>
    <cfRule type="expression" dxfId="11614" priority="10285">
      <formula>$C23="Staff Salary"</formula>
    </cfRule>
    <cfRule type="expression" dxfId="11613" priority="10286">
      <formula>$C23="Rent"</formula>
    </cfRule>
    <cfRule type="expression" dxfId="11612" priority="10287">
      <formula>$C23="Petrol"</formula>
    </cfRule>
    <cfRule type="expression" dxfId="11611" priority="10288">
      <formula>$C23="Bills"</formula>
    </cfRule>
    <cfRule type="expression" dxfId="11610" priority="10289">
      <formula>$C23="Sales"</formula>
    </cfRule>
    <cfRule type="expression" dxfId="11609" priority="10290">
      <formula>$C23="Expences"</formula>
    </cfRule>
    <cfRule type="expression" dxfId="11608" priority="10291">
      <formula>$C23="Garlic Purchase"</formula>
    </cfRule>
    <cfRule type="expression" dxfId="11607" priority="10292">
      <formula>$C23="Ginger Purchase"</formula>
    </cfRule>
  </conditionalFormatting>
  <conditionalFormatting sqref="B23">
    <cfRule type="expression" dxfId="11606" priority="10293">
      <formula>$C23="Advance"</formula>
    </cfRule>
  </conditionalFormatting>
  <conditionalFormatting sqref="B23">
    <cfRule type="expression" dxfId="11605" priority="10274">
      <formula>$C23="Delivery charge"</formula>
    </cfRule>
    <cfRule type="expression" dxfId="11604" priority="10275">
      <formula>$C23="Staff Salary"</formula>
    </cfRule>
    <cfRule type="expression" dxfId="11603" priority="10276">
      <formula>$C23="Rent"</formula>
    </cfRule>
    <cfRule type="expression" dxfId="11602" priority="10277">
      <formula>$C23="Petrol"</formula>
    </cfRule>
    <cfRule type="expression" dxfId="11601" priority="10278">
      <formula>$C23="Bills"</formula>
    </cfRule>
    <cfRule type="expression" dxfId="11600" priority="10279">
      <formula>$C23="Sales"</formula>
    </cfRule>
    <cfRule type="expression" dxfId="11599" priority="10280">
      <formula>$C23="Expences"</formula>
    </cfRule>
    <cfRule type="expression" dxfId="11598" priority="10281">
      <formula>$C23="Garlic Purchase"</formula>
    </cfRule>
    <cfRule type="expression" dxfId="11597" priority="10282">
      <formula>$C23="Ginger Purchase"</formula>
    </cfRule>
  </conditionalFormatting>
  <conditionalFormatting sqref="B23">
    <cfRule type="expression" dxfId="11596" priority="10283">
      <formula>$C23="Advance"</formula>
    </cfRule>
  </conditionalFormatting>
  <conditionalFormatting sqref="B23">
    <cfRule type="expression" dxfId="11595" priority="10264">
      <formula>$C23="Delivery charge"</formula>
    </cfRule>
    <cfRule type="expression" dxfId="11594" priority="10265">
      <formula>$C23="Staff Salary"</formula>
    </cfRule>
    <cfRule type="expression" dxfId="11593" priority="10266">
      <formula>$C23="Rent"</formula>
    </cfRule>
    <cfRule type="expression" dxfId="11592" priority="10267">
      <formula>$C23="Petrol"</formula>
    </cfRule>
    <cfRule type="expression" dxfId="11591" priority="10268">
      <formula>$C23="Bills"</formula>
    </cfRule>
    <cfRule type="expression" dxfId="11590" priority="10269">
      <formula>$C23="Sales"</formula>
    </cfRule>
    <cfRule type="expression" dxfId="11589" priority="10270">
      <formula>$C23="Expences"</formula>
    </cfRule>
    <cfRule type="expression" dxfId="11588" priority="10271">
      <formula>$C23="Garlic Purchase"</formula>
    </cfRule>
    <cfRule type="expression" dxfId="11587" priority="10272">
      <formula>$C23="Ginger Purchase"</formula>
    </cfRule>
  </conditionalFormatting>
  <conditionalFormatting sqref="B23">
    <cfRule type="expression" dxfId="11586" priority="10273">
      <formula>$C23="Advance"</formula>
    </cfRule>
  </conditionalFormatting>
  <conditionalFormatting sqref="B23">
    <cfRule type="expression" dxfId="11585" priority="10254">
      <formula>$C23="Delivery charge"</formula>
    </cfRule>
    <cfRule type="expression" dxfId="11584" priority="10255">
      <formula>$C23="Staff Salary"</formula>
    </cfRule>
    <cfRule type="expression" dxfId="11583" priority="10256">
      <formula>$C23="Rent"</formula>
    </cfRule>
    <cfRule type="expression" dxfId="11582" priority="10257">
      <formula>$C23="Petrol"</formula>
    </cfRule>
    <cfRule type="expression" dxfId="11581" priority="10258">
      <formula>$C23="Bills"</formula>
    </cfRule>
    <cfRule type="expression" dxfId="11580" priority="10259">
      <formula>$C23="Sales"</formula>
    </cfRule>
    <cfRule type="expression" dxfId="11579" priority="10260">
      <formula>$C23="Expences"</formula>
    </cfRule>
    <cfRule type="expression" dxfId="11578" priority="10261">
      <formula>$C23="Garlic Purchase"</formula>
    </cfRule>
    <cfRule type="expression" dxfId="11577" priority="10262">
      <formula>$C23="Ginger Purchase"</formula>
    </cfRule>
  </conditionalFormatting>
  <conditionalFormatting sqref="B23">
    <cfRule type="expression" dxfId="11576" priority="10263">
      <formula>$C23="Advance"</formula>
    </cfRule>
  </conditionalFormatting>
  <conditionalFormatting sqref="B21 B23:B25 B27 B29 B31 B33 B35 B37 B39 B41 B43 B47 B51">
    <cfRule type="expression" dxfId="11575" priority="10253">
      <formula>$C21="Advance"</formula>
    </cfRule>
  </conditionalFormatting>
  <conditionalFormatting sqref="B21 B23:B25 B27 B29 B31 B33 B35 B37 B39 B41 B43 B47 B51">
    <cfRule type="expression" dxfId="11574" priority="10244">
      <formula>$C21="Delivery charge"</formula>
    </cfRule>
    <cfRule type="expression" dxfId="11573" priority="10245">
      <formula>$C21="Staff Salary"</formula>
    </cfRule>
    <cfRule type="expression" dxfId="11572" priority="10246">
      <formula>$C21="Rent"</formula>
    </cfRule>
    <cfRule type="expression" dxfId="11571" priority="10247">
      <formula>$C21="Petrol"</formula>
    </cfRule>
    <cfRule type="expression" dxfId="11570" priority="10248">
      <formula>$C21="Bills"</formula>
    </cfRule>
    <cfRule type="expression" dxfId="11569" priority="10249">
      <formula>$C21="Sales"</formula>
    </cfRule>
    <cfRule type="expression" dxfId="11568" priority="10250">
      <formula>$C21="Expences"</formula>
    </cfRule>
    <cfRule type="expression" dxfId="11567" priority="10251">
      <formula>$C21="Garlic Purchase"</formula>
    </cfRule>
    <cfRule type="expression" dxfId="11566" priority="10252">
      <formula>$C21="Ginger Purchase"</formula>
    </cfRule>
  </conditionalFormatting>
  <conditionalFormatting sqref="B22">
    <cfRule type="expression" dxfId="11565" priority="10234">
      <formula>$C22="Delivery charge"</formula>
    </cfRule>
    <cfRule type="expression" dxfId="11564" priority="10235">
      <formula>$C22="Staff Salary"</formula>
    </cfRule>
    <cfRule type="expression" dxfId="11563" priority="10236">
      <formula>$C22="Rent"</formula>
    </cfRule>
    <cfRule type="expression" dxfId="11562" priority="10237">
      <formula>$C22="Petrol"</formula>
    </cfRule>
    <cfRule type="expression" dxfId="11561" priority="10238">
      <formula>$C22="Bills"</formula>
    </cfRule>
    <cfRule type="expression" dxfId="11560" priority="10239">
      <formula>$C22="Sales"</formula>
    </cfRule>
    <cfRule type="expression" dxfId="11559" priority="10240">
      <formula>$C22="Expences"</formula>
    </cfRule>
    <cfRule type="expression" dxfId="11558" priority="10241">
      <formula>$C22="Garlic Purchase"</formula>
    </cfRule>
    <cfRule type="expression" dxfId="11557" priority="10242">
      <formula>$C22="Ginger Purchase"</formula>
    </cfRule>
  </conditionalFormatting>
  <conditionalFormatting sqref="B22">
    <cfRule type="expression" dxfId="11556" priority="10243">
      <formula>$C22="Advance"</formula>
    </cfRule>
  </conditionalFormatting>
  <conditionalFormatting sqref="B23">
    <cfRule type="expression" dxfId="11555" priority="10224">
      <formula>$C23="Delivery charge"</formula>
    </cfRule>
    <cfRule type="expression" dxfId="11554" priority="10225">
      <formula>$C23="Staff Salary"</formula>
    </cfRule>
    <cfRule type="expression" dxfId="11553" priority="10226">
      <formula>$C23="Rent"</formula>
    </cfRule>
    <cfRule type="expression" dxfId="11552" priority="10227">
      <formula>$C23="Petrol"</formula>
    </cfRule>
    <cfRule type="expression" dxfId="11551" priority="10228">
      <formula>$C23="Bills"</formula>
    </cfRule>
    <cfRule type="expression" dxfId="11550" priority="10229">
      <formula>$C23="Sales"</formula>
    </cfRule>
    <cfRule type="expression" dxfId="11549" priority="10230">
      <formula>$C23="Expences"</formula>
    </cfRule>
    <cfRule type="expression" dxfId="11548" priority="10231">
      <formula>$C23="Garlic Purchase"</formula>
    </cfRule>
    <cfRule type="expression" dxfId="11547" priority="10232">
      <formula>$C23="Ginger Purchase"</formula>
    </cfRule>
  </conditionalFormatting>
  <conditionalFormatting sqref="B23">
    <cfRule type="expression" dxfId="11546" priority="10233">
      <formula>$C23="Advance"</formula>
    </cfRule>
  </conditionalFormatting>
  <conditionalFormatting sqref="B23">
    <cfRule type="expression" dxfId="11545" priority="10214">
      <formula>$C23="Delivery charge"</formula>
    </cfRule>
    <cfRule type="expression" dxfId="11544" priority="10215">
      <formula>$C23="Staff Salary"</formula>
    </cfRule>
    <cfRule type="expression" dxfId="11543" priority="10216">
      <formula>$C23="Rent"</formula>
    </cfRule>
    <cfRule type="expression" dxfId="11542" priority="10217">
      <formula>$C23="Petrol"</formula>
    </cfRule>
    <cfRule type="expression" dxfId="11541" priority="10218">
      <formula>$C23="Bills"</formula>
    </cfRule>
    <cfRule type="expression" dxfId="11540" priority="10219">
      <formula>$C23="Sales"</formula>
    </cfRule>
    <cfRule type="expression" dxfId="11539" priority="10220">
      <formula>$C23="Expences"</formula>
    </cfRule>
    <cfRule type="expression" dxfId="11538" priority="10221">
      <formula>$C23="Garlic Purchase"</formula>
    </cfRule>
    <cfRule type="expression" dxfId="11537" priority="10222">
      <formula>$C23="Ginger Purchase"</formula>
    </cfRule>
  </conditionalFormatting>
  <conditionalFormatting sqref="B23">
    <cfRule type="expression" dxfId="11536" priority="10223">
      <formula>$C23="Advance"</formula>
    </cfRule>
  </conditionalFormatting>
  <conditionalFormatting sqref="B23">
    <cfRule type="expression" dxfId="11535" priority="10204">
      <formula>$C23="Delivery charge"</formula>
    </cfRule>
    <cfRule type="expression" dxfId="11534" priority="10205">
      <formula>$C23="Staff Salary"</formula>
    </cfRule>
    <cfRule type="expression" dxfId="11533" priority="10206">
      <formula>$C23="Rent"</formula>
    </cfRule>
    <cfRule type="expression" dxfId="11532" priority="10207">
      <formula>$C23="Petrol"</formula>
    </cfRule>
    <cfRule type="expression" dxfId="11531" priority="10208">
      <formula>$C23="Bills"</formula>
    </cfRule>
    <cfRule type="expression" dxfId="11530" priority="10209">
      <formula>$C23="Sales"</formula>
    </cfRule>
    <cfRule type="expression" dxfId="11529" priority="10210">
      <formula>$C23="Expences"</formula>
    </cfRule>
    <cfRule type="expression" dxfId="11528" priority="10211">
      <formula>$C23="Garlic Purchase"</formula>
    </cfRule>
    <cfRule type="expression" dxfId="11527" priority="10212">
      <formula>$C23="Ginger Purchase"</formula>
    </cfRule>
  </conditionalFormatting>
  <conditionalFormatting sqref="B23">
    <cfRule type="expression" dxfId="11526" priority="10213">
      <formula>$C23="Advance"</formula>
    </cfRule>
  </conditionalFormatting>
  <conditionalFormatting sqref="B23">
    <cfRule type="expression" dxfId="11525" priority="10194">
      <formula>$C23="Delivery charge"</formula>
    </cfRule>
    <cfRule type="expression" dxfId="11524" priority="10195">
      <formula>$C23="Staff Salary"</formula>
    </cfRule>
    <cfRule type="expression" dxfId="11523" priority="10196">
      <formula>$C23="Rent"</formula>
    </cfRule>
    <cfRule type="expression" dxfId="11522" priority="10197">
      <formula>$C23="Petrol"</formula>
    </cfRule>
    <cfRule type="expression" dxfId="11521" priority="10198">
      <formula>$C23="Bills"</formula>
    </cfRule>
    <cfRule type="expression" dxfId="11520" priority="10199">
      <formula>$C23="Sales"</formula>
    </cfRule>
    <cfRule type="expression" dxfId="11519" priority="10200">
      <formula>$C23="Expences"</formula>
    </cfRule>
    <cfRule type="expression" dxfId="11518" priority="10201">
      <formula>$C23="Garlic Purchase"</formula>
    </cfRule>
    <cfRule type="expression" dxfId="11517" priority="10202">
      <formula>$C23="Ginger Purchase"</formula>
    </cfRule>
  </conditionalFormatting>
  <conditionalFormatting sqref="B23">
    <cfRule type="expression" dxfId="11516" priority="10203">
      <formula>$C23="Advance"</formula>
    </cfRule>
  </conditionalFormatting>
  <conditionalFormatting sqref="B22">
    <cfRule type="expression" dxfId="11515" priority="10184">
      <formula>$C22="Delivery charge"</formula>
    </cfRule>
    <cfRule type="expression" dxfId="11514" priority="10185">
      <formula>$C22="Staff Salary"</formula>
    </cfRule>
    <cfRule type="expression" dxfId="11513" priority="10186">
      <formula>$C22="Rent"</formula>
    </cfRule>
    <cfRule type="expression" dxfId="11512" priority="10187">
      <formula>$C22="Petrol"</formula>
    </cfRule>
    <cfRule type="expression" dxfId="11511" priority="10188">
      <formula>$C22="Bills"</formula>
    </cfRule>
    <cfRule type="expression" dxfId="11510" priority="10189">
      <formula>$C22="Sales"</formula>
    </cfRule>
    <cfRule type="expression" dxfId="11509" priority="10190">
      <formula>$C22="Expences"</formula>
    </cfRule>
    <cfRule type="expression" dxfId="11508" priority="10191">
      <formula>$C22="Garlic Purchase"</formula>
    </cfRule>
    <cfRule type="expression" dxfId="11507" priority="10192">
      <formula>$C22="Ginger Purchase"</formula>
    </cfRule>
  </conditionalFormatting>
  <conditionalFormatting sqref="B22">
    <cfRule type="expression" dxfId="11506" priority="10193">
      <formula>$C22="Advance"</formula>
    </cfRule>
  </conditionalFormatting>
  <conditionalFormatting sqref="B22">
    <cfRule type="expression" dxfId="11505" priority="10174">
      <formula>$C22="Delivery charge"</formula>
    </cfRule>
    <cfRule type="expression" dxfId="11504" priority="10175">
      <formula>$C22="Staff Salary"</formula>
    </cfRule>
    <cfRule type="expression" dxfId="11503" priority="10176">
      <formula>$C22="Rent"</formula>
    </cfRule>
    <cfRule type="expression" dxfId="11502" priority="10177">
      <formula>$C22="Petrol"</formula>
    </cfRule>
    <cfRule type="expression" dxfId="11501" priority="10178">
      <formula>$C22="Bills"</formula>
    </cfRule>
    <cfRule type="expression" dxfId="11500" priority="10179">
      <formula>$C22="Sales"</formula>
    </cfRule>
    <cfRule type="expression" dxfId="11499" priority="10180">
      <formula>$C22="Expences"</formula>
    </cfRule>
    <cfRule type="expression" dxfId="11498" priority="10181">
      <formula>$C22="Garlic Purchase"</formula>
    </cfRule>
    <cfRule type="expression" dxfId="11497" priority="10182">
      <formula>$C22="Ginger Purchase"</formula>
    </cfRule>
  </conditionalFormatting>
  <conditionalFormatting sqref="B22">
    <cfRule type="expression" dxfId="11496" priority="10183">
      <formula>$C22="Advance"</formula>
    </cfRule>
  </conditionalFormatting>
  <conditionalFormatting sqref="B22">
    <cfRule type="expression" dxfId="11495" priority="10164">
      <formula>$C22="Delivery charge"</formula>
    </cfRule>
    <cfRule type="expression" dxfId="11494" priority="10165">
      <formula>$C22="Staff Salary"</formula>
    </cfRule>
    <cfRule type="expression" dxfId="11493" priority="10166">
      <formula>$C22="Rent"</formula>
    </cfRule>
    <cfRule type="expression" dxfId="11492" priority="10167">
      <formula>$C22="Petrol"</formula>
    </cfRule>
    <cfRule type="expression" dxfId="11491" priority="10168">
      <formula>$C22="Bills"</formula>
    </cfRule>
    <cfRule type="expression" dxfId="11490" priority="10169">
      <formula>$C22="Sales"</formula>
    </cfRule>
    <cfRule type="expression" dxfId="11489" priority="10170">
      <formula>$C22="Expences"</formula>
    </cfRule>
    <cfRule type="expression" dxfId="11488" priority="10171">
      <formula>$C22="Garlic Purchase"</formula>
    </cfRule>
    <cfRule type="expression" dxfId="11487" priority="10172">
      <formula>$C22="Ginger Purchase"</formula>
    </cfRule>
  </conditionalFormatting>
  <conditionalFormatting sqref="B22">
    <cfRule type="expression" dxfId="11486" priority="10173">
      <formula>$C22="Advance"</formula>
    </cfRule>
  </conditionalFormatting>
  <conditionalFormatting sqref="B22">
    <cfRule type="expression" dxfId="11485" priority="10154">
      <formula>$C22="Delivery charge"</formula>
    </cfRule>
    <cfRule type="expression" dxfId="11484" priority="10155">
      <formula>$C22="Staff Salary"</formula>
    </cfRule>
    <cfRule type="expression" dxfId="11483" priority="10156">
      <formula>$C22="Rent"</formula>
    </cfRule>
    <cfRule type="expression" dxfId="11482" priority="10157">
      <formula>$C22="Petrol"</formula>
    </cfRule>
    <cfRule type="expression" dxfId="11481" priority="10158">
      <formula>$C22="Bills"</formula>
    </cfRule>
    <cfRule type="expression" dxfId="11480" priority="10159">
      <formula>$C22="Sales"</formula>
    </cfRule>
    <cfRule type="expression" dxfId="11479" priority="10160">
      <formula>$C22="Expences"</formula>
    </cfRule>
    <cfRule type="expression" dxfId="11478" priority="10161">
      <formula>$C22="Garlic Purchase"</formula>
    </cfRule>
    <cfRule type="expression" dxfId="11477" priority="10162">
      <formula>$C22="Ginger Purchase"</formula>
    </cfRule>
  </conditionalFormatting>
  <conditionalFormatting sqref="B22">
    <cfRule type="expression" dxfId="11476" priority="10163">
      <formula>$C22="Advance"</formula>
    </cfRule>
  </conditionalFormatting>
  <conditionalFormatting sqref="B23">
    <cfRule type="expression" dxfId="11475" priority="10144">
      <formula>$C23="Delivery charge"</formula>
    </cfRule>
    <cfRule type="expression" dxfId="11474" priority="10145">
      <formula>$C23="Staff Salary"</formula>
    </cfRule>
    <cfRule type="expression" dxfId="11473" priority="10146">
      <formula>$C23="Rent"</formula>
    </cfRule>
    <cfRule type="expression" dxfId="11472" priority="10147">
      <formula>$C23="Petrol"</formula>
    </cfRule>
    <cfRule type="expression" dxfId="11471" priority="10148">
      <formula>$C23="Bills"</formula>
    </cfRule>
    <cfRule type="expression" dxfId="11470" priority="10149">
      <formula>$C23="Sales"</formula>
    </cfRule>
    <cfRule type="expression" dxfId="11469" priority="10150">
      <formula>$C23="Expences"</formula>
    </cfRule>
    <cfRule type="expression" dxfId="11468" priority="10151">
      <formula>$C23="Garlic Purchase"</formula>
    </cfRule>
    <cfRule type="expression" dxfId="11467" priority="10152">
      <formula>$C23="Ginger Purchase"</formula>
    </cfRule>
  </conditionalFormatting>
  <conditionalFormatting sqref="B23">
    <cfRule type="expression" dxfId="11466" priority="10153">
      <formula>$C23="Advance"</formula>
    </cfRule>
  </conditionalFormatting>
  <conditionalFormatting sqref="B22">
    <cfRule type="expression" dxfId="11465" priority="10134">
      <formula>$C22="Delivery charge"</formula>
    </cfRule>
    <cfRule type="expression" dxfId="11464" priority="10135">
      <formula>$C22="Staff Salary"</formula>
    </cfRule>
    <cfRule type="expression" dxfId="11463" priority="10136">
      <formula>$C22="Rent"</formula>
    </cfRule>
    <cfRule type="expression" dxfId="11462" priority="10137">
      <formula>$C22="Petrol"</formula>
    </cfRule>
    <cfRule type="expression" dxfId="11461" priority="10138">
      <formula>$C22="Bills"</formula>
    </cfRule>
    <cfRule type="expression" dxfId="11460" priority="10139">
      <formula>$C22="Sales"</formula>
    </cfRule>
    <cfRule type="expression" dxfId="11459" priority="10140">
      <formula>$C22="Expences"</formula>
    </cfRule>
    <cfRule type="expression" dxfId="11458" priority="10141">
      <formula>$C22="Garlic Purchase"</formula>
    </cfRule>
    <cfRule type="expression" dxfId="11457" priority="10142">
      <formula>$C22="Ginger Purchase"</formula>
    </cfRule>
  </conditionalFormatting>
  <conditionalFormatting sqref="B22">
    <cfRule type="expression" dxfId="11456" priority="10143">
      <formula>$C22="Advance"</formula>
    </cfRule>
  </conditionalFormatting>
  <conditionalFormatting sqref="B22">
    <cfRule type="expression" dxfId="11455" priority="10124">
      <formula>$C22="Delivery charge"</formula>
    </cfRule>
    <cfRule type="expression" dxfId="11454" priority="10125">
      <formula>$C22="Staff Salary"</formula>
    </cfRule>
    <cfRule type="expression" dxfId="11453" priority="10126">
      <formula>$C22="Rent"</formula>
    </cfRule>
    <cfRule type="expression" dxfId="11452" priority="10127">
      <formula>$C22="Petrol"</formula>
    </cfRule>
    <cfRule type="expression" dxfId="11451" priority="10128">
      <formula>$C22="Bills"</formula>
    </cfRule>
    <cfRule type="expression" dxfId="11450" priority="10129">
      <formula>$C22="Sales"</formula>
    </cfRule>
    <cfRule type="expression" dxfId="11449" priority="10130">
      <formula>$C22="Expences"</formula>
    </cfRule>
    <cfRule type="expression" dxfId="11448" priority="10131">
      <formula>$C22="Garlic Purchase"</formula>
    </cfRule>
    <cfRule type="expression" dxfId="11447" priority="10132">
      <formula>$C22="Ginger Purchase"</formula>
    </cfRule>
  </conditionalFormatting>
  <conditionalFormatting sqref="B22">
    <cfRule type="expression" dxfId="11446" priority="10133">
      <formula>$C22="Advance"</formula>
    </cfRule>
  </conditionalFormatting>
  <conditionalFormatting sqref="B22">
    <cfRule type="expression" dxfId="11445" priority="10114">
      <formula>$C22="Delivery charge"</formula>
    </cfRule>
    <cfRule type="expression" dxfId="11444" priority="10115">
      <formula>$C22="Staff Salary"</formula>
    </cfRule>
    <cfRule type="expression" dxfId="11443" priority="10116">
      <formula>$C22="Rent"</formula>
    </cfRule>
    <cfRule type="expression" dxfId="11442" priority="10117">
      <formula>$C22="Petrol"</formula>
    </cfRule>
    <cfRule type="expression" dxfId="11441" priority="10118">
      <formula>$C22="Bills"</formula>
    </cfRule>
    <cfRule type="expression" dxfId="11440" priority="10119">
      <formula>$C22="Sales"</formula>
    </cfRule>
    <cfRule type="expression" dxfId="11439" priority="10120">
      <formula>$C22="Expences"</formula>
    </cfRule>
    <cfRule type="expression" dxfId="11438" priority="10121">
      <formula>$C22="Garlic Purchase"</formula>
    </cfRule>
    <cfRule type="expression" dxfId="11437" priority="10122">
      <formula>$C22="Ginger Purchase"</formula>
    </cfRule>
  </conditionalFormatting>
  <conditionalFormatting sqref="B22">
    <cfRule type="expression" dxfId="11436" priority="10123">
      <formula>$C22="Advance"</formula>
    </cfRule>
  </conditionalFormatting>
  <conditionalFormatting sqref="B22">
    <cfRule type="expression" dxfId="11435" priority="10104">
      <formula>$C22="Delivery charge"</formula>
    </cfRule>
    <cfRule type="expression" dxfId="11434" priority="10105">
      <formula>$C22="Staff Salary"</formula>
    </cfRule>
    <cfRule type="expression" dxfId="11433" priority="10106">
      <formula>$C22="Rent"</formula>
    </cfRule>
    <cfRule type="expression" dxfId="11432" priority="10107">
      <formula>$C22="Petrol"</formula>
    </cfRule>
    <cfRule type="expression" dxfId="11431" priority="10108">
      <formula>$C22="Bills"</formula>
    </cfRule>
    <cfRule type="expression" dxfId="11430" priority="10109">
      <formula>$C22="Sales"</formula>
    </cfRule>
    <cfRule type="expression" dxfId="11429" priority="10110">
      <formula>$C22="Expences"</formula>
    </cfRule>
    <cfRule type="expression" dxfId="11428" priority="10111">
      <formula>$C22="Garlic Purchase"</formula>
    </cfRule>
    <cfRule type="expression" dxfId="11427" priority="10112">
      <formula>$C22="Ginger Purchase"</formula>
    </cfRule>
  </conditionalFormatting>
  <conditionalFormatting sqref="B22">
    <cfRule type="expression" dxfId="11426" priority="10113">
      <formula>$C22="Advance"</formula>
    </cfRule>
  </conditionalFormatting>
  <conditionalFormatting sqref="B22">
    <cfRule type="expression" dxfId="11425" priority="10094">
      <formula>$C22="Delivery charge"</formula>
    </cfRule>
    <cfRule type="expression" dxfId="11424" priority="10095">
      <formula>$C22="Staff Salary"</formula>
    </cfRule>
    <cfRule type="expression" dxfId="11423" priority="10096">
      <formula>$C22="Rent"</formula>
    </cfRule>
    <cfRule type="expression" dxfId="11422" priority="10097">
      <formula>$C22="Petrol"</formula>
    </cfRule>
    <cfRule type="expression" dxfId="11421" priority="10098">
      <formula>$C22="Bills"</formula>
    </cfRule>
    <cfRule type="expression" dxfId="11420" priority="10099">
      <formula>$C22="Sales"</formula>
    </cfRule>
    <cfRule type="expression" dxfId="11419" priority="10100">
      <formula>$C22="Expences"</formula>
    </cfRule>
    <cfRule type="expression" dxfId="11418" priority="10101">
      <formula>$C22="Garlic Purchase"</formula>
    </cfRule>
    <cfRule type="expression" dxfId="11417" priority="10102">
      <formula>$C22="Ginger Purchase"</formula>
    </cfRule>
  </conditionalFormatting>
  <conditionalFormatting sqref="B22">
    <cfRule type="expression" dxfId="11416" priority="10103">
      <formula>$C22="Advance"</formula>
    </cfRule>
  </conditionalFormatting>
  <conditionalFormatting sqref="B23">
    <cfRule type="expression" dxfId="11415" priority="10084">
      <formula>$C23="Delivery charge"</formula>
    </cfRule>
    <cfRule type="expression" dxfId="11414" priority="10085">
      <formula>$C23="Staff Salary"</formula>
    </cfRule>
    <cfRule type="expression" dxfId="11413" priority="10086">
      <formula>$C23="Rent"</formula>
    </cfRule>
    <cfRule type="expression" dxfId="11412" priority="10087">
      <formula>$C23="Petrol"</formula>
    </cfRule>
    <cfRule type="expression" dxfId="11411" priority="10088">
      <formula>$C23="Bills"</formula>
    </cfRule>
    <cfRule type="expression" dxfId="11410" priority="10089">
      <formula>$C23="Sales"</formula>
    </cfRule>
    <cfRule type="expression" dxfId="11409" priority="10090">
      <formula>$C23="Expences"</formula>
    </cfRule>
    <cfRule type="expression" dxfId="11408" priority="10091">
      <formula>$C23="Garlic Purchase"</formula>
    </cfRule>
    <cfRule type="expression" dxfId="11407" priority="10092">
      <formula>$C23="Ginger Purchase"</formula>
    </cfRule>
  </conditionalFormatting>
  <conditionalFormatting sqref="B23">
    <cfRule type="expression" dxfId="11406" priority="10093">
      <formula>$C23="Advance"</formula>
    </cfRule>
  </conditionalFormatting>
  <conditionalFormatting sqref="B23">
    <cfRule type="expression" dxfId="11405" priority="10074">
      <formula>$C23="Delivery charge"</formula>
    </cfRule>
    <cfRule type="expression" dxfId="11404" priority="10075">
      <formula>$C23="Staff Salary"</formula>
    </cfRule>
    <cfRule type="expression" dxfId="11403" priority="10076">
      <formula>$C23="Rent"</formula>
    </cfRule>
    <cfRule type="expression" dxfId="11402" priority="10077">
      <formula>$C23="Petrol"</formula>
    </cfRule>
    <cfRule type="expression" dxfId="11401" priority="10078">
      <formula>$C23="Bills"</formula>
    </cfRule>
    <cfRule type="expression" dxfId="11400" priority="10079">
      <formula>$C23="Sales"</formula>
    </cfRule>
    <cfRule type="expression" dxfId="11399" priority="10080">
      <formula>$C23="Expences"</formula>
    </cfRule>
    <cfRule type="expression" dxfId="11398" priority="10081">
      <formula>$C23="Garlic Purchase"</formula>
    </cfRule>
    <cfRule type="expression" dxfId="11397" priority="10082">
      <formula>$C23="Ginger Purchase"</formula>
    </cfRule>
  </conditionalFormatting>
  <conditionalFormatting sqref="B23">
    <cfRule type="expression" dxfId="11396" priority="10083">
      <formula>$C23="Advance"</formula>
    </cfRule>
  </conditionalFormatting>
  <conditionalFormatting sqref="B23">
    <cfRule type="expression" dxfId="11395" priority="10064">
      <formula>$C23="Delivery charge"</formula>
    </cfRule>
    <cfRule type="expression" dxfId="11394" priority="10065">
      <formula>$C23="Staff Salary"</formula>
    </cfRule>
    <cfRule type="expression" dxfId="11393" priority="10066">
      <formula>$C23="Rent"</formula>
    </cfRule>
    <cfRule type="expression" dxfId="11392" priority="10067">
      <formula>$C23="Petrol"</formula>
    </cfRule>
    <cfRule type="expression" dxfId="11391" priority="10068">
      <formula>$C23="Bills"</formula>
    </cfRule>
    <cfRule type="expression" dxfId="11390" priority="10069">
      <formula>$C23="Sales"</formula>
    </cfRule>
    <cfRule type="expression" dxfId="11389" priority="10070">
      <formula>$C23="Expences"</formula>
    </cfRule>
    <cfRule type="expression" dxfId="11388" priority="10071">
      <formula>$C23="Garlic Purchase"</formula>
    </cfRule>
    <cfRule type="expression" dxfId="11387" priority="10072">
      <formula>$C23="Ginger Purchase"</formula>
    </cfRule>
  </conditionalFormatting>
  <conditionalFormatting sqref="B23">
    <cfRule type="expression" dxfId="11386" priority="10073">
      <formula>$C23="Advance"</formula>
    </cfRule>
  </conditionalFormatting>
  <conditionalFormatting sqref="B23">
    <cfRule type="expression" dxfId="11385" priority="10054">
      <formula>$C23="Delivery charge"</formula>
    </cfRule>
    <cfRule type="expression" dxfId="11384" priority="10055">
      <formula>$C23="Staff Salary"</formula>
    </cfRule>
    <cfRule type="expression" dxfId="11383" priority="10056">
      <formula>$C23="Rent"</formula>
    </cfRule>
    <cfRule type="expression" dxfId="11382" priority="10057">
      <formula>$C23="Petrol"</formula>
    </cfRule>
    <cfRule type="expression" dxfId="11381" priority="10058">
      <formula>$C23="Bills"</formula>
    </cfRule>
    <cfRule type="expression" dxfId="11380" priority="10059">
      <formula>$C23="Sales"</formula>
    </cfRule>
    <cfRule type="expression" dxfId="11379" priority="10060">
      <formula>$C23="Expences"</formula>
    </cfRule>
    <cfRule type="expression" dxfId="11378" priority="10061">
      <formula>$C23="Garlic Purchase"</formula>
    </cfRule>
    <cfRule type="expression" dxfId="11377" priority="10062">
      <formula>$C23="Ginger Purchase"</formula>
    </cfRule>
  </conditionalFormatting>
  <conditionalFormatting sqref="B23">
    <cfRule type="expression" dxfId="11376" priority="10063">
      <formula>$C23="Advance"</formula>
    </cfRule>
  </conditionalFormatting>
  <conditionalFormatting sqref="B23">
    <cfRule type="expression" dxfId="11375" priority="10044">
      <formula>$C23="Delivery charge"</formula>
    </cfRule>
    <cfRule type="expression" dxfId="11374" priority="10045">
      <formula>$C23="Staff Salary"</formula>
    </cfRule>
    <cfRule type="expression" dxfId="11373" priority="10046">
      <formula>$C23="Rent"</formula>
    </cfRule>
    <cfRule type="expression" dxfId="11372" priority="10047">
      <formula>$C23="Petrol"</formula>
    </cfRule>
    <cfRule type="expression" dxfId="11371" priority="10048">
      <formula>$C23="Bills"</formula>
    </cfRule>
    <cfRule type="expression" dxfId="11370" priority="10049">
      <formula>$C23="Sales"</formula>
    </cfRule>
    <cfRule type="expression" dxfId="11369" priority="10050">
      <formula>$C23="Expences"</formula>
    </cfRule>
    <cfRule type="expression" dxfId="11368" priority="10051">
      <formula>$C23="Garlic Purchase"</formula>
    </cfRule>
    <cfRule type="expression" dxfId="11367" priority="10052">
      <formula>$C23="Ginger Purchase"</formula>
    </cfRule>
  </conditionalFormatting>
  <conditionalFormatting sqref="B23">
    <cfRule type="expression" dxfId="11366" priority="10053">
      <formula>$C23="Advance"</formula>
    </cfRule>
  </conditionalFormatting>
  <conditionalFormatting sqref="B22">
    <cfRule type="expression" dxfId="11365" priority="10034">
      <formula>$C22="Delivery charge"</formula>
    </cfRule>
    <cfRule type="expression" dxfId="11364" priority="10035">
      <formula>$C22="Staff Salary"</formula>
    </cfRule>
    <cfRule type="expression" dxfId="11363" priority="10036">
      <formula>$C22="Rent"</formula>
    </cfRule>
    <cfRule type="expression" dxfId="11362" priority="10037">
      <formula>$C22="Petrol"</formula>
    </cfRule>
    <cfRule type="expression" dxfId="11361" priority="10038">
      <formula>$C22="Bills"</formula>
    </cfRule>
    <cfRule type="expression" dxfId="11360" priority="10039">
      <formula>$C22="Sales"</formula>
    </cfRule>
    <cfRule type="expression" dxfId="11359" priority="10040">
      <formula>$C22="Expences"</formula>
    </cfRule>
    <cfRule type="expression" dxfId="11358" priority="10041">
      <formula>$C22="Garlic Purchase"</formula>
    </cfRule>
    <cfRule type="expression" dxfId="11357" priority="10042">
      <formula>$C22="Ginger Purchase"</formula>
    </cfRule>
  </conditionalFormatting>
  <conditionalFormatting sqref="B22">
    <cfRule type="expression" dxfId="11356" priority="10043">
      <formula>$C22="Advance"</formula>
    </cfRule>
  </conditionalFormatting>
  <conditionalFormatting sqref="B23">
    <cfRule type="expression" dxfId="11355" priority="10024">
      <formula>$C23="Delivery charge"</formula>
    </cfRule>
    <cfRule type="expression" dxfId="11354" priority="10025">
      <formula>$C23="Staff Salary"</formula>
    </cfRule>
    <cfRule type="expression" dxfId="11353" priority="10026">
      <formula>$C23="Rent"</formula>
    </cfRule>
    <cfRule type="expression" dxfId="11352" priority="10027">
      <formula>$C23="Petrol"</formula>
    </cfRule>
    <cfRule type="expression" dxfId="11351" priority="10028">
      <formula>$C23="Bills"</formula>
    </cfRule>
    <cfRule type="expression" dxfId="11350" priority="10029">
      <formula>$C23="Sales"</formula>
    </cfRule>
    <cfRule type="expression" dxfId="11349" priority="10030">
      <formula>$C23="Expences"</formula>
    </cfRule>
    <cfRule type="expression" dxfId="11348" priority="10031">
      <formula>$C23="Garlic Purchase"</formula>
    </cfRule>
    <cfRule type="expression" dxfId="11347" priority="10032">
      <formula>$C23="Ginger Purchase"</formula>
    </cfRule>
  </conditionalFormatting>
  <conditionalFormatting sqref="B23">
    <cfRule type="expression" dxfId="11346" priority="10033">
      <formula>$C23="Advance"</formula>
    </cfRule>
  </conditionalFormatting>
  <conditionalFormatting sqref="B23">
    <cfRule type="expression" dxfId="11345" priority="10014">
      <formula>$C23="Delivery charge"</formula>
    </cfRule>
    <cfRule type="expression" dxfId="11344" priority="10015">
      <formula>$C23="Staff Salary"</formula>
    </cfRule>
    <cfRule type="expression" dxfId="11343" priority="10016">
      <formula>$C23="Rent"</formula>
    </cfRule>
    <cfRule type="expression" dxfId="11342" priority="10017">
      <formula>$C23="Petrol"</formula>
    </cfRule>
    <cfRule type="expression" dxfId="11341" priority="10018">
      <formula>$C23="Bills"</formula>
    </cfRule>
    <cfRule type="expression" dxfId="11340" priority="10019">
      <formula>$C23="Sales"</formula>
    </cfRule>
    <cfRule type="expression" dxfId="11339" priority="10020">
      <formula>$C23="Expences"</formula>
    </cfRule>
    <cfRule type="expression" dxfId="11338" priority="10021">
      <formula>$C23="Garlic Purchase"</formula>
    </cfRule>
    <cfRule type="expression" dxfId="11337" priority="10022">
      <formula>$C23="Ginger Purchase"</formula>
    </cfRule>
  </conditionalFormatting>
  <conditionalFormatting sqref="B23">
    <cfRule type="expression" dxfId="11336" priority="10023">
      <formula>$C23="Advance"</formula>
    </cfRule>
  </conditionalFormatting>
  <conditionalFormatting sqref="B23">
    <cfRule type="expression" dxfId="11335" priority="10004">
      <formula>$C23="Delivery charge"</formula>
    </cfRule>
    <cfRule type="expression" dxfId="11334" priority="10005">
      <formula>$C23="Staff Salary"</formula>
    </cfRule>
    <cfRule type="expression" dxfId="11333" priority="10006">
      <formula>$C23="Rent"</formula>
    </cfRule>
    <cfRule type="expression" dxfId="11332" priority="10007">
      <formula>$C23="Petrol"</formula>
    </cfRule>
    <cfRule type="expression" dxfId="11331" priority="10008">
      <formula>$C23="Bills"</formula>
    </cfRule>
    <cfRule type="expression" dxfId="11330" priority="10009">
      <formula>$C23="Sales"</formula>
    </cfRule>
    <cfRule type="expression" dxfId="11329" priority="10010">
      <formula>$C23="Expences"</formula>
    </cfRule>
    <cfRule type="expression" dxfId="11328" priority="10011">
      <formula>$C23="Garlic Purchase"</formula>
    </cfRule>
    <cfRule type="expression" dxfId="11327" priority="10012">
      <formula>$C23="Ginger Purchase"</formula>
    </cfRule>
  </conditionalFormatting>
  <conditionalFormatting sqref="B23">
    <cfRule type="expression" dxfId="11326" priority="10013">
      <formula>$C23="Advance"</formula>
    </cfRule>
  </conditionalFormatting>
  <conditionalFormatting sqref="B23">
    <cfRule type="expression" dxfId="11325" priority="9994">
      <formula>$C23="Delivery charge"</formula>
    </cfRule>
    <cfRule type="expression" dxfId="11324" priority="9995">
      <formula>$C23="Staff Salary"</formula>
    </cfRule>
    <cfRule type="expression" dxfId="11323" priority="9996">
      <formula>$C23="Rent"</formula>
    </cfRule>
    <cfRule type="expression" dxfId="11322" priority="9997">
      <formula>$C23="Petrol"</formula>
    </cfRule>
    <cfRule type="expression" dxfId="11321" priority="9998">
      <formula>$C23="Bills"</formula>
    </cfRule>
    <cfRule type="expression" dxfId="11320" priority="9999">
      <formula>$C23="Sales"</formula>
    </cfRule>
    <cfRule type="expression" dxfId="11319" priority="10000">
      <formula>$C23="Expences"</formula>
    </cfRule>
    <cfRule type="expression" dxfId="11318" priority="10001">
      <formula>$C23="Garlic Purchase"</formula>
    </cfRule>
    <cfRule type="expression" dxfId="11317" priority="10002">
      <formula>$C23="Ginger Purchase"</formula>
    </cfRule>
  </conditionalFormatting>
  <conditionalFormatting sqref="B23">
    <cfRule type="expression" dxfId="11316" priority="10003">
      <formula>$C23="Advance"</formula>
    </cfRule>
  </conditionalFormatting>
  <conditionalFormatting sqref="B23">
    <cfRule type="expression" dxfId="11315" priority="9984">
      <formula>$C23="Delivery charge"</formula>
    </cfRule>
    <cfRule type="expression" dxfId="11314" priority="9985">
      <formula>$C23="Staff Salary"</formula>
    </cfRule>
    <cfRule type="expression" dxfId="11313" priority="9986">
      <formula>$C23="Rent"</formula>
    </cfRule>
    <cfRule type="expression" dxfId="11312" priority="9987">
      <formula>$C23="Petrol"</formula>
    </cfRule>
    <cfRule type="expression" dxfId="11311" priority="9988">
      <formula>$C23="Bills"</formula>
    </cfRule>
    <cfRule type="expression" dxfId="11310" priority="9989">
      <formula>$C23="Sales"</formula>
    </cfRule>
    <cfRule type="expression" dxfId="11309" priority="9990">
      <formula>$C23="Expences"</formula>
    </cfRule>
    <cfRule type="expression" dxfId="11308" priority="9991">
      <formula>$C23="Garlic Purchase"</formula>
    </cfRule>
    <cfRule type="expression" dxfId="11307" priority="9992">
      <formula>$C23="Ginger Purchase"</formula>
    </cfRule>
  </conditionalFormatting>
  <conditionalFormatting sqref="B23">
    <cfRule type="expression" dxfId="11306" priority="9993">
      <formula>$C23="Advance"</formula>
    </cfRule>
  </conditionalFormatting>
  <conditionalFormatting sqref="B23">
    <cfRule type="expression" dxfId="11305" priority="9974">
      <formula>$C23="Delivery charge"</formula>
    </cfRule>
    <cfRule type="expression" dxfId="11304" priority="9975">
      <formula>$C23="Staff Salary"</formula>
    </cfRule>
    <cfRule type="expression" dxfId="11303" priority="9976">
      <formula>$C23="Rent"</formula>
    </cfRule>
    <cfRule type="expression" dxfId="11302" priority="9977">
      <formula>$C23="Petrol"</formula>
    </cfRule>
    <cfRule type="expression" dxfId="11301" priority="9978">
      <formula>$C23="Bills"</formula>
    </cfRule>
    <cfRule type="expression" dxfId="11300" priority="9979">
      <formula>$C23="Sales"</formula>
    </cfRule>
    <cfRule type="expression" dxfId="11299" priority="9980">
      <formula>$C23="Expences"</formula>
    </cfRule>
    <cfRule type="expression" dxfId="11298" priority="9981">
      <formula>$C23="Garlic Purchase"</formula>
    </cfRule>
    <cfRule type="expression" dxfId="11297" priority="9982">
      <formula>$C23="Ginger Purchase"</formula>
    </cfRule>
  </conditionalFormatting>
  <conditionalFormatting sqref="B23">
    <cfRule type="expression" dxfId="11296" priority="9983">
      <formula>$C23="Advance"</formula>
    </cfRule>
  </conditionalFormatting>
  <conditionalFormatting sqref="B23">
    <cfRule type="expression" dxfId="11295" priority="9964">
      <formula>$C23="Delivery charge"</formula>
    </cfRule>
    <cfRule type="expression" dxfId="11294" priority="9965">
      <formula>$C23="Staff Salary"</formula>
    </cfRule>
    <cfRule type="expression" dxfId="11293" priority="9966">
      <formula>$C23="Rent"</formula>
    </cfRule>
    <cfRule type="expression" dxfId="11292" priority="9967">
      <formula>$C23="Petrol"</formula>
    </cfRule>
    <cfRule type="expression" dxfId="11291" priority="9968">
      <formula>$C23="Bills"</formula>
    </cfRule>
    <cfRule type="expression" dxfId="11290" priority="9969">
      <formula>$C23="Sales"</formula>
    </cfRule>
    <cfRule type="expression" dxfId="11289" priority="9970">
      <formula>$C23="Expences"</formula>
    </cfRule>
    <cfRule type="expression" dxfId="11288" priority="9971">
      <formula>$C23="Garlic Purchase"</formula>
    </cfRule>
    <cfRule type="expression" dxfId="11287" priority="9972">
      <formula>$C23="Ginger Purchase"</formula>
    </cfRule>
  </conditionalFormatting>
  <conditionalFormatting sqref="B23">
    <cfRule type="expression" dxfId="11286" priority="9973">
      <formula>$C23="Advance"</formula>
    </cfRule>
  </conditionalFormatting>
  <conditionalFormatting sqref="B23">
    <cfRule type="expression" dxfId="11285" priority="9954">
      <formula>$C23="Delivery charge"</formula>
    </cfRule>
    <cfRule type="expression" dxfId="11284" priority="9955">
      <formula>$C23="Staff Salary"</formula>
    </cfRule>
    <cfRule type="expression" dxfId="11283" priority="9956">
      <formula>$C23="Rent"</formula>
    </cfRule>
    <cfRule type="expression" dxfId="11282" priority="9957">
      <formula>$C23="Petrol"</formula>
    </cfRule>
    <cfRule type="expression" dxfId="11281" priority="9958">
      <formula>$C23="Bills"</formula>
    </cfRule>
    <cfRule type="expression" dxfId="11280" priority="9959">
      <formula>$C23="Sales"</formula>
    </cfRule>
    <cfRule type="expression" dxfId="11279" priority="9960">
      <formula>$C23="Expences"</formula>
    </cfRule>
    <cfRule type="expression" dxfId="11278" priority="9961">
      <formula>$C23="Garlic Purchase"</formula>
    </cfRule>
    <cfRule type="expression" dxfId="11277" priority="9962">
      <formula>$C23="Ginger Purchase"</formula>
    </cfRule>
  </conditionalFormatting>
  <conditionalFormatting sqref="B23">
    <cfRule type="expression" dxfId="11276" priority="9963">
      <formula>$C23="Advance"</formula>
    </cfRule>
  </conditionalFormatting>
  <conditionalFormatting sqref="B23">
    <cfRule type="expression" dxfId="11275" priority="9944">
      <formula>$C23="Delivery charge"</formula>
    </cfRule>
    <cfRule type="expression" dxfId="11274" priority="9945">
      <formula>$C23="Staff Salary"</formula>
    </cfRule>
    <cfRule type="expression" dxfId="11273" priority="9946">
      <formula>$C23="Rent"</formula>
    </cfRule>
    <cfRule type="expression" dxfId="11272" priority="9947">
      <formula>$C23="Petrol"</formula>
    </cfRule>
    <cfRule type="expression" dxfId="11271" priority="9948">
      <formula>$C23="Bills"</formula>
    </cfRule>
    <cfRule type="expression" dxfId="11270" priority="9949">
      <formula>$C23="Sales"</formula>
    </cfRule>
    <cfRule type="expression" dxfId="11269" priority="9950">
      <formula>$C23="Expences"</formula>
    </cfRule>
    <cfRule type="expression" dxfId="11268" priority="9951">
      <formula>$C23="Garlic Purchase"</formula>
    </cfRule>
    <cfRule type="expression" dxfId="11267" priority="9952">
      <formula>$C23="Ginger Purchase"</formula>
    </cfRule>
  </conditionalFormatting>
  <conditionalFormatting sqref="B23">
    <cfRule type="expression" dxfId="11266" priority="9953">
      <formula>$C23="Advance"</formula>
    </cfRule>
  </conditionalFormatting>
  <conditionalFormatting sqref="B26 B28:B30 B32 B34 B36 B38 B40:B45 B47:B49 B51:B65 B67 B69:B73 B75:B239">
    <cfRule type="expression" dxfId="11265" priority="9943">
      <formula>$C26="Advance"</formula>
    </cfRule>
  </conditionalFormatting>
  <conditionalFormatting sqref="B26 B28:B30 B32 B34 B36 B38 B40:B45 B47:B49 B51:B65 B67 B69:B73 B75:B239">
    <cfRule type="expression" dxfId="2632" priority="9934">
      <formula>$C26="Delivery charge"</formula>
    </cfRule>
    <cfRule type="expression" dxfId="2631" priority="9935">
      <formula>$C26="Staff Salary"</formula>
    </cfRule>
    <cfRule type="expression" dxfId="2630" priority="9936">
      <formula>$C26="Rent"</formula>
    </cfRule>
    <cfRule type="expression" dxfId="2629" priority="9937">
      <formula>$C26="Petrol"</formula>
    </cfRule>
    <cfRule type="expression" dxfId="2628" priority="9938">
      <formula>$C26="Bills"</formula>
    </cfRule>
    <cfRule type="expression" dxfId="2627" priority="9939">
      <formula>$C26="Sales"</formula>
    </cfRule>
    <cfRule type="expression" dxfId="2626" priority="9940">
      <formula>$C26="Expences"</formula>
    </cfRule>
    <cfRule type="expression" dxfId="2625" priority="9941">
      <formula>$C26="Garlic Purchase"</formula>
    </cfRule>
    <cfRule type="expression" dxfId="2624" priority="9942">
      <formula>$C26="Ginger Purchase"</formula>
    </cfRule>
  </conditionalFormatting>
  <conditionalFormatting sqref="B26 B28:B30 B32 B34 B36 B38 B40:B45 B47:B49 B51:B65 B67 B69:B73 B75:B239">
    <cfRule type="expression" dxfId="11264" priority="9924">
      <formula>$C26="Delivery charge"</formula>
    </cfRule>
    <cfRule type="expression" dxfId="11263" priority="9925">
      <formula>$C26="Staff Salary"</formula>
    </cfRule>
    <cfRule type="expression" dxfId="11262" priority="9926">
      <formula>$C26="Rent"</formula>
    </cfRule>
    <cfRule type="expression" dxfId="11261" priority="9927">
      <formula>$C26="Petrol"</formula>
    </cfRule>
    <cfRule type="expression" dxfId="11260" priority="9928">
      <formula>$C26="Bills"</formula>
    </cfRule>
    <cfRule type="expression" dxfId="11259" priority="9929">
      <formula>$C26="Sales"</formula>
    </cfRule>
    <cfRule type="expression" dxfId="11258" priority="9930">
      <formula>$C26="Expences"</formula>
    </cfRule>
    <cfRule type="expression" dxfId="11257" priority="9931">
      <formula>$C26="Garlic Purchase"</formula>
    </cfRule>
    <cfRule type="expression" dxfId="11256" priority="9932">
      <formula>$C26="Ginger Purchase"</formula>
    </cfRule>
  </conditionalFormatting>
  <conditionalFormatting sqref="B26 B28:B30 B32 B34 B36 B38 B40:B45 B47:B49 B51:B65 B67 B69:B73 B75:B239">
    <cfRule type="expression" dxfId="2623" priority="9933">
      <formula>$C26="Advance"</formula>
    </cfRule>
  </conditionalFormatting>
  <conditionalFormatting sqref="B26 B28:B30 B32 B34 B36 B38 B40:B45 B47:B49 B51:B65 B67 B69:B73 B75:B239">
    <cfRule type="expression" dxfId="2622" priority="9914">
      <formula>$C26="Delivery charge"</formula>
    </cfRule>
    <cfRule type="expression" dxfId="2621" priority="9915">
      <formula>$C26="Staff Salary"</formula>
    </cfRule>
    <cfRule type="expression" dxfId="2620" priority="9916">
      <formula>$C26="Rent"</formula>
    </cfRule>
    <cfRule type="expression" dxfId="2619" priority="9917">
      <formula>$C26="Petrol"</formula>
    </cfRule>
    <cfRule type="expression" dxfId="2618" priority="9918">
      <formula>$C26="Bills"</formula>
    </cfRule>
    <cfRule type="expression" dxfId="2617" priority="9919">
      <formula>$C26="Sales"</formula>
    </cfRule>
    <cfRule type="expression" dxfId="2616" priority="9920">
      <formula>$C26="Expences"</formula>
    </cfRule>
    <cfRule type="expression" dxfId="2615" priority="9921">
      <formula>$C26="Garlic Purchase"</formula>
    </cfRule>
    <cfRule type="expression" dxfId="2614" priority="9922">
      <formula>$C26="Ginger Purchase"</formula>
    </cfRule>
  </conditionalFormatting>
  <conditionalFormatting sqref="B26 B28:B30 B32 B34 B36 B38 B40:B45 B47:B49 B51:B65 B67 B69:B73 B75:B239">
    <cfRule type="expression" dxfId="2613" priority="9923">
      <formula>$C26="Advance"</formula>
    </cfRule>
  </conditionalFormatting>
  <conditionalFormatting sqref="B26 B28:B30 B32 B34 B36 B38 B40:B45 B47:B49 B51:B65 B67 B69:B73 B75:B239">
    <cfRule type="expression" dxfId="2612" priority="9904">
      <formula>$C26="Delivery charge"</formula>
    </cfRule>
    <cfRule type="expression" dxfId="2611" priority="9905">
      <formula>$C26="Staff Salary"</formula>
    </cfRule>
    <cfRule type="expression" dxfId="2610" priority="9906">
      <formula>$C26="Rent"</formula>
    </cfRule>
    <cfRule type="expression" dxfId="2609" priority="9907">
      <formula>$C26="Petrol"</formula>
    </cfRule>
    <cfRule type="expression" dxfId="2608" priority="9908">
      <formula>$C26="Bills"</formula>
    </cfRule>
    <cfRule type="expression" dxfId="2607" priority="9909">
      <formula>$C26="Sales"</formula>
    </cfRule>
    <cfRule type="expression" dxfId="2606" priority="9910">
      <formula>$C26="Expences"</formula>
    </cfRule>
    <cfRule type="expression" dxfId="2605" priority="9911">
      <formula>$C26="Garlic Purchase"</formula>
    </cfRule>
    <cfRule type="expression" dxfId="2604" priority="9912">
      <formula>$C26="Ginger Purchase"</formula>
    </cfRule>
  </conditionalFormatting>
  <conditionalFormatting sqref="B26 B28:B30 B32 B34 B36 B38 B40:B45 B47:B49 B51:B65 B67 B69:B73 B75:B239">
    <cfRule type="expression" dxfId="2603" priority="9913">
      <formula>$C26="Advance"</formula>
    </cfRule>
  </conditionalFormatting>
  <conditionalFormatting sqref="B26 B28:B30 B32 B34 B36 B38 B40:B45 B47:B49 B51:B65 B67 B69:B73 B75:B239">
    <cfRule type="expression" dxfId="2602" priority="9894">
      <formula>$C26="Delivery charge"</formula>
    </cfRule>
    <cfRule type="expression" dxfId="2601" priority="9895">
      <formula>$C26="Staff Salary"</formula>
    </cfRule>
    <cfRule type="expression" dxfId="2600" priority="9896">
      <formula>$C26="Rent"</formula>
    </cfRule>
    <cfRule type="expression" dxfId="2599" priority="9897">
      <formula>$C26="Petrol"</formula>
    </cfRule>
    <cfRule type="expression" dxfId="2598" priority="9898">
      <formula>$C26="Bills"</formula>
    </cfRule>
    <cfRule type="expression" dxfId="2597" priority="9899">
      <formula>$C26="Sales"</formula>
    </cfRule>
    <cfRule type="expression" dxfId="2596" priority="9900">
      <formula>$C26="Expences"</formula>
    </cfRule>
    <cfRule type="expression" dxfId="2595" priority="9901">
      <formula>$C26="Garlic Purchase"</formula>
    </cfRule>
    <cfRule type="expression" dxfId="2594" priority="9902">
      <formula>$C26="Ginger Purchase"</formula>
    </cfRule>
  </conditionalFormatting>
  <conditionalFormatting sqref="B26 B28:B30 B32 B34 B36 B38 B40:B45 B47:B49 B51:B65 B67 B69:B73 B75:B239">
    <cfRule type="expression" dxfId="2593" priority="9903">
      <formula>$C26="Advance"</formula>
    </cfRule>
  </conditionalFormatting>
  <conditionalFormatting sqref="B26 B28:B30 B32 B34 B36 B38 B40:B45 B47:B49 B51:B65 B67 B69:B73 B75:B239">
    <cfRule type="expression" dxfId="2592" priority="9884">
      <formula>$C26="Delivery charge"</formula>
    </cfRule>
    <cfRule type="expression" dxfId="2591" priority="9885">
      <formula>$C26="Staff Salary"</formula>
    </cfRule>
    <cfRule type="expression" dxfId="2590" priority="9886">
      <formula>$C26="Rent"</formula>
    </cfRule>
    <cfRule type="expression" dxfId="2589" priority="9887">
      <formula>$C26="Petrol"</formula>
    </cfRule>
    <cfRule type="expression" dxfId="2588" priority="9888">
      <formula>$C26="Bills"</formula>
    </cfRule>
    <cfRule type="expression" dxfId="2587" priority="9889">
      <formula>$C26="Sales"</formula>
    </cfRule>
    <cfRule type="expression" dxfId="2586" priority="9890">
      <formula>$C26="Expences"</formula>
    </cfRule>
    <cfRule type="expression" dxfId="2585" priority="9891">
      <formula>$C26="Garlic Purchase"</formula>
    </cfRule>
    <cfRule type="expression" dxfId="2584" priority="9892">
      <formula>$C26="Ginger Purchase"</formula>
    </cfRule>
  </conditionalFormatting>
  <conditionalFormatting sqref="B26 B28:B30 B32 B34 B36 B38 B40:B45 B47:B49 B51:B65 B67 B69:B73 B75:B239">
    <cfRule type="expression" dxfId="2583" priority="9893">
      <formula>$C26="Advance"</formula>
    </cfRule>
  </conditionalFormatting>
  <conditionalFormatting sqref="B26 B28:B30 B32 B34 B36 B38 B40:B45 B47:B49 B51:B65 B67 B69:B73 B75:B239">
    <cfRule type="expression" dxfId="2582" priority="9874">
      <formula>$C26="Delivery charge"</formula>
    </cfRule>
    <cfRule type="expression" dxfId="2581" priority="9875">
      <formula>$C26="Staff Salary"</formula>
    </cfRule>
    <cfRule type="expression" dxfId="2580" priority="9876">
      <formula>$C26="Rent"</formula>
    </cfRule>
    <cfRule type="expression" dxfId="2579" priority="9877">
      <formula>$C26="Petrol"</formula>
    </cfRule>
    <cfRule type="expression" dxfId="2578" priority="9878">
      <formula>$C26="Bills"</formula>
    </cfRule>
    <cfRule type="expression" dxfId="2577" priority="9879">
      <formula>$C26="Sales"</formula>
    </cfRule>
    <cfRule type="expression" dxfId="2576" priority="9880">
      <formula>$C26="Expences"</formula>
    </cfRule>
    <cfRule type="expression" dxfId="2575" priority="9881">
      <formula>$C26="Garlic Purchase"</formula>
    </cfRule>
    <cfRule type="expression" dxfId="2574" priority="9882">
      <formula>$C26="Ginger Purchase"</formula>
    </cfRule>
  </conditionalFormatting>
  <conditionalFormatting sqref="B26 B28:B30 B32 B34 B36 B38 B40:B45 B47:B49 B51:B65 B67 B69:B73 B75:B239">
    <cfRule type="expression" dxfId="2573" priority="9883">
      <formula>$C26="Advance"</formula>
    </cfRule>
  </conditionalFormatting>
  <conditionalFormatting sqref="B26 B28:B30 B32 B34 B36 B38 B40:B45 B47:B49 B51:B65 B67 B69:B73 B75:B239">
    <cfRule type="expression" dxfId="2572" priority="9864">
      <formula>$C26="Delivery charge"</formula>
    </cfRule>
    <cfRule type="expression" dxfId="2571" priority="9865">
      <formula>$C26="Staff Salary"</formula>
    </cfRule>
    <cfRule type="expression" dxfId="2570" priority="9866">
      <formula>$C26="Rent"</formula>
    </cfRule>
    <cfRule type="expression" dxfId="2569" priority="9867">
      <formula>$C26="Petrol"</formula>
    </cfRule>
    <cfRule type="expression" dxfId="2568" priority="9868">
      <formula>$C26="Bills"</formula>
    </cfRule>
    <cfRule type="expression" dxfId="2567" priority="9869">
      <formula>$C26="Sales"</formula>
    </cfRule>
    <cfRule type="expression" dxfId="2566" priority="9870">
      <formula>$C26="Expences"</formula>
    </cfRule>
    <cfRule type="expression" dxfId="2565" priority="9871">
      <formula>$C26="Garlic Purchase"</formula>
    </cfRule>
    <cfRule type="expression" dxfId="2564" priority="9872">
      <formula>$C26="Ginger Purchase"</formula>
    </cfRule>
  </conditionalFormatting>
  <conditionalFormatting sqref="B26 B28:B30 B32 B34 B36 B38 B40:B45 B47:B49 B51:B65 B67 B69:B73 B75:B239">
    <cfRule type="expression" dxfId="2563" priority="9873">
      <formula>$C26="Advance"</formula>
    </cfRule>
  </conditionalFormatting>
  <conditionalFormatting sqref="B26 B28:B30 B32 B34 B36 B38 B40:B45 B47:B49 B51:B65 B67 B69:B73 B75:B239">
    <cfRule type="expression" dxfId="2562" priority="9854">
      <formula>$C26="Delivery charge"</formula>
    </cfRule>
    <cfRule type="expression" dxfId="2561" priority="9855">
      <formula>$C26="Staff Salary"</formula>
    </cfRule>
    <cfRule type="expression" dxfId="2560" priority="9856">
      <formula>$C26="Rent"</formula>
    </cfRule>
    <cfRule type="expression" dxfId="2559" priority="9857">
      <formula>$C26="Petrol"</formula>
    </cfRule>
    <cfRule type="expression" dxfId="2558" priority="9858">
      <formula>$C26="Bills"</formula>
    </cfRule>
    <cfRule type="expression" dxfId="2557" priority="9859">
      <formula>$C26="Sales"</formula>
    </cfRule>
    <cfRule type="expression" dxfId="2556" priority="9860">
      <formula>$C26="Expences"</formula>
    </cfRule>
    <cfRule type="expression" dxfId="2555" priority="9861">
      <formula>$C26="Garlic Purchase"</formula>
    </cfRule>
    <cfRule type="expression" dxfId="2554" priority="9862">
      <formula>$C26="Ginger Purchase"</formula>
    </cfRule>
  </conditionalFormatting>
  <conditionalFormatting sqref="B26 B28:B30 B32 B34 B36 B38 B40:B45 B47:B49 B51:B65 B67 B69:B73 B75:B239">
    <cfRule type="expression" dxfId="2553" priority="9863">
      <formula>$C26="Advance"</formula>
    </cfRule>
  </conditionalFormatting>
  <conditionalFormatting sqref="B26 B28:B30 B32 B34 B36 B38 B40:B45 B47:B49 B51:B65 B67 B69:B73 B75:B239">
    <cfRule type="expression" dxfId="2552" priority="9844">
      <formula>$C26="Delivery charge"</formula>
    </cfRule>
    <cfRule type="expression" dxfId="2551" priority="9845">
      <formula>$C26="Staff Salary"</formula>
    </cfRule>
    <cfRule type="expression" dxfId="2550" priority="9846">
      <formula>$C26="Rent"</formula>
    </cfRule>
    <cfRule type="expression" dxfId="2549" priority="9847">
      <formula>$C26="Petrol"</formula>
    </cfRule>
    <cfRule type="expression" dxfId="2548" priority="9848">
      <formula>$C26="Bills"</formula>
    </cfRule>
    <cfRule type="expression" dxfId="2547" priority="9849">
      <formula>$C26="Sales"</formula>
    </cfRule>
    <cfRule type="expression" dxfId="2546" priority="9850">
      <formula>$C26="Expences"</formula>
    </cfRule>
    <cfRule type="expression" dxfId="2545" priority="9851">
      <formula>$C26="Garlic Purchase"</formula>
    </cfRule>
    <cfRule type="expression" dxfId="2544" priority="9852">
      <formula>$C26="Ginger Purchase"</formula>
    </cfRule>
  </conditionalFormatting>
  <conditionalFormatting sqref="B26 B28:B30 B32 B34 B36 B38 B40:B45 B47:B49 B51:B65 B67 B69:B73 B75:B239">
    <cfRule type="expression" dxfId="2543" priority="9853">
      <formula>$C26="Advance"</formula>
    </cfRule>
  </conditionalFormatting>
  <conditionalFormatting sqref="B26 B28:B30 B32 B34 B36 B38 B40:B45 B47:B49 B51:B65 B67 B69:B73 B75:B239">
    <cfRule type="expression" dxfId="2542" priority="9834">
      <formula>$C26="Delivery charge"</formula>
    </cfRule>
    <cfRule type="expression" dxfId="2541" priority="9835">
      <formula>$C26="Staff Salary"</formula>
    </cfRule>
    <cfRule type="expression" dxfId="2540" priority="9836">
      <formula>$C26="Rent"</formula>
    </cfRule>
    <cfRule type="expression" dxfId="2539" priority="9837">
      <formula>$C26="Petrol"</formula>
    </cfRule>
    <cfRule type="expression" dxfId="2538" priority="9838">
      <formula>$C26="Bills"</formula>
    </cfRule>
    <cfRule type="expression" dxfId="2537" priority="9839">
      <formula>$C26="Sales"</formula>
    </cfRule>
    <cfRule type="expression" dxfId="2536" priority="9840">
      <formula>$C26="Expences"</formula>
    </cfRule>
    <cfRule type="expression" dxfId="2535" priority="9841">
      <formula>$C26="Garlic Purchase"</formula>
    </cfRule>
    <cfRule type="expression" dxfId="2534" priority="9842">
      <formula>$C26="Ginger Purchase"</formula>
    </cfRule>
  </conditionalFormatting>
  <conditionalFormatting sqref="B26 B28:B30 B32 B34 B36 B38 B40:B45 B47:B49 B51:B65 B67 B69:B73 B75:B239">
    <cfRule type="expression" dxfId="2533" priority="9843">
      <formula>$C26="Advance"</formula>
    </cfRule>
  </conditionalFormatting>
  <conditionalFormatting sqref="B26 B28:B30 B32 B34 B36 B38 B40:B45 B47:B49 B51:B65 B67 B69:B73 B75:B239">
    <cfRule type="expression" dxfId="2532" priority="9824">
      <formula>$C26="Delivery charge"</formula>
    </cfRule>
    <cfRule type="expression" dxfId="2531" priority="9825">
      <formula>$C26="Staff Salary"</formula>
    </cfRule>
    <cfRule type="expression" dxfId="2530" priority="9826">
      <formula>$C26="Rent"</formula>
    </cfRule>
    <cfRule type="expression" dxfId="2529" priority="9827">
      <formula>$C26="Petrol"</formula>
    </cfRule>
    <cfRule type="expression" dxfId="2528" priority="9828">
      <formula>$C26="Bills"</formula>
    </cfRule>
    <cfRule type="expression" dxfId="2527" priority="9829">
      <formula>$C26="Sales"</formula>
    </cfRule>
    <cfRule type="expression" dxfId="2526" priority="9830">
      <formula>$C26="Expences"</formula>
    </cfRule>
    <cfRule type="expression" dxfId="2525" priority="9831">
      <formula>$C26="Garlic Purchase"</formula>
    </cfRule>
    <cfRule type="expression" dxfId="2524" priority="9832">
      <formula>$C26="Ginger Purchase"</formula>
    </cfRule>
  </conditionalFormatting>
  <conditionalFormatting sqref="B26 B28:B30 B32 B34 B36 B38 B40:B45 B47:B49 B51:B65 B67 B69:B73 B75:B239">
    <cfRule type="expression" dxfId="2523" priority="9833">
      <formula>$C26="Advance"</formula>
    </cfRule>
  </conditionalFormatting>
  <conditionalFormatting sqref="B26 B28:B30 B32 B34 B36 B38 B40:B45 B47:B49 B51:B65 B67 B69:B73 B75:B239">
    <cfRule type="expression" dxfId="2522" priority="9814">
      <formula>$C26="Delivery charge"</formula>
    </cfRule>
    <cfRule type="expression" dxfId="2521" priority="9815">
      <formula>$C26="Staff Salary"</formula>
    </cfRule>
    <cfRule type="expression" dxfId="2520" priority="9816">
      <formula>$C26="Rent"</formula>
    </cfRule>
    <cfRule type="expression" dxfId="2519" priority="9817">
      <formula>$C26="Petrol"</formula>
    </cfRule>
    <cfRule type="expression" dxfId="2518" priority="9818">
      <formula>$C26="Bills"</formula>
    </cfRule>
    <cfRule type="expression" dxfId="2517" priority="9819">
      <formula>$C26="Sales"</formula>
    </cfRule>
    <cfRule type="expression" dxfId="2516" priority="9820">
      <formula>$C26="Expences"</formula>
    </cfRule>
    <cfRule type="expression" dxfId="2515" priority="9821">
      <formula>$C26="Garlic Purchase"</formula>
    </cfRule>
    <cfRule type="expression" dxfId="2514" priority="9822">
      <formula>$C26="Ginger Purchase"</formula>
    </cfRule>
  </conditionalFormatting>
  <conditionalFormatting sqref="B26 B28:B30 B32 B34 B36 B38 B40:B45 B47:B49 B51:B65 B67 B69:B73 B75:B239">
    <cfRule type="expression" dxfId="2513" priority="9823">
      <formula>$C26="Advance"</formula>
    </cfRule>
  </conditionalFormatting>
  <conditionalFormatting sqref="B26 B28:B30 B32 B34 B36 B38 B40:B45 B47:B49 B51:B65 B67 B69:B73 B75:B239">
    <cfRule type="expression" dxfId="2512" priority="9804">
      <formula>$C26="Delivery charge"</formula>
    </cfRule>
    <cfRule type="expression" dxfId="2511" priority="9805">
      <formula>$C26="Staff Salary"</formula>
    </cfRule>
    <cfRule type="expression" dxfId="2510" priority="9806">
      <formula>$C26="Rent"</formula>
    </cfRule>
    <cfRule type="expression" dxfId="2509" priority="9807">
      <formula>$C26="Petrol"</formula>
    </cfRule>
    <cfRule type="expression" dxfId="2508" priority="9808">
      <formula>$C26="Bills"</formula>
    </cfRule>
    <cfRule type="expression" dxfId="2507" priority="9809">
      <formula>$C26="Sales"</formula>
    </cfRule>
    <cfRule type="expression" dxfId="2506" priority="9810">
      <formula>$C26="Expences"</formula>
    </cfRule>
    <cfRule type="expression" dxfId="2505" priority="9811">
      <formula>$C26="Garlic Purchase"</formula>
    </cfRule>
    <cfRule type="expression" dxfId="2504" priority="9812">
      <formula>$C26="Ginger Purchase"</formula>
    </cfRule>
  </conditionalFormatting>
  <conditionalFormatting sqref="B26 B28:B30 B32 B34 B36 B38 B40:B45 B47:B49 B51:B65 B67 B69:B73 B75:B239">
    <cfRule type="expression" dxfId="2503" priority="9813">
      <formula>$C26="Advance"</formula>
    </cfRule>
  </conditionalFormatting>
  <conditionalFormatting sqref="B26 B28:B30 B32 B34 B36 B38 B40:B45 B47:B49 B51:B65 B67 B69:B73 B75:B239">
    <cfRule type="expression" dxfId="2502" priority="9794">
      <formula>$C26="Delivery charge"</formula>
    </cfRule>
    <cfRule type="expression" dxfId="2501" priority="9795">
      <formula>$C26="Staff Salary"</formula>
    </cfRule>
    <cfRule type="expression" dxfId="2500" priority="9796">
      <formula>$C26="Rent"</formula>
    </cfRule>
    <cfRule type="expression" dxfId="2499" priority="9797">
      <formula>$C26="Petrol"</formula>
    </cfRule>
    <cfRule type="expression" dxfId="2498" priority="9798">
      <formula>$C26="Bills"</formula>
    </cfRule>
    <cfRule type="expression" dxfId="2497" priority="9799">
      <formula>$C26="Sales"</formula>
    </cfRule>
    <cfRule type="expression" dxfId="2496" priority="9800">
      <formula>$C26="Expences"</formula>
    </cfRule>
    <cfRule type="expression" dxfId="2495" priority="9801">
      <formula>$C26="Garlic Purchase"</formula>
    </cfRule>
    <cfRule type="expression" dxfId="2494" priority="9802">
      <formula>$C26="Ginger Purchase"</formula>
    </cfRule>
  </conditionalFormatting>
  <conditionalFormatting sqref="B26 B28:B30 B32 B34 B36 B38 B40:B45 B47:B49 B51:B65 B67 B69:B73 B75:B239">
    <cfRule type="expression" dxfId="2493" priority="9803">
      <formula>$C26="Advance"</formula>
    </cfRule>
  </conditionalFormatting>
  <conditionalFormatting sqref="B26 B28:B30 B32 B34 B36 B38 B40:B45 B47:B49 B51:B65 B67 B69:B73 B75:B239">
    <cfRule type="expression" dxfId="2492" priority="9784">
      <formula>$C26="Delivery charge"</formula>
    </cfRule>
    <cfRule type="expression" dxfId="2491" priority="9785">
      <formula>$C26="Staff Salary"</formula>
    </cfRule>
    <cfRule type="expression" dxfId="2490" priority="9786">
      <formula>$C26="Rent"</formula>
    </cfRule>
    <cfRule type="expression" dxfId="2489" priority="9787">
      <formula>$C26="Petrol"</formula>
    </cfRule>
    <cfRule type="expression" dxfId="2488" priority="9788">
      <formula>$C26="Bills"</formula>
    </cfRule>
    <cfRule type="expression" dxfId="2487" priority="9789">
      <formula>$C26="Sales"</formula>
    </cfRule>
    <cfRule type="expression" dxfId="2486" priority="9790">
      <formula>$C26="Expences"</formula>
    </cfRule>
    <cfRule type="expression" dxfId="2485" priority="9791">
      <formula>$C26="Garlic Purchase"</formula>
    </cfRule>
    <cfRule type="expression" dxfId="2484" priority="9792">
      <formula>$C26="Ginger Purchase"</formula>
    </cfRule>
  </conditionalFormatting>
  <conditionalFormatting sqref="B26 B28:B30 B32 B34 B36 B38 B40:B45 B47:B49 B51:B65 B67 B69:B73 B75:B239">
    <cfRule type="expression" dxfId="2483" priority="9793">
      <formula>$C26="Advance"</formula>
    </cfRule>
  </conditionalFormatting>
  <conditionalFormatting sqref="B26 B28:B30 B32 B34 B36 B38 B40:B45 B47:B49 B51:B65 B67 B69:B73 B75:B239">
    <cfRule type="expression" dxfId="2482" priority="9774">
      <formula>$C26="Delivery charge"</formula>
    </cfRule>
    <cfRule type="expression" dxfId="2481" priority="9775">
      <formula>$C26="Staff Salary"</formula>
    </cfRule>
    <cfRule type="expression" dxfId="2480" priority="9776">
      <formula>$C26="Rent"</formula>
    </cfRule>
    <cfRule type="expression" dxfId="2479" priority="9777">
      <formula>$C26="Petrol"</formula>
    </cfRule>
    <cfRule type="expression" dxfId="2478" priority="9778">
      <formula>$C26="Bills"</formula>
    </cfRule>
    <cfRule type="expression" dxfId="2477" priority="9779">
      <formula>$C26="Sales"</formula>
    </cfRule>
    <cfRule type="expression" dxfId="2476" priority="9780">
      <formula>$C26="Expences"</formula>
    </cfRule>
    <cfRule type="expression" dxfId="2475" priority="9781">
      <formula>$C26="Garlic Purchase"</formula>
    </cfRule>
    <cfRule type="expression" dxfId="2474" priority="9782">
      <formula>$C26="Ginger Purchase"</formula>
    </cfRule>
  </conditionalFormatting>
  <conditionalFormatting sqref="B26 B28:B30 B32 B34 B36 B38 B40:B45 B47:B49 B51:B65 B67 B69:B73 B75:B239">
    <cfRule type="expression" dxfId="2473" priority="9783">
      <formula>$C26="Advance"</formula>
    </cfRule>
  </conditionalFormatting>
  <conditionalFormatting sqref="B26 B28:B30 B32 B34 B36 B38 B40:B45 B47:B49 B51:B65 B67 B69:B73 B75:B239">
    <cfRule type="expression" dxfId="2472" priority="9764">
      <formula>$C26="Delivery charge"</formula>
    </cfRule>
    <cfRule type="expression" dxfId="2471" priority="9765">
      <formula>$C26="Staff Salary"</formula>
    </cfRule>
    <cfRule type="expression" dxfId="2470" priority="9766">
      <formula>$C26="Rent"</formula>
    </cfRule>
    <cfRule type="expression" dxfId="2469" priority="9767">
      <formula>$C26="Petrol"</formula>
    </cfRule>
    <cfRule type="expression" dxfId="2468" priority="9768">
      <formula>$C26="Bills"</formula>
    </cfRule>
    <cfRule type="expression" dxfId="2467" priority="9769">
      <formula>$C26="Sales"</formula>
    </cfRule>
    <cfRule type="expression" dxfId="2466" priority="9770">
      <formula>$C26="Expences"</formula>
    </cfRule>
    <cfRule type="expression" dxfId="2465" priority="9771">
      <formula>$C26="Garlic Purchase"</formula>
    </cfRule>
    <cfRule type="expression" dxfId="2464" priority="9772">
      <formula>$C26="Ginger Purchase"</formula>
    </cfRule>
  </conditionalFormatting>
  <conditionalFormatting sqref="B26 B28:B30 B32 B34 B36 B38 B40:B45 B47:B49 B51:B65 B67 B69:B73 B75:B239">
    <cfRule type="expression" dxfId="2463" priority="9773">
      <formula>$C26="Advance"</formula>
    </cfRule>
  </conditionalFormatting>
  <conditionalFormatting sqref="B26 B28:B30 B32 B34 B36 B38 B40:B45 B47:B49 B51:B65 B67 B69:B73 B75:B239">
    <cfRule type="expression" dxfId="2462" priority="9754">
      <formula>$C26="Delivery charge"</formula>
    </cfRule>
    <cfRule type="expression" dxfId="2461" priority="9755">
      <formula>$C26="Staff Salary"</formula>
    </cfRule>
    <cfRule type="expression" dxfId="2460" priority="9756">
      <formula>$C26="Rent"</formula>
    </cfRule>
    <cfRule type="expression" dxfId="2459" priority="9757">
      <formula>$C26="Petrol"</formula>
    </cfRule>
    <cfRule type="expression" dxfId="2458" priority="9758">
      <formula>$C26="Bills"</formula>
    </cfRule>
    <cfRule type="expression" dxfId="2457" priority="9759">
      <formula>$C26="Sales"</formula>
    </cfRule>
    <cfRule type="expression" dxfId="2456" priority="9760">
      <formula>$C26="Expences"</formula>
    </cfRule>
    <cfRule type="expression" dxfId="2455" priority="9761">
      <formula>$C26="Garlic Purchase"</formula>
    </cfRule>
    <cfRule type="expression" dxfId="2454" priority="9762">
      <formula>$C26="Ginger Purchase"</formula>
    </cfRule>
  </conditionalFormatting>
  <conditionalFormatting sqref="B26 B28:B30 B32 B34 B36 B38 B40:B45 B47:B49 B51:B65 B67 B69:B73 B75:B239">
    <cfRule type="expression" dxfId="2453" priority="9763">
      <formula>$C26="Advance"</formula>
    </cfRule>
  </conditionalFormatting>
  <conditionalFormatting sqref="B26 B28:B30 B32 B34 B36 B38 B40:B45 B47:B49 B51:B65 B67 B69:B73 B75:B239">
    <cfRule type="expression" dxfId="2452" priority="9744">
      <formula>$C26="Delivery charge"</formula>
    </cfRule>
    <cfRule type="expression" dxfId="2451" priority="9745">
      <formula>$C26="Staff Salary"</formula>
    </cfRule>
    <cfRule type="expression" dxfId="2450" priority="9746">
      <formula>$C26="Rent"</formula>
    </cfRule>
    <cfRule type="expression" dxfId="2449" priority="9747">
      <formula>$C26="Petrol"</formula>
    </cfRule>
    <cfRule type="expression" dxfId="2448" priority="9748">
      <formula>$C26="Bills"</formula>
    </cfRule>
    <cfRule type="expression" dxfId="2447" priority="9749">
      <formula>$C26="Sales"</formula>
    </cfRule>
    <cfRule type="expression" dxfId="2446" priority="9750">
      <formula>$C26="Expences"</formula>
    </cfRule>
    <cfRule type="expression" dxfId="2445" priority="9751">
      <formula>$C26="Garlic Purchase"</formula>
    </cfRule>
    <cfRule type="expression" dxfId="2444" priority="9752">
      <formula>$C26="Ginger Purchase"</formula>
    </cfRule>
  </conditionalFormatting>
  <conditionalFormatting sqref="B26 B28:B30 B32 B34 B36 B38 B40:B45 B47:B49 B51:B65 B67 B69:B73 B75:B239">
    <cfRule type="expression" dxfId="2443" priority="9753">
      <formula>$C26="Advance"</formula>
    </cfRule>
  </conditionalFormatting>
  <conditionalFormatting sqref="B24 B27 B30 B32 B34 B36 B38">
    <cfRule type="expression" dxfId="11255" priority="9743">
      <formula>$C24="Advance"</formula>
    </cfRule>
  </conditionalFormatting>
  <conditionalFormatting sqref="B24 B27 B30 B32 B34 B36 B38">
    <cfRule type="expression" dxfId="11254" priority="9734">
      <formula>$C24="Delivery charge"</formula>
    </cfRule>
    <cfRule type="expression" dxfId="11253" priority="9735">
      <formula>$C24="Staff Salary"</formula>
    </cfRule>
    <cfRule type="expression" dxfId="11252" priority="9736">
      <formula>$C24="Rent"</formula>
    </cfRule>
    <cfRule type="expression" dxfId="11251" priority="9737">
      <formula>$C24="Petrol"</formula>
    </cfRule>
    <cfRule type="expression" dxfId="11250" priority="9738">
      <formula>$C24="Bills"</formula>
    </cfRule>
    <cfRule type="expression" dxfId="11249" priority="9739">
      <formula>$C24="Sales"</formula>
    </cfRule>
    <cfRule type="expression" dxfId="11248" priority="9740">
      <formula>$C24="Expences"</formula>
    </cfRule>
    <cfRule type="expression" dxfId="11247" priority="9741">
      <formula>$C24="Garlic Purchase"</formula>
    </cfRule>
    <cfRule type="expression" dxfId="11246" priority="9742">
      <formula>$C24="Ginger Purchase"</formula>
    </cfRule>
  </conditionalFormatting>
  <conditionalFormatting sqref="B25 B27:B29 B31 B33 B35 B37">
    <cfRule type="expression" dxfId="11245" priority="9724">
      <formula>$C25="Delivery charge"</formula>
    </cfRule>
    <cfRule type="expression" dxfId="11244" priority="9725">
      <formula>$C25="Staff Salary"</formula>
    </cfRule>
    <cfRule type="expression" dxfId="11243" priority="9726">
      <formula>$C25="Rent"</formula>
    </cfRule>
    <cfRule type="expression" dxfId="11242" priority="9727">
      <formula>$C25="Petrol"</formula>
    </cfRule>
    <cfRule type="expression" dxfId="11241" priority="9728">
      <formula>$C25="Bills"</formula>
    </cfRule>
    <cfRule type="expression" dxfId="11240" priority="9729">
      <formula>$C25="Sales"</formula>
    </cfRule>
    <cfRule type="expression" dxfId="11239" priority="9730">
      <formula>$C25="Expences"</formula>
    </cfRule>
    <cfRule type="expression" dxfId="11238" priority="9731">
      <formula>$C25="Garlic Purchase"</formula>
    </cfRule>
    <cfRule type="expression" dxfId="11237" priority="9732">
      <formula>$C25="Ginger Purchase"</formula>
    </cfRule>
  </conditionalFormatting>
  <conditionalFormatting sqref="B25 B27:B29 B31 B33 B35 B37">
    <cfRule type="expression" dxfId="11236" priority="9733">
      <formula>$C25="Advance"</formula>
    </cfRule>
  </conditionalFormatting>
  <conditionalFormatting sqref="B25 B27:B29 B31 B33 B35 B37">
    <cfRule type="expression" dxfId="11235" priority="9714">
      <formula>$C25="Delivery charge"</formula>
    </cfRule>
    <cfRule type="expression" dxfId="11234" priority="9715">
      <formula>$C25="Staff Salary"</formula>
    </cfRule>
    <cfRule type="expression" dxfId="11233" priority="9716">
      <formula>$C25="Rent"</formula>
    </cfRule>
    <cfRule type="expression" dxfId="11232" priority="9717">
      <formula>$C25="Petrol"</formula>
    </cfRule>
    <cfRule type="expression" dxfId="11231" priority="9718">
      <formula>$C25="Bills"</formula>
    </cfRule>
    <cfRule type="expression" dxfId="11230" priority="9719">
      <formula>$C25="Sales"</formula>
    </cfRule>
    <cfRule type="expression" dxfId="11229" priority="9720">
      <formula>$C25="Expences"</formula>
    </cfRule>
    <cfRule type="expression" dxfId="11228" priority="9721">
      <formula>$C25="Garlic Purchase"</formula>
    </cfRule>
    <cfRule type="expression" dxfId="11227" priority="9722">
      <formula>$C25="Ginger Purchase"</formula>
    </cfRule>
  </conditionalFormatting>
  <conditionalFormatting sqref="B25 B27:B29 B31 B33 B35 B37">
    <cfRule type="expression" dxfId="11226" priority="9723">
      <formula>$C25="Advance"</formula>
    </cfRule>
  </conditionalFormatting>
  <conditionalFormatting sqref="B25 B27:B29 B31 B33 B35 B37">
    <cfRule type="expression" dxfId="11225" priority="9704">
      <formula>$C25="Delivery charge"</formula>
    </cfRule>
    <cfRule type="expression" dxfId="11224" priority="9705">
      <formula>$C25="Staff Salary"</formula>
    </cfRule>
    <cfRule type="expression" dxfId="11223" priority="9706">
      <formula>$C25="Rent"</formula>
    </cfRule>
    <cfRule type="expression" dxfId="11222" priority="9707">
      <formula>$C25="Petrol"</formula>
    </cfRule>
    <cfRule type="expression" dxfId="11221" priority="9708">
      <formula>$C25="Bills"</formula>
    </cfRule>
    <cfRule type="expression" dxfId="11220" priority="9709">
      <formula>$C25="Sales"</formula>
    </cfRule>
    <cfRule type="expression" dxfId="11219" priority="9710">
      <formula>$C25="Expences"</formula>
    </cfRule>
    <cfRule type="expression" dxfId="11218" priority="9711">
      <formula>$C25="Garlic Purchase"</formula>
    </cfRule>
    <cfRule type="expression" dxfId="11217" priority="9712">
      <formula>$C25="Ginger Purchase"</formula>
    </cfRule>
  </conditionalFormatting>
  <conditionalFormatting sqref="B25 B27:B29 B31 B33 B35 B37">
    <cfRule type="expression" dxfId="11216" priority="9713">
      <formula>$C25="Advance"</formula>
    </cfRule>
  </conditionalFormatting>
  <conditionalFormatting sqref="B25 B27:B29 B31 B33 B35 B37">
    <cfRule type="expression" dxfId="11215" priority="9694">
      <formula>$C25="Delivery charge"</formula>
    </cfRule>
    <cfRule type="expression" dxfId="11214" priority="9695">
      <formula>$C25="Staff Salary"</formula>
    </cfRule>
    <cfRule type="expression" dxfId="11213" priority="9696">
      <formula>$C25="Rent"</formula>
    </cfRule>
    <cfRule type="expression" dxfId="11212" priority="9697">
      <formula>$C25="Petrol"</formula>
    </cfRule>
    <cfRule type="expression" dxfId="11211" priority="9698">
      <formula>$C25="Bills"</formula>
    </cfRule>
    <cfRule type="expression" dxfId="11210" priority="9699">
      <formula>$C25="Sales"</formula>
    </cfRule>
    <cfRule type="expression" dxfId="11209" priority="9700">
      <formula>$C25="Expences"</formula>
    </cfRule>
    <cfRule type="expression" dxfId="11208" priority="9701">
      <formula>$C25="Garlic Purchase"</formula>
    </cfRule>
    <cfRule type="expression" dxfId="11207" priority="9702">
      <formula>$C25="Ginger Purchase"</formula>
    </cfRule>
  </conditionalFormatting>
  <conditionalFormatting sqref="B25 B27:B29 B31 B33 B35 B37">
    <cfRule type="expression" dxfId="11206" priority="9703">
      <formula>$C25="Advance"</formula>
    </cfRule>
  </conditionalFormatting>
  <conditionalFormatting sqref="B25 B27:B29 B31 B33 B35 B37">
    <cfRule type="expression" dxfId="11205" priority="9684">
      <formula>$C25="Delivery charge"</formula>
    </cfRule>
    <cfRule type="expression" dxfId="11204" priority="9685">
      <formula>$C25="Staff Salary"</formula>
    </cfRule>
    <cfRule type="expression" dxfId="11203" priority="9686">
      <formula>$C25="Rent"</formula>
    </cfRule>
    <cfRule type="expression" dxfId="11202" priority="9687">
      <formula>$C25="Petrol"</formula>
    </cfRule>
    <cfRule type="expression" dxfId="11201" priority="9688">
      <formula>$C25="Bills"</formula>
    </cfRule>
    <cfRule type="expression" dxfId="11200" priority="9689">
      <formula>$C25="Sales"</formula>
    </cfRule>
    <cfRule type="expression" dxfId="11199" priority="9690">
      <formula>$C25="Expences"</formula>
    </cfRule>
    <cfRule type="expression" dxfId="11198" priority="9691">
      <formula>$C25="Garlic Purchase"</formula>
    </cfRule>
    <cfRule type="expression" dxfId="11197" priority="9692">
      <formula>$C25="Ginger Purchase"</formula>
    </cfRule>
  </conditionalFormatting>
  <conditionalFormatting sqref="B25 B27:B29 B31 B33 B35 B37">
    <cfRule type="expression" dxfId="11196" priority="9693">
      <formula>$C25="Advance"</formula>
    </cfRule>
  </conditionalFormatting>
  <conditionalFormatting sqref="B25 B27:B29 B31 B33 B35 B37">
    <cfRule type="expression" dxfId="11195" priority="9674">
      <formula>$C25="Delivery charge"</formula>
    </cfRule>
    <cfRule type="expression" dxfId="11194" priority="9675">
      <formula>$C25="Staff Salary"</formula>
    </cfRule>
    <cfRule type="expression" dxfId="11193" priority="9676">
      <formula>$C25="Rent"</formula>
    </cfRule>
    <cfRule type="expression" dxfId="11192" priority="9677">
      <formula>$C25="Petrol"</formula>
    </cfRule>
    <cfRule type="expression" dxfId="11191" priority="9678">
      <formula>$C25="Bills"</formula>
    </cfRule>
    <cfRule type="expression" dxfId="11190" priority="9679">
      <formula>$C25="Sales"</formula>
    </cfRule>
    <cfRule type="expression" dxfId="11189" priority="9680">
      <formula>$C25="Expences"</formula>
    </cfRule>
    <cfRule type="expression" dxfId="11188" priority="9681">
      <formula>$C25="Garlic Purchase"</formula>
    </cfRule>
    <cfRule type="expression" dxfId="11187" priority="9682">
      <formula>$C25="Ginger Purchase"</formula>
    </cfRule>
  </conditionalFormatting>
  <conditionalFormatting sqref="B25 B27:B29 B31 B33 B35 B37">
    <cfRule type="expression" dxfId="11186" priority="9683">
      <formula>$C25="Advance"</formula>
    </cfRule>
  </conditionalFormatting>
  <conditionalFormatting sqref="B25 B27:B29 B31 B33 B35 B37">
    <cfRule type="expression" dxfId="11185" priority="9664">
      <formula>$C25="Delivery charge"</formula>
    </cfRule>
    <cfRule type="expression" dxfId="11184" priority="9665">
      <formula>$C25="Staff Salary"</formula>
    </cfRule>
    <cfRule type="expression" dxfId="11183" priority="9666">
      <formula>$C25="Rent"</formula>
    </cfRule>
    <cfRule type="expression" dxfId="11182" priority="9667">
      <formula>$C25="Petrol"</formula>
    </cfRule>
    <cfRule type="expression" dxfId="11181" priority="9668">
      <formula>$C25="Bills"</formula>
    </cfRule>
    <cfRule type="expression" dxfId="11180" priority="9669">
      <formula>$C25="Sales"</formula>
    </cfRule>
    <cfRule type="expression" dxfId="11179" priority="9670">
      <formula>$C25="Expences"</formula>
    </cfRule>
    <cfRule type="expression" dxfId="11178" priority="9671">
      <formula>$C25="Garlic Purchase"</formula>
    </cfRule>
    <cfRule type="expression" dxfId="11177" priority="9672">
      <formula>$C25="Ginger Purchase"</formula>
    </cfRule>
  </conditionalFormatting>
  <conditionalFormatting sqref="B25 B27:B29 B31 B33 B35 B37">
    <cfRule type="expression" dxfId="11176" priority="9673">
      <formula>$C25="Advance"</formula>
    </cfRule>
  </conditionalFormatting>
  <conditionalFormatting sqref="B25 B27:B29 B31 B33 B35 B37">
    <cfRule type="expression" dxfId="11175" priority="9654">
      <formula>$C25="Delivery charge"</formula>
    </cfRule>
    <cfRule type="expression" dxfId="11174" priority="9655">
      <formula>$C25="Staff Salary"</formula>
    </cfRule>
    <cfRule type="expression" dxfId="11173" priority="9656">
      <formula>$C25="Rent"</formula>
    </cfRule>
    <cfRule type="expression" dxfId="11172" priority="9657">
      <formula>$C25="Petrol"</formula>
    </cfRule>
    <cfRule type="expression" dxfId="11171" priority="9658">
      <formula>$C25="Bills"</formula>
    </cfRule>
    <cfRule type="expression" dxfId="11170" priority="9659">
      <formula>$C25="Sales"</formula>
    </cfRule>
    <cfRule type="expression" dxfId="11169" priority="9660">
      <formula>$C25="Expences"</formula>
    </cfRule>
    <cfRule type="expression" dxfId="11168" priority="9661">
      <formula>$C25="Garlic Purchase"</formula>
    </cfRule>
    <cfRule type="expression" dxfId="11167" priority="9662">
      <formula>$C25="Ginger Purchase"</formula>
    </cfRule>
  </conditionalFormatting>
  <conditionalFormatting sqref="B25 B27:B29 B31 B33 B35 B37">
    <cfRule type="expression" dxfId="11166" priority="9663">
      <formula>$C25="Advance"</formula>
    </cfRule>
  </conditionalFormatting>
  <conditionalFormatting sqref="B25 B27:B29 B31 B33 B35 B37">
    <cfRule type="expression" dxfId="11165" priority="9644">
      <formula>$C25="Delivery charge"</formula>
    </cfRule>
    <cfRule type="expression" dxfId="11164" priority="9645">
      <formula>$C25="Staff Salary"</formula>
    </cfRule>
    <cfRule type="expression" dxfId="11163" priority="9646">
      <formula>$C25="Rent"</formula>
    </cfRule>
    <cfRule type="expression" dxfId="11162" priority="9647">
      <formula>$C25="Petrol"</formula>
    </cfRule>
    <cfRule type="expression" dxfId="11161" priority="9648">
      <formula>$C25="Bills"</formula>
    </cfRule>
    <cfRule type="expression" dxfId="11160" priority="9649">
      <formula>$C25="Sales"</formula>
    </cfRule>
    <cfRule type="expression" dxfId="11159" priority="9650">
      <formula>$C25="Expences"</formula>
    </cfRule>
    <cfRule type="expression" dxfId="11158" priority="9651">
      <formula>$C25="Garlic Purchase"</formula>
    </cfRule>
    <cfRule type="expression" dxfId="11157" priority="9652">
      <formula>$C25="Ginger Purchase"</formula>
    </cfRule>
  </conditionalFormatting>
  <conditionalFormatting sqref="B25 B27:B29 B31 B33 B35 B37">
    <cfRule type="expression" dxfId="11156" priority="9653">
      <formula>$C25="Advance"</formula>
    </cfRule>
  </conditionalFormatting>
  <conditionalFormatting sqref="B25 B27:B29 B31 B33 B35 B37">
    <cfRule type="expression" dxfId="11155" priority="9634">
      <formula>$C25="Delivery charge"</formula>
    </cfRule>
    <cfRule type="expression" dxfId="11154" priority="9635">
      <formula>$C25="Staff Salary"</formula>
    </cfRule>
    <cfRule type="expression" dxfId="11153" priority="9636">
      <formula>$C25="Rent"</formula>
    </cfRule>
    <cfRule type="expression" dxfId="11152" priority="9637">
      <formula>$C25="Petrol"</formula>
    </cfRule>
    <cfRule type="expression" dxfId="11151" priority="9638">
      <formula>$C25="Bills"</formula>
    </cfRule>
    <cfRule type="expression" dxfId="11150" priority="9639">
      <formula>$C25="Sales"</formula>
    </cfRule>
    <cfRule type="expression" dxfId="11149" priority="9640">
      <formula>$C25="Expences"</formula>
    </cfRule>
    <cfRule type="expression" dxfId="11148" priority="9641">
      <formula>$C25="Garlic Purchase"</formula>
    </cfRule>
    <cfRule type="expression" dxfId="11147" priority="9642">
      <formula>$C25="Ginger Purchase"</formula>
    </cfRule>
  </conditionalFormatting>
  <conditionalFormatting sqref="B25 B27:B29 B31 B33 B35 B37">
    <cfRule type="expression" dxfId="11146" priority="9643">
      <formula>$C25="Advance"</formula>
    </cfRule>
  </conditionalFormatting>
  <conditionalFormatting sqref="B25 B27:B29 B31 B33 B35 B37">
    <cfRule type="expression" dxfId="11145" priority="9624">
      <formula>$C25="Delivery charge"</formula>
    </cfRule>
    <cfRule type="expression" dxfId="11144" priority="9625">
      <formula>$C25="Staff Salary"</formula>
    </cfRule>
    <cfRule type="expression" dxfId="11143" priority="9626">
      <formula>$C25="Rent"</formula>
    </cfRule>
    <cfRule type="expression" dxfId="11142" priority="9627">
      <formula>$C25="Petrol"</formula>
    </cfRule>
    <cfRule type="expression" dxfId="11141" priority="9628">
      <formula>$C25="Bills"</formula>
    </cfRule>
    <cfRule type="expression" dxfId="11140" priority="9629">
      <formula>$C25="Sales"</formula>
    </cfRule>
    <cfRule type="expression" dxfId="11139" priority="9630">
      <formula>$C25="Expences"</formula>
    </cfRule>
    <cfRule type="expression" dxfId="11138" priority="9631">
      <formula>$C25="Garlic Purchase"</formula>
    </cfRule>
    <cfRule type="expression" dxfId="11137" priority="9632">
      <formula>$C25="Ginger Purchase"</formula>
    </cfRule>
  </conditionalFormatting>
  <conditionalFormatting sqref="B25 B27:B29 B31 B33 B35 B37">
    <cfRule type="expression" dxfId="11136" priority="9633">
      <formula>$C25="Advance"</formula>
    </cfRule>
  </conditionalFormatting>
  <conditionalFormatting sqref="B26 B28:B30 B32 B34 B36 B38 B40:B45 B47:B49 B51:B65 B67 B69:B73 B75:B239">
    <cfRule type="expression" dxfId="11135" priority="9623">
      <formula>$C26="Advance"</formula>
    </cfRule>
  </conditionalFormatting>
  <conditionalFormatting sqref="B26 B28:B30 B32 B34 B36 B38 B40:B45 B47:B49 B51:B65 B67 B69:B73 B75:B239">
    <cfRule type="expression" dxfId="2442" priority="9614">
      <formula>$C26="Delivery charge"</formula>
    </cfRule>
    <cfRule type="expression" dxfId="2441" priority="9615">
      <formula>$C26="Staff Salary"</formula>
    </cfRule>
    <cfRule type="expression" dxfId="2440" priority="9616">
      <formula>$C26="Rent"</formula>
    </cfRule>
    <cfRule type="expression" dxfId="2439" priority="9617">
      <formula>$C26="Petrol"</formula>
    </cfRule>
    <cfRule type="expression" dxfId="2438" priority="9618">
      <formula>$C26="Bills"</formula>
    </cfRule>
    <cfRule type="expression" dxfId="2437" priority="9619">
      <formula>$C26="Sales"</formula>
    </cfRule>
    <cfRule type="expression" dxfId="2436" priority="9620">
      <formula>$C26="Expences"</formula>
    </cfRule>
    <cfRule type="expression" dxfId="2435" priority="9621">
      <formula>$C26="Garlic Purchase"</formula>
    </cfRule>
    <cfRule type="expression" dxfId="2434" priority="9622">
      <formula>$C26="Ginger Purchase"</formula>
    </cfRule>
  </conditionalFormatting>
  <conditionalFormatting sqref="B24 B27 B30 B32 B34 B36 B38">
    <cfRule type="expression" dxfId="11134" priority="9604">
      <formula>$C24="Delivery charge"</formula>
    </cfRule>
    <cfRule type="expression" dxfId="11133" priority="9605">
      <formula>$C24="Staff Salary"</formula>
    </cfRule>
    <cfRule type="expression" dxfId="11132" priority="9606">
      <formula>$C24="Rent"</formula>
    </cfRule>
    <cfRule type="expression" dxfId="11131" priority="9607">
      <formula>$C24="Petrol"</formula>
    </cfRule>
    <cfRule type="expression" dxfId="11130" priority="9608">
      <formula>$C24="Bills"</formula>
    </cfRule>
    <cfRule type="expression" dxfId="11129" priority="9609">
      <formula>$C24="Sales"</formula>
    </cfRule>
    <cfRule type="expression" dxfId="11128" priority="9610">
      <formula>$C24="Expences"</formula>
    </cfRule>
    <cfRule type="expression" dxfId="11127" priority="9611">
      <formula>$C24="Garlic Purchase"</formula>
    </cfRule>
    <cfRule type="expression" dxfId="11126" priority="9612">
      <formula>$C24="Ginger Purchase"</formula>
    </cfRule>
  </conditionalFormatting>
  <conditionalFormatting sqref="B24 B27 B30 B32 B34 B36 B38">
    <cfRule type="expression" dxfId="11125" priority="9613">
      <formula>$C24="Advance"</formula>
    </cfRule>
  </conditionalFormatting>
  <conditionalFormatting sqref="B25 B27:B29 B31 B33 B35 B37">
    <cfRule type="expression" dxfId="11124" priority="9594">
      <formula>$C25="Delivery charge"</formula>
    </cfRule>
    <cfRule type="expression" dxfId="11123" priority="9595">
      <formula>$C25="Staff Salary"</formula>
    </cfRule>
    <cfRule type="expression" dxfId="11122" priority="9596">
      <formula>$C25="Rent"</formula>
    </cfRule>
    <cfRule type="expression" dxfId="11121" priority="9597">
      <formula>$C25="Petrol"</formula>
    </cfRule>
    <cfRule type="expression" dxfId="11120" priority="9598">
      <formula>$C25="Bills"</formula>
    </cfRule>
    <cfRule type="expression" dxfId="11119" priority="9599">
      <formula>$C25="Sales"</formula>
    </cfRule>
    <cfRule type="expression" dxfId="11118" priority="9600">
      <formula>$C25="Expences"</formula>
    </cfRule>
    <cfRule type="expression" dxfId="11117" priority="9601">
      <formula>$C25="Garlic Purchase"</formula>
    </cfRule>
    <cfRule type="expression" dxfId="11116" priority="9602">
      <formula>$C25="Ginger Purchase"</formula>
    </cfRule>
  </conditionalFormatting>
  <conditionalFormatting sqref="B25 B27:B29 B31 B33 B35 B37">
    <cfRule type="expression" dxfId="11115" priority="9603">
      <formula>$C25="Advance"</formula>
    </cfRule>
  </conditionalFormatting>
  <conditionalFormatting sqref="B25 B27:B29 B31 B33 B35 B37">
    <cfRule type="expression" dxfId="11114" priority="9584">
      <formula>$C25="Delivery charge"</formula>
    </cfRule>
    <cfRule type="expression" dxfId="11113" priority="9585">
      <formula>$C25="Staff Salary"</formula>
    </cfRule>
    <cfRule type="expression" dxfId="11112" priority="9586">
      <formula>$C25="Rent"</formula>
    </cfRule>
    <cfRule type="expression" dxfId="11111" priority="9587">
      <formula>$C25="Petrol"</formula>
    </cfRule>
    <cfRule type="expression" dxfId="11110" priority="9588">
      <formula>$C25="Bills"</formula>
    </cfRule>
    <cfRule type="expression" dxfId="11109" priority="9589">
      <formula>$C25="Sales"</formula>
    </cfRule>
    <cfRule type="expression" dxfId="11108" priority="9590">
      <formula>$C25="Expences"</formula>
    </cfRule>
    <cfRule type="expression" dxfId="11107" priority="9591">
      <formula>$C25="Garlic Purchase"</formula>
    </cfRule>
    <cfRule type="expression" dxfId="11106" priority="9592">
      <formula>$C25="Ginger Purchase"</formula>
    </cfRule>
  </conditionalFormatting>
  <conditionalFormatting sqref="B25 B27:B29 B31 B33 B35 B37">
    <cfRule type="expression" dxfId="11105" priority="9593">
      <formula>$C25="Advance"</formula>
    </cfRule>
  </conditionalFormatting>
  <conditionalFormatting sqref="B25 B27:B29 B31 B33 B35 B37">
    <cfRule type="expression" dxfId="11104" priority="9574">
      <formula>$C25="Delivery charge"</formula>
    </cfRule>
    <cfRule type="expression" dxfId="11103" priority="9575">
      <formula>$C25="Staff Salary"</formula>
    </cfRule>
    <cfRule type="expression" dxfId="11102" priority="9576">
      <formula>$C25="Rent"</formula>
    </cfRule>
    <cfRule type="expression" dxfId="11101" priority="9577">
      <formula>$C25="Petrol"</formula>
    </cfRule>
    <cfRule type="expression" dxfId="11100" priority="9578">
      <formula>$C25="Bills"</formula>
    </cfRule>
    <cfRule type="expression" dxfId="11099" priority="9579">
      <formula>$C25="Sales"</formula>
    </cfRule>
    <cfRule type="expression" dxfId="11098" priority="9580">
      <formula>$C25="Expences"</formula>
    </cfRule>
    <cfRule type="expression" dxfId="11097" priority="9581">
      <formula>$C25="Garlic Purchase"</formula>
    </cfRule>
    <cfRule type="expression" dxfId="11096" priority="9582">
      <formula>$C25="Ginger Purchase"</formula>
    </cfRule>
  </conditionalFormatting>
  <conditionalFormatting sqref="B25 B27:B29 B31 B33 B35 B37">
    <cfRule type="expression" dxfId="11095" priority="9583">
      <formula>$C25="Advance"</formula>
    </cfRule>
  </conditionalFormatting>
  <conditionalFormatting sqref="B25 B27:B29 B31 B33 B35 B37">
    <cfRule type="expression" dxfId="11094" priority="9564">
      <formula>$C25="Delivery charge"</formula>
    </cfRule>
    <cfRule type="expression" dxfId="11093" priority="9565">
      <formula>$C25="Staff Salary"</formula>
    </cfRule>
    <cfRule type="expression" dxfId="11092" priority="9566">
      <formula>$C25="Rent"</formula>
    </cfRule>
    <cfRule type="expression" dxfId="11091" priority="9567">
      <formula>$C25="Petrol"</formula>
    </cfRule>
    <cfRule type="expression" dxfId="11090" priority="9568">
      <formula>$C25="Bills"</formula>
    </cfRule>
    <cfRule type="expression" dxfId="11089" priority="9569">
      <formula>$C25="Sales"</formula>
    </cfRule>
    <cfRule type="expression" dxfId="11088" priority="9570">
      <formula>$C25="Expences"</formula>
    </cfRule>
    <cfRule type="expression" dxfId="11087" priority="9571">
      <formula>$C25="Garlic Purchase"</formula>
    </cfRule>
    <cfRule type="expression" dxfId="11086" priority="9572">
      <formula>$C25="Ginger Purchase"</formula>
    </cfRule>
  </conditionalFormatting>
  <conditionalFormatting sqref="B25 B27:B29 B31 B33 B35 B37">
    <cfRule type="expression" dxfId="11085" priority="9573">
      <formula>$C25="Advance"</formula>
    </cfRule>
  </conditionalFormatting>
  <conditionalFormatting sqref="B24 B27 B30 B32 B34 B36 B38">
    <cfRule type="expression" dxfId="11084" priority="9554">
      <formula>$C24="Delivery charge"</formula>
    </cfRule>
    <cfRule type="expression" dxfId="11083" priority="9555">
      <formula>$C24="Staff Salary"</formula>
    </cfRule>
    <cfRule type="expression" dxfId="11082" priority="9556">
      <formula>$C24="Rent"</formula>
    </cfRule>
    <cfRule type="expression" dxfId="11081" priority="9557">
      <formula>$C24="Petrol"</formula>
    </cfRule>
    <cfRule type="expression" dxfId="11080" priority="9558">
      <formula>$C24="Bills"</formula>
    </cfRule>
    <cfRule type="expression" dxfId="11079" priority="9559">
      <formula>$C24="Sales"</formula>
    </cfRule>
    <cfRule type="expression" dxfId="11078" priority="9560">
      <formula>$C24="Expences"</formula>
    </cfRule>
    <cfRule type="expression" dxfId="11077" priority="9561">
      <formula>$C24="Garlic Purchase"</formula>
    </cfRule>
    <cfRule type="expression" dxfId="11076" priority="9562">
      <formula>$C24="Ginger Purchase"</formula>
    </cfRule>
  </conditionalFormatting>
  <conditionalFormatting sqref="B24 B27 B30 B32 B34 B36 B38">
    <cfRule type="expression" dxfId="11075" priority="9563">
      <formula>$C24="Advance"</formula>
    </cfRule>
  </conditionalFormatting>
  <conditionalFormatting sqref="B24 B27 B30 B32 B34 B36 B38">
    <cfRule type="expression" dxfId="11074" priority="9544">
      <formula>$C24="Delivery charge"</formula>
    </cfRule>
    <cfRule type="expression" dxfId="11073" priority="9545">
      <formula>$C24="Staff Salary"</formula>
    </cfRule>
    <cfRule type="expression" dxfId="11072" priority="9546">
      <formula>$C24="Rent"</formula>
    </cfRule>
    <cfRule type="expression" dxfId="11071" priority="9547">
      <formula>$C24="Petrol"</formula>
    </cfRule>
    <cfRule type="expression" dxfId="11070" priority="9548">
      <formula>$C24="Bills"</formula>
    </cfRule>
    <cfRule type="expression" dxfId="11069" priority="9549">
      <formula>$C24="Sales"</formula>
    </cfRule>
    <cfRule type="expression" dxfId="11068" priority="9550">
      <formula>$C24="Expences"</formula>
    </cfRule>
    <cfRule type="expression" dxfId="11067" priority="9551">
      <formula>$C24="Garlic Purchase"</formula>
    </cfRule>
    <cfRule type="expression" dxfId="11066" priority="9552">
      <formula>$C24="Ginger Purchase"</formula>
    </cfRule>
  </conditionalFormatting>
  <conditionalFormatting sqref="B24 B27 B30 B32 B34 B36 B38">
    <cfRule type="expression" dxfId="11065" priority="9553">
      <formula>$C24="Advance"</formula>
    </cfRule>
  </conditionalFormatting>
  <conditionalFormatting sqref="B24 B27 B30 B32 B34 B36 B38">
    <cfRule type="expression" dxfId="11064" priority="9534">
      <formula>$C24="Delivery charge"</formula>
    </cfRule>
    <cfRule type="expression" dxfId="11063" priority="9535">
      <formula>$C24="Staff Salary"</formula>
    </cfRule>
    <cfRule type="expression" dxfId="11062" priority="9536">
      <formula>$C24="Rent"</formula>
    </cfRule>
    <cfRule type="expression" dxfId="11061" priority="9537">
      <formula>$C24="Petrol"</formula>
    </cfRule>
    <cfRule type="expression" dxfId="11060" priority="9538">
      <formula>$C24="Bills"</formula>
    </cfRule>
    <cfRule type="expression" dxfId="11059" priority="9539">
      <formula>$C24="Sales"</formula>
    </cfRule>
    <cfRule type="expression" dxfId="11058" priority="9540">
      <formula>$C24="Expences"</formula>
    </cfRule>
    <cfRule type="expression" dxfId="11057" priority="9541">
      <formula>$C24="Garlic Purchase"</formula>
    </cfRule>
    <cfRule type="expression" dxfId="11056" priority="9542">
      <formula>$C24="Ginger Purchase"</formula>
    </cfRule>
  </conditionalFormatting>
  <conditionalFormatting sqref="B24 B27 B30 B32 B34 B36 B38">
    <cfRule type="expression" dxfId="11055" priority="9543">
      <formula>$C24="Advance"</formula>
    </cfRule>
  </conditionalFormatting>
  <conditionalFormatting sqref="B24 B27 B30 B32 B34 B36 B38">
    <cfRule type="expression" dxfId="11054" priority="9524">
      <formula>$C24="Delivery charge"</formula>
    </cfRule>
    <cfRule type="expression" dxfId="11053" priority="9525">
      <formula>$C24="Staff Salary"</formula>
    </cfRule>
    <cfRule type="expression" dxfId="11052" priority="9526">
      <formula>$C24="Rent"</formula>
    </cfRule>
    <cfRule type="expression" dxfId="11051" priority="9527">
      <formula>$C24="Petrol"</formula>
    </cfRule>
    <cfRule type="expression" dxfId="11050" priority="9528">
      <formula>$C24="Bills"</formula>
    </cfRule>
    <cfRule type="expression" dxfId="11049" priority="9529">
      <formula>$C24="Sales"</formula>
    </cfRule>
    <cfRule type="expression" dxfId="11048" priority="9530">
      <formula>$C24="Expences"</formula>
    </cfRule>
    <cfRule type="expression" dxfId="11047" priority="9531">
      <formula>$C24="Garlic Purchase"</formula>
    </cfRule>
    <cfRule type="expression" dxfId="11046" priority="9532">
      <formula>$C24="Ginger Purchase"</formula>
    </cfRule>
  </conditionalFormatting>
  <conditionalFormatting sqref="B24 B27 B30 B32 B34 B36 B38">
    <cfRule type="expression" dxfId="11045" priority="9533">
      <formula>$C24="Advance"</formula>
    </cfRule>
  </conditionalFormatting>
  <conditionalFormatting sqref="B25 B27:B29 B31 B33 B35 B37">
    <cfRule type="expression" dxfId="11044" priority="9514">
      <formula>$C25="Delivery charge"</formula>
    </cfRule>
    <cfRule type="expression" dxfId="11043" priority="9515">
      <formula>$C25="Staff Salary"</formula>
    </cfRule>
    <cfRule type="expression" dxfId="11042" priority="9516">
      <formula>$C25="Rent"</formula>
    </cfRule>
    <cfRule type="expression" dxfId="11041" priority="9517">
      <formula>$C25="Petrol"</formula>
    </cfRule>
    <cfRule type="expression" dxfId="11040" priority="9518">
      <formula>$C25="Bills"</formula>
    </cfRule>
    <cfRule type="expression" dxfId="11039" priority="9519">
      <formula>$C25="Sales"</formula>
    </cfRule>
    <cfRule type="expression" dxfId="11038" priority="9520">
      <formula>$C25="Expences"</formula>
    </cfRule>
    <cfRule type="expression" dxfId="11037" priority="9521">
      <formula>$C25="Garlic Purchase"</formula>
    </cfRule>
    <cfRule type="expression" dxfId="11036" priority="9522">
      <formula>$C25="Ginger Purchase"</formula>
    </cfRule>
  </conditionalFormatting>
  <conditionalFormatting sqref="B25 B27:B29 B31 B33 B35 B37">
    <cfRule type="expression" dxfId="11035" priority="9523">
      <formula>$C25="Advance"</formula>
    </cfRule>
  </conditionalFormatting>
  <conditionalFormatting sqref="B24 B27 B30 B32 B34 B36 B38">
    <cfRule type="expression" dxfId="11034" priority="9504">
      <formula>$C24="Delivery charge"</formula>
    </cfRule>
    <cfRule type="expression" dxfId="11033" priority="9505">
      <formula>$C24="Staff Salary"</formula>
    </cfRule>
    <cfRule type="expression" dxfId="11032" priority="9506">
      <formula>$C24="Rent"</formula>
    </cfRule>
    <cfRule type="expression" dxfId="11031" priority="9507">
      <formula>$C24="Petrol"</formula>
    </cfRule>
    <cfRule type="expression" dxfId="11030" priority="9508">
      <formula>$C24="Bills"</formula>
    </cfRule>
    <cfRule type="expression" dxfId="11029" priority="9509">
      <formula>$C24="Sales"</formula>
    </cfRule>
    <cfRule type="expression" dxfId="11028" priority="9510">
      <formula>$C24="Expences"</formula>
    </cfRule>
    <cfRule type="expression" dxfId="11027" priority="9511">
      <formula>$C24="Garlic Purchase"</formula>
    </cfRule>
    <cfRule type="expression" dxfId="11026" priority="9512">
      <formula>$C24="Ginger Purchase"</formula>
    </cfRule>
  </conditionalFormatting>
  <conditionalFormatting sqref="B24 B27 B30 B32 B34 B36 B38">
    <cfRule type="expression" dxfId="11025" priority="9513">
      <formula>$C24="Advance"</formula>
    </cfRule>
  </conditionalFormatting>
  <conditionalFormatting sqref="B24 B27 B30 B32 B34 B36 B38">
    <cfRule type="expression" dxfId="11024" priority="9494">
      <formula>$C24="Delivery charge"</formula>
    </cfRule>
    <cfRule type="expression" dxfId="11023" priority="9495">
      <formula>$C24="Staff Salary"</formula>
    </cfRule>
    <cfRule type="expression" dxfId="11022" priority="9496">
      <formula>$C24="Rent"</formula>
    </cfRule>
    <cfRule type="expression" dxfId="11021" priority="9497">
      <formula>$C24="Petrol"</formula>
    </cfRule>
    <cfRule type="expression" dxfId="11020" priority="9498">
      <formula>$C24="Bills"</formula>
    </cfRule>
    <cfRule type="expression" dxfId="11019" priority="9499">
      <formula>$C24="Sales"</formula>
    </cfRule>
    <cfRule type="expression" dxfId="11018" priority="9500">
      <formula>$C24="Expences"</formula>
    </cfRule>
    <cfRule type="expression" dxfId="11017" priority="9501">
      <formula>$C24="Garlic Purchase"</formula>
    </cfRule>
    <cfRule type="expression" dxfId="11016" priority="9502">
      <formula>$C24="Ginger Purchase"</formula>
    </cfRule>
  </conditionalFormatting>
  <conditionalFormatting sqref="B24 B27 B30 B32 B34 B36 B38">
    <cfRule type="expression" dxfId="11015" priority="9503">
      <formula>$C24="Advance"</formula>
    </cfRule>
  </conditionalFormatting>
  <conditionalFormatting sqref="B24 B27 B30 B32 B34 B36 B38">
    <cfRule type="expression" dxfId="11014" priority="9484">
      <formula>$C24="Delivery charge"</formula>
    </cfRule>
    <cfRule type="expression" dxfId="11013" priority="9485">
      <formula>$C24="Staff Salary"</formula>
    </cfRule>
    <cfRule type="expression" dxfId="11012" priority="9486">
      <formula>$C24="Rent"</formula>
    </cfRule>
    <cfRule type="expression" dxfId="11011" priority="9487">
      <formula>$C24="Petrol"</formula>
    </cfRule>
    <cfRule type="expression" dxfId="11010" priority="9488">
      <formula>$C24="Bills"</formula>
    </cfRule>
    <cfRule type="expression" dxfId="11009" priority="9489">
      <formula>$C24="Sales"</formula>
    </cfRule>
    <cfRule type="expression" dxfId="11008" priority="9490">
      <formula>$C24="Expences"</formula>
    </cfRule>
    <cfRule type="expression" dxfId="11007" priority="9491">
      <formula>$C24="Garlic Purchase"</formula>
    </cfRule>
    <cfRule type="expression" dxfId="11006" priority="9492">
      <formula>$C24="Ginger Purchase"</formula>
    </cfRule>
  </conditionalFormatting>
  <conditionalFormatting sqref="B24 B27 B30 B32 B34 B36 B38">
    <cfRule type="expression" dxfId="11005" priority="9493">
      <formula>$C24="Advance"</formula>
    </cfRule>
  </conditionalFormatting>
  <conditionalFormatting sqref="B24 B27 B30 B32 B34 B36 B38">
    <cfRule type="expression" dxfId="11004" priority="9474">
      <formula>$C24="Delivery charge"</formula>
    </cfRule>
    <cfRule type="expression" dxfId="11003" priority="9475">
      <formula>$C24="Staff Salary"</formula>
    </cfRule>
    <cfRule type="expression" dxfId="11002" priority="9476">
      <formula>$C24="Rent"</formula>
    </cfRule>
    <cfRule type="expression" dxfId="11001" priority="9477">
      <formula>$C24="Petrol"</formula>
    </cfRule>
    <cfRule type="expression" dxfId="11000" priority="9478">
      <formula>$C24="Bills"</formula>
    </cfRule>
    <cfRule type="expression" dxfId="10999" priority="9479">
      <formula>$C24="Sales"</formula>
    </cfRule>
    <cfRule type="expression" dxfId="10998" priority="9480">
      <formula>$C24="Expences"</formula>
    </cfRule>
    <cfRule type="expression" dxfId="10997" priority="9481">
      <formula>$C24="Garlic Purchase"</formula>
    </cfRule>
    <cfRule type="expression" dxfId="10996" priority="9482">
      <formula>$C24="Ginger Purchase"</formula>
    </cfRule>
  </conditionalFormatting>
  <conditionalFormatting sqref="B24 B27 B30 B32 B34 B36 B38">
    <cfRule type="expression" dxfId="10995" priority="9483">
      <formula>$C24="Advance"</formula>
    </cfRule>
  </conditionalFormatting>
  <conditionalFormatting sqref="B24 B27 B30 B32 B34 B36 B38">
    <cfRule type="expression" dxfId="10994" priority="9464">
      <formula>$C24="Delivery charge"</formula>
    </cfRule>
    <cfRule type="expression" dxfId="10993" priority="9465">
      <formula>$C24="Staff Salary"</formula>
    </cfRule>
    <cfRule type="expression" dxfId="10992" priority="9466">
      <formula>$C24="Rent"</formula>
    </cfRule>
    <cfRule type="expression" dxfId="10991" priority="9467">
      <formula>$C24="Petrol"</formula>
    </cfRule>
    <cfRule type="expression" dxfId="10990" priority="9468">
      <formula>$C24="Bills"</formula>
    </cfRule>
    <cfRule type="expression" dxfId="10989" priority="9469">
      <formula>$C24="Sales"</formula>
    </cfRule>
    <cfRule type="expression" dxfId="10988" priority="9470">
      <formula>$C24="Expences"</formula>
    </cfRule>
    <cfRule type="expression" dxfId="10987" priority="9471">
      <formula>$C24="Garlic Purchase"</formula>
    </cfRule>
    <cfRule type="expression" dxfId="10986" priority="9472">
      <formula>$C24="Ginger Purchase"</formula>
    </cfRule>
  </conditionalFormatting>
  <conditionalFormatting sqref="B24 B27 B30 B32 B34 B36 B38">
    <cfRule type="expression" dxfId="10985" priority="9473">
      <formula>$C24="Advance"</formula>
    </cfRule>
  </conditionalFormatting>
  <conditionalFormatting sqref="B25 B27:B29 B31 B33 B35 B37">
    <cfRule type="expression" dxfId="10984" priority="9454">
      <formula>$C25="Delivery charge"</formula>
    </cfRule>
    <cfRule type="expression" dxfId="10983" priority="9455">
      <formula>$C25="Staff Salary"</formula>
    </cfRule>
    <cfRule type="expression" dxfId="10982" priority="9456">
      <formula>$C25="Rent"</formula>
    </cfRule>
    <cfRule type="expression" dxfId="10981" priority="9457">
      <formula>$C25="Petrol"</formula>
    </cfRule>
    <cfRule type="expression" dxfId="10980" priority="9458">
      <formula>$C25="Bills"</formula>
    </cfRule>
    <cfRule type="expression" dxfId="10979" priority="9459">
      <formula>$C25="Sales"</formula>
    </cfRule>
    <cfRule type="expression" dxfId="10978" priority="9460">
      <formula>$C25="Expences"</formula>
    </cfRule>
    <cfRule type="expression" dxfId="10977" priority="9461">
      <formula>$C25="Garlic Purchase"</formula>
    </cfRule>
    <cfRule type="expression" dxfId="10976" priority="9462">
      <formula>$C25="Ginger Purchase"</formula>
    </cfRule>
  </conditionalFormatting>
  <conditionalFormatting sqref="B25 B27:B29 B31 B33 B35 B37">
    <cfRule type="expression" dxfId="10975" priority="9463">
      <formula>$C25="Advance"</formula>
    </cfRule>
  </conditionalFormatting>
  <conditionalFormatting sqref="B25 B27:B29 B31 B33 B35 B37">
    <cfRule type="expression" dxfId="10974" priority="9444">
      <formula>$C25="Delivery charge"</formula>
    </cfRule>
    <cfRule type="expression" dxfId="10973" priority="9445">
      <formula>$C25="Staff Salary"</formula>
    </cfRule>
    <cfRule type="expression" dxfId="10972" priority="9446">
      <formula>$C25="Rent"</formula>
    </cfRule>
    <cfRule type="expression" dxfId="10971" priority="9447">
      <formula>$C25="Petrol"</formula>
    </cfRule>
    <cfRule type="expression" dxfId="10970" priority="9448">
      <formula>$C25="Bills"</formula>
    </cfRule>
    <cfRule type="expression" dxfId="10969" priority="9449">
      <formula>$C25="Sales"</formula>
    </cfRule>
    <cfRule type="expression" dxfId="10968" priority="9450">
      <formula>$C25="Expences"</formula>
    </cfRule>
    <cfRule type="expression" dxfId="10967" priority="9451">
      <formula>$C25="Garlic Purchase"</formula>
    </cfRule>
    <cfRule type="expression" dxfId="10966" priority="9452">
      <formula>$C25="Ginger Purchase"</formula>
    </cfRule>
  </conditionalFormatting>
  <conditionalFormatting sqref="B25 B27:B29 B31 B33 B35 B37">
    <cfRule type="expression" dxfId="10965" priority="9453">
      <formula>$C25="Advance"</formula>
    </cfRule>
  </conditionalFormatting>
  <conditionalFormatting sqref="B25 B27:B29 B31 B33 B35 B37">
    <cfRule type="expression" dxfId="10964" priority="9434">
      <formula>$C25="Delivery charge"</formula>
    </cfRule>
    <cfRule type="expression" dxfId="10963" priority="9435">
      <formula>$C25="Staff Salary"</formula>
    </cfRule>
    <cfRule type="expression" dxfId="10962" priority="9436">
      <formula>$C25="Rent"</formula>
    </cfRule>
    <cfRule type="expression" dxfId="10961" priority="9437">
      <formula>$C25="Petrol"</formula>
    </cfRule>
    <cfRule type="expression" dxfId="10960" priority="9438">
      <formula>$C25="Bills"</formula>
    </cfRule>
    <cfRule type="expression" dxfId="10959" priority="9439">
      <formula>$C25="Sales"</formula>
    </cfRule>
    <cfRule type="expression" dxfId="10958" priority="9440">
      <formula>$C25="Expences"</formula>
    </cfRule>
    <cfRule type="expression" dxfId="10957" priority="9441">
      <formula>$C25="Garlic Purchase"</formula>
    </cfRule>
    <cfRule type="expression" dxfId="10956" priority="9442">
      <formula>$C25="Ginger Purchase"</formula>
    </cfRule>
  </conditionalFormatting>
  <conditionalFormatting sqref="B25 B27:B29 B31 B33 B35 B37">
    <cfRule type="expression" dxfId="10955" priority="9443">
      <formula>$C25="Advance"</formula>
    </cfRule>
  </conditionalFormatting>
  <conditionalFormatting sqref="B25 B27:B29 B31 B33 B35 B37">
    <cfRule type="expression" dxfId="10954" priority="9424">
      <formula>$C25="Delivery charge"</formula>
    </cfRule>
    <cfRule type="expression" dxfId="10953" priority="9425">
      <formula>$C25="Staff Salary"</formula>
    </cfRule>
    <cfRule type="expression" dxfId="10952" priority="9426">
      <formula>$C25="Rent"</formula>
    </cfRule>
    <cfRule type="expression" dxfId="10951" priority="9427">
      <formula>$C25="Petrol"</formula>
    </cfRule>
    <cfRule type="expression" dxfId="10950" priority="9428">
      <formula>$C25="Bills"</formula>
    </cfRule>
    <cfRule type="expression" dxfId="10949" priority="9429">
      <formula>$C25="Sales"</formula>
    </cfRule>
    <cfRule type="expression" dxfId="10948" priority="9430">
      <formula>$C25="Expences"</formula>
    </cfRule>
    <cfRule type="expression" dxfId="10947" priority="9431">
      <formula>$C25="Garlic Purchase"</formula>
    </cfRule>
    <cfRule type="expression" dxfId="10946" priority="9432">
      <formula>$C25="Ginger Purchase"</formula>
    </cfRule>
  </conditionalFormatting>
  <conditionalFormatting sqref="B25 B27:B29 B31 B33 B35 B37">
    <cfRule type="expression" dxfId="10945" priority="9433">
      <formula>$C25="Advance"</formula>
    </cfRule>
  </conditionalFormatting>
  <conditionalFormatting sqref="B25 B27:B29 B31 B33 B35 B37">
    <cfRule type="expression" dxfId="10944" priority="9414">
      <formula>$C25="Delivery charge"</formula>
    </cfRule>
    <cfRule type="expression" dxfId="10943" priority="9415">
      <formula>$C25="Staff Salary"</formula>
    </cfRule>
    <cfRule type="expression" dxfId="10942" priority="9416">
      <formula>$C25="Rent"</formula>
    </cfRule>
    <cfRule type="expression" dxfId="10941" priority="9417">
      <formula>$C25="Petrol"</formula>
    </cfRule>
    <cfRule type="expression" dxfId="10940" priority="9418">
      <formula>$C25="Bills"</formula>
    </cfRule>
    <cfRule type="expression" dxfId="10939" priority="9419">
      <formula>$C25="Sales"</formula>
    </cfRule>
    <cfRule type="expression" dxfId="10938" priority="9420">
      <formula>$C25="Expences"</formula>
    </cfRule>
    <cfRule type="expression" dxfId="10937" priority="9421">
      <formula>$C25="Garlic Purchase"</formula>
    </cfRule>
    <cfRule type="expression" dxfId="10936" priority="9422">
      <formula>$C25="Ginger Purchase"</formula>
    </cfRule>
  </conditionalFormatting>
  <conditionalFormatting sqref="B25 B27:B29 B31 B33 B35 B37">
    <cfRule type="expression" dxfId="10935" priority="9423">
      <formula>$C25="Advance"</formula>
    </cfRule>
  </conditionalFormatting>
  <conditionalFormatting sqref="B24 B27 B30 B32 B34 B36 B38">
    <cfRule type="expression" dxfId="10934" priority="9404">
      <formula>$C24="Delivery charge"</formula>
    </cfRule>
    <cfRule type="expression" dxfId="10933" priority="9405">
      <formula>$C24="Staff Salary"</formula>
    </cfRule>
    <cfRule type="expression" dxfId="10932" priority="9406">
      <formula>$C24="Rent"</formula>
    </cfRule>
    <cfRule type="expression" dxfId="10931" priority="9407">
      <formula>$C24="Petrol"</formula>
    </cfRule>
    <cfRule type="expression" dxfId="10930" priority="9408">
      <formula>$C24="Bills"</formula>
    </cfRule>
    <cfRule type="expression" dxfId="10929" priority="9409">
      <formula>$C24="Sales"</formula>
    </cfRule>
    <cfRule type="expression" dxfId="10928" priority="9410">
      <formula>$C24="Expences"</formula>
    </cfRule>
    <cfRule type="expression" dxfId="10927" priority="9411">
      <formula>$C24="Garlic Purchase"</formula>
    </cfRule>
    <cfRule type="expression" dxfId="10926" priority="9412">
      <formula>$C24="Ginger Purchase"</formula>
    </cfRule>
  </conditionalFormatting>
  <conditionalFormatting sqref="B24 B27 B30 B32 B34 B36 B38">
    <cfRule type="expression" dxfId="10925" priority="9413">
      <formula>$C24="Advance"</formula>
    </cfRule>
  </conditionalFormatting>
  <conditionalFormatting sqref="B25 B27:B29 B31 B33 B35 B37">
    <cfRule type="expression" dxfId="10924" priority="9394">
      <formula>$C25="Delivery charge"</formula>
    </cfRule>
    <cfRule type="expression" dxfId="10923" priority="9395">
      <formula>$C25="Staff Salary"</formula>
    </cfRule>
    <cfRule type="expression" dxfId="10922" priority="9396">
      <formula>$C25="Rent"</formula>
    </cfRule>
    <cfRule type="expression" dxfId="10921" priority="9397">
      <formula>$C25="Petrol"</formula>
    </cfRule>
    <cfRule type="expression" dxfId="10920" priority="9398">
      <formula>$C25="Bills"</formula>
    </cfRule>
    <cfRule type="expression" dxfId="10919" priority="9399">
      <formula>$C25="Sales"</formula>
    </cfRule>
    <cfRule type="expression" dxfId="10918" priority="9400">
      <formula>$C25="Expences"</formula>
    </cfRule>
    <cfRule type="expression" dxfId="10917" priority="9401">
      <formula>$C25="Garlic Purchase"</formula>
    </cfRule>
    <cfRule type="expression" dxfId="10916" priority="9402">
      <formula>$C25="Ginger Purchase"</formula>
    </cfRule>
  </conditionalFormatting>
  <conditionalFormatting sqref="B25 B27:B29 B31 B33 B35 B37">
    <cfRule type="expression" dxfId="10915" priority="9403">
      <formula>$C25="Advance"</formula>
    </cfRule>
  </conditionalFormatting>
  <conditionalFormatting sqref="B25 B27:B29 B31 B33 B35 B37">
    <cfRule type="expression" dxfId="10914" priority="9384">
      <formula>$C25="Delivery charge"</formula>
    </cfRule>
    <cfRule type="expression" dxfId="10913" priority="9385">
      <formula>$C25="Staff Salary"</formula>
    </cfRule>
    <cfRule type="expression" dxfId="10912" priority="9386">
      <formula>$C25="Rent"</formula>
    </cfRule>
    <cfRule type="expression" dxfId="10911" priority="9387">
      <formula>$C25="Petrol"</formula>
    </cfRule>
    <cfRule type="expression" dxfId="10910" priority="9388">
      <formula>$C25="Bills"</formula>
    </cfRule>
    <cfRule type="expression" dxfId="10909" priority="9389">
      <formula>$C25="Sales"</formula>
    </cfRule>
    <cfRule type="expression" dxfId="10908" priority="9390">
      <formula>$C25="Expences"</formula>
    </cfRule>
    <cfRule type="expression" dxfId="10907" priority="9391">
      <formula>$C25="Garlic Purchase"</formula>
    </cfRule>
    <cfRule type="expression" dxfId="10906" priority="9392">
      <formula>$C25="Ginger Purchase"</formula>
    </cfRule>
  </conditionalFormatting>
  <conditionalFormatting sqref="B25 B27:B29 B31 B33 B35 B37">
    <cfRule type="expression" dxfId="10905" priority="9393">
      <formula>$C25="Advance"</formula>
    </cfRule>
  </conditionalFormatting>
  <conditionalFormatting sqref="B25 B27:B29 B31 B33 B35 B37">
    <cfRule type="expression" dxfId="10904" priority="9374">
      <formula>$C25="Delivery charge"</formula>
    </cfRule>
    <cfRule type="expression" dxfId="10903" priority="9375">
      <formula>$C25="Staff Salary"</formula>
    </cfRule>
    <cfRule type="expression" dxfId="10902" priority="9376">
      <formula>$C25="Rent"</formula>
    </cfRule>
    <cfRule type="expression" dxfId="10901" priority="9377">
      <formula>$C25="Petrol"</formula>
    </cfRule>
    <cfRule type="expression" dxfId="10900" priority="9378">
      <formula>$C25="Bills"</formula>
    </cfRule>
    <cfRule type="expression" dxfId="10899" priority="9379">
      <formula>$C25="Sales"</formula>
    </cfRule>
    <cfRule type="expression" dxfId="10898" priority="9380">
      <formula>$C25="Expences"</formula>
    </cfRule>
    <cfRule type="expression" dxfId="10897" priority="9381">
      <formula>$C25="Garlic Purchase"</formula>
    </cfRule>
    <cfRule type="expression" dxfId="10896" priority="9382">
      <formula>$C25="Ginger Purchase"</formula>
    </cfRule>
  </conditionalFormatting>
  <conditionalFormatting sqref="B25 B27:B29 B31 B33 B35 B37">
    <cfRule type="expression" dxfId="10895" priority="9383">
      <formula>$C25="Advance"</formula>
    </cfRule>
  </conditionalFormatting>
  <conditionalFormatting sqref="B25 B27:B29 B31 B33 B35 B37">
    <cfRule type="expression" dxfId="10894" priority="9364">
      <formula>$C25="Delivery charge"</formula>
    </cfRule>
    <cfRule type="expression" dxfId="10893" priority="9365">
      <formula>$C25="Staff Salary"</formula>
    </cfRule>
    <cfRule type="expression" dxfId="10892" priority="9366">
      <formula>$C25="Rent"</formula>
    </cfRule>
    <cfRule type="expression" dxfId="10891" priority="9367">
      <formula>$C25="Petrol"</formula>
    </cfRule>
    <cfRule type="expression" dxfId="10890" priority="9368">
      <formula>$C25="Bills"</formula>
    </cfRule>
    <cfRule type="expression" dxfId="10889" priority="9369">
      <formula>$C25="Sales"</formula>
    </cfRule>
    <cfRule type="expression" dxfId="10888" priority="9370">
      <formula>$C25="Expences"</formula>
    </cfRule>
    <cfRule type="expression" dxfId="10887" priority="9371">
      <formula>$C25="Garlic Purchase"</formula>
    </cfRule>
    <cfRule type="expression" dxfId="10886" priority="9372">
      <formula>$C25="Ginger Purchase"</formula>
    </cfRule>
  </conditionalFormatting>
  <conditionalFormatting sqref="B25 B27:B29 B31 B33 B35 B37">
    <cfRule type="expression" dxfId="10885" priority="9373">
      <formula>$C25="Advance"</formula>
    </cfRule>
  </conditionalFormatting>
  <conditionalFormatting sqref="B25 B27:B29 B31 B33 B35 B37">
    <cfRule type="expression" dxfId="10884" priority="9354">
      <formula>$C25="Delivery charge"</formula>
    </cfRule>
    <cfRule type="expression" dxfId="10883" priority="9355">
      <formula>$C25="Staff Salary"</formula>
    </cfRule>
    <cfRule type="expression" dxfId="10882" priority="9356">
      <formula>$C25="Rent"</formula>
    </cfRule>
    <cfRule type="expression" dxfId="10881" priority="9357">
      <formula>$C25="Petrol"</formula>
    </cfRule>
    <cfRule type="expression" dxfId="10880" priority="9358">
      <formula>$C25="Bills"</formula>
    </cfRule>
    <cfRule type="expression" dxfId="10879" priority="9359">
      <formula>$C25="Sales"</formula>
    </cfRule>
    <cfRule type="expression" dxfId="10878" priority="9360">
      <formula>$C25="Expences"</formula>
    </cfRule>
    <cfRule type="expression" dxfId="10877" priority="9361">
      <formula>$C25="Garlic Purchase"</formula>
    </cfRule>
    <cfRule type="expression" dxfId="10876" priority="9362">
      <formula>$C25="Ginger Purchase"</formula>
    </cfRule>
  </conditionalFormatting>
  <conditionalFormatting sqref="B25 B27:B29 B31 B33 B35 B37">
    <cfRule type="expression" dxfId="10875" priority="9363">
      <formula>$C25="Advance"</formula>
    </cfRule>
  </conditionalFormatting>
  <conditionalFormatting sqref="B25 B27:B29 B31 B33 B35 B37">
    <cfRule type="expression" dxfId="10874" priority="9344">
      <formula>$C25="Delivery charge"</formula>
    </cfRule>
    <cfRule type="expression" dxfId="10873" priority="9345">
      <formula>$C25="Staff Salary"</formula>
    </cfRule>
    <cfRule type="expression" dxfId="10872" priority="9346">
      <formula>$C25="Rent"</formula>
    </cfRule>
    <cfRule type="expression" dxfId="10871" priority="9347">
      <formula>$C25="Petrol"</formula>
    </cfRule>
    <cfRule type="expression" dxfId="10870" priority="9348">
      <formula>$C25="Bills"</formula>
    </cfRule>
    <cfRule type="expression" dxfId="10869" priority="9349">
      <formula>$C25="Sales"</formula>
    </cfRule>
    <cfRule type="expression" dxfId="10868" priority="9350">
      <formula>$C25="Expences"</formula>
    </cfRule>
    <cfRule type="expression" dxfId="10867" priority="9351">
      <formula>$C25="Garlic Purchase"</formula>
    </cfRule>
    <cfRule type="expression" dxfId="10866" priority="9352">
      <formula>$C25="Ginger Purchase"</formula>
    </cfRule>
  </conditionalFormatting>
  <conditionalFormatting sqref="B25 B27:B29 B31 B33 B35 B37">
    <cfRule type="expression" dxfId="10865" priority="9353">
      <formula>$C25="Advance"</formula>
    </cfRule>
  </conditionalFormatting>
  <conditionalFormatting sqref="B25 B27:B29 B31 B33 B35 B37">
    <cfRule type="expression" dxfId="10864" priority="9334">
      <formula>$C25="Delivery charge"</formula>
    </cfRule>
    <cfRule type="expression" dxfId="10863" priority="9335">
      <formula>$C25="Staff Salary"</formula>
    </cfRule>
    <cfRule type="expression" dxfId="10862" priority="9336">
      <formula>$C25="Rent"</formula>
    </cfRule>
    <cfRule type="expression" dxfId="10861" priority="9337">
      <formula>$C25="Petrol"</formula>
    </cfRule>
    <cfRule type="expression" dxfId="10860" priority="9338">
      <formula>$C25="Bills"</formula>
    </cfRule>
    <cfRule type="expression" dxfId="10859" priority="9339">
      <formula>$C25="Sales"</formula>
    </cfRule>
    <cfRule type="expression" dxfId="10858" priority="9340">
      <formula>$C25="Expences"</formula>
    </cfRule>
    <cfRule type="expression" dxfId="10857" priority="9341">
      <formula>$C25="Garlic Purchase"</formula>
    </cfRule>
    <cfRule type="expression" dxfId="10856" priority="9342">
      <formula>$C25="Ginger Purchase"</formula>
    </cfRule>
  </conditionalFormatting>
  <conditionalFormatting sqref="B25 B27:B29 B31 B33 B35 B37">
    <cfRule type="expression" dxfId="10855" priority="9343">
      <formula>$C25="Advance"</formula>
    </cfRule>
  </conditionalFormatting>
  <conditionalFormatting sqref="B25 B27:B29 B31 B33 B35 B37">
    <cfRule type="expression" dxfId="10854" priority="9324">
      <formula>$C25="Delivery charge"</formula>
    </cfRule>
    <cfRule type="expression" dxfId="10853" priority="9325">
      <formula>$C25="Staff Salary"</formula>
    </cfRule>
    <cfRule type="expression" dxfId="10852" priority="9326">
      <formula>$C25="Rent"</formula>
    </cfRule>
    <cfRule type="expression" dxfId="10851" priority="9327">
      <formula>$C25="Petrol"</formula>
    </cfRule>
    <cfRule type="expression" dxfId="10850" priority="9328">
      <formula>$C25="Bills"</formula>
    </cfRule>
    <cfRule type="expression" dxfId="10849" priority="9329">
      <formula>$C25="Sales"</formula>
    </cfRule>
    <cfRule type="expression" dxfId="10848" priority="9330">
      <formula>$C25="Expences"</formula>
    </cfRule>
    <cfRule type="expression" dxfId="10847" priority="9331">
      <formula>$C25="Garlic Purchase"</formula>
    </cfRule>
    <cfRule type="expression" dxfId="10846" priority="9332">
      <formula>$C25="Ginger Purchase"</formula>
    </cfRule>
  </conditionalFormatting>
  <conditionalFormatting sqref="B25 B27:B29 B31 B33 B35 B37">
    <cfRule type="expression" dxfId="10845" priority="9333">
      <formula>$C25="Advance"</formula>
    </cfRule>
  </conditionalFormatting>
  <conditionalFormatting sqref="B25 B27:B29 B31 B33 B35 B37">
    <cfRule type="expression" dxfId="10844" priority="9314">
      <formula>$C25="Delivery charge"</formula>
    </cfRule>
    <cfRule type="expression" dxfId="10843" priority="9315">
      <formula>$C25="Staff Salary"</formula>
    </cfRule>
    <cfRule type="expression" dxfId="10842" priority="9316">
      <formula>$C25="Rent"</formula>
    </cfRule>
    <cfRule type="expression" dxfId="10841" priority="9317">
      <formula>$C25="Petrol"</formula>
    </cfRule>
    <cfRule type="expression" dxfId="10840" priority="9318">
      <formula>$C25="Bills"</formula>
    </cfRule>
    <cfRule type="expression" dxfId="10839" priority="9319">
      <formula>$C25="Sales"</formula>
    </cfRule>
    <cfRule type="expression" dxfId="10838" priority="9320">
      <formula>$C25="Expences"</formula>
    </cfRule>
    <cfRule type="expression" dxfId="10837" priority="9321">
      <formula>$C25="Garlic Purchase"</formula>
    </cfRule>
    <cfRule type="expression" dxfId="10836" priority="9322">
      <formula>$C25="Ginger Purchase"</formula>
    </cfRule>
  </conditionalFormatting>
  <conditionalFormatting sqref="B25 B27:B29 B31 B33 B35 B37">
    <cfRule type="expression" dxfId="10835" priority="9323">
      <formula>$C25="Advance"</formula>
    </cfRule>
  </conditionalFormatting>
  <conditionalFormatting sqref="B39 B41:B65 B67 B69:B73 B75:B239">
    <cfRule type="expression" dxfId="2433" priority="9313">
      <formula>$C39="Advance"</formula>
    </cfRule>
  </conditionalFormatting>
  <conditionalFormatting sqref="B39 B41:B65 B67 B69:B73 B75:B239">
    <cfRule type="expression" dxfId="2432" priority="9304">
      <formula>$C39="Delivery charge"</formula>
    </cfRule>
    <cfRule type="expression" dxfId="2431" priority="9305">
      <formula>$C39="Staff Salary"</formula>
    </cfRule>
    <cfRule type="expression" dxfId="2430" priority="9306">
      <formula>$C39="Rent"</formula>
    </cfRule>
    <cfRule type="expression" dxfId="2429" priority="9307">
      <formula>$C39="Petrol"</formula>
    </cfRule>
    <cfRule type="expression" dxfId="2428" priority="9308">
      <formula>$C39="Bills"</formula>
    </cfRule>
    <cfRule type="expression" dxfId="2427" priority="9309">
      <formula>$C39="Sales"</formula>
    </cfRule>
    <cfRule type="expression" dxfId="2426" priority="9310">
      <formula>$C39="Expences"</formula>
    </cfRule>
    <cfRule type="expression" dxfId="2425" priority="9311">
      <formula>$C39="Garlic Purchase"</formula>
    </cfRule>
    <cfRule type="expression" dxfId="2424" priority="9312">
      <formula>$C39="Ginger Purchase"</formula>
    </cfRule>
  </conditionalFormatting>
  <conditionalFormatting sqref="B38">
    <cfRule type="expression" dxfId="10834" priority="9294">
      <formula>$C38="Delivery charge"</formula>
    </cfRule>
    <cfRule type="expression" dxfId="10833" priority="9295">
      <formula>$C38="Staff Salary"</formula>
    </cfRule>
    <cfRule type="expression" dxfId="10832" priority="9296">
      <formula>$C38="Rent"</formula>
    </cfRule>
    <cfRule type="expression" dxfId="10831" priority="9297">
      <formula>$C38="Petrol"</formula>
    </cfRule>
    <cfRule type="expression" dxfId="10830" priority="9298">
      <formula>$C38="Bills"</formula>
    </cfRule>
    <cfRule type="expression" dxfId="10829" priority="9299">
      <formula>$C38="Sales"</formula>
    </cfRule>
    <cfRule type="expression" dxfId="10828" priority="9300">
      <formula>$C38="Expences"</formula>
    </cfRule>
    <cfRule type="expression" dxfId="10827" priority="9301">
      <formula>$C38="Garlic Purchase"</formula>
    </cfRule>
    <cfRule type="expression" dxfId="10826" priority="9302">
      <formula>$C38="Ginger Purchase"</formula>
    </cfRule>
  </conditionalFormatting>
  <conditionalFormatting sqref="B38">
    <cfRule type="expression" dxfId="10825" priority="9303">
      <formula>$C38="Advance"</formula>
    </cfRule>
  </conditionalFormatting>
  <conditionalFormatting sqref="B38">
    <cfRule type="expression" dxfId="10824" priority="9284">
      <formula>$C38="Delivery charge"</formula>
    </cfRule>
    <cfRule type="expression" dxfId="10823" priority="9285">
      <formula>$C38="Staff Salary"</formula>
    </cfRule>
    <cfRule type="expression" dxfId="10822" priority="9286">
      <formula>$C38="Rent"</formula>
    </cfRule>
    <cfRule type="expression" dxfId="10821" priority="9287">
      <formula>$C38="Petrol"</formula>
    </cfRule>
    <cfRule type="expression" dxfId="10820" priority="9288">
      <formula>$C38="Bills"</formula>
    </cfRule>
    <cfRule type="expression" dxfId="10819" priority="9289">
      <formula>$C38="Sales"</formula>
    </cfRule>
    <cfRule type="expression" dxfId="10818" priority="9290">
      <formula>$C38="Expences"</formula>
    </cfRule>
    <cfRule type="expression" dxfId="10817" priority="9291">
      <formula>$C38="Garlic Purchase"</formula>
    </cfRule>
    <cfRule type="expression" dxfId="10816" priority="9292">
      <formula>$C38="Ginger Purchase"</formula>
    </cfRule>
  </conditionalFormatting>
  <conditionalFormatting sqref="B38">
    <cfRule type="expression" dxfId="10815" priority="9293">
      <formula>$C38="Advance"</formula>
    </cfRule>
  </conditionalFormatting>
  <conditionalFormatting sqref="B38">
    <cfRule type="expression" dxfId="10814" priority="9274">
      <formula>$C38="Delivery charge"</formula>
    </cfRule>
    <cfRule type="expression" dxfId="10813" priority="9275">
      <formula>$C38="Staff Salary"</formula>
    </cfRule>
    <cfRule type="expression" dxfId="10812" priority="9276">
      <formula>$C38="Rent"</formula>
    </cfRule>
    <cfRule type="expression" dxfId="10811" priority="9277">
      <formula>$C38="Petrol"</formula>
    </cfRule>
    <cfRule type="expression" dxfId="10810" priority="9278">
      <formula>$C38="Bills"</formula>
    </cfRule>
    <cfRule type="expression" dxfId="10809" priority="9279">
      <formula>$C38="Sales"</formula>
    </cfRule>
    <cfRule type="expression" dxfId="10808" priority="9280">
      <formula>$C38="Expences"</formula>
    </cfRule>
    <cfRule type="expression" dxfId="10807" priority="9281">
      <formula>$C38="Garlic Purchase"</formula>
    </cfRule>
    <cfRule type="expression" dxfId="10806" priority="9282">
      <formula>$C38="Ginger Purchase"</formula>
    </cfRule>
  </conditionalFormatting>
  <conditionalFormatting sqref="B38">
    <cfRule type="expression" dxfId="10805" priority="9283">
      <formula>$C38="Advance"</formula>
    </cfRule>
  </conditionalFormatting>
  <conditionalFormatting sqref="B38">
    <cfRule type="expression" dxfId="10804" priority="9264">
      <formula>$C38="Delivery charge"</formula>
    </cfRule>
    <cfRule type="expression" dxfId="10803" priority="9265">
      <formula>$C38="Staff Salary"</formula>
    </cfRule>
    <cfRule type="expression" dxfId="10802" priority="9266">
      <formula>$C38="Rent"</formula>
    </cfRule>
    <cfRule type="expression" dxfId="10801" priority="9267">
      <formula>$C38="Petrol"</formula>
    </cfRule>
    <cfRule type="expression" dxfId="10800" priority="9268">
      <formula>$C38="Bills"</formula>
    </cfRule>
    <cfRule type="expression" dxfId="10799" priority="9269">
      <formula>$C38="Sales"</formula>
    </cfRule>
    <cfRule type="expression" dxfId="10798" priority="9270">
      <formula>$C38="Expences"</formula>
    </cfRule>
    <cfRule type="expression" dxfId="10797" priority="9271">
      <formula>$C38="Garlic Purchase"</formula>
    </cfRule>
    <cfRule type="expression" dxfId="10796" priority="9272">
      <formula>$C38="Ginger Purchase"</formula>
    </cfRule>
  </conditionalFormatting>
  <conditionalFormatting sqref="B38">
    <cfRule type="expression" dxfId="10795" priority="9273">
      <formula>$C38="Advance"</formula>
    </cfRule>
  </conditionalFormatting>
  <conditionalFormatting sqref="B38">
    <cfRule type="expression" dxfId="10794" priority="9254">
      <formula>$C38="Delivery charge"</formula>
    </cfRule>
    <cfRule type="expression" dxfId="10793" priority="9255">
      <formula>$C38="Staff Salary"</formula>
    </cfRule>
    <cfRule type="expression" dxfId="10792" priority="9256">
      <formula>$C38="Rent"</formula>
    </cfRule>
    <cfRule type="expression" dxfId="10791" priority="9257">
      <formula>$C38="Petrol"</formula>
    </cfRule>
    <cfRule type="expression" dxfId="10790" priority="9258">
      <formula>$C38="Bills"</formula>
    </cfRule>
    <cfRule type="expression" dxfId="10789" priority="9259">
      <formula>$C38="Sales"</formula>
    </cfRule>
    <cfRule type="expression" dxfId="10788" priority="9260">
      <formula>$C38="Expences"</formula>
    </cfRule>
    <cfRule type="expression" dxfId="10787" priority="9261">
      <formula>$C38="Garlic Purchase"</formula>
    </cfRule>
    <cfRule type="expression" dxfId="10786" priority="9262">
      <formula>$C38="Ginger Purchase"</formula>
    </cfRule>
  </conditionalFormatting>
  <conditionalFormatting sqref="B38">
    <cfRule type="expression" dxfId="10785" priority="9263">
      <formula>$C38="Advance"</formula>
    </cfRule>
  </conditionalFormatting>
  <conditionalFormatting sqref="B38">
    <cfRule type="expression" dxfId="10784" priority="9244">
      <formula>$C38="Delivery charge"</formula>
    </cfRule>
    <cfRule type="expression" dxfId="10783" priority="9245">
      <formula>$C38="Staff Salary"</formula>
    </cfRule>
    <cfRule type="expression" dxfId="10782" priority="9246">
      <formula>$C38="Rent"</formula>
    </cfRule>
    <cfRule type="expression" dxfId="10781" priority="9247">
      <formula>$C38="Petrol"</formula>
    </cfRule>
    <cfRule type="expression" dxfId="10780" priority="9248">
      <formula>$C38="Bills"</formula>
    </cfRule>
    <cfRule type="expression" dxfId="10779" priority="9249">
      <formula>$C38="Sales"</formula>
    </cfRule>
    <cfRule type="expression" dxfId="10778" priority="9250">
      <formula>$C38="Expences"</formula>
    </cfRule>
    <cfRule type="expression" dxfId="10777" priority="9251">
      <formula>$C38="Garlic Purchase"</formula>
    </cfRule>
    <cfRule type="expression" dxfId="10776" priority="9252">
      <formula>$C38="Ginger Purchase"</formula>
    </cfRule>
  </conditionalFormatting>
  <conditionalFormatting sqref="B38">
    <cfRule type="expression" dxfId="10775" priority="9253">
      <formula>$C38="Advance"</formula>
    </cfRule>
  </conditionalFormatting>
  <conditionalFormatting sqref="B38">
    <cfRule type="expression" dxfId="10774" priority="9234">
      <formula>$C38="Delivery charge"</formula>
    </cfRule>
    <cfRule type="expression" dxfId="10773" priority="9235">
      <formula>$C38="Staff Salary"</formula>
    </cfRule>
    <cfRule type="expression" dxfId="10772" priority="9236">
      <formula>$C38="Rent"</formula>
    </cfRule>
    <cfRule type="expression" dxfId="10771" priority="9237">
      <formula>$C38="Petrol"</formula>
    </cfRule>
    <cfRule type="expression" dxfId="10770" priority="9238">
      <formula>$C38="Bills"</formula>
    </cfRule>
    <cfRule type="expression" dxfId="10769" priority="9239">
      <formula>$C38="Sales"</formula>
    </cfRule>
    <cfRule type="expression" dxfId="10768" priority="9240">
      <formula>$C38="Expences"</formula>
    </cfRule>
    <cfRule type="expression" dxfId="10767" priority="9241">
      <formula>$C38="Garlic Purchase"</formula>
    </cfRule>
    <cfRule type="expression" dxfId="10766" priority="9242">
      <formula>$C38="Ginger Purchase"</formula>
    </cfRule>
  </conditionalFormatting>
  <conditionalFormatting sqref="B38">
    <cfRule type="expression" dxfId="10765" priority="9243">
      <formula>$C38="Advance"</formula>
    </cfRule>
  </conditionalFormatting>
  <conditionalFormatting sqref="B38">
    <cfRule type="expression" dxfId="10764" priority="9224">
      <formula>$C38="Delivery charge"</formula>
    </cfRule>
    <cfRule type="expression" dxfId="10763" priority="9225">
      <formula>$C38="Staff Salary"</formula>
    </cfRule>
    <cfRule type="expression" dxfId="10762" priority="9226">
      <formula>$C38="Rent"</formula>
    </cfRule>
    <cfRule type="expression" dxfId="10761" priority="9227">
      <formula>$C38="Petrol"</formula>
    </cfRule>
    <cfRule type="expression" dxfId="10760" priority="9228">
      <formula>$C38="Bills"</formula>
    </cfRule>
    <cfRule type="expression" dxfId="10759" priority="9229">
      <formula>$C38="Sales"</formula>
    </cfRule>
    <cfRule type="expression" dxfId="10758" priority="9230">
      <formula>$C38="Expences"</formula>
    </cfRule>
    <cfRule type="expression" dxfId="10757" priority="9231">
      <formula>$C38="Garlic Purchase"</formula>
    </cfRule>
    <cfRule type="expression" dxfId="10756" priority="9232">
      <formula>$C38="Ginger Purchase"</formula>
    </cfRule>
  </conditionalFormatting>
  <conditionalFormatting sqref="B38">
    <cfRule type="expression" dxfId="10755" priority="9233">
      <formula>$C38="Advance"</formula>
    </cfRule>
  </conditionalFormatting>
  <conditionalFormatting sqref="B38">
    <cfRule type="expression" dxfId="10754" priority="9214">
      <formula>$C38="Delivery charge"</formula>
    </cfRule>
    <cfRule type="expression" dxfId="10753" priority="9215">
      <formula>$C38="Staff Salary"</formula>
    </cfRule>
    <cfRule type="expression" dxfId="10752" priority="9216">
      <formula>$C38="Rent"</formula>
    </cfRule>
    <cfRule type="expression" dxfId="10751" priority="9217">
      <formula>$C38="Petrol"</formula>
    </cfRule>
    <cfRule type="expression" dxfId="10750" priority="9218">
      <formula>$C38="Bills"</formula>
    </cfRule>
    <cfRule type="expression" dxfId="10749" priority="9219">
      <formula>$C38="Sales"</formula>
    </cfRule>
    <cfRule type="expression" dxfId="10748" priority="9220">
      <formula>$C38="Expences"</formula>
    </cfRule>
    <cfRule type="expression" dxfId="10747" priority="9221">
      <formula>$C38="Garlic Purchase"</formula>
    </cfRule>
    <cfRule type="expression" dxfId="10746" priority="9222">
      <formula>$C38="Ginger Purchase"</formula>
    </cfRule>
  </conditionalFormatting>
  <conditionalFormatting sqref="B38">
    <cfRule type="expression" dxfId="10745" priority="9223">
      <formula>$C38="Advance"</formula>
    </cfRule>
  </conditionalFormatting>
  <conditionalFormatting sqref="B38">
    <cfRule type="expression" dxfId="10744" priority="9204">
      <formula>$C38="Delivery charge"</formula>
    </cfRule>
    <cfRule type="expression" dxfId="10743" priority="9205">
      <formula>$C38="Staff Salary"</formula>
    </cfRule>
    <cfRule type="expression" dxfId="10742" priority="9206">
      <formula>$C38="Rent"</formula>
    </cfRule>
    <cfRule type="expression" dxfId="10741" priority="9207">
      <formula>$C38="Petrol"</formula>
    </cfRule>
    <cfRule type="expression" dxfId="10740" priority="9208">
      <formula>$C38="Bills"</formula>
    </cfRule>
    <cfRule type="expression" dxfId="10739" priority="9209">
      <formula>$C38="Sales"</formula>
    </cfRule>
    <cfRule type="expression" dxfId="10738" priority="9210">
      <formula>$C38="Expences"</formula>
    </cfRule>
    <cfRule type="expression" dxfId="10737" priority="9211">
      <formula>$C38="Garlic Purchase"</formula>
    </cfRule>
    <cfRule type="expression" dxfId="10736" priority="9212">
      <formula>$C38="Ginger Purchase"</formula>
    </cfRule>
  </conditionalFormatting>
  <conditionalFormatting sqref="B38">
    <cfRule type="expression" dxfId="10735" priority="9213">
      <formula>$C38="Advance"</formula>
    </cfRule>
  </conditionalFormatting>
  <conditionalFormatting sqref="B38">
    <cfRule type="expression" dxfId="10734" priority="9194">
      <formula>$C38="Delivery charge"</formula>
    </cfRule>
    <cfRule type="expression" dxfId="10733" priority="9195">
      <formula>$C38="Staff Salary"</formula>
    </cfRule>
    <cfRule type="expression" dxfId="10732" priority="9196">
      <formula>$C38="Rent"</formula>
    </cfRule>
    <cfRule type="expression" dxfId="10731" priority="9197">
      <formula>$C38="Petrol"</formula>
    </cfRule>
    <cfRule type="expression" dxfId="10730" priority="9198">
      <formula>$C38="Bills"</formula>
    </cfRule>
    <cfRule type="expression" dxfId="10729" priority="9199">
      <formula>$C38="Sales"</formula>
    </cfRule>
    <cfRule type="expression" dxfId="10728" priority="9200">
      <formula>$C38="Expences"</formula>
    </cfRule>
    <cfRule type="expression" dxfId="10727" priority="9201">
      <formula>$C38="Garlic Purchase"</formula>
    </cfRule>
    <cfRule type="expression" dxfId="10726" priority="9202">
      <formula>$C38="Ginger Purchase"</formula>
    </cfRule>
  </conditionalFormatting>
  <conditionalFormatting sqref="B38">
    <cfRule type="expression" dxfId="10725" priority="9203">
      <formula>$C38="Advance"</formula>
    </cfRule>
  </conditionalFormatting>
  <conditionalFormatting sqref="B39 B41:B65 B67 B69:B73 B75:B239">
    <cfRule type="expression" dxfId="10724" priority="9184">
      <formula>$C39="Delivery charge"</formula>
    </cfRule>
    <cfRule type="expression" dxfId="10723" priority="9185">
      <formula>$C39="Staff Salary"</formula>
    </cfRule>
    <cfRule type="expression" dxfId="10722" priority="9186">
      <formula>$C39="Rent"</formula>
    </cfRule>
    <cfRule type="expression" dxfId="10721" priority="9187">
      <formula>$C39="Petrol"</formula>
    </cfRule>
    <cfRule type="expression" dxfId="10720" priority="9188">
      <formula>$C39="Bills"</formula>
    </cfRule>
    <cfRule type="expression" dxfId="10719" priority="9189">
      <formula>$C39="Sales"</formula>
    </cfRule>
    <cfRule type="expression" dxfId="10718" priority="9190">
      <formula>$C39="Expences"</formula>
    </cfRule>
    <cfRule type="expression" dxfId="10717" priority="9191">
      <formula>$C39="Garlic Purchase"</formula>
    </cfRule>
    <cfRule type="expression" dxfId="10716" priority="9192">
      <formula>$C39="Ginger Purchase"</formula>
    </cfRule>
  </conditionalFormatting>
  <conditionalFormatting sqref="B39 B41:B65 B67 B69:B73 B75:B239">
    <cfRule type="expression" dxfId="2423" priority="9193">
      <formula>$C39="Advance"</formula>
    </cfRule>
  </conditionalFormatting>
  <conditionalFormatting sqref="B38">
    <cfRule type="expression" dxfId="10715" priority="9174">
      <formula>$C38="Delivery charge"</formula>
    </cfRule>
    <cfRule type="expression" dxfId="10714" priority="9175">
      <formula>$C38="Staff Salary"</formula>
    </cfRule>
    <cfRule type="expression" dxfId="10713" priority="9176">
      <formula>$C38="Rent"</formula>
    </cfRule>
    <cfRule type="expression" dxfId="10712" priority="9177">
      <formula>$C38="Petrol"</formula>
    </cfRule>
    <cfRule type="expression" dxfId="10711" priority="9178">
      <formula>$C38="Bills"</formula>
    </cfRule>
    <cfRule type="expression" dxfId="10710" priority="9179">
      <formula>$C38="Sales"</formula>
    </cfRule>
    <cfRule type="expression" dxfId="10709" priority="9180">
      <formula>$C38="Expences"</formula>
    </cfRule>
    <cfRule type="expression" dxfId="10708" priority="9181">
      <formula>$C38="Garlic Purchase"</formula>
    </cfRule>
    <cfRule type="expression" dxfId="10707" priority="9182">
      <formula>$C38="Ginger Purchase"</formula>
    </cfRule>
  </conditionalFormatting>
  <conditionalFormatting sqref="B38">
    <cfRule type="expression" dxfId="10706" priority="9183">
      <formula>$C38="Advance"</formula>
    </cfRule>
  </conditionalFormatting>
  <conditionalFormatting sqref="B38">
    <cfRule type="expression" dxfId="10705" priority="9164">
      <formula>$C38="Delivery charge"</formula>
    </cfRule>
    <cfRule type="expression" dxfId="10704" priority="9165">
      <formula>$C38="Staff Salary"</formula>
    </cfRule>
    <cfRule type="expression" dxfId="10703" priority="9166">
      <formula>$C38="Rent"</formula>
    </cfRule>
    <cfRule type="expression" dxfId="10702" priority="9167">
      <formula>$C38="Petrol"</formula>
    </cfRule>
    <cfRule type="expression" dxfId="10701" priority="9168">
      <formula>$C38="Bills"</formula>
    </cfRule>
    <cfRule type="expression" dxfId="10700" priority="9169">
      <formula>$C38="Sales"</formula>
    </cfRule>
    <cfRule type="expression" dxfId="10699" priority="9170">
      <formula>$C38="Expences"</formula>
    </cfRule>
    <cfRule type="expression" dxfId="10698" priority="9171">
      <formula>$C38="Garlic Purchase"</formula>
    </cfRule>
    <cfRule type="expression" dxfId="10697" priority="9172">
      <formula>$C38="Ginger Purchase"</formula>
    </cfRule>
  </conditionalFormatting>
  <conditionalFormatting sqref="B38">
    <cfRule type="expression" dxfId="10696" priority="9173">
      <formula>$C38="Advance"</formula>
    </cfRule>
  </conditionalFormatting>
  <conditionalFormatting sqref="B38">
    <cfRule type="expression" dxfId="10695" priority="9154">
      <formula>$C38="Delivery charge"</formula>
    </cfRule>
    <cfRule type="expression" dxfId="10694" priority="9155">
      <formula>$C38="Staff Salary"</formula>
    </cfRule>
    <cfRule type="expression" dxfId="10693" priority="9156">
      <formula>$C38="Rent"</formula>
    </cfRule>
    <cfRule type="expression" dxfId="10692" priority="9157">
      <formula>$C38="Petrol"</formula>
    </cfRule>
    <cfRule type="expression" dxfId="10691" priority="9158">
      <formula>$C38="Bills"</formula>
    </cfRule>
    <cfRule type="expression" dxfId="10690" priority="9159">
      <formula>$C38="Sales"</formula>
    </cfRule>
    <cfRule type="expression" dxfId="10689" priority="9160">
      <formula>$C38="Expences"</formula>
    </cfRule>
    <cfRule type="expression" dxfId="10688" priority="9161">
      <formula>$C38="Garlic Purchase"</formula>
    </cfRule>
    <cfRule type="expression" dxfId="10687" priority="9162">
      <formula>$C38="Ginger Purchase"</formula>
    </cfRule>
  </conditionalFormatting>
  <conditionalFormatting sqref="B38">
    <cfRule type="expression" dxfId="10686" priority="9163">
      <formula>$C38="Advance"</formula>
    </cfRule>
  </conditionalFormatting>
  <conditionalFormatting sqref="B38">
    <cfRule type="expression" dxfId="10685" priority="9144">
      <formula>$C38="Delivery charge"</formula>
    </cfRule>
    <cfRule type="expression" dxfId="10684" priority="9145">
      <formula>$C38="Staff Salary"</formula>
    </cfRule>
    <cfRule type="expression" dxfId="10683" priority="9146">
      <formula>$C38="Rent"</formula>
    </cfRule>
    <cfRule type="expression" dxfId="10682" priority="9147">
      <formula>$C38="Petrol"</formula>
    </cfRule>
    <cfRule type="expression" dxfId="10681" priority="9148">
      <formula>$C38="Bills"</formula>
    </cfRule>
    <cfRule type="expression" dxfId="10680" priority="9149">
      <formula>$C38="Sales"</formula>
    </cfRule>
    <cfRule type="expression" dxfId="10679" priority="9150">
      <formula>$C38="Expences"</formula>
    </cfRule>
    <cfRule type="expression" dxfId="10678" priority="9151">
      <formula>$C38="Garlic Purchase"</formula>
    </cfRule>
    <cfRule type="expression" dxfId="10677" priority="9152">
      <formula>$C38="Ginger Purchase"</formula>
    </cfRule>
  </conditionalFormatting>
  <conditionalFormatting sqref="B38">
    <cfRule type="expression" dxfId="10676" priority="9153">
      <formula>$C38="Advance"</formula>
    </cfRule>
  </conditionalFormatting>
  <conditionalFormatting sqref="B39 B41:B65 B67 B69:B73 B75:B239">
    <cfRule type="expression" dxfId="2422" priority="9134">
      <formula>$C39="Delivery charge"</formula>
    </cfRule>
    <cfRule type="expression" dxfId="2421" priority="9135">
      <formula>$C39="Staff Salary"</formula>
    </cfRule>
    <cfRule type="expression" dxfId="2420" priority="9136">
      <formula>$C39="Rent"</formula>
    </cfRule>
    <cfRule type="expression" dxfId="2419" priority="9137">
      <formula>$C39="Petrol"</formula>
    </cfRule>
    <cfRule type="expression" dxfId="2418" priority="9138">
      <formula>$C39="Bills"</formula>
    </cfRule>
    <cfRule type="expression" dxfId="2417" priority="9139">
      <formula>$C39="Sales"</formula>
    </cfRule>
    <cfRule type="expression" dxfId="2416" priority="9140">
      <formula>$C39="Expences"</formula>
    </cfRule>
    <cfRule type="expression" dxfId="2415" priority="9141">
      <formula>$C39="Garlic Purchase"</formula>
    </cfRule>
    <cfRule type="expression" dxfId="2414" priority="9142">
      <formula>$C39="Ginger Purchase"</formula>
    </cfRule>
  </conditionalFormatting>
  <conditionalFormatting sqref="B39 B41:B65 B67 B69:B73 B75:B239">
    <cfRule type="expression" dxfId="2413" priority="9143">
      <formula>$C39="Advance"</formula>
    </cfRule>
  </conditionalFormatting>
  <conditionalFormatting sqref="B39 B41:B65 B67 B69:B73 B75:B239">
    <cfRule type="expression" dxfId="2412" priority="9124">
      <formula>$C39="Delivery charge"</formula>
    </cfRule>
    <cfRule type="expression" dxfId="2411" priority="9125">
      <formula>$C39="Staff Salary"</formula>
    </cfRule>
    <cfRule type="expression" dxfId="2410" priority="9126">
      <formula>$C39="Rent"</formula>
    </cfRule>
    <cfRule type="expression" dxfId="2409" priority="9127">
      <formula>$C39="Petrol"</formula>
    </cfRule>
    <cfRule type="expression" dxfId="2408" priority="9128">
      <formula>$C39="Bills"</formula>
    </cfRule>
    <cfRule type="expression" dxfId="2407" priority="9129">
      <formula>$C39="Sales"</formula>
    </cfRule>
    <cfRule type="expression" dxfId="2406" priority="9130">
      <formula>$C39="Expences"</formula>
    </cfRule>
    <cfRule type="expression" dxfId="2405" priority="9131">
      <formula>$C39="Garlic Purchase"</formula>
    </cfRule>
    <cfRule type="expression" dxfId="2404" priority="9132">
      <formula>$C39="Ginger Purchase"</formula>
    </cfRule>
  </conditionalFormatting>
  <conditionalFormatting sqref="B39 B41:B65 B67 B69:B73 B75:B239">
    <cfRule type="expression" dxfId="2403" priority="9133">
      <formula>$C39="Advance"</formula>
    </cfRule>
  </conditionalFormatting>
  <conditionalFormatting sqref="B39 B41:B65 B67 B69:B73 B75:B239">
    <cfRule type="expression" dxfId="2402" priority="9114">
      <formula>$C39="Delivery charge"</formula>
    </cfRule>
    <cfRule type="expression" dxfId="2401" priority="9115">
      <formula>$C39="Staff Salary"</formula>
    </cfRule>
    <cfRule type="expression" dxfId="2400" priority="9116">
      <formula>$C39="Rent"</formula>
    </cfRule>
    <cfRule type="expression" dxfId="2399" priority="9117">
      <formula>$C39="Petrol"</formula>
    </cfRule>
    <cfRule type="expression" dxfId="2398" priority="9118">
      <formula>$C39="Bills"</formula>
    </cfRule>
    <cfRule type="expression" dxfId="2397" priority="9119">
      <formula>$C39="Sales"</formula>
    </cfRule>
    <cfRule type="expression" dxfId="2396" priority="9120">
      <formula>$C39="Expences"</formula>
    </cfRule>
    <cfRule type="expression" dxfId="2395" priority="9121">
      <formula>$C39="Garlic Purchase"</formula>
    </cfRule>
    <cfRule type="expression" dxfId="2394" priority="9122">
      <formula>$C39="Ginger Purchase"</formula>
    </cfRule>
  </conditionalFormatting>
  <conditionalFormatting sqref="B39 B41:B65 B67 B69:B73 B75:B239">
    <cfRule type="expression" dxfId="2393" priority="9123">
      <formula>$C39="Advance"</formula>
    </cfRule>
  </conditionalFormatting>
  <conditionalFormatting sqref="B39 B41:B65 B67 B69:B73 B75:B239">
    <cfRule type="expression" dxfId="2392" priority="9104">
      <formula>$C39="Delivery charge"</formula>
    </cfRule>
    <cfRule type="expression" dxfId="2391" priority="9105">
      <formula>$C39="Staff Salary"</formula>
    </cfRule>
    <cfRule type="expression" dxfId="2390" priority="9106">
      <formula>$C39="Rent"</formula>
    </cfRule>
    <cfRule type="expression" dxfId="2389" priority="9107">
      <formula>$C39="Petrol"</formula>
    </cfRule>
    <cfRule type="expression" dxfId="2388" priority="9108">
      <formula>$C39="Bills"</formula>
    </cfRule>
    <cfRule type="expression" dxfId="2387" priority="9109">
      <formula>$C39="Sales"</formula>
    </cfRule>
    <cfRule type="expression" dxfId="2386" priority="9110">
      <formula>$C39="Expences"</formula>
    </cfRule>
    <cfRule type="expression" dxfId="2385" priority="9111">
      <formula>$C39="Garlic Purchase"</formula>
    </cfRule>
    <cfRule type="expression" dxfId="2384" priority="9112">
      <formula>$C39="Ginger Purchase"</formula>
    </cfRule>
  </conditionalFormatting>
  <conditionalFormatting sqref="B39 B41:B65 B67 B69:B73 B75:B239">
    <cfRule type="expression" dxfId="2383" priority="9113">
      <formula>$C39="Advance"</formula>
    </cfRule>
  </conditionalFormatting>
  <conditionalFormatting sqref="B38">
    <cfRule type="expression" dxfId="10675" priority="9094">
      <formula>$C38="Delivery charge"</formula>
    </cfRule>
    <cfRule type="expression" dxfId="10674" priority="9095">
      <formula>$C38="Staff Salary"</formula>
    </cfRule>
    <cfRule type="expression" dxfId="10673" priority="9096">
      <formula>$C38="Rent"</formula>
    </cfRule>
    <cfRule type="expression" dxfId="10672" priority="9097">
      <formula>$C38="Petrol"</formula>
    </cfRule>
    <cfRule type="expression" dxfId="10671" priority="9098">
      <formula>$C38="Bills"</formula>
    </cfRule>
    <cfRule type="expression" dxfId="10670" priority="9099">
      <formula>$C38="Sales"</formula>
    </cfRule>
    <cfRule type="expression" dxfId="10669" priority="9100">
      <formula>$C38="Expences"</formula>
    </cfRule>
    <cfRule type="expression" dxfId="10668" priority="9101">
      <formula>$C38="Garlic Purchase"</formula>
    </cfRule>
    <cfRule type="expression" dxfId="10667" priority="9102">
      <formula>$C38="Ginger Purchase"</formula>
    </cfRule>
  </conditionalFormatting>
  <conditionalFormatting sqref="B38">
    <cfRule type="expression" dxfId="10666" priority="9103">
      <formula>$C38="Advance"</formula>
    </cfRule>
  </conditionalFormatting>
  <conditionalFormatting sqref="B39 B41:B65 B67 B69:B73 B75:B239">
    <cfRule type="expression" dxfId="2382" priority="9084">
      <formula>$C39="Delivery charge"</formula>
    </cfRule>
    <cfRule type="expression" dxfId="2381" priority="9085">
      <formula>$C39="Staff Salary"</formula>
    </cfRule>
    <cfRule type="expression" dxfId="2380" priority="9086">
      <formula>$C39="Rent"</formula>
    </cfRule>
    <cfRule type="expression" dxfId="2379" priority="9087">
      <formula>$C39="Petrol"</formula>
    </cfRule>
    <cfRule type="expression" dxfId="2378" priority="9088">
      <formula>$C39="Bills"</formula>
    </cfRule>
    <cfRule type="expression" dxfId="2377" priority="9089">
      <formula>$C39="Sales"</formula>
    </cfRule>
    <cfRule type="expression" dxfId="2376" priority="9090">
      <formula>$C39="Expences"</formula>
    </cfRule>
    <cfRule type="expression" dxfId="2375" priority="9091">
      <formula>$C39="Garlic Purchase"</formula>
    </cfRule>
    <cfRule type="expression" dxfId="2374" priority="9092">
      <formula>$C39="Ginger Purchase"</formula>
    </cfRule>
  </conditionalFormatting>
  <conditionalFormatting sqref="B39 B41:B65 B67 B69:B73 B75:B239">
    <cfRule type="expression" dxfId="2373" priority="9093">
      <formula>$C39="Advance"</formula>
    </cfRule>
  </conditionalFormatting>
  <conditionalFormatting sqref="B39 B41:B65 B67 B69:B73 B75:B239">
    <cfRule type="expression" dxfId="2372" priority="9074">
      <formula>$C39="Delivery charge"</formula>
    </cfRule>
    <cfRule type="expression" dxfId="2371" priority="9075">
      <formula>$C39="Staff Salary"</formula>
    </cfRule>
    <cfRule type="expression" dxfId="2370" priority="9076">
      <formula>$C39="Rent"</formula>
    </cfRule>
    <cfRule type="expression" dxfId="2369" priority="9077">
      <formula>$C39="Petrol"</formula>
    </cfRule>
    <cfRule type="expression" dxfId="2368" priority="9078">
      <formula>$C39="Bills"</formula>
    </cfRule>
    <cfRule type="expression" dxfId="2367" priority="9079">
      <formula>$C39="Sales"</formula>
    </cfRule>
    <cfRule type="expression" dxfId="2366" priority="9080">
      <formula>$C39="Expences"</formula>
    </cfRule>
    <cfRule type="expression" dxfId="2365" priority="9081">
      <formula>$C39="Garlic Purchase"</formula>
    </cfRule>
    <cfRule type="expression" dxfId="2364" priority="9082">
      <formula>$C39="Ginger Purchase"</formula>
    </cfRule>
  </conditionalFormatting>
  <conditionalFormatting sqref="B39 B41:B65 B67 B69:B73 B75:B239">
    <cfRule type="expression" dxfId="2363" priority="9083">
      <formula>$C39="Advance"</formula>
    </cfRule>
  </conditionalFormatting>
  <conditionalFormatting sqref="B39 B41:B65 B67 B69:B73 B75:B239">
    <cfRule type="expression" dxfId="2362" priority="9064">
      <formula>$C39="Delivery charge"</formula>
    </cfRule>
    <cfRule type="expression" dxfId="2361" priority="9065">
      <formula>$C39="Staff Salary"</formula>
    </cfRule>
    <cfRule type="expression" dxfId="2360" priority="9066">
      <formula>$C39="Rent"</formula>
    </cfRule>
    <cfRule type="expression" dxfId="2359" priority="9067">
      <formula>$C39="Petrol"</formula>
    </cfRule>
    <cfRule type="expression" dxfId="2358" priority="9068">
      <formula>$C39="Bills"</formula>
    </cfRule>
    <cfRule type="expression" dxfId="2357" priority="9069">
      <formula>$C39="Sales"</formula>
    </cfRule>
    <cfRule type="expression" dxfId="2356" priority="9070">
      <formula>$C39="Expences"</formula>
    </cfRule>
    <cfRule type="expression" dxfId="2355" priority="9071">
      <formula>$C39="Garlic Purchase"</formula>
    </cfRule>
    <cfRule type="expression" dxfId="2354" priority="9072">
      <formula>$C39="Ginger Purchase"</formula>
    </cfRule>
  </conditionalFormatting>
  <conditionalFormatting sqref="B39 B41:B65 B67 B69:B73 B75:B239">
    <cfRule type="expression" dxfId="2353" priority="9073">
      <formula>$C39="Advance"</formula>
    </cfRule>
  </conditionalFormatting>
  <conditionalFormatting sqref="B39 B41:B65 B67 B69:B73 B75:B239">
    <cfRule type="expression" dxfId="2352" priority="9054">
      <formula>$C39="Delivery charge"</formula>
    </cfRule>
    <cfRule type="expression" dxfId="2351" priority="9055">
      <formula>$C39="Staff Salary"</formula>
    </cfRule>
    <cfRule type="expression" dxfId="2350" priority="9056">
      <formula>$C39="Rent"</formula>
    </cfRule>
    <cfRule type="expression" dxfId="2349" priority="9057">
      <formula>$C39="Petrol"</formula>
    </cfRule>
    <cfRule type="expression" dxfId="2348" priority="9058">
      <formula>$C39="Bills"</formula>
    </cfRule>
    <cfRule type="expression" dxfId="2347" priority="9059">
      <formula>$C39="Sales"</formula>
    </cfRule>
    <cfRule type="expression" dxfId="2346" priority="9060">
      <formula>$C39="Expences"</formula>
    </cfRule>
    <cfRule type="expression" dxfId="2345" priority="9061">
      <formula>$C39="Garlic Purchase"</formula>
    </cfRule>
    <cfRule type="expression" dxfId="2344" priority="9062">
      <formula>$C39="Ginger Purchase"</formula>
    </cfRule>
  </conditionalFormatting>
  <conditionalFormatting sqref="B39 B41:B65 B67 B69:B73 B75:B239">
    <cfRule type="expression" dxfId="2343" priority="9063">
      <formula>$C39="Advance"</formula>
    </cfRule>
  </conditionalFormatting>
  <conditionalFormatting sqref="B39 B41:B65 B67 B69:B73 B75:B239">
    <cfRule type="expression" dxfId="2342" priority="9044">
      <formula>$C39="Delivery charge"</formula>
    </cfRule>
    <cfRule type="expression" dxfId="2341" priority="9045">
      <formula>$C39="Staff Salary"</formula>
    </cfRule>
    <cfRule type="expression" dxfId="2340" priority="9046">
      <formula>$C39="Rent"</formula>
    </cfRule>
    <cfRule type="expression" dxfId="2339" priority="9047">
      <formula>$C39="Petrol"</formula>
    </cfRule>
    <cfRule type="expression" dxfId="2338" priority="9048">
      <formula>$C39="Bills"</formula>
    </cfRule>
    <cfRule type="expression" dxfId="2337" priority="9049">
      <formula>$C39="Sales"</formula>
    </cfRule>
    <cfRule type="expression" dxfId="2336" priority="9050">
      <formula>$C39="Expences"</formula>
    </cfRule>
    <cfRule type="expression" dxfId="2335" priority="9051">
      <formula>$C39="Garlic Purchase"</formula>
    </cfRule>
    <cfRule type="expression" dxfId="2334" priority="9052">
      <formula>$C39="Ginger Purchase"</formula>
    </cfRule>
  </conditionalFormatting>
  <conditionalFormatting sqref="B39 B41:B65 B67 B69:B73 B75:B239">
    <cfRule type="expression" dxfId="2333" priority="9053">
      <formula>$C39="Advance"</formula>
    </cfRule>
  </conditionalFormatting>
  <conditionalFormatting sqref="B38">
    <cfRule type="expression" dxfId="10665" priority="9034">
      <formula>$C38="Delivery charge"</formula>
    </cfRule>
    <cfRule type="expression" dxfId="10664" priority="9035">
      <formula>$C38="Staff Salary"</formula>
    </cfRule>
    <cfRule type="expression" dxfId="10663" priority="9036">
      <formula>$C38="Rent"</formula>
    </cfRule>
    <cfRule type="expression" dxfId="10662" priority="9037">
      <formula>$C38="Petrol"</formula>
    </cfRule>
    <cfRule type="expression" dxfId="10661" priority="9038">
      <formula>$C38="Bills"</formula>
    </cfRule>
    <cfRule type="expression" dxfId="10660" priority="9039">
      <formula>$C38="Sales"</formula>
    </cfRule>
    <cfRule type="expression" dxfId="10659" priority="9040">
      <formula>$C38="Expences"</formula>
    </cfRule>
    <cfRule type="expression" dxfId="10658" priority="9041">
      <formula>$C38="Garlic Purchase"</formula>
    </cfRule>
    <cfRule type="expression" dxfId="10657" priority="9042">
      <formula>$C38="Ginger Purchase"</formula>
    </cfRule>
  </conditionalFormatting>
  <conditionalFormatting sqref="B38">
    <cfRule type="expression" dxfId="10656" priority="9043">
      <formula>$C38="Advance"</formula>
    </cfRule>
  </conditionalFormatting>
  <conditionalFormatting sqref="B38">
    <cfRule type="expression" dxfId="10655" priority="9024">
      <formula>$C38="Delivery charge"</formula>
    </cfRule>
    <cfRule type="expression" dxfId="10654" priority="9025">
      <formula>$C38="Staff Salary"</formula>
    </cfRule>
    <cfRule type="expression" dxfId="10653" priority="9026">
      <formula>$C38="Rent"</formula>
    </cfRule>
    <cfRule type="expression" dxfId="10652" priority="9027">
      <formula>$C38="Petrol"</formula>
    </cfRule>
    <cfRule type="expression" dxfId="10651" priority="9028">
      <formula>$C38="Bills"</formula>
    </cfRule>
    <cfRule type="expression" dxfId="10650" priority="9029">
      <formula>$C38="Sales"</formula>
    </cfRule>
    <cfRule type="expression" dxfId="10649" priority="9030">
      <formula>$C38="Expences"</formula>
    </cfRule>
    <cfRule type="expression" dxfId="10648" priority="9031">
      <formula>$C38="Garlic Purchase"</formula>
    </cfRule>
    <cfRule type="expression" dxfId="10647" priority="9032">
      <formula>$C38="Ginger Purchase"</formula>
    </cfRule>
  </conditionalFormatting>
  <conditionalFormatting sqref="B38">
    <cfRule type="expression" dxfId="10646" priority="9033">
      <formula>$C38="Advance"</formula>
    </cfRule>
  </conditionalFormatting>
  <conditionalFormatting sqref="B38">
    <cfRule type="expression" dxfId="10645" priority="9014">
      <formula>$C38="Delivery charge"</formula>
    </cfRule>
    <cfRule type="expression" dxfId="10644" priority="9015">
      <formula>$C38="Staff Salary"</formula>
    </cfRule>
    <cfRule type="expression" dxfId="10643" priority="9016">
      <formula>$C38="Rent"</formula>
    </cfRule>
    <cfRule type="expression" dxfId="10642" priority="9017">
      <formula>$C38="Petrol"</formula>
    </cfRule>
    <cfRule type="expression" dxfId="10641" priority="9018">
      <formula>$C38="Bills"</formula>
    </cfRule>
    <cfRule type="expression" dxfId="10640" priority="9019">
      <formula>$C38="Sales"</formula>
    </cfRule>
    <cfRule type="expression" dxfId="10639" priority="9020">
      <formula>$C38="Expences"</formula>
    </cfRule>
    <cfRule type="expression" dxfId="10638" priority="9021">
      <formula>$C38="Garlic Purchase"</formula>
    </cfRule>
    <cfRule type="expression" dxfId="10637" priority="9022">
      <formula>$C38="Ginger Purchase"</formula>
    </cfRule>
  </conditionalFormatting>
  <conditionalFormatting sqref="B38">
    <cfRule type="expression" dxfId="10636" priority="9023">
      <formula>$C38="Advance"</formula>
    </cfRule>
  </conditionalFormatting>
  <conditionalFormatting sqref="B38">
    <cfRule type="expression" dxfId="10635" priority="9004">
      <formula>$C38="Delivery charge"</formula>
    </cfRule>
    <cfRule type="expression" dxfId="10634" priority="9005">
      <formula>$C38="Staff Salary"</formula>
    </cfRule>
    <cfRule type="expression" dxfId="10633" priority="9006">
      <formula>$C38="Rent"</formula>
    </cfRule>
    <cfRule type="expression" dxfId="10632" priority="9007">
      <formula>$C38="Petrol"</formula>
    </cfRule>
    <cfRule type="expression" dxfId="10631" priority="9008">
      <formula>$C38="Bills"</formula>
    </cfRule>
    <cfRule type="expression" dxfId="10630" priority="9009">
      <formula>$C38="Sales"</formula>
    </cfRule>
    <cfRule type="expression" dxfId="10629" priority="9010">
      <formula>$C38="Expences"</formula>
    </cfRule>
    <cfRule type="expression" dxfId="10628" priority="9011">
      <formula>$C38="Garlic Purchase"</formula>
    </cfRule>
    <cfRule type="expression" dxfId="10627" priority="9012">
      <formula>$C38="Ginger Purchase"</formula>
    </cfRule>
  </conditionalFormatting>
  <conditionalFormatting sqref="B38">
    <cfRule type="expression" dxfId="10626" priority="9013">
      <formula>$C38="Advance"</formula>
    </cfRule>
  </conditionalFormatting>
  <conditionalFormatting sqref="B38">
    <cfRule type="expression" dxfId="10625" priority="8994">
      <formula>$C38="Delivery charge"</formula>
    </cfRule>
    <cfRule type="expression" dxfId="10624" priority="8995">
      <formula>$C38="Staff Salary"</formula>
    </cfRule>
    <cfRule type="expression" dxfId="10623" priority="8996">
      <formula>$C38="Rent"</formula>
    </cfRule>
    <cfRule type="expression" dxfId="10622" priority="8997">
      <formula>$C38="Petrol"</formula>
    </cfRule>
    <cfRule type="expression" dxfId="10621" priority="8998">
      <formula>$C38="Bills"</formula>
    </cfRule>
    <cfRule type="expression" dxfId="10620" priority="8999">
      <formula>$C38="Sales"</formula>
    </cfRule>
    <cfRule type="expression" dxfId="10619" priority="9000">
      <formula>$C38="Expences"</formula>
    </cfRule>
    <cfRule type="expression" dxfId="10618" priority="9001">
      <formula>$C38="Garlic Purchase"</formula>
    </cfRule>
    <cfRule type="expression" dxfId="10617" priority="9002">
      <formula>$C38="Ginger Purchase"</formula>
    </cfRule>
  </conditionalFormatting>
  <conditionalFormatting sqref="B38">
    <cfRule type="expression" dxfId="10616" priority="9003">
      <formula>$C38="Advance"</formula>
    </cfRule>
  </conditionalFormatting>
  <conditionalFormatting sqref="B39 B41:B65 B67 B69:B73 B75:B239">
    <cfRule type="expression" dxfId="2332" priority="8984">
      <formula>$C39="Delivery charge"</formula>
    </cfRule>
    <cfRule type="expression" dxfId="2331" priority="8985">
      <formula>$C39="Staff Salary"</formula>
    </cfRule>
    <cfRule type="expression" dxfId="2330" priority="8986">
      <formula>$C39="Rent"</formula>
    </cfRule>
    <cfRule type="expression" dxfId="2329" priority="8987">
      <formula>$C39="Petrol"</formula>
    </cfRule>
    <cfRule type="expression" dxfId="2328" priority="8988">
      <formula>$C39="Bills"</formula>
    </cfRule>
    <cfRule type="expression" dxfId="2327" priority="8989">
      <formula>$C39="Sales"</formula>
    </cfRule>
    <cfRule type="expression" dxfId="2326" priority="8990">
      <formula>$C39="Expences"</formula>
    </cfRule>
    <cfRule type="expression" dxfId="2325" priority="8991">
      <formula>$C39="Garlic Purchase"</formula>
    </cfRule>
    <cfRule type="expression" dxfId="2324" priority="8992">
      <formula>$C39="Ginger Purchase"</formula>
    </cfRule>
  </conditionalFormatting>
  <conditionalFormatting sqref="B38">
    <cfRule type="expression" dxfId="10615" priority="8974">
      <formula>$C38="Delivery charge"</formula>
    </cfRule>
    <cfRule type="expression" dxfId="10614" priority="8975">
      <formula>$C38="Staff Salary"</formula>
    </cfRule>
    <cfRule type="expression" dxfId="10613" priority="8976">
      <formula>$C38="Rent"</formula>
    </cfRule>
    <cfRule type="expression" dxfId="10612" priority="8977">
      <formula>$C38="Petrol"</formula>
    </cfRule>
    <cfRule type="expression" dxfId="10611" priority="8978">
      <formula>$C38="Bills"</formula>
    </cfRule>
    <cfRule type="expression" dxfId="10610" priority="8979">
      <formula>$C38="Sales"</formula>
    </cfRule>
    <cfRule type="expression" dxfId="10609" priority="8980">
      <formula>$C38="Expences"</formula>
    </cfRule>
    <cfRule type="expression" dxfId="10608" priority="8981">
      <formula>$C38="Garlic Purchase"</formula>
    </cfRule>
    <cfRule type="expression" dxfId="10607" priority="8982">
      <formula>$C38="Ginger Purchase"</formula>
    </cfRule>
  </conditionalFormatting>
  <conditionalFormatting sqref="B38">
    <cfRule type="expression" dxfId="10606" priority="8983">
      <formula>$C38="Advance"</formula>
    </cfRule>
  </conditionalFormatting>
  <conditionalFormatting sqref="B38">
    <cfRule type="expression" dxfId="10605" priority="8964">
      <formula>$C38="Delivery charge"</formula>
    </cfRule>
    <cfRule type="expression" dxfId="10604" priority="8965">
      <formula>$C38="Staff Salary"</formula>
    </cfRule>
    <cfRule type="expression" dxfId="10603" priority="8966">
      <formula>$C38="Rent"</formula>
    </cfRule>
    <cfRule type="expression" dxfId="10602" priority="8967">
      <formula>$C38="Petrol"</formula>
    </cfRule>
    <cfRule type="expression" dxfId="10601" priority="8968">
      <formula>$C38="Bills"</formula>
    </cfRule>
    <cfRule type="expression" dxfId="10600" priority="8969">
      <formula>$C38="Sales"</formula>
    </cfRule>
    <cfRule type="expression" dxfId="10599" priority="8970">
      <formula>$C38="Expences"</formula>
    </cfRule>
    <cfRule type="expression" dxfId="10598" priority="8971">
      <formula>$C38="Garlic Purchase"</formula>
    </cfRule>
    <cfRule type="expression" dxfId="10597" priority="8972">
      <formula>$C38="Ginger Purchase"</formula>
    </cfRule>
  </conditionalFormatting>
  <conditionalFormatting sqref="B38">
    <cfRule type="expression" dxfId="10596" priority="8973">
      <formula>$C38="Advance"</formula>
    </cfRule>
  </conditionalFormatting>
  <conditionalFormatting sqref="B38">
    <cfRule type="expression" dxfId="10595" priority="8954">
      <formula>$C38="Delivery charge"</formula>
    </cfRule>
    <cfRule type="expression" dxfId="10594" priority="8955">
      <formula>$C38="Staff Salary"</formula>
    </cfRule>
    <cfRule type="expression" dxfId="10593" priority="8956">
      <formula>$C38="Rent"</formula>
    </cfRule>
    <cfRule type="expression" dxfId="10592" priority="8957">
      <formula>$C38="Petrol"</formula>
    </cfRule>
    <cfRule type="expression" dxfId="10591" priority="8958">
      <formula>$C38="Bills"</formula>
    </cfRule>
    <cfRule type="expression" dxfId="10590" priority="8959">
      <formula>$C38="Sales"</formula>
    </cfRule>
    <cfRule type="expression" dxfId="10589" priority="8960">
      <formula>$C38="Expences"</formula>
    </cfRule>
    <cfRule type="expression" dxfId="10588" priority="8961">
      <formula>$C38="Garlic Purchase"</formula>
    </cfRule>
    <cfRule type="expression" dxfId="10587" priority="8962">
      <formula>$C38="Ginger Purchase"</formula>
    </cfRule>
  </conditionalFormatting>
  <conditionalFormatting sqref="B38">
    <cfRule type="expression" dxfId="10586" priority="8963">
      <formula>$C38="Advance"</formula>
    </cfRule>
  </conditionalFormatting>
  <conditionalFormatting sqref="B38">
    <cfRule type="expression" dxfId="10585" priority="8944">
      <formula>$C38="Delivery charge"</formula>
    </cfRule>
    <cfRule type="expression" dxfId="10584" priority="8945">
      <formula>$C38="Staff Salary"</formula>
    </cfRule>
    <cfRule type="expression" dxfId="10583" priority="8946">
      <formula>$C38="Rent"</formula>
    </cfRule>
    <cfRule type="expression" dxfId="10582" priority="8947">
      <formula>$C38="Petrol"</formula>
    </cfRule>
    <cfRule type="expression" dxfId="10581" priority="8948">
      <formula>$C38="Bills"</formula>
    </cfRule>
    <cfRule type="expression" dxfId="10580" priority="8949">
      <formula>$C38="Sales"</formula>
    </cfRule>
    <cfRule type="expression" dxfId="10579" priority="8950">
      <formula>$C38="Expences"</formula>
    </cfRule>
    <cfRule type="expression" dxfId="10578" priority="8951">
      <formula>$C38="Garlic Purchase"</formula>
    </cfRule>
    <cfRule type="expression" dxfId="10577" priority="8952">
      <formula>$C38="Ginger Purchase"</formula>
    </cfRule>
  </conditionalFormatting>
  <conditionalFormatting sqref="B38">
    <cfRule type="expression" dxfId="10576" priority="8953">
      <formula>$C38="Advance"</formula>
    </cfRule>
  </conditionalFormatting>
  <conditionalFormatting sqref="B38">
    <cfRule type="expression" dxfId="10575" priority="8934">
      <formula>$C38="Delivery charge"</formula>
    </cfRule>
    <cfRule type="expression" dxfId="10574" priority="8935">
      <formula>$C38="Staff Salary"</formula>
    </cfRule>
    <cfRule type="expression" dxfId="10573" priority="8936">
      <formula>$C38="Rent"</formula>
    </cfRule>
    <cfRule type="expression" dxfId="10572" priority="8937">
      <formula>$C38="Petrol"</formula>
    </cfRule>
    <cfRule type="expression" dxfId="10571" priority="8938">
      <formula>$C38="Bills"</formula>
    </cfRule>
    <cfRule type="expression" dxfId="10570" priority="8939">
      <formula>$C38="Sales"</formula>
    </cfRule>
    <cfRule type="expression" dxfId="10569" priority="8940">
      <formula>$C38="Expences"</formula>
    </cfRule>
    <cfRule type="expression" dxfId="10568" priority="8941">
      <formula>$C38="Garlic Purchase"</formula>
    </cfRule>
    <cfRule type="expression" dxfId="10567" priority="8942">
      <formula>$C38="Ginger Purchase"</formula>
    </cfRule>
  </conditionalFormatting>
  <conditionalFormatting sqref="B38">
    <cfRule type="expression" dxfId="10566" priority="8943">
      <formula>$C38="Advance"</formula>
    </cfRule>
  </conditionalFormatting>
  <conditionalFormatting sqref="B38">
    <cfRule type="expression" dxfId="10565" priority="8924">
      <formula>$C38="Delivery charge"</formula>
    </cfRule>
    <cfRule type="expression" dxfId="10564" priority="8925">
      <formula>$C38="Staff Salary"</formula>
    </cfRule>
    <cfRule type="expression" dxfId="10563" priority="8926">
      <formula>$C38="Rent"</formula>
    </cfRule>
    <cfRule type="expression" dxfId="10562" priority="8927">
      <formula>$C38="Petrol"</formula>
    </cfRule>
    <cfRule type="expression" dxfId="10561" priority="8928">
      <formula>$C38="Bills"</formula>
    </cfRule>
    <cfRule type="expression" dxfId="10560" priority="8929">
      <formula>$C38="Sales"</formula>
    </cfRule>
    <cfRule type="expression" dxfId="10559" priority="8930">
      <formula>$C38="Expences"</formula>
    </cfRule>
    <cfRule type="expression" dxfId="10558" priority="8931">
      <formula>$C38="Garlic Purchase"</formula>
    </cfRule>
    <cfRule type="expression" dxfId="10557" priority="8932">
      <formula>$C38="Ginger Purchase"</formula>
    </cfRule>
  </conditionalFormatting>
  <conditionalFormatting sqref="B38">
    <cfRule type="expression" dxfId="10556" priority="8933">
      <formula>$C38="Advance"</formula>
    </cfRule>
  </conditionalFormatting>
  <conditionalFormatting sqref="B38">
    <cfRule type="expression" dxfId="10555" priority="8914">
      <formula>$C38="Delivery charge"</formula>
    </cfRule>
    <cfRule type="expression" dxfId="10554" priority="8915">
      <formula>$C38="Staff Salary"</formula>
    </cfRule>
    <cfRule type="expression" dxfId="10553" priority="8916">
      <formula>$C38="Rent"</formula>
    </cfRule>
    <cfRule type="expression" dxfId="10552" priority="8917">
      <formula>$C38="Petrol"</formula>
    </cfRule>
    <cfRule type="expression" dxfId="10551" priority="8918">
      <formula>$C38="Bills"</formula>
    </cfRule>
    <cfRule type="expression" dxfId="10550" priority="8919">
      <formula>$C38="Sales"</formula>
    </cfRule>
    <cfRule type="expression" dxfId="10549" priority="8920">
      <formula>$C38="Expences"</formula>
    </cfRule>
    <cfRule type="expression" dxfId="10548" priority="8921">
      <formula>$C38="Garlic Purchase"</formula>
    </cfRule>
    <cfRule type="expression" dxfId="10547" priority="8922">
      <formula>$C38="Ginger Purchase"</formula>
    </cfRule>
  </conditionalFormatting>
  <conditionalFormatting sqref="B38">
    <cfRule type="expression" dxfId="10546" priority="8923">
      <formula>$C38="Advance"</formula>
    </cfRule>
  </conditionalFormatting>
  <conditionalFormatting sqref="B38">
    <cfRule type="expression" dxfId="10545" priority="8904">
      <formula>$C38="Delivery charge"</formula>
    </cfRule>
    <cfRule type="expression" dxfId="10544" priority="8905">
      <formula>$C38="Staff Salary"</formula>
    </cfRule>
    <cfRule type="expression" dxfId="10543" priority="8906">
      <formula>$C38="Rent"</formula>
    </cfRule>
    <cfRule type="expression" dxfId="10542" priority="8907">
      <formula>$C38="Petrol"</formula>
    </cfRule>
    <cfRule type="expression" dxfId="10541" priority="8908">
      <formula>$C38="Bills"</formula>
    </cfRule>
    <cfRule type="expression" dxfId="10540" priority="8909">
      <formula>$C38="Sales"</formula>
    </cfRule>
    <cfRule type="expression" dxfId="10539" priority="8910">
      <formula>$C38="Expences"</formula>
    </cfRule>
    <cfRule type="expression" dxfId="10538" priority="8911">
      <formula>$C38="Garlic Purchase"</formula>
    </cfRule>
    <cfRule type="expression" dxfId="10537" priority="8912">
      <formula>$C38="Ginger Purchase"</formula>
    </cfRule>
  </conditionalFormatting>
  <conditionalFormatting sqref="B38">
    <cfRule type="expression" dxfId="10536" priority="8913">
      <formula>$C38="Advance"</formula>
    </cfRule>
  </conditionalFormatting>
  <conditionalFormatting sqref="B38">
    <cfRule type="expression" dxfId="10535" priority="8894">
      <formula>$C38="Delivery charge"</formula>
    </cfRule>
    <cfRule type="expression" dxfId="10534" priority="8895">
      <formula>$C38="Staff Salary"</formula>
    </cfRule>
    <cfRule type="expression" dxfId="10533" priority="8896">
      <formula>$C38="Rent"</formula>
    </cfRule>
    <cfRule type="expression" dxfId="10532" priority="8897">
      <formula>$C38="Petrol"</formula>
    </cfRule>
    <cfRule type="expression" dxfId="10531" priority="8898">
      <formula>$C38="Bills"</formula>
    </cfRule>
    <cfRule type="expression" dxfId="10530" priority="8899">
      <formula>$C38="Sales"</formula>
    </cfRule>
    <cfRule type="expression" dxfId="10529" priority="8900">
      <formula>$C38="Expences"</formula>
    </cfRule>
    <cfRule type="expression" dxfId="10528" priority="8901">
      <formula>$C38="Garlic Purchase"</formula>
    </cfRule>
    <cfRule type="expression" dxfId="10527" priority="8902">
      <formula>$C38="Ginger Purchase"</formula>
    </cfRule>
  </conditionalFormatting>
  <conditionalFormatting sqref="B38">
    <cfRule type="expression" dxfId="10526" priority="8903">
      <formula>$C38="Advance"</formula>
    </cfRule>
  </conditionalFormatting>
  <conditionalFormatting sqref="B39 B41:B65 B67 B69:B73 B75:B239">
    <cfRule type="expression" dxfId="2323" priority="8893">
      <formula>$C39="Advance"</formula>
    </cfRule>
  </conditionalFormatting>
  <conditionalFormatting sqref="B39 B41:B65 B67 B69:B73 B75:B239">
    <cfRule type="expression" dxfId="2322" priority="8884">
      <formula>$C39="Delivery charge"</formula>
    </cfRule>
    <cfRule type="expression" dxfId="2321" priority="8885">
      <formula>$C39="Staff Salary"</formula>
    </cfRule>
    <cfRule type="expression" dxfId="2320" priority="8886">
      <formula>$C39="Rent"</formula>
    </cfRule>
    <cfRule type="expression" dxfId="2319" priority="8887">
      <formula>$C39="Petrol"</formula>
    </cfRule>
    <cfRule type="expression" dxfId="2318" priority="8888">
      <formula>$C39="Bills"</formula>
    </cfRule>
    <cfRule type="expression" dxfId="2317" priority="8889">
      <formula>$C39="Sales"</formula>
    </cfRule>
    <cfRule type="expression" dxfId="2316" priority="8890">
      <formula>$C39="Expences"</formula>
    </cfRule>
    <cfRule type="expression" dxfId="2315" priority="8891">
      <formula>$C39="Garlic Purchase"</formula>
    </cfRule>
    <cfRule type="expression" dxfId="2314" priority="8892">
      <formula>$C39="Ginger Purchase"</formula>
    </cfRule>
  </conditionalFormatting>
  <conditionalFormatting sqref="B40">
    <cfRule type="expression" dxfId="10525" priority="8874">
      <formula>$C40="Delivery charge"</formula>
    </cfRule>
    <cfRule type="expression" dxfId="10524" priority="8875">
      <formula>$C40="Staff Salary"</formula>
    </cfRule>
    <cfRule type="expression" dxfId="10523" priority="8876">
      <formula>$C40="Rent"</formula>
    </cfRule>
    <cfRule type="expression" dxfId="10522" priority="8877">
      <formula>$C40="Petrol"</formula>
    </cfRule>
    <cfRule type="expression" dxfId="10521" priority="8878">
      <formula>$C40="Bills"</formula>
    </cfRule>
    <cfRule type="expression" dxfId="10520" priority="8879">
      <formula>$C40="Sales"</formula>
    </cfRule>
    <cfRule type="expression" dxfId="10519" priority="8880">
      <formula>$C40="Expences"</formula>
    </cfRule>
    <cfRule type="expression" dxfId="10518" priority="8881">
      <formula>$C40="Garlic Purchase"</formula>
    </cfRule>
    <cfRule type="expression" dxfId="10517" priority="8882">
      <formula>$C40="Ginger Purchase"</formula>
    </cfRule>
  </conditionalFormatting>
  <conditionalFormatting sqref="B40">
    <cfRule type="expression" dxfId="10516" priority="8883">
      <formula>$C40="Advance"</formula>
    </cfRule>
  </conditionalFormatting>
  <conditionalFormatting sqref="B40">
    <cfRule type="expression" dxfId="10515" priority="8864">
      <formula>$C40="Delivery charge"</formula>
    </cfRule>
    <cfRule type="expression" dxfId="10514" priority="8865">
      <formula>$C40="Staff Salary"</formula>
    </cfRule>
    <cfRule type="expression" dxfId="10513" priority="8866">
      <formula>$C40="Rent"</formula>
    </cfRule>
    <cfRule type="expression" dxfId="10512" priority="8867">
      <formula>$C40="Petrol"</formula>
    </cfRule>
    <cfRule type="expression" dxfId="10511" priority="8868">
      <formula>$C40="Bills"</formula>
    </cfRule>
    <cfRule type="expression" dxfId="10510" priority="8869">
      <formula>$C40="Sales"</formula>
    </cfRule>
    <cfRule type="expression" dxfId="10509" priority="8870">
      <formula>$C40="Expences"</formula>
    </cfRule>
    <cfRule type="expression" dxfId="10508" priority="8871">
      <formula>$C40="Garlic Purchase"</formula>
    </cfRule>
    <cfRule type="expression" dxfId="10507" priority="8872">
      <formula>$C40="Ginger Purchase"</formula>
    </cfRule>
  </conditionalFormatting>
  <conditionalFormatting sqref="B40">
    <cfRule type="expression" dxfId="10506" priority="8873">
      <formula>$C40="Advance"</formula>
    </cfRule>
  </conditionalFormatting>
  <conditionalFormatting sqref="B40">
    <cfRule type="expression" dxfId="10505" priority="8854">
      <formula>$C40="Delivery charge"</formula>
    </cfRule>
    <cfRule type="expression" dxfId="10504" priority="8855">
      <formula>$C40="Staff Salary"</formula>
    </cfRule>
    <cfRule type="expression" dxfId="10503" priority="8856">
      <formula>$C40="Rent"</formula>
    </cfRule>
    <cfRule type="expression" dxfId="10502" priority="8857">
      <formula>$C40="Petrol"</formula>
    </cfRule>
    <cfRule type="expression" dxfId="10501" priority="8858">
      <formula>$C40="Bills"</formula>
    </cfRule>
    <cfRule type="expression" dxfId="10500" priority="8859">
      <formula>$C40="Sales"</formula>
    </cfRule>
    <cfRule type="expression" dxfId="10499" priority="8860">
      <formula>$C40="Expences"</formula>
    </cfRule>
    <cfRule type="expression" dxfId="10498" priority="8861">
      <formula>$C40="Garlic Purchase"</formula>
    </cfRule>
    <cfRule type="expression" dxfId="10497" priority="8862">
      <formula>$C40="Ginger Purchase"</formula>
    </cfRule>
  </conditionalFormatting>
  <conditionalFormatting sqref="B40">
    <cfRule type="expression" dxfId="10496" priority="8863">
      <formula>$C40="Advance"</formula>
    </cfRule>
  </conditionalFormatting>
  <conditionalFormatting sqref="B40">
    <cfRule type="expression" dxfId="10495" priority="8844">
      <formula>$C40="Delivery charge"</formula>
    </cfRule>
    <cfRule type="expression" dxfId="10494" priority="8845">
      <formula>$C40="Staff Salary"</formula>
    </cfRule>
    <cfRule type="expression" dxfId="10493" priority="8846">
      <formula>$C40="Rent"</formula>
    </cfRule>
    <cfRule type="expression" dxfId="10492" priority="8847">
      <formula>$C40="Petrol"</formula>
    </cfRule>
    <cfRule type="expression" dxfId="10491" priority="8848">
      <formula>$C40="Bills"</formula>
    </cfRule>
    <cfRule type="expression" dxfId="10490" priority="8849">
      <formula>$C40="Sales"</formula>
    </cfRule>
    <cfRule type="expression" dxfId="10489" priority="8850">
      <formula>$C40="Expences"</formula>
    </cfRule>
    <cfRule type="expression" dxfId="10488" priority="8851">
      <formula>$C40="Garlic Purchase"</formula>
    </cfRule>
    <cfRule type="expression" dxfId="10487" priority="8852">
      <formula>$C40="Ginger Purchase"</formula>
    </cfRule>
  </conditionalFormatting>
  <conditionalFormatting sqref="B40">
    <cfRule type="expression" dxfId="10486" priority="8853">
      <formula>$C40="Advance"</formula>
    </cfRule>
  </conditionalFormatting>
  <conditionalFormatting sqref="B40">
    <cfRule type="expression" dxfId="10485" priority="8834">
      <formula>$C40="Delivery charge"</formula>
    </cfRule>
    <cfRule type="expression" dxfId="10484" priority="8835">
      <formula>$C40="Staff Salary"</formula>
    </cfRule>
    <cfRule type="expression" dxfId="10483" priority="8836">
      <formula>$C40="Rent"</formula>
    </cfRule>
    <cfRule type="expression" dxfId="10482" priority="8837">
      <formula>$C40="Petrol"</formula>
    </cfRule>
    <cfRule type="expression" dxfId="10481" priority="8838">
      <formula>$C40="Bills"</formula>
    </cfRule>
    <cfRule type="expression" dxfId="10480" priority="8839">
      <formula>$C40="Sales"</formula>
    </cfRule>
    <cfRule type="expression" dxfId="10479" priority="8840">
      <formula>$C40="Expences"</formula>
    </cfRule>
    <cfRule type="expression" dxfId="10478" priority="8841">
      <formula>$C40="Garlic Purchase"</formula>
    </cfRule>
    <cfRule type="expression" dxfId="10477" priority="8842">
      <formula>$C40="Ginger Purchase"</formula>
    </cfRule>
  </conditionalFormatting>
  <conditionalFormatting sqref="B40">
    <cfRule type="expression" dxfId="10476" priority="8843">
      <formula>$C40="Advance"</formula>
    </cfRule>
  </conditionalFormatting>
  <conditionalFormatting sqref="B40">
    <cfRule type="expression" dxfId="10475" priority="8824">
      <formula>$C40="Delivery charge"</formula>
    </cfRule>
    <cfRule type="expression" dxfId="10474" priority="8825">
      <formula>$C40="Staff Salary"</formula>
    </cfRule>
    <cfRule type="expression" dxfId="10473" priority="8826">
      <formula>$C40="Rent"</formula>
    </cfRule>
    <cfRule type="expression" dxfId="10472" priority="8827">
      <formula>$C40="Petrol"</formula>
    </cfRule>
    <cfRule type="expression" dxfId="10471" priority="8828">
      <formula>$C40="Bills"</formula>
    </cfRule>
    <cfRule type="expression" dxfId="10470" priority="8829">
      <formula>$C40="Sales"</formula>
    </cfRule>
    <cfRule type="expression" dxfId="10469" priority="8830">
      <formula>$C40="Expences"</formula>
    </cfRule>
    <cfRule type="expression" dxfId="10468" priority="8831">
      <formula>$C40="Garlic Purchase"</formula>
    </cfRule>
    <cfRule type="expression" dxfId="10467" priority="8832">
      <formula>$C40="Ginger Purchase"</formula>
    </cfRule>
  </conditionalFormatting>
  <conditionalFormatting sqref="B40">
    <cfRule type="expression" dxfId="10466" priority="8833">
      <formula>$C40="Advance"</formula>
    </cfRule>
  </conditionalFormatting>
  <conditionalFormatting sqref="B40">
    <cfRule type="expression" dxfId="10465" priority="8814">
      <formula>$C40="Delivery charge"</formula>
    </cfRule>
    <cfRule type="expression" dxfId="10464" priority="8815">
      <formula>$C40="Staff Salary"</formula>
    </cfRule>
    <cfRule type="expression" dxfId="10463" priority="8816">
      <formula>$C40="Rent"</formula>
    </cfRule>
    <cfRule type="expression" dxfId="10462" priority="8817">
      <formula>$C40="Petrol"</formula>
    </cfRule>
    <cfRule type="expression" dxfId="10461" priority="8818">
      <formula>$C40="Bills"</formula>
    </cfRule>
    <cfRule type="expression" dxfId="10460" priority="8819">
      <formula>$C40="Sales"</formula>
    </cfRule>
    <cfRule type="expression" dxfId="10459" priority="8820">
      <formula>$C40="Expences"</formula>
    </cfRule>
    <cfRule type="expression" dxfId="10458" priority="8821">
      <formula>$C40="Garlic Purchase"</formula>
    </cfRule>
    <cfRule type="expression" dxfId="10457" priority="8822">
      <formula>$C40="Ginger Purchase"</formula>
    </cfRule>
  </conditionalFormatting>
  <conditionalFormatting sqref="B40">
    <cfRule type="expression" dxfId="10456" priority="8823">
      <formula>$C40="Advance"</formula>
    </cfRule>
  </conditionalFormatting>
  <conditionalFormatting sqref="B40">
    <cfRule type="expression" dxfId="10455" priority="8804">
      <formula>$C40="Delivery charge"</formula>
    </cfRule>
    <cfRule type="expression" dxfId="10454" priority="8805">
      <formula>$C40="Staff Salary"</formula>
    </cfRule>
    <cfRule type="expression" dxfId="10453" priority="8806">
      <formula>$C40="Rent"</formula>
    </cfRule>
    <cfRule type="expression" dxfId="10452" priority="8807">
      <formula>$C40="Petrol"</formula>
    </cfRule>
    <cfRule type="expression" dxfId="10451" priority="8808">
      <formula>$C40="Bills"</formula>
    </cfRule>
    <cfRule type="expression" dxfId="10450" priority="8809">
      <formula>$C40="Sales"</formula>
    </cfRule>
    <cfRule type="expression" dxfId="10449" priority="8810">
      <formula>$C40="Expences"</formula>
    </cfRule>
    <cfRule type="expression" dxfId="10448" priority="8811">
      <formula>$C40="Garlic Purchase"</formula>
    </cfRule>
    <cfRule type="expression" dxfId="10447" priority="8812">
      <formula>$C40="Ginger Purchase"</formula>
    </cfRule>
  </conditionalFormatting>
  <conditionalFormatting sqref="B40">
    <cfRule type="expression" dxfId="10446" priority="8813">
      <formula>$C40="Advance"</formula>
    </cfRule>
  </conditionalFormatting>
  <conditionalFormatting sqref="B40">
    <cfRule type="expression" dxfId="10445" priority="8794">
      <formula>$C40="Delivery charge"</formula>
    </cfRule>
    <cfRule type="expression" dxfId="10444" priority="8795">
      <formula>$C40="Staff Salary"</formula>
    </cfRule>
    <cfRule type="expression" dxfId="10443" priority="8796">
      <formula>$C40="Rent"</formula>
    </cfRule>
    <cfRule type="expression" dxfId="10442" priority="8797">
      <formula>$C40="Petrol"</formula>
    </cfRule>
    <cfRule type="expression" dxfId="10441" priority="8798">
      <formula>$C40="Bills"</formula>
    </cfRule>
    <cfRule type="expression" dxfId="10440" priority="8799">
      <formula>$C40="Sales"</formula>
    </cfRule>
    <cfRule type="expression" dxfId="10439" priority="8800">
      <formula>$C40="Expences"</formula>
    </cfRule>
    <cfRule type="expression" dxfId="10438" priority="8801">
      <formula>$C40="Garlic Purchase"</formula>
    </cfRule>
    <cfRule type="expression" dxfId="10437" priority="8802">
      <formula>$C40="Ginger Purchase"</formula>
    </cfRule>
  </conditionalFormatting>
  <conditionalFormatting sqref="B40">
    <cfRule type="expression" dxfId="10436" priority="8803">
      <formula>$C40="Advance"</formula>
    </cfRule>
  </conditionalFormatting>
  <conditionalFormatting sqref="B40">
    <cfRule type="expression" dxfId="10435" priority="8784">
      <formula>$C40="Delivery charge"</formula>
    </cfRule>
    <cfRule type="expression" dxfId="10434" priority="8785">
      <formula>$C40="Staff Salary"</formula>
    </cfRule>
    <cfRule type="expression" dxfId="10433" priority="8786">
      <formula>$C40="Rent"</formula>
    </cfRule>
    <cfRule type="expression" dxfId="10432" priority="8787">
      <formula>$C40="Petrol"</formula>
    </cfRule>
    <cfRule type="expression" dxfId="10431" priority="8788">
      <formula>$C40="Bills"</formula>
    </cfRule>
    <cfRule type="expression" dxfId="10430" priority="8789">
      <formula>$C40="Sales"</formula>
    </cfRule>
    <cfRule type="expression" dxfId="10429" priority="8790">
      <formula>$C40="Expences"</formula>
    </cfRule>
    <cfRule type="expression" dxfId="10428" priority="8791">
      <formula>$C40="Garlic Purchase"</formula>
    </cfRule>
    <cfRule type="expression" dxfId="10427" priority="8792">
      <formula>$C40="Ginger Purchase"</formula>
    </cfRule>
  </conditionalFormatting>
  <conditionalFormatting sqref="B40">
    <cfRule type="expression" dxfId="10426" priority="8793">
      <formula>$C40="Advance"</formula>
    </cfRule>
  </conditionalFormatting>
  <conditionalFormatting sqref="B40">
    <cfRule type="expression" dxfId="10425" priority="8774">
      <formula>$C40="Delivery charge"</formula>
    </cfRule>
    <cfRule type="expression" dxfId="10424" priority="8775">
      <formula>$C40="Staff Salary"</formula>
    </cfRule>
    <cfRule type="expression" dxfId="10423" priority="8776">
      <formula>$C40="Rent"</formula>
    </cfRule>
    <cfRule type="expression" dxfId="10422" priority="8777">
      <formula>$C40="Petrol"</formula>
    </cfRule>
    <cfRule type="expression" dxfId="10421" priority="8778">
      <formula>$C40="Bills"</formula>
    </cfRule>
    <cfRule type="expression" dxfId="10420" priority="8779">
      <formula>$C40="Sales"</formula>
    </cfRule>
    <cfRule type="expression" dxfId="10419" priority="8780">
      <formula>$C40="Expences"</formula>
    </cfRule>
    <cfRule type="expression" dxfId="10418" priority="8781">
      <formula>$C40="Garlic Purchase"</formula>
    </cfRule>
    <cfRule type="expression" dxfId="10417" priority="8782">
      <formula>$C40="Ginger Purchase"</formula>
    </cfRule>
  </conditionalFormatting>
  <conditionalFormatting sqref="B40">
    <cfRule type="expression" dxfId="10416" priority="8783">
      <formula>$C40="Advance"</formula>
    </cfRule>
  </conditionalFormatting>
  <conditionalFormatting sqref="B39 B41:B65 B67 B69:B73 B75:B239">
    <cfRule type="expression" dxfId="10415" priority="8764">
      <formula>$C39="Delivery charge"</formula>
    </cfRule>
    <cfRule type="expression" dxfId="10414" priority="8765">
      <formula>$C39="Staff Salary"</formula>
    </cfRule>
    <cfRule type="expression" dxfId="10413" priority="8766">
      <formula>$C39="Rent"</formula>
    </cfRule>
    <cfRule type="expression" dxfId="10412" priority="8767">
      <formula>$C39="Petrol"</formula>
    </cfRule>
    <cfRule type="expression" dxfId="10411" priority="8768">
      <formula>$C39="Bills"</formula>
    </cfRule>
    <cfRule type="expression" dxfId="10410" priority="8769">
      <formula>$C39="Sales"</formula>
    </cfRule>
    <cfRule type="expression" dxfId="10409" priority="8770">
      <formula>$C39="Expences"</formula>
    </cfRule>
    <cfRule type="expression" dxfId="10408" priority="8771">
      <formula>$C39="Garlic Purchase"</formula>
    </cfRule>
    <cfRule type="expression" dxfId="10407" priority="8772">
      <formula>$C39="Ginger Purchase"</formula>
    </cfRule>
  </conditionalFormatting>
  <conditionalFormatting sqref="B39 B41:B65 B67 B69:B73 B75:B239">
    <cfRule type="expression" dxfId="2313" priority="8773">
      <formula>$C39="Advance"</formula>
    </cfRule>
  </conditionalFormatting>
  <conditionalFormatting sqref="B40">
    <cfRule type="expression" dxfId="10406" priority="8754">
      <formula>$C40="Delivery charge"</formula>
    </cfRule>
    <cfRule type="expression" dxfId="10405" priority="8755">
      <formula>$C40="Staff Salary"</formula>
    </cfRule>
    <cfRule type="expression" dxfId="10404" priority="8756">
      <formula>$C40="Rent"</formula>
    </cfRule>
    <cfRule type="expression" dxfId="10403" priority="8757">
      <formula>$C40="Petrol"</formula>
    </cfRule>
    <cfRule type="expression" dxfId="10402" priority="8758">
      <formula>$C40="Bills"</formula>
    </cfRule>
    <cfRule type="expression" dxfId="10401" priority="8759">
      <formula>$C40="Sales"</formula>
    </cfRule>
    <cfRule type="expression" dxfId="10400" priority="8760">
      <formula>$C40="Expences"</formula>
    </cfRule>
    <cfRule type="expression" dxfId="10399" priority="8761">
      <formula>$C40="Garlic Purchase"</formula>
    </cfRule>
    <cfRule type="expression" dxfId="10398" priority="8762">
      <formula>$C40="Ginger Purchase"</formula>
    </cfRule>
  </conditionalFormatting>
  <conditionalFormatting sqref="B40">
    <cfRule type="expression" dxfId="10397" priority="8763">
      <formula>$C40="Advance"</formula>
    </cfRule>
  </conditionalFormatting>
  <conditionalFormatting sqref="B40">
    <cfRule type="expression" dxfId="10396" priority="8744">
      <formula>$C40="Delivery charge"</formula>
    </cfRule>
    <cfRule type="expression" dxfId="10395" priority="8745">
      <formula>$C40="Staff Salary"</formula>
    </cfRule>
    <cfRule type="expression" dxfId="10394" priority="8746">
      <formula>$C40="Rent"</formula>
    </cfRule>
    <cfRule type="expression" dxfId="10393" priority="8747">
      <formula>$C40="Petrol"</formula>
    </cfRule>
    <cfRule type="expression" dxfId="10392" priority="8748">
      <formula>$C40="Bills"</formula>
    </cfRule>
    <cfRule type="expression" dxfId="10391" priority="8749">
      <formula>$C40="Sales"</formula>
    </cfRule>
    <cfRule type="expression" dxfId="10390" priority="8750">
      <formula>$C40="Expences"</formula>
    </cfRule>
    <cfRule type="expression" dxfId="10389" priority="8751">
      <formula>$C40="Garlic Purchase"</formula>
    </cfRule>
    <cfRule type="expression" dxfId="10388" priority="8752">
      <formula>$C40="Ginger Purchase"</formula>
    </cfRule>
  </conditionalFormatting>
  <conditionalFormatting sqref="B40">
    <cfRule type="expression" dxfId="10387" priority="8753">
      <formula>$C40="Advance"</formula>
    </cfRule>
  </conditionalFormatting>
  <conditionalFormatting sqref="B40">
    <cfRule type="expression" dxfId="10386" priority="8734">
      <formula>$C40="Delivery charge"</formula>
    </cfRule>
    <cfRule type="expression" dxfId="10385" priority="8735">
      <formula>$C40="Staff Salary"</formula>
    </cfRule>
    <cfRule type="expression" dxfId="10384" priority="8736">
      <formula>$C40="Rent"</formula>
    </cfRule>
    <cfRule type="expression" dxfId="10383" priority="8737">
      <formula>$C40="Petrol"</formula>
    </cfRule>
    <cfRule type="expression" dxfId="10382" priority="8738">
      <formula>$C40="Bills"</formula>
    </cfRule>
    <cfRule type="expression" dxfId="10381" priority="8739">
      <formula>$C40="Sales"</formula>
    </cfRule>
    <cfRule type="expression" dxfId="10380" priority="8740">
      <formula>$C40="Expences"</formula>
    </cfRule>
    <cfRule type="expression" dxfId="10379" priority="8741">
      <formula>$C40="Garlic Purchase"</formula>
    </cfRule>
    <cfRule type="expression" dxfId="10378" priority="8742">
      <formula>$C40="Ginger Purchase"</formula>
    </cfRule>
  </conditionalFormatting>
  <conditionalFormatting sqref="B40">
    <cfRule type="expression" dxfId="10377" priority="8743">
      <formula>$C40="Advance"</formula>
    </cfRule>
  </conditionalFormatting>
  <conditionalFormatting sqref="B40">
    <cfRule type="expression" dxfId="10376" priority="8724">
      <formula>$C40="Delivery charge"</formula>
    </cfRule>
    <cfRule type="expression" dxfId="10375" priority="8725">
      <formula>$C40="Staff Salary"</formula>
    </cfRule>
    <cfRule type="expression" dxfId="10374" priority="8726">
      <formula>$C40="Rent"</formula>
    </cfRule>
    <cfRule type="expression" dxfId="10373" priority="8727">
      <formula>$C40="Petrol"</formula>
    </cfRule>
    <cfRule type="expression" dxfId="10372" priority="8728">
      <formula>$C40="Bills"</formula>
    </cfRule>
    <cfRule type="expression" dxfId="10371" priority="8729">
      <formula>$C40="Sales"</formula>
    </cfRule>
    <cfRule type="expression" dxfId="10370" priority="8730">
      <formula>$C40="Expences"</formula>
    </cfRule>
    <cfRule type="expression" dxfId="10369" priority="8731">
      <formula>$C40="Garlic Purchase"</formula>
    </cfRule>
    <cfRule type="expression" dxfId="10368" priority="8732">
      <formula>$C40="Ginger Purchase"</formula>
    </cfRule>
  </conditionalFormatting>
  <conditionalFormatting sqref="B40">
    <cfRule type="expression" dxfId="10367" priority="8733">
      <formula>$C40="Advance"</formula>
    </cfRule>
  </conditionalFormatting>
  <conditionalFormatting sqref="B39 B41:B65 B67 B69:B73 B75:B239">
    <cfRule type="expression" dxfId="2312" priority="8714">
      <formula>$C39="Delivery charge"</formula>
    </cfRule>
    <cfRule type="expression" dxfId="2311" priority="8715">
      <formula>$C39="Staff Salary"</formula>
    </cfRule>
    <cfRule type="expression" dxfId="2310" priority="8716">
      <formula>$C39="Rent"</formula>
    </cfRule>
    <cfRule type="expression" dxfId="2309" priority="8717">
      <formula>$C39="Petrol"</formula>
    </cfRule>
    <cfRule type="expression" dxfId="2308" priority="8718">
      <formula>$C39="Bills"</formula>
    </cfRule>
    <cfRule type="expression" dxfId="2307" priority="8719">
      <formula>$C39="Sales"</formula>
    </cfRule>
    <cfRule type="expression" dxfId="2306" priority="8720">
      <formula>$C39="Expences"</formula>
    </cfRule>
    <cfRule type="expression" dxfId="2305" priority="8721">
      <formula>$C39="Garlic Purchase"</formula>
    </cfRule>
    <cfRule type="expression" dxfId="2304" priority="8722">
      <formula>$C39="Ginger Purchase"</formula>
    </cfRule>
  </conditionalFormatting>
  <conditionalFormatting sqref="B39 B41:B65 B67 B69:B73 B75:B239">
    <cfRule type="expression" dxfId="2303" priority="8723">
      <formula>$C39="Advance"</formula>
    </cfRule>
  </conditionalFormatting>
  <conditionalFormatting sqref="B39 B41:B65 B67 B69:B73 B75:B239">
    <cfRule type="expression" dxfId="2302" priority="8704">
      <formula>$C39="Delivery charge"</formula>
    </cfRule>
    <cfRule type="expression" dxfId="2301" priority="8705">
      <formula>$C39="Staff Salary"</formula>
    </cfRule>
    <cfRule type="expression" dxfId="2300" priority="8706">
      <formula>$C39="Rent"</formula>
    </cfRule>
    <cfRule type="expression" dxfId="2299" priority="8707">
      <formula>$C39="Petrol"</formula>
    </cfRule>
    <cfRule type="expression" dxfId="2298" priority="8708">
      <formula>$C39="Bills"</formula>
    </cfRule>
    <cfRule type="expression" dxfId="2297" priority="8709">
      <formula>$C39="Sales"</formula>
    </cfRule>
    <cfRule type="expression" dxfId="2296" priority="8710">
      <formula>$C39="Expences"</formula>
    </cfRule>
    <cfRule type="expression" dxfId="2295" priority="8711">
      <formula>$C39="Garlic Purchase"</formula>
    </cfRule>
    <cfRule type="expression" dxfId="2294" priority="8712">
      <formula>$C39="Ginger Purchase"</formula>
    </cfRule>
  </conditionalFormatting>
  <conditionalFormatting sqref="B39 B41:B65 B67 B69:B73 B75:B239">
    <cfRule type="expression" dxfId="2293" priority="8713">
      <formula>$C39="Advance"</formula>
    </cfRule>
  </conditionalFormatting>
  <conditionalFormatting sqref="B39 B41:B65 B67 B69:B73 B75:B239">
    <cfRule type="expression" dxfId="2292" priority="8694">
      <formula>$C39="Delivery charge"</formula>
    </cfRule>
    <cfRule type="expression" dxfId="2291" priority="8695">
      <formula>$C39="Staff Salary"</formula>
    </cfRule>
    <cfRule type="expression" dxfId="2290" priority="8696">
      <formula>$C39="Rent"</formula>
    </cfRule>
    <cfRule type="expression" dxfId="2289" priority="8697">
      <formula>$C39="Petrol"</formula>
    </cfRule>
    <cfRule type="expression" dxfId="2288" priority="8698">
      <formula>$C39="Bills"</formula>
    </cfRule>
    <cfRule type="expression" dxfId="2287" priority="8699">
      <formula>$C39="Sales"</formula>
    </cfRule>
    <cfRule type="expression" dxfId="2286" priority="8700">
      <formula>$C39="Expences"</formula>
    </cfRule>
    <cfRule type="expression" dxfId="2285" priority="8701">
      <formula>$C39="Garlic Purchase"</formula>
    </cfRule>
    <cfRule type="expression" dxfId="2284" priority="8702">
      <formula>$C39="Ginger Purchase"</formula>
    </cfRule>
  </conditionalFormatting>
  <conditionalFormatting sqref="B39 B41:B65 B67 B69:B73 B75:B239">
    <cfRule type="expression" dxfId="2283" priority="8703">
      <formula>$C39="Advance"</formula>
    </cfRule>
  </conditionalFormatting>
  <conditionalFormatting sqref="B39 B41:B65 B67 B69:B73 B75:B239">
    <cfRule type="expression" dxfId="2282" priority="8684">
      <formula>$C39="Delivery charge"</formula>
    </cfRule>
    <cfRule type="expression" dxfId="2281" priority="8685">
      <formula>$C39="Staff Salary"</formula>
    </cfRule>
    <cfRule type="expression" dxfId="2280" priority="8686">
      <formula>$C39="Rent"</formula>
    </cfRule>
    <cfRule type="expression" dxfId="2279" priority="8687">
      <formula>$C39="Petrol"</formula>
    </cfRule>
    <cfRule type="expression" dxfId="2278" priority="8688">
      <formula>$C39="Bills"</formula>
    </cfRule>
    <cfRule type="expression" dxfId="2277" priority="8689">
      <formula>$C39="Sales"</formula>
    </cfRule>
    <cfRule type="expression" dxfId="2276" priority="8690">
      <formula>$C39="Expences"</formula>
    </cfRule>
    <cfRule type="expression" dxfId="2275" priority="8691">
      <formula>$C39="Garlic Purchase"</formula>
    </cfRule>
    <cfRule type="expression" dxfId="2274" priority="8692">
      <formula>$C39="Ginger Purchase"</formula>
    </cfRule>
  </conditionalFormatting>
  <conditionalFormatting sqref="B39 B41:B65 B67 B69:B73 B75:B239">
    <cfRule type="expression" dxfId="2273" priority="8693">
      <formula>$C39="Advance"</formula>
    </cfRule>
  </conditionalFormatting>
  <conditionalFormatting sqref="B40">
    <cfRule type="expression" dxfId="10366" priority="8674">
      <formula>$C40="Delivery charge"</formula>
    </cfRule>
    <cfRule type="expression" dxfId="10365" priority="8675">
      <formula>$C40="Staff Salary"</formula>
    </cfRule>
    <cfRule type="expression" dxfId="10364" priority="8676">
      <formula>$C40="Rent"</formula>
    </cfRule>
    <cfRule type="expression" dxfId="10363" priority="8677">
      <formula>$C40="Petrol"</formula>
    </cfRule>
    <cfRule type="expression" dxfId="10362" priority="8678">
      <formula>$C40="Bills"</formula>
    </cfRule>
    <cfRule type="expression" dxfId="10361" priority="8679">
      <formula>$C40="Sales"</formula>
    </cfRule>
    <cfRule type="expression" dxfId="10360" priority="8680">
      <formula>$C40="Expences"</formula>
    </cfRule>
    <cfRule type="expression" dxfId="10359" priority="8681">
      <formula>$C40="Garlic Purchase"</formula>
    </cfRule>
    <cfRule type="expression" dxfId="10358" priority="8682">
      <formula>$C40="Ginger Purchase"</formula>
    </cfRule>
  </conditionalFormatting>
  <conditionalFormatting sqref="B40">
    <cfRule type="expression" dxfId="10357" priority="8683">
      <formula>$C40="Advance"</formula>
    </cfRule>
  </conditionalFormatting>
  <conditionalFormatting sqref="B39 B41:B65 B67 B69:B73 B75:B239">
    <cfRule type="expression" dxfId="2272" priority="8664">
      <formula>$C39="Delivery charge"</formula>
    </cfRule>
    <cfRule type="expression" dxfId="2271" priority="8665">
      <formula>$C39="Staff Salary"</formula>
    </cfRule>
    <cfRule type="expression" dxfId="2270" priority="8666">
      <formula>$C39="Rent"</formula>
    </cfRule>
    <cfRule type="expression" dxfId="2269" priority="8667">
      <formula>$C39="Petrol"</formula>
    </cfRule>
    <cfRule type="expression" dxfId="2268" priority="8668">
      <formula>$C39="Bills"</formula>
    </cfRule>
    <cfRule type="expression" dxfId="2267" priority="8669">
      <formula>$C39="Sales"</formula>
    </cfRule>
    <cfRule type="expression" dxfId="2266" priority="8670">
      <formula>$C39="Expences"</formula>
    </cfRule>
    <cfRule type="expression" dxfId="2265" priority="8671">
      <formula>$C39="Garlic Purchase"</formula>
    </cfRule>
    <cfRule type="expression" dxfId="2264" priority="8672">
      <formula>$C39="Ginger Purchase"</formula>
    </cfRule>
  </conditionalFormatting>
  <conditionalFormatting sqref="B39 B41:B65 B67 B69:B73 B75:B239">
    <cfRule type="expression" dxfId="2263" priority="8673">
      <formula>$C39="Advance"</formula>
    </cfRule>
  </conditionalFormatting>
  <conditionalFormatting sqref="B39 B41:B65 B67 B69:B73 B75:B239">
    <cfRule type="expression" dxfId="2262" priority="8654">
      <formula>$C39="Delivery charge"</formula>
    </cfRule>
    <cfRule type="expression" dxfId="2261" priority="8655">
      <formula>$C39="Staff Salary"</formula>
    </cfRule>
    <cfRule type="expression" dxfId="2260" priority="8656">
      <formula>$C39="Rent"</formula>
    </cfRule>
    <cfRule type="expression" dxfId="2259" priority="8657">
      <formula>$C39="Petrol"</formula>
    </cfRule>
    <cfRule type="expression" dxfId="2258" priority="8658">
      <formula>$C39="Bills"</formula>
    </cfRule>
    <cfRule type="expression" dxfId="2257" priority="8659">
      <formula>$C39="Sales"</formula>
    </cfRule>
    <cfRule type="expression" dxfId="2256" priority="8660">
      <formula>$C39="Expences"</formula>
    </cfRule>
    <cfRule type="expression" dxfId="2255" priority="8661">
      <formula>$C39="Garlic Purchase"</formula>
    </cfRule>
    <cfRule type="expression" dxfId="2254" priority="8662">
      <formula>$C39="Ginger Purchase"</formula>
    </cfRule>
  </conditionalFormatting>
  <conditionalFormatting sqref="B39 B41:B65 B67 B69:B73 B75:B239">
    <cfRule type="expression" dxfId="2253" priority="8663">
      <formula>$C39="Advance"</formula>
    </cfRule>
  </conditionalFormatting>
  <conditionalFormatting sqref="B39 B41:B65 B67 B69:B73 B75:B239">
    <cfRule type="expression" dxfId="2252" priority="8644">
      <formula>$C39="Delivery charge"</formula>
    </cfRule>
    <cfRule type="expression" dxfId="2251" priority="8645">
      <formula>$C39="Staff Salary"</formula>
    </cfRule>
    <cfRule type="expression" dxfId="2250" priority="8646">
      <formula>$C39="Rent"</formula>
    </cfRule>
    <cfRule type="expression" dxfId="2249" priority="8647">
      <formula>$C39="Petrol"</formula>
    </cfRule>
    <cfRule type="expression" dxfId="2248" priority="8648">
      <formula>$C39="Bills"</formula>
    </cfRule>
    <cfRule type="expression" dxfId="2247" priority="8649">
      <formula>$C39="Sales"</formula>
    </cfRule>
    <cfRule type="expression" dxfId="2246" priority="8650">
      <formula>$C39="Expences"</formula>
    </cfRule>
    <cfRule type="expression" dxfId="2245" priority="8651">
      <formula>$C39="Garlic Purchase"</formula>
    </cfRule>
    <cfRule type="expression" dxfId="2244" priority="8652">
      <formula>$C39="Ginger Purchase"</formula>
    </cfRule>
  </conditionalFormatting>
  <conditionalFormatting sqref="B39 B41:B65 B67 B69:B73 B75:B239">
    <cfRule type="expression" dxfId="2243" priority="8653">
      <formula>$C39="Advance"</formula>
    </cfRule>
  </conditionalFormatting>
  <conditionalFormatting sqref="B39 B41:B65 B67 B69:B73 B75:B239">
    <cfRule type="expression" dxfId="2242" priority="8634">
      <formula>$C39="Delivery charge"</formula>
    </cfRule>
    <cfRule type="expression" dxfId="2241" priority="8635">
      <formula>$C39="Staff Salary"</formula>
    </cfRule>
    <cfRule type="expression" dxfId="2240" priority="8636">
      <formula>$C39="Rent"</formula>
    </cfRule>
    <cfRule type="expression" dxfId="2239" priority="8637">
      <formula>$C39="Petrol"</formula>
    </cfRule>
    <cfRule type="expression" dxfId="2238" priority="8638">
      <formula>$C39="Bills"</formula>
    </cfRule>
    <cfRule type="expression" dxfId="2237" priority="8639">
      <formula>$C39="Sales"</formula>
    </cfRule>
    <cfRule type="expression" dxfId="2236" priority="8640">
      <formula>$C39="Expences"</formula>
    </cfRule>
    <cfRule type="expression" dxfId="2235" priority="8641">
      <formula>$C39="Garlic Purchase"</formula>
    </cfRule>
    <cfRule type="expression" dxfId="2234" priority="8642">
      <formula>$C39="Ginger Purchase"</formula>
    </cfRule>
  </conditionalFormatting>
  <conditionalFormatting sqref="B39 B41:B65 B67 B69:B73 B75:B239">
    <cfRule type="expression" dxfId="2233" priority="8643">
      <formula>$C39="Advance"</formula>
    </cfRule>
  </conditionalFormatting>
  <conditionalFormatting sqref="B39 B41:B65 B67 B69:B73 B75:B239">
    <cfRule type="expression" dxfId="2232" priority="8624">
      <formula>$C39="Delivery charge"</formula>
    </cfRule>
    <cfRule type="expression" dxfId="2231" priority="8625">
      <formula>$C39="Staff Salary"</formula>
    </cfRule>
    <cfRule type="expression" dxfId="2230" priority="8626">
      <formula>$C39="Rent"</formula>
    </cfRule>
    <cfRule type="expression" dxfId="2229" priority="8627">
      <formula>$C39="Petrol"</formula>
    </cfRule>
    <cfRule type="expression" dxfId="2228" priority="8628">
      <formula>$C39="Bills"</formula>
    </cfRule>
    <cfRule type="expression" dxfId="2227" priority="8629">
      <formula>$C39="Sales"</formula>
    </cfRule>
    <cfRule type="expression" dxfId="2226" priority="8630">
      <formula>$C39="Expences"</formula>
    </cfRule>
    <cfRule type="expression" dxfId="2225" priority="8631">
      <formula>$C39="Garlic Purchase"</formula>
    </cfRule>
    <cfRule type="expression" dxfId="2224" priority="8632">
      <formula>$C39="Ginger Purchase"</formula>
    </cfRule>
  </conditionalFormatting>
  <conditionalFormatting sqref="B39 B41:B65 B67 B69:B73 B75:B239">
    <cfRule type="expression" dxfId="2223" priority="8633">
      <formula>$C39="Advance"</formula>
    </cfRule>
  </conditionalFormatting>
  <conditionalFormatting sqref="B40">
    <cfRule type="expression" dxfId="10356" priority="8614">
      <formula>$C40="Delivery charge"</formula>
    </cfRule>
    <cfRule type="expression" dxfId="10355" priority="8615">
      <formula>$C40="Staff Salary"</formula>
    </cfRule>
    <cfRule type="expression" dxfId="10354" priority="8616">
      <formula>$C40="Rent"</formula>
    </cfRule>
    <cfRule type="expression" dxfId="10353" priority="8617">
      <formula>$C40="Petrol"</formula>
    </cfRule>
    <cfRule type="expression" dxfId="10352" priority="8618">
      <formula>$C40="Bills"</formula>
    </cfRule>
    <cfRule type="expression" dxfId="10351" priority="8619">
      <formula>$C40="Sales"</formula>
    </cfRule>
    <cfRule type="expression" dxfId="10350" priority="8620">
      <formula>$C40="Expences"</formula>
    </cfRule>
    <cfRule type="expression" dxfId="10349" priority="8621">
      <formula>$C40="Garlic Purchase"</formula>
    </cfRule>
    <cfRule type="expression" dxfId="10348" priority="8622">
      <formula>$C40="Ginger Purchase"</formula>
    </cfRule>
  </conditionalFormatting>
  <conditionalFormatting sqref="B40">
    <cfRule type="expression" dxfId="10347" priority="8623">
      <formula>$C40="Advance"</formula>
    </cfRule>
  </conditionalFormatting>
  <conditionalFormatting sqref="B40">
    <cfRule type="expression" dxfId="10346" priority="8604">
      <formula>$C40="Delivery charge"</formula>
    </cfRule>
    <cfRule type="expression" dxfId="10345" priority="8605">
      <formula>$C40="Staff Salary"</formula>
    </cfRule>
    <cfRule type="expression" dxfId="10344" priority="8606">
      <formula>$C40="Rent"</formula>
    </cfRule>
    <cfRule type="expression" dxfId="10343" priority="8607">
      <formula>$C40="Petrol"</formula>
    </cfRule>
    <cfRule type="expression" dxfId="10342" priority="8608">
      <formula>$C40="Bills"</formula>
    </cfRule>
    <cfRule type="expression" dxfId="10341" priority="8609">
      <formula>$C40="Sales"</formula>
    </cfRule>
    <cfRule type="expression" dxfId="10340" priority="8610">
      <formula>$C40="Expences"</formula>
    </cfRule>
    <cfRule type="expression" dxfId="10339" priority="8611">
      <formula>$C40="Garlic Purchase"</formula>
    </cfRule>
    <cfRule type="expression" dxfId="10338" priority="8612">
      <formula>$C40="Ginger Purchase"</formula>
    </cfRule>
  </conditionalFormatting>
  <conditionalFormatting sqref="B40">
    <cfRule type="expression" dxfId="10337" priority="8613">
      <formula>$C40="Advance"</formula>
    </cfRule>
  </conditionalFormatting>
  <conditionalFormatting sqref="B40">
    <cfRule type="expression" dxfId="10336" priority="8594">
      <formula>$C40="Delivery charge"</formula>
    </cfRule>
    <cfRule type="expression" dxfId="10335" priority="8595">
      <formula>$C40="Staff Salary"</formula>
    </cfRule>
    <cfRule type="expression" dxfId="10334" priority="8596">
      <formula>$C40="Rent"</formula>
    </cfRule>
    <cfRule type="expression" dxfId="10333" priority="8597">
      <formula>$C40="Petrol"</formula>
    </cfRule>
    <cfRule type="expression" dxfId="10332" priority="8598">
      <formula>$C40="Bills"</formula>
    </cfRule>
    <cfRule type="expression" dxfId="10331" priority="8599">
      <formula>$C40="Sales"</formula>
    </cfRule>
    <cfRule type="expression" dxfId="10330" priority="8600">
      <formula>$C40="Expences"</formula>
    </cfRule>
    <cfRule type="expression" dxfId="10329" priority="8601">
      <formula>$C40="Garlic Purchase"</formula>
    </cfRule>
    <cfRule type="expression" dxfId="10328" priority="8602">
      <formula>$C40="Ginger Purchase"</formula>
    </cfRule>
  </conditionalFormatting>
  <conditionalFormatting sqref="B40">
    <cfRule type="expression" dxfId="10327" priority="8603">
      <formula>$C40="Advance"</formula>
    </cfRule>
  </conditionalFormatting>
  <conditionalFormatting sqref="B40">
    <cfRule type="expression" dxfId="10326" priority="8584">
      <formula>$C40="Delivery charge"</formula>
    </cfRule>
    <cfRule type="expression" dxfId="10325" priority="8585">
      <formula>$C40="Staff Salary"</formula>
    </cfRule>
    <cfRule type="expression" dxfId="10324" priority="8586">
      <formula>$C40="Rent"</formula>
    </cfRule>
    <cfRule type="expression" dxfId="10323" priority="8587">
      <formula>$C40="Petrol"</formula>
    </cfRule>
    <cfRule type="expression" dxfId="10322" priority="8588">
      <formula>$C40="Bills"</formula>
    </cfRule>
    <cfRule type="expression" dxfId="10321" priority="8589">
      <formula>$C40="Sales"</formula>
    </cfRule>
    <cfRule type="expression" dxfId="10320" priority="8590">
      <formula>$C40="Expences"</formula>
    </cfRule>
    <cfRule type="expression" dxfId="10319" priority="8591">
      <formula>$C40="Garlic Purchase"</formula>
    </cfRule>
    <cfRule type="expression" dxfId="10318" priority="8592">
      <formula>$C40="Ginger Purchase"</formula>
    </cfRule>
  </conditionalFormatting>
  <conditionalFormatting sqref="B40">
    <cfRule type="expression" dxfId="10317" priority="8593">
      <formula>$C40="Advance"</formula>
    </cfRule>
  </conditionalFormatting>
  <conditionalFormatting sqref="B40">
    <cfRule type="expression" dxfId="10316" priority="8574">
      <formula>$C40="Delivery charge"</formula>
    </cfRule>
    <cfRule type="expression" dxfId="10315" priority="8575">
      <formula>$C40="Staff Salary"</formula>
    </cfRule>
    <cfRule type="expression" dxfId="10314" priority="8576">
      <formula>$C40="Rent"</formula>
    </cfRule>
    <cfRule type="expression" dxfId="10313" priority="8577">
      <formula>$C40="Petrol"</formula>
    </cfRule>
    <cfRule type="expression" dxfId="10312" priority="8578">
      <formula>$C40="Bills"</formula>
    </cfRule>
    <cfRule type="expression" dxfId="10311" priority="8579">
      <formula>$C40="Sales"</formula>
    </cfRule>
    <cfRule type="expression" dxfId="10310" priority="8580">
      <formula>$C40="Expences"</formula>
    </cfRule>
    <cfRule type="expression" dxfId="10309" priority="8581">
      <formula>$C40="Garlic Purchase"</formula>
    </cfRule>
    <cfRule type="expression" dxfId="10308" priority="8582">
      <formula>$C40="Ginger Purchase"</formula>
    </cfRule>
  </conditionalFormatting>
  <conditionalFormatting sqref="B40">
    <cfRule type="expression" dxfId="10307" priority="8583">
      <formula>$C40="Advance"</formula>
    </cfRule>
  </conditionalFormatting>
  <conditionalFormatting sqref="B39 B41:B65 B67 B69:B73 B75:B239">
    <cfRule type="expression" dxfId="2222" priority="8564">
      <formula>$C39="Delivery charge"</formula>
    </cfRule>
    <cfRule type="expression" dxfId="2221" priority="8565">
      <formula>$C39="Staff Salary"</formula>
    </cfRule>
    <cfRule type="expression" dxfId="2220" priority="8566">
      <formula>$C39="Rent"</formula>
    </cfRule>
    <cfRule type="expression" dxfId="2219" priority="8567">
      <formula>$C39="Petrol"</formula>
    </cfRule>
    <cfRule type="expression" dxfId="2218" priority="8568">
      <formula>$C39="Bills"</formula>
    </cfRule>
    <cfRule type="expression" dxfId="2217" priority="8569">
      <formula>$C39="Sales"</formula>
    </cfRule>
    <cfRule type="expression" dxfId="2216" priority="8570">
      <formula>$C39="Expences"</formula>
    </cfRule>
    <cfRule type="expression" dxfId="2215" priority="8571">
      <formula>$C39="Garlic Purchase"</formula>
    </cfRule>
    <cfRule type="expression" dxfId="2214" priority="8572">
      <formula>$C39="Ginger Purchase"</formula>
    </cfRule>
  </conditionalFormatting>
  <conditionalFormatting sqref="B39 B41:B65 B67 B69:B73 B75:B239">
    <cfRule type="expression" dxfId="2213" priority="8573">
      <formula>$C39="Advance"</formula>
    </cfRule>
  </conditionalFormatting>
  <conditionalFormatting sqref="B40">
    <cfRule type="expression" dxfId="10306" priority="8554">
      <formula>$C40="Delivery charge"</formula>
    </cfRule>
    <cfRule type="expression" dxfId="10305" priority="8555">
      <formula>$C40="Staff Salary"</formula>
    </cfRule>
    <cfRule type="expression" dxfId="10304" priority="8556">
      <formula>$C40="Rent"</formula>
    </cfRule>
    <cfRule type="expression" dxfId="10303" priority="8557">
      <formula>$C40="Petrol"</formula>
    </cfRule>
    <cfRule type="expression" dxfId="10302" priority="8558">
      <formula>$C40="Bills"</formula>
    </cfRule>
    <cfRule type="expression" dxfId="10301" priority="8559">
      <formula>$C40="Sales"</formula>
    </cfRule>
    <cfRule type="expression" dxfId="10300" priority="8560">
      <formula>$C40="Expences"</formula>
    </cfRule>
    <cfRule type="expression" dxfId="10299" priority="8561">
      <formula>$C40="Garlic Purchase"</formula>
    </cfRule>
    <cfRule type="expression" dxfId="10298" priority="8562">
      <formula>$C40="Ginger Purchase"</formula>
    </cfRule>
  </conditionalFormatting>
  <conditionalFormatting sqref="B40">
    <cfRule type="expression" dxfId="10297" priority="8563">
      <formula>$C40="Advance"</formula>
    </cfRule>
  </conditionalFormatting>
  <conditionalFormatting sqref="B40">
    <cfRule type="expression" dxfId="10296" priority="8544">
      <formula>$C40="Delivery charge"</formula>
    </cfRule>
    <cfRule type="expression" dxfId="10295" priority="8545">
      <formula>$C40="Staff Salary"</formula>
    </cfRule>
    <cfRule type="expression" dxfId="10294" priority="8546">
      <formula>$C40="Rent"</formula>
    </cfRule>
    <cfRule type="expression" dxfId="10293" priority="8547">
      <formula>$C40="Petrol"</formula>
    </cfRule>
    <cfRule type="expression" dxfId="10292" priority="8548">
      <formula>$C40="Bills"</formula>
    </cfRule>
    <cfRule type="expression" dxfId="10291" priority="8549">
      <formula>$C40="Sales"</formula>
    </cfRule>
    <cfRule type="expression" dxfId="10290" priority="8550">
      <formula>$C40="Expences"</formula>
    </cfRule>
    <cfRule type="expression" dxfId="10289" priority="8551">
      <formula>$C40="Garlic Purchase"</formula>
    </cfRule>
    <cfRule type="expression" dxfId="10288" priority="8552">
      <formula>$C40="Ginger Purchase"</formula>
    </cfRule>
  </conditionalFormatting>
  <conditionalFormatting sqref="B40">
    <cfRule type="expression" dxfId="10287" priority="8553">
      <formula>$C40="Advance"</formula>
    </cfRule>
  </conditionalFormatting>
  <conditionalFormatting sqref="B40">
    <cfRule type="expression" dxfId="10286" priority="8534">
      <formula>$C40="Delivery charge"</formula>
    </cfRule>
    <cfRule type="expression" dxfId="10285" priority="8535">
      <formula>$C40="Staff Salary"</formula>
    </cfRule>
    <cfRule type="expression" dxfId="10284" priority="8536">
      <formula>$C40="Rent"</formula>
    </cfRule>
    <cfRule type="expression" dxfId="10283" priority="8537">
      <formula>$C40="Petrol"</formula>
    </cfRule>
    <cfRule type="expression" dxfId="10282" priority="8538">
      <formula>$C40="Bills"</formula>
    </cfRule>
    <cfRule type="expression" dxfId="10281" priority="8539">
      <formula>$C40="Sales"</formula>
    </cfRule>
    <cfRule type="expression" dxfId="10280" priority="8540">
      <formula>$C40="Expences"</formula>
    </cfRule>
    <cfRule type="expression" dxfId="10279" priority="8541">
      <formula>$C40="Garlic Purchase"</formula>
    </cfRule>
    <cfRule type="expression" dxfId="10278" priority="8542">
      <formula>$C40="Ginger Purchase"</formula>
    </cfRule>
  </conditionalFormatting>
  <conditionalFormatting sqref="B40">
    <cfRule type="expression" dxfId="10277" priority="8543">
      <formula>$C40="Advance"</formula>
    </cfRule>
  </conditionalFormatting>
  <conditionalFormatting sqref="B40">
    <cfRule type="expression" dxfId="10276" priority="8524">
      <formula>$C40="Delivery charge"</formula>
    </cfRule>
    <cfRule type="expression" dxfId="10275" priority="8525">
      <formula>$C40="Staff Salary"</formula>
    </cfRule>
    <cfRule type="expression" dxfId="10274" priority="8526">
      <formula>$C40="Rent"</formula>
    </cfRule>
    <cfRule type="expression" dxfId="10273" priority="8527">
      <formula>$C40="Petrol"</formula>
    </cfRule>
    <cfRule type="expression" dxfId="10272" priority="8528">
      <formula>$C40="Bills"</formula>
    </cfRule>
    <cfRule type="expression" dxfId="10271" priority="8529">
      <formula>$C40="Sales"</formula>
    </cfRule>
    <cfRule type="expression" dxfId="10270" priority="8530">
      <formula>$C40="Expences"</formula>
    </cfRule>
    <cfRule type="expression" dxfId="10269" priority="8531">
      <formula>$C40="Garlic Purchase"</formula>
    </cfRule>
    <cfRule type="expression" dxfId="10268" priority="8532">
      <formula>$C40="Ginger Purchase"</formula>
    </cfRule>
  </conditionalFormatting>
  <conditionalFormatting sqref="B40">
    <cfRule type="expression" dxfId="10267" priority="8533">
      <formula>$C40="Advance"</formula>
    </cfRule>
  </conditionalFormatting>
  <conditionalFormatting sqref="B40">
    <cfRule type="expression" dxfId="10266" priority="8514">
      <formula>$C40="Delivery charge"</formula>
    </cfRule>
    <cfRule type="expression" dxfId="10265" priority="8515">
      <formula>$C40="Staff Salary"</formula>
    </cfRule>
    <cfRule type="expression" dxfId="10264" priority="8516">
      <formula>$C40="Rent"</formula>
    </cfRule>
    <cfRule type="expression" dxfId="10263" priority="8517">
      <formula>$C40="Petrol"</formula>
    </cfRule>
    <cfRule type="expression" dxfId="10262" priority="8518">
      <formula>$C40="Bills"</formula>
    </cfRule>
    <cfRule type="expression" dxfId="10261" priority="8519">
      <formula>$C40="Sales"</formula>
    </cfRule>
    <cfRule type="expression" dxfId="10260" priority="8520">
      <formula>$C40="Expences"</formula>
    </cfRule>
    <cfRule type="expression" dxfId="10259" priority="8521">
      <formula>$C40="Garlic Purchase"</formula>
    </cfRule>
    <cfRule type="expression" dxfId="10258" priority="8522">
      <formula>$C40="Ginger Purchase"</formula>
    </cfRule>
  </conditionalFormatting>
  <conditionalFormatting sqref="B40">
    <cfRule type="expression" dxfId="10257" priority="8523">
      <formula>$C40="Advance"</formula>
    </cfRule>
  </conditionalFormatting>
  <conditionalFormatting sqref="B40">
    <cfRule type="expression" dxfId="10256" priority="8504">
      <formula>$C40="Delivery charge"</formula>
    </cfRule>
    <cfRule type="expression" dxfId="10255" priority="8505">
      <formula>$C40="Staff Salary"</formula>
    </cfRule>
    <cfRule type="expression" dxfId="10254" priority="8506">
      <formula>$C40="Rent"</formula>
    </cfRule>
    <cfRule type="expression" dxfId="10253" priority="8507">
      <formula>$C40="Petrol"</formula>
    </cfRule>
    <cfRule type="expression" dxfId="10252" priority="8508">
      <formula>$C40="Bills"</formula>
    </cfRule>
    <cfRule type="expression" dxfId="10251" priority="8509">
      <formula>$C40="Sales"</formula>
    </cfRule>
    <cfRule type="expression" dxfId="10250" priority="8510">
      <formula>$C40="Expences"</formula>
    </cfRule>
    <cfRule type="expression" dxfId="10249" priority="8511">
      <formula>$C40="Garlic Purchase"</formula>
    </cfRule>
    <cfRule type="expression" dxfId="10248" priority="8512">
      <formula>$C40="Ginger Purchase"</formula>
    </cfRule>
  </conditionalFormatting>
  <conditionalFormatting sqref="B40">
    <cfRule type="expression" dxfId="10247" priority="8513">
      <formula>$C40="Advance"</formula>
    </cfRule>
  </conditionalFormatting>
  <conditionalFormatting sqref="B40">
    <cfRule type="expression" dxfId="10246" priority="8494">
      <formula>$C40="Delivery charge"</formula>
    </cfRule>
    <cfRule type="expression" dxfId="10245" priority="8495">
      <formula>$C40="Staff Salary"</formula>
    </cfRule>
    <cfRule type="expression" dxfId="10244" priority="8496">
      <formula>$C40="Rent"</formula>
    </cfRule>
    <cfRule type="expression" dxfId="10243" priority="8497">
      <formula>$C40="Petrol"</formula>
    </cfRule>
    <cfRule type="expression" dxfId="10242" priority="8498">
      <formula>$C40="Bills"</formula>
    </cfRule>
    <cfRule type="expression" dxfId="10241" priority="8499">
      <formula>$C40="Sales"</formula>
    </cfRule>
    <cfRule type="expression" dxfId="10240" priority="8500">
      <formula>$C40="Expences"</formula>
    </cfRule>
    <cfRule type="expression" dxfId="10239" priority="8501">
      <formula>$C40="Garlic Purchase"</formula>
    </cfRule>
    <cfRule type="expression" dxfId="10238" priority="8502">
      <formula>$C40="Ginger Purchase"</formula>
    </cfRule>
  </conditionalFormatting>
  <conditionalFormatting sqref="B40">
    <cfRule type="expression" dxfId="10237" priority="8503">
      <formula>$C40="Advance"</formula>
    </cfRule>
  </conditionalFormatting>
  <conditionalFormatting sqref="B40">
    <cfRule type="expression" dxfId="10236" priority="8484">
      <formula>$C40="Delivery charge"</formula>
    </cfRule>
    <cfRule type="expression" dxfId="10235" priority="8485">
      <formula>$C40="Staff Salary"</formula>
    </cfRule>
    <cfRule type="expression" dxfId="10234" priority="8486">
      <formula>$C40="Rent"</formula>
    </cfRule>
    <cfRule type="expression" dxfId="10233" priority="8487">
      <formula>$C40="Petrol"</formula>
    </cfRule>
    <cfRule type="expression" dxfId="10232" priority="8488">
      <formula>$C40="Bills"</formula>
    </cfRule>
    <cfRule type="expression" dxfId="10231" priority="8489">
      <formula>$C40="Sales"</formula>
    </cfRule>
    <cfRule type="expression" dxfId="10230" priority="8490">
      <formula>$C40="Expences"</formula>
    </cfRule>
    <cfRule type="expression" dxfId="10229" priority="8491">
      <formula>$C40="Garlic Purchase"</formula>
    </cfRule>
    <cfRule type="expression" dxfId="10228" priority="8492">
      <formula>$C40="Ginger Purchase"</formula>
    </cfRule>
  </conditionalFormatting>
  <conditionalFormatting sqref="B40">
    <cfRule type="expression" dxfId="10227" priority="8493">
      <formula>$C40="Advance"</formula>
    </cfRule>
  </conditionalFormatting>
  <conditionalFormatting sqref="B40">
    <cfRule type="expression" dxfId="10226" priority="8474">
      <formula>$C40="Delivery charge"</formula>
    </cfRule>
    <cfRule type="expression" dxfId="10225" priority="8475">
      <formula>$C40="Staff Salary"</formula>
    </cfRule>
    <cfRule type="expression" dxfId="10224" priority="8476">
      <formula>$C40="Rent"</formula>
    </cfRule>
    <cfRule type="expression" dxfId="10223" priority="8477">
      <formula>$C40="Petrol"</formula>
    </cfRule>
    <cfRule type="expression" dxfId="10222" priority="8478">
      <formula>$C40="Bills"</formula>
    </cfRule>
    <cfRule type="expression" dxfId="10221" priority="8479">
      <formula>$C40="Sales"</formula>
    </cfRule>
    <cfRule type="expression" dxfId="10220" priority="8480">
      <formula>$C40="Expences"</formula>
    </cfRule>
    <cfRule type="expression" dxfId="10219" priority="8481">
      <formula>$C40="Garlic Purchase"</formula>
    </cfRule>
    <cfRule type="expression" dxfId="10218" priority="8482">
      <formula>$C40="Ginger Purchase"</formula>
    </cfRule>
  </conditionalFormatting>
  <conditionalFormatting sqref="B40">
    <cfRule type="expression" dxfId="10217" priority="8483">
      <formula>$C40="Advance"</formula>
    </cfRule>
  </conditionalFormatting>
  <conditionalFormatting sqref="B40 B42 B44 B46 B66 B156 B48 B52 B50 B54 B56 B60 B58 B62 B68 B70:B72 B74:B75">
    <cfRule type="expression" dxfId="10216" priority="8473">
      <formula>$C40="Advance"</formula>
    </cfRule>
  </conditionalFormatting>
  <conditionalFormatting sqref="B40 B42 B44 B46 B66 B156 B48 B52 B50 B54 B56 B60 B58 B62 B68 B70:B72 B74:B75">
    <cfRule type="expression" dxfId="10215" priority="8464">
      <formula>$C40="Delivery charge"</formula>
    </cfRule>
    <cfRule type="expression" dxfId="10214" priority="8465">
      <formula>$C40="Staff Salary"</formula>
    </cfRule>
    <cfRule type="expression" dxfId="10213" priority="8466">
      <formula>$C40="Rent"</formula>
    </cfRule>
    <cfRule type="expression" dxfId="10212" priority="8467">
      <formula>$C40="Petrol"</formula>
    </cfRule>
    <cfRule type="expression" dxfId="10211" priority="8468">
      <formula>$C40="Bills"</formula>
    </cfRule>
    <cfRule type="expression" dxfId="10210" priority="8469">
      <formula>$C40="Sales"</formula>
    </cfRule>
    <cfRule type="expression" dxfId="10209" priority="8470">
      <formula>$C40="Expences"</formula>
    </cfRule>
    <cfRule type="expression" dxfId="10208" priority="8471">
      <formula>$C40="Garlic Purchase"</formula>
    </cfRule>
    <cfRule type="expression" dxfId="10207" priority="8472">
      <formula>$C40="Ginger Purchase"</formula>
    </cfRule>
  </conditionalFormatting>
  <conditionalFormatting sqref="B39 B41:B65 B67 B69:B73 B75:B239">
    <cfRule type="expression" dxfId="2212" priority="8454">
      <formula>$C39="Delivery charge"</formula>
    </cfRule>
    <cfRule type="expression" dxfId="2211" priority="8455">
      <formula>$C39="Staff Salary"</formula>
    </cfRule>
    <cfRule type="expression" dxfId="2210" priority="8456">
      <formula>$C39="Rent"</formula>
    </cfRule>
    <cfRule type="expression" dxfId="2209" priority="8457">
      <formula>$C39="Petrol"</formula>
    </cfRule>
    <cfRule type="expression" dxfId="2208" priority="8458">
      <formula>$C39="Bills"</formula>
    </cfRule>
    <cfRule type="expression" dxfId="2207" priority="8459">
      <formula>$C39="Sales"</formula>
    </cfRule>
    <cfRule type="expression" dxfId="2206" priority="8460">
      <formula>$C39="Expences"</formula>
    </cfRule>
    <cfRule type="expression" dxfId="2205" priority="8461">
      <formula>$C39="Garlic Purchase"</formula>
    </cfRule>
    <cfRule type="expression" dxfId="2204" priority="8462">
      <formula>$C39="Ginger Purchase"</formula>
    </cfRule>
  </conditionalFormatting>
  <conditionalFormatting sqref="B39 B41:B65 B67 B69:B73 B75:B239">
    <cfRule type="expression" dxfId="2203" priority="8463">
      <formula>$C39="Advance"</formula>
    </cfRule>
  </conditionalFormatting>
  <conditionalFormatting sqref="B39 B41:B65 B67 B69:B73 B75:B239">
    <cfRule type="expression" dxfId="2202" priority="8444">
      <formula>$C39="Delivery charge"</formula>
    </cfRule>
    <cfRule type="expression" dxfId="2201" priority="8445">
      <formula>$C39="Staff Salary"</formula>
    </cfRule>
    <cfRule type="expression" dxfId="2200" priority="8446">
      <formula>$C39="Rent"</formula>
    </cfRule>
    <cfRule type="expression" dxfId="2199" priority="8447">
      <formula>$C39="Petrol"</formula>
    </cfRule>
    <cfRule type="expression" dxfId="2198" priority="8448">
      <formula>$C39="Bills"</formula>
    </cfRule>
    <cfRule type="expression" dxfId="2197" priority="8449">
      <formula>$C39="Sales"</formula>
    </cfRule>
    <cfRule type="expression" dxfId="2196" priority="8450">
      <formula>$C39="Expences"</formula>
    </cfRule>
    <cfRule type="expression" dxfId="2195" priority="8451">
      <formula>$C39="Garlic Purchase"</formula>
    </cfRule>
    <cfRule type="expression" dxfId="2194" priority="8452">
      <formula>$C39="Ginger Purchase"</formula>
    </cfRule>
  </conditionalFormatting>
  <conditionalFormatting sqref="B39 B41:B65 B67 B69:B73 B75:B239">
    <cfRule type="expression" dxfId="2193" priority="8453">
      <formula>$C39="Advance"</formula>
    </cfRule>
  </conditionalFormatting>
  <conditionalFormatting sqref="B39 B41:B65 B67 B69:B73 B75:B239">
    <cfRule type="expression" dxfId="2192" priority="8434">
      <formula>$C39="Delivery charge"</formula>
    </cfRule>
    <cfRule type="expression" dxfId="2191" priority="8435">
      <formula>$C39="Staff Salary"</formula>
    </cfRule>
    <cfRule type="expression" dxfId="2190" priority="8436">
      <formula>$C39="Rent"</formula>
    </cfRule>
    <cfRule type="expression" dxfId="2189" priority="8437">
      <formula>$C39="Petrol"</formula>
    </cfRule>
    <cfRule type="expression" dxfId="2188" priority="8438">
      <formula>$C39="Bills"</formula>
    </cfRule>
    <cfRule type="expression" dxfId="2187" priority="8439">
      <formula>$C39="Sales"</formula>
    </cfRule>
    <cfRule type="expression" dxfId="2186" priority="8440">
      <formula>$C39="Expences"</formula>
    </cfRule>
    <cfRule type="expression" dxfId="2185" priority="8441">
      <formula>$C39="Garlic Purchase"</formula>
    </cfRule>
    <cfRule type="expression" dxfId="2184" priority="8442">
      <formula>$C39="Ginger Purchase"</formula>
    </cfRule>
  </conditionalFormatting>
  <conditionalFormatting sqref="B39 B41:B65 B67 B69:B73 B75:B239">
    <cfRule type="expression" dxfId="2183" priority="8443">
      <formula>$C39="Advance"</formula>
    </cfRule>
  </conditionalFormatting>
  <conditionalFormatting sqref="B39 B41:B65 B67 B69:B73 B75:B239">
    <cfRule type="expression" dxfId="2182" priority="8424">
      <formula>$C39="Delivery charge"</formula>
    </cfRule>
    <cfRule type="expression" dxfId="2181" priority="8425">
      <formula>$C39="Staff Salary"</formula>
    </cfRule>
    <cfRule type="expression" dxfId="2180" priority="8426">
      <formula>$C39="Rent"</formula>
    </cfRule>
    <cfRule type="expression" dxfId="2179" priority="8427">
      <formula>$C39="Petrol"</formula>
    </cfRule>
    <cfRule type="expression" dxfId="2178" priority="8428">
      <formula>$C39="Bills"</formula>
    </cfRule>
    <cfRule type="expression" dxfId="2177" priority="8429">
      <formula>$C39="Sales"</formula>
    </cfRule>
    <cfRule type="expression" dxfId="2176" priority="8430">
      <formula>$C39="Expences"</formula>
    </cfRule>
    <cfRule type="expression" dxfId="2175" priority="8431">
      <formula>$C39="Garlic Purchase"</formula>
    </cfRule>
    <cfRule type="expression" dxfId="2174" priority="8432">
      <formula>$C39="Ginger Purchase"</formula>
    </cfRule>
  </conditionalFormatting>
  <conditionalFormatting sqref="B39 B41:B65 B67 B69:B73 B75:B239">
    <cfRule type="expression" dxfId="2173" priority="8433">
      <formula>$C39="Advance"</formula>
    </cfRule>
  </conditionalFormatting>
  <conditionalFormatting sqref="B39 B41:B65 B67 B69:B73 B75:B239">
    <cfRule type="expression" dxfId="2172" priority="8414">
      <formula>$C39="Delivery charge"</formula>
    </cfRule>
    <cfRule type="expression" dxfId="2171" priority="8415">
      <formula>$C39="Staff Salary"</formula>
    </cfRule>
    <cfRule type="expression" dxfId="2170" priority="8416">
      <formula>$C39="Rent"</formula>
    </cfRule>
    <cfRule type="expression" dxfId="2169" priority="8417">
      <formula>$C39="Petrol"</formula>
    </cfRule>
    <cfRule type="expression" dxfId="2168" priority="8418">
      <formula>$C39="Bills"</formula>
    </cfRule>
    <cfRule type="expression" dxfId="2167" priority="8419">
      <formula>$C39="Sales"</formula>
    </cfRule>
    <cfRule type="expression" dxfId="2166" priority="8420">
      <formula>$C39="Expences"</formula>
    </cfRule>
    <cfRule type="expression" dxfId="2165" priority="8421">
      <formula>$C39="Garlic Purchase"</formula>
    </cfRule>
    <cfRule type="expression" dxfId="2164" priority="8422">
      <formula>$C39="Ginger Purchase"</formula>
    </cfRule>
  </conditionalFormatting>
  <conditionalFormatting sqref="B39 B41:B65 B67 B69:B73 B75:B239">
    <cfRule type="expression" dxfId="2163" priority="8423">
      <formula>$C39="Advance"</formula>
    </cfRule>
  </conditionalFormatting>
  <conditionalFormatting sqref="B39 B41:B65 B67 B69:B73 B75:B239">
    <cfRule type="expression" dxfId="2162" priority="8404">
      <formula>$C39="Delivery charge"</formula>
    </cfRule>
    <cfRule type="expression" dxfId="2161" priority="8405">
      <formula>$C39="Staff Salary"</formula>
    </cfRule>
    <cfRule type="expression" dxfId="2160" priority="8406">
      <formula>$C39="Rent"</formula>
    </cfRule>
    <cfRule type="expression" dxfId="2159" priority="8407">
      <formula>$C39="Petrol"</formula>
    </cfRule>
    <cfRule type="expression" dxfId="2158" priority="8408">
      <formula>$C39="Bills"</formula>
    </cfRule>
    <cfRule type="expression" dxfId="2157" priority="8409">
      <formula>$C39="Sales"</formula>
    </cfRule>
    <cfRule type="expression" dxfId="2156" priority="8410">
      <formula>$C39="Expences"</formula>
    </cfRule>
    <cfRule type="expression" dxfId="2155" priority="8411">
      <formula>$C39="Garlic Purchase"</formula>
    </cfRule>
    <cfRule type="expression" dxfId="2154" priority="8412">
      <formula>$C39="Ginger Purchase"</formula>
    </cfRule>
  </conditionalFormatting>
  <conditionalFormatting sqref="B39 B41:B65 B67 B69:B73 B75:B239">
    <cfRule type="expression" dxfId="2153" priority="8413">
      <formula>$C39="Advance"</formula>
    </cfRule>
  </conditionalFormatting>
  <conditionalFormatting sqref="B39 B41:B65 B67 B69:B73 B75:B239">
    <cfRule type="expression" dxfId="2152" priority="8394">
      <formula>$C39="Delivery charge"</formula>
    </cfRule>
    <cfRule type="expression" dxfId="2151" priority="8395">
      <formula>$C39="Staff Salary"</formula>
    </cfRule>
    <cfRule type="expression" dxfId="2150" priority="8396">
      <formula>$C39="Rent"</formula>
    </cfRule>
    <cfRule type="expression" dxfId="2149" priority="8397">
      <formula>$C39="Petrol"</formula>
    </cfRule>
    <cfRule type="expression" dxfId="2148" priority="8398">
      <formula>$C39="Bills"</formula>
    </cfRule>
    <cfRule type="expression" dxfId="2147" priority="8399">
      <formula>$C39="Sales"</formula>
    </cfRule>
    <cfRule type="expression" dxfId="2146" priority="8400">
      <formula>$C39="Expences"</formula>
    </cfRule>
    <cfRule type="expression" dxfId="2145" priority="8401">
      <formula>$C39="Garlic Purchase"</formula>
    </cfRule>
    <cfRule type="expression" dxfId="2144" priority="8402">
      <formula>$C39="Ginger Purchase"</formula>
    </cfRule>
  </conditionalFormatting>
  <conditionalFormatting sqref="B39 B41:B65 B67 B69:B73 B75:B239">
    <cfRule type="expression" dxfId="2143" priority="8403">
      <formula>$C39="Advance"</formula>
    </cfRule>
  </conditionalFormatting>
  <conditionalFormatting sqref="B39 B41:B65 B67 B69:B73 B75:B239">
    <cfRule type="expression" dxfId="2142" priority="8384">
      <formula>$C39="Delivery charge"</formula>
    </cfRule>
    <cfRule type="expression" dxfId="2141" priority="8385">
      <formula>$C39="Staff Salary"</formula>
    </cfRule>
    <cfRule type="expression" dxfId="2140" priority="8386">
      <formula>$C39="Rent"</formula>
    </cfRule>
    <cfRule type="expression" dxfId="2139" priority="8387">
      <formula>$C39="Petrol"</formula>
    </cfRule>
    <cfRule type="expression" dxfId="2138" priority="8388">
      <formula>$C39="Bills"</formula>
    </cfRule>
    <cfRule type="expression" dxfId="2137" priority="8389">
      <formula>$C39="Sales"</formula>
    </cfRule>
    <cfRule type="expression" dxfId="2136" priority="8390">
      <formula>$C39="Expences"</formula>
    </cfRule>
    <cfRule type="expression" dxfId="2135" priority="8391">
      <formula>$C39="Garlic Purchase"</formula>
    </cfRule>
    <cfRule type="expression" dxfId="2134" priority="8392">
      <formula>$C39="Ginger Purchase"</formula>
    </cfRule>
  </conditionalFormatting>
  <conditionalFormatting sqref="B39 B41:B65 B67 B69:B73 B75:B239">
    <cfRule type="expression" dxfId="2133" priority="8393">
      <formula>$C39="Advance"</formula>
    </cfRule>
  </conditionalFormatting>
  <conditionalFormatting sqref="B39 B41:B65 B67 B69:B73 B75:B239">
    <cfRule type="expression" dxfId="2132" priority="8374">
      <formula>$C39="Delivery charge"</formula>
    </cfRule>
    <cfRule type="expression" dxfId="2131" priority="8375">
      <formula>$C39="Staff Salary"</formula>
    </cfRule>
    <cfRule type="expression" dxfId="2130" priority="8376">
      <formula>$C39="Rent"</formula>
    </cfRule>
    <cfRule type="expression" dxfId="2129" priority="8377">
      <formula>$C39="Petrol"</formula>
    </cfRule>
    <cfRule type="expression" dxfId="2128" priority="8378">
      <formula>$C39="Bills"</formula>
    </cfRule>
    <cfRule type="expression" dxfId="2127" priority="8379">
      <formula>$C39="Sales"</formula>
    </cfRule>
    <cfRule type="expression" dxfId="2126" priority="8380">
      <formula>$C39="Expences"</formula>
    </cfRule>
    <cfRule type="expression" dxfId="2125" priority="8381">
      <formula>$C39="Garlic Purchase"</formula>
    </cfRule>
    <cfRule type="expression" dxfId="2124" priority="8382">
      <formula>$C39="Ginger Purchase"</formula>
    </cfRule>
  </conditionalFormatting>
  <conditionalFormatting sqref="B39 B41:B65 B67 B69:B73 B75:B239">
    <cfRule type="expression" dxfId="2123" priority="8383">
      <formula>$C39="Advance"</formula>
    </cfRule>
  </conditionalFormatting>
  <conditionalFormatting sqref="B39 B41:B65 B67 B69:B73 B75:B239">
    <cfRule type="expression" dxfId="2122" priority="8364">
      <formula>$C39="Delivery charge"</formula>
    </cfRule>
    <cfRule type="expression" dxfId="2121" priority="8365">
      <formula>$C39="Staff Salary"</formula>
    </cfRule>
    <cfRule type="expression" dxfId="2120" priority="8366">
      <formula>$C39="Rent"</formula>
    </cfRule>
    <cfRule type="expression" dxfId="2119" priority="8367">
      <formula>$C39="Petrol"</formula>
    </cfRule>
    <cfRule type="expression" dxfId="2118" priority="8368">
      <formula>$C39="Bills"</formula>
    </cfRule>
    <cfRule type="expression" dxfId="2117" priority="8369">
      <formula>$C39="Sales"</formula>
    </cfRule>
    <cfRule type="expression" dxfId="2116" priority="8370">
      <formula>$C39="Expences"</formula>
    </cfRule>
    <cfRule type="expression" dxfId="2115" priority="8371">
      <formula>$C39="Garlic Purchase"</formula>
    </cfRule>
    <cfRule type="expression" dxfId="2114" priority="8372">
      <formula>$C39="Ginger Purchase"</formula>
    </cfRule>
  </conditionalFormatting>
  <conditionalFormatting sqref="B39 B41:B65 B67 B69:B73 B75:B239">
    <cfRule type="expression" dxfId="2113" priority="8373">
      <formula>$C39="Advance"</formula>
    </cfRule>
  </conditionalFormatting>
  <conditionalFormatting sqref="B39 B41:B65 B67 B69:B73 B75:B239">
    <cfRule type="expression" dxfId="2112" priority="8354">
      <formula>$C39="Delivery charge"</formula>
    </cfRule>
    <cfRule type="expression" dxfId="2111" priority="8355">
      <formula>$C39="Staff Salary"</formula>
    </cfRule>
    <cfRule type="expression" dxfId="2110" priority="8356">
      <formula>$C39="Rent"</formula>
    </cfRule>
    <cfRule type="expression" dxfId="2109" priority="8357">
      <formula>$C39="Petrol"</formula>
    </cfRule>
    <cfRule type="expression" dxfId="2108" priority="8358">
      <formula>$C39="Bills"</formula>
    </cfRule>
    <cfRule type="expression" dxfId="2107" priority="8359">
      <formula>$C39="Sales"</formula>
    </cfRule>
    <cfRule type="expression" dxfId="2106" priority="8360">
      <formula>$C39="Expences"</formula>
    </cfRule>
    <cfRule type="expression" dxfId="2105" priority="8361">
      <formula>$C39="Garlic Purchase"</formula>
    </cfRule>
    <cfRule type="expression" dxfId="2104" priority="8362">
      <formula>$C39="Ginger Purchase"</formula>
    </cfRule>
  </conditionalFormatting>
  <conditionalFormatting sqref="B39 B41:B65 B67 B69:B73 B75:B239">
    <cfRule type="expression" dxfId="2103" priority="8363">
      <formula>$C39="Advance"</formula>
    </cfRule>
  </conditionalFormatting>
  <conditionalFormatting sqref="B40 B42 B44 B46 B66 B156 B48 B52 B50 B54 B56 B60 B58 B62 B68 B70:B72 B74:B75">
    <cfRule type="expression" dxfId="10206" priority="8344">
      <formula>$C40="Delivery charge"</formula>
    </cfRule>
    <cfRule type="expression" dxfId="10205" priority="8345">
      <formula>$C40="Staff Salary"</formula>
    </cfRule>
    <cfRule type="expression" dxfId="10204" priority="8346">
      <formula>$C40="Rent"</formula>
    </cfRule>
    <cfRule type="expression" dxfId="10203" priority="8347">
      <formula>$C40="Petrol"</formula>
    </cfRule>
    <cfRule type="expression" dxfId="10202" priority="8348">
      <formula>$C40="Bills"</formula>
    </cfRule>
    <cfRule type="expression" dxfId="10201" priority="8349">
      <formula>$C40="Sales"</formula>
    </cfRule>
    <cfRule type="expression" dxfId="10200" priority="8350">
      <formula>$C40="Expences"</formula>
    </cfRule>
    <cfRule type="expression" dxfId="10199" priority="8351">
      <formula>$C40="Garlic Purchase"</formula>
    </cfRule>
    <cfRule type="expression" dxfId="10198" priority="8352">
      <formula>$C40="Ginger Purchase"</formula>
    </cfRule>
  </conditionalFormatting>
  <conditionalFormatting sqref="B40 B42 B44 B46 B66 B156 B48 B52 B50 B54 B56 B60 B58 B62 B68 B70:B72 B74:B75">
    <cfRule type="expression" dxfId="10197" priority="8353">
      <formula>$C40="Advance"</formula>
    </cfRule>
  </conditionalFormatting>
  <conditionalFormatting sqref="B39 B41:B65 B67 B69:B73 B75:B239">
    <cfRule type="expression" dxfId="2102" priority="8334">
      <formula>$C39="Delivery charge"</formula>
    </cfRule>
    <cfRule type="expression" dxfId="2101" priority="8335">
      <formula>$C39="Staff Salary"</formula>
    </cfRule>
    <cfRule type="expression" dxfId="2100" priority="8336">
      <formula>$C39="Rent"</formula>
    </cfRule>
    <cfRule type="expression" dxfId="2099" priority="8337">
      <formula>$C39="Petrol"</formula>
    </cfRule>
    <cfRule type="expression" dxfId="2098" priority="8338">
      <formula>$C39="Bills"</formula>
    </cfRule>
    <cfRule type="expression" dxfId="2097" priority="8339">
      <formula>$C39="Sales"</formula>
    </cfRule>
    <cfRule type="expression" dxfId="2096" priority="8340">
      <formula>$C39="Expences"</formula>
    </cfRule>
    <cfRule type="expression" dxfId="2095" priority="8341">
      <formula>$C39="Garlic Purchase"</formula>
    </cfRule>
    <cfRule type="expression" dxfId="2094" priority="8342">
      <formula>$C39="Ginger Purchase"</formula>
    </cfRule>
  </conditionalFormatting>
  <conditionalFormatting sqref="B39 B41:B65 B67 B69:B73 B75:B239">
    <cfRule type="expression" dxfId="2093" priority="8343">
      <formula>$C39="Advance"</formula>
    </cfRule>
  </conditionalFormatting>
  <conditionalFormatting sqref="B39 B41:B65 B67 B69:B73 B75:B239">
    <cfRule type="expression" dxfId="2092" priority="8324">
      <formula>$C39="Delivery charge"</formula>
    </cfRule>
    <cfRule type="expression" dxfId="2091" priority="8325">
      <formula>$C39="Staff Salary"</formula>
    </cfRule>
    <cfRule type="expression" dxfId="2090" priority="8326">
      <formula>$C39="Rent"</formula>
    </cfRule>
    <cfRule type="expression" dxfId="2089" priority="8327">
      <formula>$C39="Petrol"</formula>
    </cfRule>
    <cfRule type="expression" dxfId="2088" priority="8328">
      <formula>$C39="Bills"</formula>
    </cfRule>
    <cfRule type="expression" dxfId="2087" priority="8329">
      <formula>$C39="Sales"</formula>
    </cfRule>
    <cfRule type="expression" dxfId="2086" priority="8330">
      <formula>$C39="Expences"</formula>
    </cfRule>
    <cfRule type="expression" dxfId="2085" priority="8331">
      <formula>$C39="Garlic Purchase"</formula>
    </cfRule>
    <cfRule type="expression" dxfId="2084" priority="8332">
      <formula>$C39="Ginger Purchase"</formula>
    </cfRule>
  </conditionalFormatting>
  <conditionalFormatting sqref="B39 B41:B65 B67 B69:B73 B75:B239">
    <cfRule type="expression" dxfId="2083" priority="8333">
      <formula>$C39="Advance"</formula>
    </cfRule>
  </conditionalFormatting>
  <conditionalFormatting sqref="B39 B41:B65 B67 B69:B73 B75:B239">
    <cfRule type="expression" dxfId="2082" priority="8314">
      <formula>$C39="Delivery charge"</formula>
    </cfRule>
    <cfRule type="expression" dxfId="2081" priority="8315">
      <formula>$C39="Staff Salary"</formula>
    </cfRule>
    <cfRule type="expression" dxfId="2080" priority="8316">
      <formula>$C39="Rent"</formula>
    </cfRule>
    <cfRule type="expression" dxfId="2079" priority="8317">
      <formula>$C39="Petrol"</formula>
    </cfRule>
    <cfRule type="expression" dxfId="2078" priority="8318">
      <formula>$C39="Bills"</formula>
    </cfRule>
    <cfRule type="expression" dxfId="2077" priority="8319">
      <formula>$C39="Sales"</formula>
    </cfRule>
    <cfRule type="expression" dxfId="2076" priority="8320">
      <formula>$C39="Expences"</formula>
    </cfRule>
    <cfRule type="expression" dxfId="2075" priority="8321">
      <formula>$C39="Garlic Purchase"</formula>
    </cfRule>
    <cfRule type="expression" dxfId="2074" priority="8322">
      <formula>$C39="Ginger Purchase"</formula>
    </cfRule>
  </conditionalFormatting>
  <conditionalFormatting sqref="B39 B41:B65 B67 B69:B73 B75:B239">
    <cfRule type="expression" dxfId="2073" priority="8323">
      <formula>$C39="Advance"</formula>
    </cfRule>
  </conditionalFormatting>
  <conditionalFormatting sqref="B39 B41:B65 B67 B69:B73 B75:B239">
    <cfRule type="expression" dxfId="2072" priority="8304">
      <formula>$C39="Delivery charge"</formula>
    </cfRule>
    <cfRule type="expression" dxfId="2071" priority="8305">
      <formula>$C39="Staff Salary"</formula>
    </cfRule>
    <cfRule type="expression" dxfId="2070" priority="8306">
      <formula>$C39="Rent"</formula>
    </cfRule>
    <cfRule type="expression" dxfId="2069" priority="8307">
      <formula>$C39="Petrol"</formula>
    </cfRule>
    <cfRule type="expression" dxfId="2068" priority="8308">
      <formula>$C39="Bills"</formula>
    </cfRule>
    <cfRule type="expression" dxfId="2067" priority="8309">
      <formula>$C39="Sales"</formula>
    </cfRule>
    <cfRule type="expression" dxfId="2066" priority="8310">
      <formula>$C39="Expences"</formula>
    </cfRule>
    <cfRule type="expression" dxfId="2065" priority="8311">
      <formula>$C39="Garlic Purchase"</formula>
    </cfRule>
    <cfRule type="expression" dxfId="2064" priority="8312">
      <formula>$C39="Ginger Purchase"</formula>
    </cfRule>
  </conditionalFormatting>
  <conditionalFormatting sqref="B39 B41:B65 B67 B69:B73 B75:B239">
    <cfRule type="expression" dxfId="2063" priority="8313">
      <formula>$C39="Advance"</formula>
    </cfRule>
  </conditionalFormatting>
  <conditionalFormatting sqref="B40 B42 B44 B46 B66 B156 B48 B52 B50 B54 B56 B60 B58 B62 B68 B70:B72 B74:B75">
    <cfRule type="expression" dxfId="10196" priority="8294">
      <formula>$C40="Delivery charge"</formula>
    </cfRule>
    <cfRule type="expression" dxfId="10195" priority="8295">
      <formula>$C40="Staff Salary"</formula>
    </cfRule>
    <cfRule type="expression" dxfId="10194" priority="8296">
      <formula>$C40="Rent"</formula>
    </cfRule>
    <cfRule type="expression" dxfId="10193" priority="8297">
      <formula>$C40="Petrol"</formula>
    </cfRule>
    <cfRule type="expression" dxfId="10192" priority="8298">
      <formula>$C40="Bills"</formula>
    </cfRule>
    <cfRule type="expression" dxfId="10191" priority="8299">
      <formula>$C40="Sales"</formula>
    </cfRule>
    <cfRule type="expression" dxfId="10190" priority="8300">
      <formula>$C40="Expences"</formula>
    </cfRule>
    <cfRule type="expression" dxfId="10189" priority="8301">
      <formula>$C40="Garlic Purchase"</formula>
    </cfRule>
    <cfRule type="expression" dxfId="10188" priority="8302">
      <formula>$C40="Ginger Purchase"</formula>
    </cfRule>
  </conditionalFormatting>
  <conditionalFormatting sqref="B40 B42 B44 B46 B66 B156 B48 B52 B50 B54 B56 B60 B58 B62 B68 B70:B72 B74:B75">
    <cfRule type="expression" dxfId="10187" priority="8303">
      <formula>$C40="Advance"</formula>
    </cfRule>
  </conditionalFormatting>
  <conditionalFormatting sqref="B40 B42 B44 B46 B66 B156 B48 B52 B50 B54 B56 B60 B58 B62 B68 B70:B72 B74:B75">
    <cfRule type="expression" dxfId="10186" priority="8284">
      <formula>$C40="Delivery charge"</formula>
    </cfRule>
    <cfRule type="expression" dxfId="10185" priority="8285">
      <formula>$C40="Staff Salary"</formula>
    </cfRule>
    <cfRule type="expression" dxfId="10184" priority="8286">
      <formula>$C40="Rent"</formula>
    </cfRule>
    <cfRule type="expression" dxfId="10183" priority="8287">
      <formula>$C40="Petrol"</formula>
    </cfRule>
    <cfRule type="expression" dxfId="10182" priority="8288">
      <formula>$C40="Bills"</formula>
    </cfRule>
    <cfRule type="expression" dxfId="10181" priority="8289">
      <formula>$C40="Sales"</formula>
    </cfRule>
    <cfRule type="expression" dxfId="10180" priority="8290">
      <formula>$C40="Expences"</formula>
    </cfRule>
    <cfRule type="expression" dxfId="10179" priority="8291">
      <formula>$C40="Garlic Purchase"</formula>
    </cfRule>
    <cfRule type="expression" dxfId="10178" priority="8292">
      <formula>$C40="Ginger Purchase"</formula>
    </cfRule>
  </conditionalFormatting>
  <conditionalFormatting sqref="B40 B42 B44 B46 B66 B156 B48 B52 B50 B54 B56 B60 B58 B62 B68 B70:B72 B74:B75">
    <cfRule type="expression" dxfId="10177" priority="8293">
      <formula>$C40="Advance"</formula>
    </cfRule>
  </conditionalFormatting>
  <conditionalFormatting sqref="B40 B42 B44 B46 B66 B156 B48 B52 B50 B54 B56 B60 B58 B62 B68 B70:B72 B74:B75">
    <cfRule type="expression" dxfId="10176" priority="8274">
      <formula>$C40="Delivery charge"</formula>
    </cfRule>
    <cfRule type="expression" dxfId="10175" priority="8275">
      <formula>$C40="Staff Salary"</formula>
    </cfRule>
    <cfRule type="expression" dxfId="10174" priority="8276">
      <formula>$C40="Rent"</formula>
    </cfRule>
    <cfRule type="expression" dxfId="10173" priority="8277">
      <formula>$C40="Petrol"</formula>
    </cfRule>
    <cfRule type="expression" dxfId="10172" priority="8278">
      <formula>$C40="Bills"</formula>
    </cfRule>
    <cfRule type="expression" dxfId="10171" priority="8279">
      <formula>$C40="Sales"</formula>
    </cfRule>
    <cfRule type="expression" dxfId="10170" priority="8280">
      <formula>$C40="Expences"</formula>
    </cfRule>
    <cfRule type="expression" dxfId="10169" priority="8281">
      <formula>$C40="Garlic Purchase"</formula>
    </cfRule>
    <cfRule type="expression" dxfId="10168" priority="8282">
      <formula>$C40="Ginger Purchase"</formula>
    </cfRule>
  </conditionalFormatting>
  <conditionalFormatting sqref="B40 B42 B44 B46 B66 B156 B48 B52 B50 B54 B56 B60 B58 B62 B68 B70:B72 B74:B75">
    <cfRule type="expression" dxfId="10167" priority="8283">
      <formula>$C40="Advance"</formula>
    </cfRule>
  </conditionalFormatting>
  <conditionalFormatting sqref="B40 B42 B44 B46 B66 B156 B48 B52 B50 B54 B56 B60 B58 B62 B68 B70:B72 B74:B75">
    <cfRule type="expression" dxfId="10166" priority="8264">
      <formula>$C40="Delivery charge"</formula>
    </cfRule>
    <cfRule type="expression" dxfId="10165" priority="8265">
      <formula>$C40="Staff Salary"</formula>
    </cfRule>
    <cfRule type="expression" dxfId="10164" priority="8266">
      <formula>$C40="Rent"</formula>
    </cfRule>
    <cfRule type="expression" dxfId="10163" priority="8267">
      <formula>$C40="Petrol"</formula>
    </cfRule>
    <cfRule type="expression" dxfId="10162" priority="8268">
      <formula>$C40="Bills"</formula>
    </cfRule>
    <cfRule type="expression" dxfId="10161" priority="8269">
      <formula>$C40="Sales"</formula>
    </cfRule>
    <cfRule type="expression" dxfId="10160" priority="8270">
      <formula>$C40="Expences"</formula>
    </cfRule>
    <cfRule type="expression" dxfId="10159" priority="8271">
      <formula>$C40="Garlic Purchase"</formula>
    </cfRule>
    <cfRule type="expression" dxfId="10158" priority="8272">
      <formula>$C40="Ginger Purchase"</formula>
    </cfRule>
  </conditionalFormatting>
  <conditionalFormatting sqref="B40 B42 B44 B46 B66 B156 B48 B52 B50 B54 B56 B60 B58 B62 B68 B70:B72 B74:B75">
    <cfRule type="expression" dxfId="10157" priority="8273">
      <formula>$C40="Advance"</formula>
    </cfRule>
  </conditionalFormatting>
  <conditionalFormatting sqref="B39 B41:B65 B67 B69:B73 B75:B239">
    <cfRule type="expression" dxfId="2062" priority="8254">
      <formula>$C39="Delivery charge"</formula>
    </cfRule>
    <cfRule type="expression" dxfId="2061" priority="8255">
      <formula>$C39="Staff Salary"</formula>
    </cfRule>
    <cfRule type="expression" dxfId="2060" priority="8256">
      <formula>$C39="Rent"</formula>
    </cfRule>
    <cfRule type="expression" dxfId="2059" priority="8257">
      <formula>$C39="Petrol"</formula>
    </cfRule>
    <cfRule type="expression" dxfId="2058" priority="8258">
      <formula>$C39="Bills"</formula>
    </cfRule>
    <cfRule type="expression" dxfId="2057" priority="8259">
      <formula>$C39="Sales"</formula>
    </cfRule>
    <cfRule type="expression" dxfId="2056" priority="8260">
      <formula>$C39="Expences"</formula>
    </cfRule>
    <cfRule type="expression" dxfId="2055" priority="8261">
      <formula>$C39="Garlic Purchase"</formula>
    </cfRule>
    <cfRule type="expression" dxfId="2054" priority="8262">
      <formula>$C39="Ginger Purchase"</formula>
    </cfRule>
  </conditionalFormatting>
  <conditionalFormatting sqref="B39 B41:B65 B67 B69:B73 B75:B239">
    <cfRule type="expression" dxfId="2053" priority="8263">
      <formula>$C39="Advance"</formula>
    </cfRule>
  </conditionalFormatting>
  <conditionalFormatting sqref="B40 B42 B44 B46 B66 B156 B48 B52 B50 B54 B56 B60 B58 B62 B68 B70:B72 B74:B75">
    <cfRule type="expression" dxfId="10156" priority="8244">
      <formula>$C40="Delivery charge"</formula>
    </cfRule>
    <cfRule type="expression" dxfId="10155" priority="8245">
      <formula>$C40="Staff Salary"</formula>
    </cfRule>
    <cfRule type="expression" dxfId="10154" priority="8246">
      <formula>$C40="Rent"</formula>
    </cfRule>
    <cfRule type="expression" dxfId="10153" priority="8247">
      <formula>$C40="Petrol"</formula>
    </cfRule>
    <cfRule type="expression" dxfId="10152" priority="8248">
      <formula>$C40="Bills"</formula>
    </cfRule>
    <cfRule type="expression" dxfId="10151" priority="8249">
      <formula>$C40="Sales"</formula>
    </cfRule>
    <cfRule type="expression" dxfId="10150" priority="8250">
      <formula>$C40="Expences"</formula>
    </cfRule>
    <cfRule type="expression" dxfId="10149" priority="8251">
      <formula>$C40="Garlic Purchase"</formula>
    </cfRule>
    <cfRule type="expression" dxfId="10148" priority="8252">
      <formula>$C40="Ginger Purchase"</formula>
    </cfRule>
  </conditionalFormatting>
  <conditionalFormatting sqref="B40 B42 B44 B46 B66 B156 B48 B52 B50 B54 B56 B60 B58 B62 B68 B70:B72 B74:B75">
    <cfRule type="expression" dxfId="10147" priority="8253">
      <formula>$C40="Advance"</formula>
    </cfRule>
  </conditionalFormatting>
  <conditionalFormatting sqref="B40 B42 B44 B46 B66 B156 B48 B52 B50 B54 B56 B60 B58 B62 B68 B70:B72 B74:B75">
    <cfRule type="expression" dxfId="10146" priority="8234">
      <formula>$C40="Delivery charge"</formula>
    </cfRule>
    <cfRule type="expression" dxfId="10145" priority="8235">
      <formula>$C40="Staff Salary"</formula>
    </cfRule>
    <cfRule type="expression" dxfId="10144" priority="8236">
      <formula>$C40="Rent"</formula>
    </cfRule>
    <cfRule type="expression" dxfId="10143" priority="8237">
      <formula>$C40="Petrol"</formula>
    </cfRule>
    <cfRule type="expression" dxfId="10142" priority="8238">
      <formula>$C40="Bills"</formula>
    </cfRule>
    <cfRule type="expression" dxfId="10141" priority="8239">
      <formula>$C40="Sales"</formula>
    </cfRule>
    <cfRule type="expression" dxfId="10140" priority="8240">
      <formula>$C40="Expences"</formula>
    </cfRule>
    <cfRule type="expression" dxfId="10139" priority="8241">
      <formula>$C40="Garlic Purchase"</formula>
    </cfRule>
    <cfRule type="expression" dxfId="10138" priority="8242">
      <formula>$C40="Ginger Purchase"</formula>
    </cfRule>
  </conditionalFormatting>
  <conditionalFormatting sqref="B40 B42 B44 B46 B66 B156 B48 B52 B50 B54 B56 B60 B58 B62 B68 B70:B72 B74:B75">
    <cfRule type="expression" dxfId="10137" priority="8243">
      <formula>$C40="Advance"</formula>
    </cfRule>
  </conditionalFormatting>
  <conditionalFormatting sqref="B40 B42 B44 B46 B66 B156 B48 B52 B50 B54 B56 B60 B58 B62 B68 B70:B72 B74:B75">
    <cfRule type="expression" dxfId="10136" priority="8224">
      <formula>$C40="Delivery charge"</formula>
    </cfRule>
    <cfRule type="expression" dxfId="10135" priority="8225">
      <formula>$C40="Staff Salary"</formula>
    </cfRule>
    <cfRule type="expression" dxfId="10134" priority="8226">
      <formula>$C40="Rent"</formula>
    </cfRule>
    <cfRule type="expression" dxfId="10133" priority="8227">
      <formula>$C40="Petrol"</formula>
    </cfRule>
    <cfRule type="expression" dxfId="10132" priority="8228">
      <formula>$C40="Bills"</formula>
    </cfRule>
    <cfRule type="expression" dxfId="10131" priority="8229">
      <formula>$C40="Sales"</formula>
    </cfRule>
    <cfRule type="expression" dxfId="10130" priority="8230">
      <formula>$C40="Expences"</formula>
    </cfRule>
    <cfRule type="expression" dxfId="10129" priority="8231">
      <formula>$C40="Garlic Purchase"</formula>
    </cfRule>
    <cfRule type="expression" dxfId="10128" priority="8232">
      <formula>$C40="Ginger Purchase"</formula>
    </cfRule>
  </conditionalFormatting>
  <conditionalFormatting sqref="B40 B42 B44 B46 B66 B156 B48 B52 B50 B54 B56 B60 B58 B62 B68 B70:B72 B74:B75">
    <cfRule type="expression" dxfId="10127" priority="8233">
      <formula>$C40="Advance"</formula>
    </cfRule>
  </conditionalFormatting>
  <conditionalFormatting sqref="B40 B42 B44 B46 B66 B156 B48 B52 B50 B54 B56 B60 B58 B62 B68 B70:B72 B74:B75">
    <cfRule type="expression" dxfId="10126" priority="8214">
      <formula>$C40="Delivery charge"</formula>
    </cfRule>
    <cfRule type="expression" dxfId="10125" priority="8215">
      <formula>$C40="Staff Salary"</formula>
    </cfRule>
    <cfRule type="expression" dxfId="10124" priority="8216">
      <formula>$C40="Rent"</formula>
    </cfRule>
    <cfRule type="expression" dxfId="10123" priority="8217">
      <formula>$C40="Petrol"</formula>
    </cfRule>
    <cfRule type="expression" dxfId="10122" priority="8218">
      <formula>$C40="Bills"</formula>
    </cfRule>
    <cfRule type="expression" dxfId="10121" priority="8219">
      <formula>$C40="Sales"</formula>
    </cfRule>
    <cfRule type="expression" dxfId="10120" priority="8220">
      <formula>$C40="Expences"</formula>
    </cfRule>
    <cfRule type="expression" dxfId="10119" priority="8221">
      <formula>$C40="Garlic Purchase"</formula>
    </cfRule>
    <cfRule type="expression" dxfId="10118" priority="8222">
      <formula>$C40="Ginger Purchase"</formula>
    </cfRule>
  </conditionalFormatting>
  <conditionalFormatting sqref="B40 B42 B44 B46 B66 B156 B48 B52 B50 B54 B56 B60 B58 B62 B68 B70:B72 B74:B75">
    <cfRule type="expression" dxfId="10117" priority="8223">
      <formula>$C40="Advance"</formula>
    </cfRule>
  </conditionalFormatting>
  <conditionalFormatting sqref="B40 B42 B44 B46 B66 B156 B48 B52 B50 B54 B56 B60 B58 B62 B68 B70:B72 B74:B75">
    <cfRule type="expression" dxfId="10116" priority="8204">
      <formula>$C40="Delivery charge"</formula>
    </cfRule>
    <cfRule type="expression" dxfId="10115" priority="8205">
      <formula>$C40="Staff Salary"</formula>
    </cfRule>
    <cfRule type="expression" dxfId="10114" priority="8206">
      <formula>$C40="Rent"</formula>
    </cfRule>
    <cfRule type="expression" dxfId="10113" priority="8207">
      <formula>$C40="Petrol"</formula>
    </cfRule>
    <cfRule type="expression" dxfId="10112" priority="8208">
      <formula>$C40="Bills"</formula>
    </cfRule>
    <cfRule type="expression" dxfId="10111" priority="8209">
      <formula>$C40="Sales"</formula>
    </cfRule>
    <cfRule type="expression" dxfId="10110" priority="8210">
      <formula>$C40="Expences"</formula>
    </cfRule>
    <cfRule type="expression" dxfId="10109" priority="8211">
      <formula>$C40="Garlic Purchase"</formula>
    </cfRule>
    <cfRule type="expression" dxfId="10108" priority="8212">
      <formula>$C40="Ginger Purchase"</formula>
    </cfRule>
  </conditionalFormatting>
  <conditionalFormatting sqref="B40 B42 B44 B46 B66 B156 B48 B52 B50 B54 B56 B60 B58 B62 B68 B70:B72 B74:B75">
    <cfRule type="expression" dxfId="10107" priority="8213">
      <formula>$C40="Advance"</formula>
    </cfRule>
  </conditionalFormatting>
  <conditionalFormatting sqref="B39 B41:B65 B67 B69:B73 B75:B239">
    <cfRule type="expression" dxfId="2052" priority="8194">
      <formula>$C39="Delivery charge"</formula>
    </cfRule>
    <cfRule type="expression" dxfId="2051" priority="8195">
      <formula>$C39="Staff Salary"</formula>
    </cfRule>
    <cfRule type="expression" dxfId="2050" priority="8196">
      <formula>$C39="Rent"</formula>
    </cfRule>
    <cfRule type="expression" dxfId="2049" priority="8197">
      <formula>$C39="Petrol"</formula>
    </cfRule>
    <cfRule type="expression" dxfId="2048" priority="8198">
      <formula>$C39="Bills"</formula>
    </cfRule>
    <cfRule type="expression" dxfId="2047" priority="8199">
      <formula>$C39="Sales"</formula>
    </cfRule>
    <cfRule type="expression" dxfId="2046" priority="8200">
      <formula>$C39="Expences"</formula>
    </cfRule>
    <cfRule type="expression" dxfId="2045" priority="8201">
      <formula>$C39="Garlic Purchase"</formula>
    </cfRule>
    <cfRule type="expression" dxfId="2044" priority="8202">
      <formula>$C39="Ginger Purchase"</formula>
    </cfRule>
  </conditionalFormatting>
  <conditionalFormatting sqref="B39 B41:B65 B67 B69:B73 B75:B239">
    <cfRule type="expression" dxfId="2043" priority="8203">
      <formula>$C39="Advance"</formula>
    </cfRule>
  </conditionalFormatting>
  <conditionalFormatting sqref="B39 B41:B65 B67 B69:B73 B75:B239">
    <cfRule type="expression" dxfId="2042" priority="8184">
      <formula>$C39="Delivery charge"</formula>
    </cfRule>
    <cfRule type="expression" dxfId="2041" priority="8185">
      <formula>$C39="Staff Salary"</formula>
    </cfRule>
    <cfRule type="expression" dxfId="2040" priority="8186">
      <formula>$C39="Rent"</formula>
    </cfRule>
    <cfRule type="expression" dxfId="2039" priority="8187">
      <formula>$C39="Petrol"</formula>
    </cfRule>
    <cfRule type="expression" dxfId="2038" priority="8188">
      <formula>$C39="Bills"</formula>
    </cfRule>
    <cfRule type="expression" dxfId="2037" priority="8189">
      <formula>$C39="Sales"</formula>
    </cfRule>
    <cfRule type="expression" dxfId="2036" priority="8190">
      <formula>$C39="Expences"</formula>
    </cfRule>
    <cfRule type="expression" dxfId="2035" priority="8191">
      <formula>$C39="Garlic Purchase"</formula>
    </cfRule>
    <cfRule type="expression" dxfId="2034" priority="8192">
      <formula>$C39="Ginger Purchase"</formula>
    </cfRule>
  </conditionalFormatting>
  <conditionalFormatting sqref="B39 B41:B65 B67 B69:B73 B75:B239">
    <cfRule type="expression" dxfId="2033" priority="8193">
      <formula>$C39="Advance"</formula>
    </cfRule>
  </conditionalFormatting>
  <conditionalFormatting sqref="B39 B41:B65 B67 B69:B73 B75:B239">
    <cfRule type="expression" dxfId="2032" priority="8174">
      <formula>$C39="Delivery charge"</formula>
    </cfRule>
    <cfRule type="expression" dxfId="2031" priority="8175">
      <formula>$C39="Staff Salary"</formula>
    </cfRule>
    <cfRule type="expression" dxfId="2030" priority="8176">
      <formula>$C39="Rent"</formula>
    </cfRule>
    <cfRule type="expression" dxfId="2029" priority="8177">
      <formula>$C39="Petrol"</formula>
    </cfRule>
    <cfRule type="expression" dxfId="2028" priority="8178">
      <formula>$C39="Bills"</formula>
    </cfRule>
    <cfRule type="expression" dxfId="2027" priority="8179">
      <formula>$C39="Sales"</formula>
    </cfRule>
    <cfRule type="expression" dxfId="2026" priority="8180">
      <formula>$C39="Expences"</formula>
    </cfRule>
    <cfRule type="expression" dxfId="2025" priority="8181">
      <formula>$C39="Garlic Purchase"</formula>
    </cfRule>
    <cfRule type="expression" dxfId="2024" priority="8182">
      <formula>$C39="Ginger Purchase"</formula>
    </cfRule>
  </conditionalFormatting>
  <conditionalFormatting sqref="B39 B41:B65 B67 B69:B73 B75:B239">
    <cfRule type="expression" dxfId="2023" priority="8183">
      <formula>$C39="Advance"</formula>
    </cfRule>
  </conditionalFormatting>
  <conditionalFormatting sqref="B39 B41:B65 B67 B69:B73 B75:B239">
    <cfRule type="expression" dxfId="2022" priority="8164">
      <formula>$C39="Delivery charge"</formula>
    </cfRule>
    <cfRule type="expression" dxfId="2021" priority="8165">
      <formula>$C39="Staff Salary"</formula>
    </cfRule>
    <cfRule type="expression" dxfId="2020" priority="8166">
      <formula>$C39="Rent"</formula>
    </cfRule>
    <cfRule type="expression" dxfId="2019" priority="8167">
      <formula>$C39="Petrol"</formula>
    </cfRule>
    <cfRule type="expression" dxfId="2018" priority="8168">
      <formula>$C39="Bills"</formula>
    </cfRule>
    <cfRule type="expression" dxfId="2017" priority="8169">
      <formula>$C39="Sales"</formula>
    </cfRule>
    <cfRule type="expression" dxfId="2016" priority="8170">
      <formula>$C39="Expences"</formula>
    </cfRule>
    <cfRule type="expression" dxfId="2015" priority="8171">
      <formula>$C39="Garlic Purchase"</formula>
    </cfRule>
    <cfRule type="expression" dxfId="2014" priority="8172">
      <formula>$C39="Ginger Purchase"</formula>
    </cfRule>
  </conditionalFormatting>
  <conditionalFormatting sqref="B39 B41:B65 B67 B69:B73 B75:B239">
    <cfRule type="expression" dxfId="2013" priority="8173">
      <formula>$C39="Advance"</formula>
    </cfRule>
  </conditionalFormatting>
  <conditionalFormatting sqref="B39 B41:B65 B67 B69:B73 B75:B239">
    <cfRule type="expression" dxfId="2012" priority="8154">
      <formula>$C39="Delivery charge"</formula>
    </cfRule>
    <cfRule type="expression" dxfId="2011" priority="8155">
      <formula>$C39="Staff Salary"</formula>
    </cfRule>
    <cfRule type="expression" dxfId="2010" priority="8156">
      <formula>$C39="Rent"</formula>
    </cfRule>
    <cfRule type="expression" dxfId="2009" priority="8157">
      <formula>$C39="Petrol"</formula>
    </cfRule>
    <cfRule type="expression" dxfId="2008" priority="8158">
      <formula>$C39="Bills"</formula>
    </cfRule>
    <cfRule type="expression" dxfId="2007" priority="8159">
      <formula>$C39="Sales"</formula>
    </cfRule>
    <cfRule type="expression" dxfId="2006" priority="8160">
      <formula>$C39="Expences"</formula>
    </cfRule>
    <cfRule type="expression" dxfId="2005" priority="8161">
      <formula>$C39="Garlic Purchase"</formula>
    </cfRule>
    <cfRule type="expression" dxfId="2004" priority="8162">
      <formula>$C39="Ginger Purchase"</formula>
    </cfRule>
  </conditionalFormatting>
  <conditionalFormatting sqref="B39 B41:B65 B67 B69:B73 B75:B239">
    <cfRule type="expression" dxfId="2003" priority="8163">
      <formula>$C39="Advance"</formula>
    </cfRule>
  </conditionalFormatting>
  <conditionalFormatting sqref="B40 B42 B44 B46 B66 B156 B48 B52 B50 B54 B56 B60 B58 B62 B68 B70:B72 B74:B75">
    <cfRule type="expression" dxfId="10106" priority="8144">
      <formula>$C40="Delivery charge"</formula>
    </cfRule>
    <cfRule type="expression" dxfId="10105" priority="8145">
      <formula>$C40="Staff Salary"</formula>
    </cfRule>
    <cfRule type="expression" dxfId="10104" priority="8146">
      <formula>$C40="Rent"</formula>
    </cfRule>
    <cfRule type="expression" dxfId="10103" priority="8147">
      <formula>$C40="Petrol"</formula>
    </cfRule>
    <cfRule type="expression" dxfId="10102" priority="8148">
      <formula>$C40="Bills"</formula>
    </cfRule>
    <cfRule type="expression" dxfId="10101" priority="8149">
      <formula>$C40="Sales"</formula>
    </cfRule>
    <cfRule type="expression" dxfId="10100" priority="8150">
      <formula>$C40="Expences"</formula>
    </cfRule>
    <cfRule type="expression" dxfId="10099" priority="8151">
      <formula>$C40="Garlic Purchase"</formula>
    </cfRule>
    <cfRule type="expression" dxfId="10098" priority="8152">
      <formula>$C40="Ginger Purchase"</formula>
    </cfRule>
  </conditionalFormatting>
  <conditionalFormatting sqref="B40 B42 B44 B46 B66 B156 B48 B52 B50 B54 B56 B60 B58 B62 B68 B70:B72 B74:B75">
    <cfRule type="expression" dxfId="10097" priority="8153">
      <formula>$C40="Advance"</formula>
    </cfRule>
  </conditionalFormatting>
  <conditionalFormatting sqref="B39 B41:B65 B67 B69:B73 B75:B239">
    <cfRule type="expression" dxfId="2002" priority="8134">
      <formula>$C39="Delivery charge"</formula>
    </cfRule>
    <cfRule type="expression" dxfId="2001" priority="8135">
      <formula>$C39="Staff Salary"</formula>
    </cfRule>
    <cfRule type="expression" dxfId="2000" priority="8136">
      <formula>$C39="Rent"</formula>
    </cfRule>
    <cfRule type="expression" dxfId="1999" priority="8137">
      <formula>$C39="Petrol"</formula>
    </cfRule>
    <cfRule type="expression" dxfId="1998" priority="8138">
      <formula>$C39="Bills"</formula>
    </cfRule>
    <cfRule type="expression" dxfId="1997" priority="8139">
      <formula>$C39="Sales"</formula>
    </cfRule>
    <cfRule type="expression" dxfId="1996" priority="8140">
      <formula>$C39="Expences"</formula>
    </cfRule>
    <cfRule type="expression" dxfId="1995" priority="8141">
      <formula>$C39="Garlic Purchase"</formula>
    </cfRule>
    <cfRule type="expression" dxfId="1994" priority="8142">
      <formula>$C39="Ginger Purchase"</formula>
    </cfRule>
  </conditionalFormatting>
  <conditionalFormatting sqref="B39 B41:B65 B67 B69:B73 B75:B239">
    <cfRule type="expression" dxfId="1993" priority="8143">
      <formula>$C39="Advance"</formula>
    </cfRule>
  </conditionalFormatting>
  <conditionalFormatting sqref="B39 B41:B65 B67 B69:B73 B75:B239">
    <cfRule type="expression" dxfId="1992" priority="8124">
      <formula>$C39="Delivery charge"</formula>
    </cfRule>
    <cfRule type="expression" dxfId="1991" priority="8125">
      <formula>$C39="Staff Salary"</formula>
    </cfRule>
    <cfRule type="expression" dxfId="1990" priority="8126">
      <formula>$C39="Rent"</formula>
    </cfRule>
    <cfRule type="expression" dxfId="1989" priority="8127">
      <formula>$C39="Petrol"</formula>
    </cfRule>
    <cfRule type="expression" dxfId="1988" priority="8128">
      <formula>$C39="Bills"</formula>
    </cfRule>
    <cfRule type="expression" dxfId="1987" priority="8129">
      <formula>$C39="Sales"</formula>
    </cfRule>
    <cfRule type="expression" dxfId="1986" priority="8130">
      <formula>$C39="Expences"</formula>
    </cfRule>
    <cfRule type="expression" dxfId="1985" priority="8131">
      <formula>$C39="Garlic Purchase"</formula>
    </cfRule>
    <cfRule type="expression" dxfId="1984" priority="8132">
      <formula>$C39="Ginger Purchase"</formula>
    </cfRule>
  </conditionalFormatting>
  <conditionalFormatting sqref="B39 B41:B65 B67 B69:B73 B75:B239">
    <cfRule type="expression" dxfId="1983" priority="8133">
      <formula>$C39="Advance"</formula>
    </cfRule>
  </conditionalFormatting>
  <conditionalFormatting sqref="B39 B41:B65 B67 B69:B73 B75:B239">
    <cfRule type="expression" dxfId="1982" priority="8114">
      <formula>$C39="Delivery charge"</formula>
    </cfRule>
    <cfRule type="expression" dxfId="1981" priority="8115">
      <formula>$C39="Staff Salary"</formula>
    </cfRule>
    <cfRule type="expression" dxfId="1980" priority="8116">
      <formula>$C39="Rent"</formula>
    </cfRule>
    <cfRule type="expression" dxfId="1979" priority="8117">
      <formula>$C39="Petrol"</formula>
    </cfRule>
    <cfRule type="expression" dxfId="1978" priority="8118">
      <formula>$C39="Bills"</formula>
    </cfRule>
    <cfRule type="expression" dxfId="1977" priority="8119">
      <formula>$C39="Sales"</formula>
    </cfRule>
    <cfRule type="expression" dxfId="1976" priority="8120">
      <formula>$C39="Expences"</formula>
    </cfRule>
    <cfRule type="expression" dxfId="1975" priority="8121">
      <formula>$C39="Garlic Purchase"</formula>
    </cfRule>
    <cfRule type="expression" dxfId="1974" priority="8122">
      <formula>$C39="Ginger Purchase"</formula>
    </cfRule>
  </conditionalFormatting>
  <conditionalFormatting sqref="B39 B41:B65 B67 B69:B73 B75:B239">
    <cfRule type="expression" dxfId="1973" priority="8123">
      <formula>$C39="Advance"</formula>
    </cfRule>
  </conditionalFormatting>
  <conditionalFormatting sqref="B39 B41:B65 B67 B69:B73 B75:B239">
    <cfRule type="expression" dxfId="1972" priority="8104">
      <formula>$C39="Delivery charge"</formula>
    </cfRule>
    <cfRule type="expression" dxfId="1971" priority="8105">
      <formula>$C39="Staff Salary"</formula>
    </cfRule>
    <cfRule type="expression" dxfId="1970" priority="8106">
      <formula>$C39="Rent"</formula>
    </cfRule>
    <cfRule type="expression" dxfId="1969" priority="8107">
      <formula>$C39="Petrol"</formula>
    </cfRule>
    <cfRule type="expression" dxfId="1968" priority="8108">
      <formula>$C39="Bills"</formula>
    </cfRule>
    <cfRule type="expression" dxfId="1967" priority="8109">
      <formula>$C39="Sales"</formula>
    </cfRule>
    <cfRule type="expression" dxfId="1966" priority="8110">
      <formula>$C39="Expences"</formula>
    </cfRule>
    <cfRule type="expression" dxfId="1965" priority="8111">
      <formula>$C39="Garlic Purchase"</formula>
    </cfRule>
    <cfRule type="expression" dxfId="1964" priority="8112">
      <formula>$C39="Ginger Purchase"</formula>
    </cfRule>
  </conditionalFormatting>
  <conditionalFormatting sqref="B39 B41:B65 B67 B69:B73 B75:B239">
    <cfRule type="expression" dxfId="1963" priority="8113">
      <formula>$C39="Advance"</formula>
    </cfRule>
  </conditionalFormatting>
  <conditionalFormatting sqref="B39 B41:B65 B67 B69:B73 B75:B239">
    <cfRule type="expression" dxfId="1962" priority="8094">
      <formula>$C39="Delivery charge"</formula>
    </cfRule>
    <cfRule type="expression" dxfId="1961" priority="8095">
      <formula>$C39="Staff Salary"</formula>
    </cfRule>
    <cfRule type="expression" dxfId="1960" priority="8096">
      <formula>$C39="Rent"</formula>
    </cfRule>
    <cfRule type="expression" dxfId="1959" priority="8097">
      <formula>$C39="Petrol"</formula>
    </cfRule>
    <cfRule type="expression" dxfId="1958" priority="8098">
      <formula>$C39="Bills"</formula>
    </cfRule>
    <cfRule type="expression" dxfId="1957" priority="8099">
      <formula>$C39="Sales"</formula>
    </cfRule>
    <cfRule type="expression" dxfId="1956" priority="8100">
      <formula>$C39="Expences"</formula>
    </cfRule>
    <cfRule type="expression" dxfId="1955" priority="8101">
      <formula>$C39="Garlic Purchase"</formula>
    </cfRule>
    <cfRule type="expression" dxfId="1954" priority="8102">
      <formula>$C39="Ginger Purchase"</formula>
    </cfRule>
  </conditionalFormatting>
  <conditionalFormatting sqref="B39 B41:B65 B67 B69:B73 B75:B239">
    <cfRule type="expression" dxfId="1953" priority="8103">
      <formula>$C39="Advance"</formula>
    </cfRule>
  </conditionalFormatting>
  <conditionalFormatting sqref="B39 B41:B65 B67 B69:B73 B75:B239">
    <cfRule type="expression" dxfId="1952" priority="8084">
      <formula>$C39="Delivery charge"</formula>
    </cfRule>
    <cfRule type="expression" dxfId="1951" priority="8085">
      <formula>$C39="Staff Salary"</formula>
    </cfRule>
    <cfRule type="expression" dxfId="1950" priority="8086">
      <formula>$C39="Rent"</formula>
    </cfRule>
    <cfRule type="expression" dxfId="1949" priority="8087">
      <formula>$C39="Petrol"</formula>
    </cfRule>
    <cfRule type="expression" dxfId="1948" priority="8088">
      <formula>$C39="Bills"</formula>
    </cfRule>
    <cfRule type="expression" dxfId="1947" priority="8089">
      <formula>$C39="Sales"</formula>
    </cfRule>
    <cfRule type="expression" dxfId="1946" priority="8090">
      <formula>$C39="Expences"</formula>
    </cfRule>
    <cfRule type="expression" dxfId="1945" priority="8091">
      <formula>$C39="Garlic Purchase"</formula>
    </cfRule>
    <cfRule type="expression" dxfId="1944" priority="8092">
      <formula>$C39="Ginger Purchase"</formula>
    </cfRule>
  </conditionalFormatting>
  <conditionalFormatting sqref="B39 B41:B65 B67 B69:B73 B75:B239">
    <cfRule type="expression" dxfId="1943" priority="8093">
      <formula>$C39="Advance"</formula>
    </cfRule>
  </conditionalFormatting>
  <conditionalFormatting sqref="B39 B41:B65 B67 B69:B73 B75:B239">
    <cfRule type="expression" dxfId="1942" priority="8074">
      <formula>$C39="Delivery charge"</formula>
    </cfRule>
    <cfRule type="expression" dxfId="1941" priority="8075">
      <formula>$C39="Staff Salary"</formula>
    </cfRule>
    <cfRule type="expression" dxfId="1940" priority="8076">
      <formula>$C39="Rent"</formula>
    </cfRule>
    <cfRule type="expression" dxfId="1939" priority="8077">
      <formula>$C39="Petrol"</formula>
    </cfRule>
    <cfRule type="expression" dxfId="1938" priority="8078">
      <formula>$C39="Bills"</formula>
    </cfRule>
    <cfRule type="expression" dxfId="1937" priority="8079">
      <formula>$C39="Sales"</formula>
    </cfRule>
    <cfRule type="expression" dxfId="1936" priority="8080">
      <formula>$C39="Expences"</formula>
    </cfRule>
    <cfRule type="expression" dxfId="1935" priority="8081">
      <formula>$C39="Garlic Purchase"</formula>
    </cfRule>
    <cfRule type="expression" dxfId="1934" priority="8082">
      <formula>$C39="Ginger Purchase"</formula>
    </cfRule>
  </conditionalFormatting>
  <conditionalFormatting sqref="B39 B41:B65 B67 B69:B73 B75:B239">
    <cfRule type="expression" dxfId="1933" priority="8083">
      <formula>$C39="Advance"</formula>
    </cfRule>
  </conditionalFormatting>
  <conditionalFormatting sqref="B39 B41:B65 B67 B69:B73 B75:B239">
    <cfRule type="expression" dxfId="1932" priority="8064">
      <formula>$C39="Delivery charge"</formula>
    </cfRule>
    <cfRule type="expression" dxfId="1931" priority="8065">
      <formula>$C39="Staff Salary"</formula>
    </cfRule>
    <cfRule type="expression" dxfId="1930" priority="8066">
      <formula>$C39="Rent"</formula>
    </cfRule>
    <cfRule type="expression" dxfId="1929" priority="8067">
      <formula>$C39="Petrol"</formula>
    </cfRule>
    <cfRule type="expression" dxfId="1928" priority="8068">
      <formula>$C39="Bills"</formula>
    </cfRule>
    <cfRule type="expression" dxfId="1927" priority="8069">
      <formula>$C39="Sales"</formula>
    </cfRule>
    <cfRule type="expression" dxfId="1926" priority="8070">
      <formula>$C39="Expences"</formula>
    </cfRule>
    <cfRule type="expression" dxfId="1925" priority="8071">
      <formula>$C39="Garlic Purchase"</formula>
    </cfRule>
    <cfRule type="expression" dxfId="1924" priority="8072">
      <formula>$C39="Ginger Purchase"</formula>
    </cfRule>
  </conditionalFormatting>
  <conditionalFormatting sqref="B39 B41:B65 B67 B69:B73 B75:B239">
    <cfRule type="expression" dxfId="1923" priority="8073">
      <formula>$C39="Advance"</formula>
    </cfRule>
  </conditionalFormatting>
  <conditionalFormatting sqref="B39 B41:B65 B67 B69:B73 B75:B239">
    <cfRule type="expression" dxfId="1922" priority="8054">
      <formula>$C39="Delivery charge"</formula>
    </cfRule>
    <cfRule type="expression" dxfId="1921" priority="8055">
      <formula>$C39="Staff Salary"</formula>
    </cfRule>
    <cfRule type="expression" dxfId="1920" priority="8056">
      <formula>$C39="Rent"</formula>
    </cfRule>
    <cfRule type="expression" dxfId="1919" priority="8057">
      <formula>$C39="Petrol"</formula>
    </cfRule>
    <cfRule type="expression" dxfId="1918" priority="8058">
      <formula>$C39="Bills"</formula>
    </cfRule>
    <cfRule type="expression" dxfId="1917" priority="8059">
      <formula>$C39="Sales"</formula>
    </cfRule>
    <cfRule type="expression" dxfId="1916" priority="8060">
      <formula>$C39="Expences"</formula>
    </cfRule>
    <cfRule type="expression" dxfId="1915" priority="8061">
      <formula>$C39="Garlic Purchase"</formula>
    </cfRule>
    <cfRule type="expression" dxfId="1914" priority="8062">
      <formula>$C39="Ginger Purchase"</formula>
    </cfRule>
  </conditionalFormatting>
  <conditionalFormatting sqref="B39 B41:B65 B67 B69:B73 B75:B239">
    <cfRule type="expression" dxfId="1913" priority="8063">
      <formula>$C39="Advance"</formula>
    </cfRule>
  </conditionalFormatting>
  <conditionalFormatting sqref="B47 B49:B51 B53 B55 B57 B61 B59 B63:B65 B67 B69:B73 B75:B239">
    <cfRule type="expression" dxfId="10096" priority="6338">
      <formula>$C47="Advance"</formula>
    </cfRule>
  </conditionalFormatting>
  <conditionalFormatting sqref="B39 B42 B45 B48:B49 B53 B57 B61">
    <cfRule type="expression" dxfId="10095" priority="7269">
      <formula>$C39="Advance"</formula>
    </cfRule>
  </conditionalFormatting>
  <conditionalFormatting sqref="B37 B39:B40 B42:B43">
    <cfRule type="expression" dxfId="10094" priority="8049">
      <formula>$C37="Advance"</formula>
    </cfRule>
  </conditionalFormatting>
  <conditionalFormatting sqref="B37 B39:B40 B42:B43">
    <cfRule type="expression" dxfId="10093" priority="8040">
      <formula>$C37="Delivery charge"</formula>
    </cfRule>
    <cfRule type="expression" dxfId="10092" priority="8041">
      <formula>$C37="Staff Salary"</formula>
    </cfRule>
    <cfRule type="expression" dxfId="10091" priority="8042">
      <formula>$C37="Rent"</formula>
    </cfRule>
    <cfRule type="expression" dxfId="10090" priority="8043">
      <formula>$C37="Petrol"</formula>
    </cfRule>
    <cfRule type="expression" dxfId="10089" priority="8044">
      <formula>$C37="Bills"</formula>
    </cfRule>
    <cfRule type="expression" dxfId="10088" priority="8045">
      <formula>$C37="Sales"</formula>
    </cfRule>
    <cfRule type="expression" dxfId="10087" priority="8046">
      <formula>$C37="Expences"</formula>
    </cfRule>
    <cfRule type="expression" dxfId="10086" priority="8047">
      <formula>$C37="Garlic Purchase"</formula>
    </cfRule>
    <cfRule type="expression" dxfId="10085" priority="8048">
      <formula>$C37="Ginger Purchase"</formula>
    </cfRule>
  </conditionalFormatting>
  <conditionalFormatting sqref="B37 B39:B40 B42:B43">
    <cfRule type="expression" dxfId="10084" priority="8030">
      <formula>$C37="Delivery charge"</formula>
    </cfRule>
    <cfRule type="expression" dxfId="10083" priority="8031">
      <formula>$C37="Staff Salary"</formula>
    </cfRule>
    <cfRule type="expression" dxfId="10082" priority="8032">
      <formula>$C37="Rent"</formula>
    </cfRule>
    <cfRule type="expression" dxfId="10081" priority="8033">
      <formula>$C37="Petrol"</formula>
    </cfRule>
    <cfRule type="expression" dxfId="10080" priority="8034">
      <formula>$C37="Bills"</formula>
    </cfRule>
    <cfRule type="expression" dxfId="10079" priority="8035">
      <formula>$C37="Sales"</formula>
    </cfRule>
    <cfRule type="expression" dxfId="10078" priority="8036">
      <formula>$C37="Expences"</formula>
    </cfRule>
    <cfRule type="expression" dxfId="10077" priority="8037">
      <formula>$C37="Garlic Purchase"</formula>
    </cfRule>
    <cfRule type="expression" dxfId="10076" priority="8038">
      <formula>$C37="Ginger Purchase"</formula>
    </cfRule>
  </conditionalFormatting>
  <conditionalFormatting sqref="B37 B39:B40 B42:B43">
    <cfRule type="expression" dxfId="10075" priority="8039">
      <formula>$C37="Advance"</formula>
    </cfRule>
  </conditionalFormatting>
  <conditionalFormatting sqref="B37 B39:B40 B42:B43">
    <cfRule type="expression" dxfId="10074" priority="8020">
      <formula>$C37="Delivery charge"</formula>
    </cfRule>
    <cfRule type="expression" dxfId="10073" priority="8021">
      <formula>$C37="Staff Salary"</formula>
    </cfRule>
    <cfRule type="expression" dxfId="10072" priority="8022">
      <formula>$C37="Rent"</formula>
    </cfRule>
    <cfRule type="expression" dxfId="10071" priority="8023">
      <formula>$C37="Petrol"</formula>
    </cfRule>
    <cfRule type="expression" dxfId="10070" priority="8024">
      <formula>$C37="Bills"</formula>
    </cfRule>
    <cfRule type="expression" dxfId="10069" priority="8025">
      <formula>$C37="Sales"</formula>
    </cfRule>
    <cfRule type="expression" dxfId="10068" priority="8026">
      <formula>$C37="Expences"</formula>
    </cfRule>
    <cfRule type="expression" dxfId="10067" priority="8027">
      <formula>$C37="Garlic Purchase"</formula>
    </cfRule>
    <cfRule type="expression" dxfId="10066" priority="8028">
      <formula>$C37="Ginger Purchase"</formula>
    </cfRule>
  </conditionalFormatting>
  <conditionalFormatting sqref="B37 B39:B40 B42:B43">
    <cfRule type="expression" dxfId="10065" priority="8029">
      <formula>$C37="Advance"</formula>
    </cfRule>
  </conditionalFormatting>
  <conditionalFormatting sqref="B37 B39:B40 B42:B43">
    <cfRule type="expression" dxfId="10064" priority="8010">
      <formula>$C37="Delivery charge"</formula>
    </cfRule>
    <cfRule type="expression" dxfId="10063" priority="8011">
      <formula>$C37="Staff Salary"</formula>
    </cfRule>
    <cfRule type="expression" dxfId="10062" priority="8012">
      <formula>$C37="Rent"</formula>
    </cfRule>
    <cfRule type="expression" dxfId="10061" priority="8013">
      <formula>$C37="Petrol"</formula>
    </cfRule>
    <cfRule type="expression" dxfId="10060" priority="8014">
      <formula>$C37="Bills"</formula>
    </cfRule>
    <cfRule type="expression" dxfId="10059" priority="8015">
      <formula>$C37="Sales"</formula>
    </cfRule>
    <cfRule type="expression" dxfId="10058" priority="8016">
      <formula>$C37="Expences"</formula>
    </cfRule>
    <cfRule type="expression" dxfId="10057" priority="8017">
      <formula>$C37="Garlic Purchase"</formula>
    </cfRule>
    <cfRule type="expression" dxfId="10056" priority="8018">
      <formula>$C37="Ginger Purchase"</formula>
    </cfRule>
  </conditionalFormatting>
  <conditionalFormatting sqref="B37 B39:B40 B42:B43">
    <cfRule type="expression" dxfId="10055" priority="8019">
      <formula>$C37="Advance"</formula>
    </cfRule>
  </conditionalFormatting>
  <conditionalFormatting sqref="B37 B39:B40 B42:B43">
    <cfRule type="expression" dxfId="10054" priority="8000">
      <formula>$C37="Delivery charge"</formula>
    </cfRule>
    <cfRule type="expression" dxfId="10053" priority="8001">
      <formula>$C37="Staff Salary"</formula>
    </cfRule>
    <cfRule type="expression" dxfId="10052" priority="8002">
      <formula>$C37="Rent"</formula>
    </cfRule>
    <cfRule type="expression" dxfId="10051" priority="8003">
      <formula>$C37="Petrol"</formula>
    </cfRule>
    <cfRule type="expression" dxfId="10050" priority="8004">
      <formula>$C37="Bills"</formula>
    </cfRule>
    <cfRule type="expression" dxfId="10049" priority="8005">
      <formula>$C37="Sales"</formula>
    </cfRule>
    <cfRule type="expression" dxfId="10048" priority="8006">
      <formula>$C37="Expences"</formula>
    </cfRule>
    <cfRule type="expression" dxfId="10047" priority="8007">
      <formula>$C37="Garlic Purchase"</formula>
    </cfRule>
    <cfRule type="expression" dxfId="10046" priority="8008">
      <formula>$C37="Ginger Purchase"</formula>
    </cfRule>
  </conditionalFormatting>
  <conditionalFormatting sqref="B37 B39:B40 B42:B43">
    <cfRule type="expression" dxfId="10045" priority="8009">
      <formula>$C37="Advance"</formula>
    </cfRule>
  </conditionalFormatting>
  <conditionalFormatting sqref="B37 B39:B40 B42:B43">
    <cfRule type="expression" dxfId="10044" priority="7990">
      <formula>$C37="Delivery charge"</formula>
    </cfRule>
    <cfRule type="expression" dxfId="10043" priority="7991">
      <formula>$C37="Staff Salary"</formula>
    </cfRule>
    <cfRule type="expression" dxfId="10042" priority="7992">
      <formula>$C37="Rent"</formula>
    </cfRule>
    <cfRule type="expression" dxfId="10041" priority="7993">
      <formula>$C37="Petrol"</formula>
    </cfRule>
    <cfRule type="expression" dxfId="10040" priority="7994">
      <formula>$C37="Bills"</formula>
    </cfRule>
    <cfRule type="expression" dxfId="10039" priority="7995">
      <formula>$C37="Sales"</formula>
    </cfRule>
    <cfRule type="expression" dxfId="10038" priority="7996">
      <formula>$C37="Expences"</formula>
    </cfRule>
    <cfRule type="expression" dxfId="10037" priority="7997">
      <formula>$C37="Garlic Purchase"</formula>
    </cfRule>
    <cfRule type="expression" dxfId="10036" priority="7998">
      <formula>$C37="Ginger Purchase"</formula>
    </cfRule>
  </conditionalFormatting>
  <conditionalFormatting sqref="B37 B39:B40 B42:B43">
    <cfRule type="expression" dxfId="10035" priority="7999">
      <formula>$C37="Advance"</formula>
    </cfRule>
  </conditionalFormatting>
  <conditionalFormatting sqref="B37 B39:B40 B42:B43">
    <cfRule type="expression" dxfId="10034" priority="7980">
      <formula>$C37="Delivery charge"</formula>
    </cfRule>
    <cfRule type="expression" dxfId="10033" priority="7981">
      <formula>$C37="Staff Salary"</formula>
    </cfRule>
    <cfRule type="expression" dxfId="10032" priority="7982">
      <formula>$C37="Rent"</formula>
    </cfRule>
    <cfRule type="expression" dxfId="10031" priority="7983">
      <formula>$C37="Petrol"</formula>
    </cfRule>
    <cfRule type="expression" dxfId="10030" priority="7984">
      <formula>$C37="Bills"</formula>
    </cfRule>
    <cfRule type="expression" dxfId="10029" priority="7985">
      <formula>$C37="Sales"</formula>
    </cfRule>
    <cfRule type="expression" dxfId="10028" priority="7986">
      <formula>$C37="Expences"</formula>
    </cfRule>
    <cfRule type="expression" dxfId="10027" priority="7987">
      <formula>$C37="Garlic Purchase"</formula>
    </cfRule>
    <cfRule type="expression" dxfId="10026" priority="7988">
      <formula>$C37="Ginger Purchase"</formula>
    </cfRule>
  </conditionalFormatting>
  <conditionalFormatting sqref="B37 B39:B40 B42:B43">
    <cfRule type="expression" dxfId="10025" priority="7989">
      <formula>$C37="Advance"</formula>
    </cfRule>
  </conditionalFormatting>
  <conditionalFormatting sqref="B37 B39:B40 B42:B43">
    <cfRule type="expression" dxfId="10024" priority="7970">
      <formula>$C37="Delivery charge"</formula>
    </cfRule>
    <cfRule type="expression" dxfId="10023" priority="7971">
      <formula>$C37="Staff Salary"</formula>
    </cfRule>
    <cfRule type="expression" dxfId="10022" priority="7972">
      <formula>$C37="Rent"</formula>
    </cfRule>
    <cfRule type="expression" dxfId="10021" priority="7973">
      <formula>$C37="Petrol"</formula>
    </cfRule>
    <cfRule type="expression" dxfId="10020" priority="7974">
      <formula>$C37="Bills"</formula>
    </cfRule>
    <cfRule type="expression" dxfId="10019" priority="7975">
      <formula>$C37="Sales"</formula>
    </cfRule>
    <cfRule type="expression" dxfId="10018" priority="7976">
      <formula>$C37="Expences"</formula>
    </cfRule>
    <cfRule type="expression" dxfId="10017" priority="7977">
      <formula>$C37="Garlic Purchase"</formula>
    </cfRule>
    <cfRule type="expression" dxfId="10016" priority="7978">
      <formula>$C37="Ginger Purchase"</formula>
    </cfRule>
  </conditionalFormatting>
  <conditionalFormatting sqref="B37 B39:B40 B42:B43">
    <cfRule type="expression" dxfId="10015" priority="7979">
      <formula>$C37="Advance"</formula>
    </cfRule>
  </conditionalFormatting>
  <conditionalFormatting sqref="B37 B39:B40 B42:B43">
    <cfRule type="expression" dxfId="10014" priority="7960">
      <formula>$C37="Delivery charge"</formula>
    </cfRule>
    <cfRule type="expression" dxfId="10013" priority="7961">
      <formula>$C37="Staff Salary"</formula>
    </cfRule>
    <cfRule type="expression" dxfId="10012" priority="7962">
      <formula>$C37="Rent"</formula>
    </cfRule>
    <cfRule type="expression" dxfId="10011" priority="7963">
      <formula>$C37="Petrol"</formula>
    </cfRule>
    <cfRule type="expression" dxfId="10010" priority="7964">
      <formula>$C37="Bills"</formula>
    </cfRule>
    <cfRule type="expression" dxfId="10009" priority="7965">
      <formula>$C37="Sales"</formula>
    </cfRule>
    <cfRule type="expression" dxfId="10008" priority="7966">
      <formula>$C37="Expences"</formula>
    </cfRule>
    <cfRule type="expression" dxfId="10007" priority="7967">
      <formula>$C37="Garlic Purchase"</formula>
    </cfRule>
    <cfRule type="expression" dxfId="10006" priority="7968">
      <formula>$C37="Ginger Purchase"</formula>
    </cfRule>
  </conditionalFormatting>
  <conditionalFormatting sqref="B37 B39:B40 B42:B43">
    <cfRule type="expression" dxfId="10005" priority="7969">
      <formula>$C37="Advance"</formula>
    </cfRule>
  </conditionalFormatting>
  <conditionalFormatting sqref="B37 B39:B40 B42:B43">
    <cfRule type="expression" dxfId="10004" priority="7950">
      <formula>$C37="Delivery charge"</formula>
    </cfRule>
    <cfRule type="expression" dxfId="10003" priority="7951">
      <formula>$C37="Staff Salary"</formula>
    </cfRule>
    <cfRule type="expression" dxfId="10002" priority="7952">
      <formula>$C37="Rent"</formula>
    </cfRule>
    <cfRule type="expression" dxfId="10001" priority="7953">
      <formula>$C37="Petrol"</formula>
    </cfRule>
    <cfRule type="expression" dxfId="10000" priority="7954">
      <formula>$C37="Bills"</formula>
    </cfRule>
    <cfRule type="expression" dxfId="9999" priority="7955">
      <formula>$C37="Sales"</formula>
    </cfRule>
    <cfRule type="expression" dxfId="9998" priority="7956">
      <formula>$C37="Expences"</formula>
    </cfRule>
    <cfRule type="expression" dxfId="9997" priority="7957">
      <formula>$C37="Garlic Purchase"</formula>
    </cfRule>
    <cfRule type="expression" dxfId="9996" priority="7958">
      <formula>$C37="Ginger Purchase"</formula>
    </cfRule>
  </conditionalFormatting>
  <conditionalFormatting sqref="B37 B39:B40 B42:B43">
    <cfRule type="expression" dxfId="9995" priority="7959">
      <formula>$C37="Advance"</formula>
    </cfRule>
  </conditionalFormatting>
  <conditionalFormatting sqref="B37 B39:B40 B42:B43">
    <cfRule type="expression" dxfId="9994" priority="7940">
      <formula>$C37="Delivery charge"</formula>
    </cfRule>
    <cfRule type="expression" dxfId="9993" priority="7941">
      <formula>$C37="Staff Salary"</formula>
    </cfRule>
    <cfRule type="expression" dxfId="9992" priority="7942">
      <formula>$C37="Rent"</formula>
    </cfRule>
    <cfRule type="expression" dxfId="9991" priority="7943">
      <formula>$C37="Petrol"</formula>
    </cfRule>
    <cfRule type="expression" dxfId="9990" priority="7944">
      <formula>$C37="Bills"</formula>
    </cfRule>
    <cfRule type="expression" dxfId="9989" priority="7945">
      <formula>$C37="Sales"</formula>
    </cfRule>
    <cfRule type="expression" dxfId="9988" priority="7946">
      <formula>$C37="Expences"</formula>
    </cfRule>
    <cfRule type="expression" dxfId="9987" priority="7947">
      <formula>$C37="Garlic Purchase"</formula>
    </cfRule>
    <cfRule type="expression" dxfId="9986" priority="7948">
      <formula>$C37="Ginger Purchase"</formula>
    </cfRule>
  </conditionalFormatting>
  <conditionalFormatting sqref="B37 B39:B40 B42:B43">
    <cfRule type="expression" dxfId="9985" priority="7949">
      <formula>$C37="Advance"</formula>
    </cfRule>
  </conditionalFormatting>
  <conditionalFormatting sqref="B37 B39:B40 B42:B43">
    <cfRule type="expression" dxfId="9984" priority="7930">
      <formula>$C37="Delivery charge"</formula>
    </cfRule>
    <cfRule type="expression" dxfId="9983" priority="7931">
      <formula>$C37="Staff Salary"</formula>
    </cfRule>
    <cfRule type="expression" dxfId="9982" priority="7932">
      <formula>$C37="Rent"</formula>
    </cfRule>
    <cfRule type="expression" dxfId="9981" priority="7933">
      <formula>$C37="Petrol"</formula>
    </cfRule>
    <cfRule type="expression" dxfId="9980" priority="7934">
      <formula>$C37="Bills"</formula>
    </cfRule>
    <cfRule type="expression" dxfId="9979" priority="7935">
      <formula>$C37="Sales"</formula>
    </cfRule>
    <cfRule type="expression" dxfId="9978" priority="7936">
      <formula>$C37="Expences"</formula>
    </cfRule>
    <cfRule type="expression" dxfId="9977" priority="7937">
      <formula>$C37="Garlic Purchase"</formula>
    </cfRule>
    <cfRule type="expression" dxfId="9976" priority="7938">
      <formula>$C37="Ginger Purchase"</formula>
    </cfRule>
  </conditionalFormatting>
  <conditionalFormatting sqref="B37 B39:B40 B42:B43">
    <cfRule type="expression" dxfId="9975" priority="7939">
      <formula>$C37="Advance"</formula>
    </cfRule>
  </conditionalFormatting>
  <conditionalFormatting sqref="B37 B39:B40 B42:B43">
    <cfRule type="expression" dxfId="9974" priority="7920">
      <formula>$C37="Delivery charge"</formula>
    </cfRule>
    <cfRule type="expression" dxfId="9973" priority="7921">
      <formula>$C37="Staff Salary"</formula>
    </cfRule>
    <cfRule type="expression" dxfId="9972" priority="7922">
      <formula>$C37="Rent"</formula>
    </cfRule>
    <cfRule type="expression" dxfId="9971" priority="7923">
      <formula>$C37="Petrol"</formula>
    </cfRule>
    <cfRule type="expression" dxfId="9970" priority="7924">
      <formula>$C37="Bills"</formula>
    </cfRule>
    <cfRule type="expression" dxfId="9969" priority="7925">
      <formula>$C37="Sales"</formula>
    </cfRule>
    <cfRule type="expression" dxfId="9968" priority="7926">
      <formula>$C37="Expences"</formula>
    </cfRule>
    <cfRule type="expression" dxfId="9967" priority="7927">
      <formula>$C37="Garlic Purchase"</formula>
    </cfRule>
    <cfRule type="expression" dxfId="9966" priority="7928">
      <formula>$C37="Ginger Purchase"</formula>
    </cfRule>
  </conditionalFormatting>
  <conditionalFormatting sqref="B37 B39:B40 B42:B43">
    <cfRule type="expression" dxfId="9965" priority="7929">
      <formula>$C37="Advance"</formula>
    </cfRule>
  </conditionalFormatting>
  <conditionalFormatting sqref="B37 B39:B40 B42:B43">
    <cfRule type="expression" dxfId="9964" priority="7910">
      <formula>$C37="Delivery charge"</formula>
    </cfRule>
    <cfRule type="expression" dxfId="9963" priority="7911">
      <formula>$C37="Staff Salary"</formula>
    </cfRule>
    <cfRule type="expression" dxfId="9962" priority="7912">
      <formula>$C37="Rent"</formula>
    </cfRule>
    <cfRule type="expression" dxfId="9961" priority="7913">
      <formula>$C37="Petrol"</formula>
    </cfRule>
    <cfRule type="expression" dxfId="9960" priority="7914">
      <formula>$C37="Bills"</formula>
    </cfRule>
    <cfRule type="expression" dxfId="9959" priority="7915">
      <formula>$C37="Sales"</formula>
    </cfRule>
    <cfRule type="expression" dxfId="9958" priority="7916">
      <formula>$C37="Expences"</formula>
    </cfRule>
    <cfRule type="expression" dxfId="9957" priority="7917">
      <formula>$C37="Garlic Purchase"</formula>
    </cfRule>
    <cfRule type="expression" dxfId="9956" priority="7918">
      <formula>$C37="Ginger Purchase"</formula>
    </cfRule>
  </conditionalFormatting>
  <conditionalFormatting sqref="B37 B39:B40 B42:B43">
    <cfRule type="expression" dxfId="9955" priority="7919">
      <formula>$C37="Advance"</formula>
    </cfRule>
  </conditionalFormatting>
  <conditionalFormatting sqref="B37 B39:B40 B42:B43">
    <cfRule type="expression" dxfId="9954" priority="7900">
      <formula>$C37="Delivery charge"</formula>
    </cfRule>
    <cfRule type="expression" dxfId="9953" priority="7901">
      <formula>$C37="Staff Salary"</formula>
    </cfRule>
    <cfRule type="expression" dxfId="9952" priority="7902">
      <formula>$C37="Rent"</formula>
    </cfRule>
    <cfRule type="expression" dxfId="9951" priority="7903">
      <formula>$C37="Petrol"</formula>
    </cfRule>
    <cfRule type="expression" dxfId="9950" priority="7904">
      <formula>$C37="Bills"</formula>
    </cfRule>
    <cfRule type="expression" dxfId="9949" priority="7905">
      <formula>$C37="Sales"</formula>
    </cfRule>
    <cfRule type="expression" dxfId="9948" priority="7906">
      <formula>$C37="Expences"</formula>
    </cfRule>
    <cfRule type="expression" dxfId="9947" priority="7907">
      <formula>$C37="Garlic Purchase"</formula>
    </cfRule>
    <cfRule type="expression" dxfId="9946" priority="7908">
      <formula>$C37="Ginger Purchase"</formula>
    </cfRule>
  </conditionalFormatting>
  <conditionalFormatting sqref="B37 B39:B40 B42:B43">
    <cfRule type="expression" dxfId="9945" priority="7909">
      <formula>$C37="Advance"</formula>
    </cfRule>
  </conditionalFormatting>
  <conditionalFormatting sqref="B37 B39:B40 B42:B43">
    <cfRule type="expression" dxfId="9944" priority="7890">
      <formula>$C37="Delivery charge"</formula>
    </cfRule>
    <cfRule type="expression" dxfId="9943" priority="7891">
      <formula>$C37="Staff Salary"</formula>
    </cfRule>
    <cfRule type="expression" dxfId="9942" priority="7892">
      <formula>$C37="Rent"</formula>
    </cfRule>
    <cfRule type="expression" dxfId="9941" priority="7893">
      <formula>$C37="Petrol"</formula>
    </cfRule>
    <cfRule type="expression" dxfId="9940" priority="7894">
      <formula>$C37="Bills"</formula>
    </cfRule>
    <cfRule type="expression" dxfId="9939" priority="7895">
      <formula>$C37="Sales"</formula>
    </cfRule>
    <cfRule type="expression" dxfId="9938" priority="7896">
      <formula>$C37="Expences"</formula>
    </cfRule>
    <cfRule type="expression" dxfId="9937" priority="7897">
      <formula>$C37="Garlic Purchase"</formula>
    </cfRule>
    <cfRule type="expression" dxfId="9936" priority="7898">
      <formula>$C37="Ginger Purchase"</formula>
    </cfRule>
  </conditionalFormatting>
  <conditionalFormatting sqref="B37 B39:B40 B42:B43">
    <cfRule type="expression" dxfId="9935" priority="7899">
      <formula>$C37="Advance"</formula>
    </cfRule>
  </conditionalFormatting>
  <conditionalFormatting sqref="B37 B39:B40 B42:B43">
    <cfRule type="expression" dxfId="9934" priority="7880">
      <formula>$C37="Delivery charge"</formula>
    </cfRule>
    <cfRule type="expression" dxfId="9933" priority="7881">
      <formula>$C37="Staff Salary"</formula>
    </cfRule>
    <cfRule type="expression" dxfId="9932" priority="7882">
      <formula>$C37="Rent"</formula>
    </cfRule>
    <cfRule type="expression" dxfId="9931" priority="7883">
      <formula>$C37="Petrol"</formula>
    </cfRule>
    <cfRule type="expression" dxfId="9930" priority="7884">
      <formula>$C37="Bills"</formula>
    </cfRule>
    <cfRule type="expression" dxfId="9929" priority="7885">
      <formula>$C37="Sales"</formula>
    </cfRule>
    <cfRule type="expression" dxfId="9928" priority="7886">
      <formula>$C37="Expences"</formula>
    </cfRule>
    <cfRule type="expression" dxfId="9927" priority="7887">
      <formula>$C37="Garlic Purchase"</formula>
    </cfRule>
    <cfRule type="expression" dxfId="9926" priority="7888">
      <formula>$C37="Ginger Purchase"</formula>
    </cfRule>
  </conditionalFormatting>
  <conditionalFormatting sqref="B37 B39:B40 B42:B43">
    <cfRule type="expression" dxfId="9925" priority="7889">
      <formula>$C37="Advance"</formula>
    </cfRule>
  </conditionalFormatting>
  <conditionalFormatting sqref="B37 B39:B40 B42:B43">
    <cfRule type="expression" dxfId="9924" priority="7870">
      <formula>$C37="Delivery charge"</formula>
    </cfRule>
    <cfRule type="expression" dxfId="9923" priority="7871">
      <formula>$C37="Staff Salary"</formula>
    </cfRule>
    <cfRule type="expression" dxfId="9922" priority="7872">
      <formula>$C37="Rent"</formula>
    </cfRule>
    <cfRule type="expression" dxfId="9921" priority="7873">
      <formula>$C37="Petrol"</formula>
    </cfRule>
    <cfRule type="expression" dxfId="9920" priority="7874">
      <formula>$C37="Bills"</formula>
    </cfRule>
    <cfRule type="expression" dxfId="9919" priority="7875">
      <formula>$C37="Sales"</formula>
    </cfRule>
    <cfRule type="expression" dxfId="9918" priority="7876">
      <formula>$C37="Expences"</formula>
    </cfRule>
    <cfRule type="expression" dxfId="9917" priority="7877">
      <formula>$C37="Garlic Purchase"</formula>
    </cfRule>
    <cfRule type="expression" dxfId="9916" priority="7878">
      <formula>$C37="Ginger Purchase"</formula>
    </cfRule>
  </conditionalFormatting>
  <conditionalFormatting sqref="B37 B39:B40 B42:B43">
    <cfRule type="expression" dxfId="9915" priority="7879">
      <formula>$C37="Advance"</formula>
    </cfRule>
  </conditionalFormatting>
  <conditionalFormatting sqref="B37 B39:B40 B42:B43">
    <cfRule type="expression" dxfId="9914" priority="7860">
      <formula>$C37="Delivery charge"</formula>
    </cfRule>
    <cfRule type="expression" dxfId="9913" priority="7861">
      <formula>$C37="Staff Salary"</formula>
    </cfRule>
    <cfRule type="expression" dxfId="9912" priority="7862">
      <formula>$C37="Rent"</formula>
    </cfRule>
    <cfRule type="expression" dxfId="9911" priority="7863">
      <formula>$C37="Petrol"</formula>
    </cfRule>
    <cfRule type="expression" dxfId="9910" priority="7864">
      <formula>$C37="Bills"</formula>
    </cfRule>
    <cfRule type="expression" dxfId="9909" priority="7865">
      <formula>$C37="Sales"</formula>
    </cfRule>
    <cfRule type="expression" dxfId="9908" priority="7866">
      <formula>$C37="Expences"</formula>
    </cfRule>
    <cfRule type="expression" dxfId="9907" priority="7867">
      <formula>$C37="Garlic Purchase"</formula>
    </cfRule>
    <cfRule type="expression" dxfId="9906" priority="7868">
      <formula>$C37="Ginger Purchase"</formula>
    </cfRule>
  </conditionalFormatting>
  <conditionalFormatting sqref="B37 B39:B40 B42:B43">
    <cfRule type="expression" dxfId="9905" priority="7869">
      <formula>$C37="Advance"</formula>
    </cfRule>
  </conditionalFormatting>
  <conditionalFormatting sqref="B37 B39:B40 B42:B43">
    <cfRule type="expression" dxfId="9904" priority="7850">
      <formula>$C37="Delivery charge"</formula>
    </cfRule>
    <cfRule type="expression" dxfId="9903" priority="7851">
      <formula>$C37="Staff Salary"</formula>
    </cfRule>
    <cfRule type="expression" dxfId="9902" priority="7852">
      <formula>$C37="Rent"</formula>
    </cfRule>
    <cfRule type="expression" dxfId="9901" priority="7853">
      <formula>$C37="Petrol"</formula>
    </cfRule>
    <cfRule type="expression" dxfId="9900" priority="7854">
      <formula>$C37="Bills"</formula>
    </cfRule>
    <cfRule type="expression" dxfId="9899" priority="7855">
      <formula>$C37="Sales"</formula>
    </cfRule>
    <cfRule type="expression" dxfId="9898" priority="7856">
      <formula>$C37="Expences"</formula>
    </cfRule>
    <cfRule type="expression" dxfId="9897" priority="7857">
      <formula>$C37="Garlic Purchase"</formula>
    </cfRule>
    <cfRule type="expression" dxfId="9896" priority="7858">
      <formula>$C37="Ginger Purchase"</formula>
    </cfRule>
  </conditionalFormatting>
  <conditionalFormatting sqref="B37 B39:B40 B42:B43">
    <cfRule type="expression" dxfId="9895" priority="7859">
      <formula>$C37="Advance"</formula>
    </cfRule>
  </conditionalFormatting>
  <conditionalFormatting sqref="B37 B39:B40 B42:B43">
    <cfRule type="expression" dxfId="9894" priority="7849">
      <formula>$C37="Advance"</formula>
    </cfRule>
  </conditionalFormatting>
  <conditionalFormatting sqref="B37 B39:B40 B42:B43">
    <cfRule type="expression" dxfId="9893" priority="7840">
      <formula>$C37="Delivery charge"</formula>
    </cfRule>
    <cfRule type="expression" dxfId="9892" priority="7841">
      <formula>$C37="Staff Salary"</formula>
    </cfRule>
    <cfRule type="expression" dxfId="9891" priority="7842">
      <formula>$C37="Rent"</formula>
    </cfRule>
    <cfRule type="expression" dxfId="9890" priority="7843">
      <formula>$C37="Petrol"</formula>
    </cfRule>
    <cfRule type="expression" dxfId="9889" priority="7844">
      <formula>$C37="Bills"</formula>
    </cfRule>
    <cfRule type="expression" dxfId="9888" priority="7845">
      <formula>$C37="Sales"</formula>
    </cfRule>
    <cfRule type="expression" dxfId="9887" priority="7846">
      <formula>$C37="Expences"</formula>
    </cfRule>
    <cfRule type="expression" dxfId="9886" priority="7847">
      <formula>$C37="Garlic Purchase"</formula>
    </cfRule>
    <cfRule type="expression" dxfId="9885" priority="7848">
      <formula>$C37="Ginger Purchase"</formula>
    </cfRule>
  </conditionalFormatting>
  <conditionalFormatting sqref="B38 B41 B44 B47:B49 B51:B65 B67 B69:B73 B75:B239">
    <cfRule type="expression" dxfId="1912" priority="7830">
      <formula>$C38="Delivery charge"</formula>
    </cfRule>
    <cfRule type="expression" dxfId="1911" priority="7831">
      <formula>$C38="Staff Salary"</formula>
    </cfRule>
    <cfRule type="expression" dxfId="1910" priority="7832">
      <formula>$C38="Rent"</formula>
    </cfRule>
    <cfRule type="expression" dxfId="1909" priority="7833">
      <formula>$C38="Petrol"</formula>
    </cfRule>
    <cfRule type="expression" dxfId="1908" priority="7834">
      <formula>$C38="Bills"</formula>
    </cfRule>
    <cfRule type="expression" dxfId="1907" priority="7835">
      <formula>$C38="Sales"</formula>
    </cfRule>
    <cfRule type="expression" dxfId="1906" priority="7836">
      <formula>$C38="Expences"</formula>
    </cfRule>
    <cfRule type="expression" dxfId="1905" priority="7837">
      <formula>$C38="Garlic Purchase"</formula>
    </cfRule>
    <cfRule type="expression" dxfId="1904" priority="7838">
      <formula>$C38="Ginger Purchase"</formula>
    </cfRule>
  </conditionalFormatting>
  <conditionalFormatting sqref="B38 B41 B44 B47:B49 B51:B65 B67 B69:B73 B75:B239">
    <cfRule type="expression" dxfId="1903" priority="7839">
      <formula>$C38="Advance"</formula>
    </cfRule>
  </conditionalFormatting>
  <conditionalFormatting sqref="B38 B41 B44 B47:B49 B51:B65 B67 B69:B73 B75:B239">
    <cfRule type="expression" dxfId="1902" priority="7820">
      <formula>$C38="Delivery charge"</formula>
    </cfRule>
    <cfRule type="expression" dxfId="1901" priority="7821">
      <formula>$C38="Staff Salary"</formula>
    </cfRule>
    <cfRule type="expression" dxfId="1900" priority="7822">
      <formula>$C38="Rent"</formula>
    </cfRule>
    <cfRule type="expression" dxfId="1899" priority="7823">
      <formula>$C38="Petrol"</formula>
    </cfRule>
    <cfRule type="expression" dxfId="1898" priority="7824">
      <formula>$C38="Bills"</formula>
    </cfRule>
    <cfRule type="expression" dxfId="1897" priority="7825">
      <formula>$C38="Sales"</formula>
    </cfRule>
    <cfRule type="expression" dxfId="1896" priority="7826">
      <formula>$C38="Expences"</formula>
    </cfRule>
    <cfRule type="expression" dxfId="1895" priority="7827">
      <formula>$C38="Garlic Purchase"</formula>
    </cfRule>
    <cfRule type="expression" dxfId="1894" priority="7828">
      <formula>$C38="Ginger Purchase"</formula>
    </cfRule>
  </conditionalFormatting>
  <conditionalFormatting sqref="B38 B41 B44 B47:B49 B51:B65 B67 B69:B73 B75:B239">
    <cfRule type="expression" dxfId="1893" priority="7829">
      <formula>$C38="Advance"</formula>
    </cfRule>
  </conditionalFormatting>
  <conditionalFormatting sqref="B38 B41 B44 B47:B49 B51:B65 B67 B69:B73 B75:B239">
    <cfRule type="expression" dxfId="1892" priority="7810">
      <formula>$C38="Delivery charge"</formula>
    </cfRule>
    <cfRule type="expression" dxfId="1891" priority="7811">
      <formula>$C38="Staff Salary"</formula>
    </cfRule>
    <cfRule type="expression" dxfId="1890" priority="7812">
      <formula>$C38="Rent"</formula>
    </cfRule>
    <cfRule type="expression" dxfId="1889" priority="7813">
      <formula>$C38="Petrol"</formula>
    </cfRule>
    <cfRule type="expression" dxfId="1888" priority="7814">
      <formula>$C38="Bills"</formula>
    </cfRule>
    <cfRule type="expression" dxfId="1887" priority="7815">
      <formula>$C38="Sales"</formula>
    </cfRule>
    <cfRule type="expression" dxfId="1886" priority="7816">
      <formula>$C38="Expences"</formula>
    </cfRule>
    <cfRule type="expression" dxfId="1885" priority="7817">
      <formula>$C38="Garlic Purchase"</formula>
    </cfRule>
    <cfRule type="expression" dxfId="1884" priority="7818">
      <formula>$C38="Ginger Purchase"</formula>
    </cfRule>
  </conditionalFormatting>
  <conditionalFormatting sqref="B38 B41 B44 B47:B49 B51:B65 B67 B69:B73 B75:B239">
    <cfRule type="expression" dxfId="1883" priority="7819">
      <formula>$C38="Advance"</formula>
    </cfRule>
  </conditionalFormatting>
  <conditionalFormatting sqref="B38 B41 B44 B47:B49 B51:B65 B67 B69:B73 B75:B239">
    <cfRule type="expression" dxfId="1882" priority="7800">
      <formula>$C38="Delivery charge"</formula>
    </cfRule>
    <cfRule type="expression" dxfId="1881" priority="7801">
      <formula>$C38="Staff Salary"</formula>
    </cfRule>
    <cfRule type="expression" dxfId="1880" priority="7802">
      <formula>$C38="Rent"</formula>
    </cfRule>
    <cfRule type="expression" dxfId="1879" priority="7803">
      <formula>$C38="Petrol"</formula>
    </cfRule>
    <cfRule type="expression" dxfId="1878" priority="7804">
      <formula>$C38="Bills"</formula>
    </cfRule>
    <cfRule type="expression" dxfId="1877" priority="7805">
      <formula>$C38="Sales"</formula>
    </cfRule>
    <cfRule type="expression" dxfId="1876" priority="7806">
      <formula>$C38="Expences"</formula>
    </cfRule>
    <cfRule type="expression" dxfId="1875" priority="7807">
      <formula>$C38="Garlic Purchase"</formula>
    </cfRule>
    <cfRule type="expression" dxfId="1874" priority="7808">
      <formula>$C38="Ginger Purchase"</formula>
    </cfRule>
  </conditionalFormatting>
  <conditionalFormatting sqref="B38 B41 B44 B47:B49 B51:B65 B67 B69:B73 B75:B239">
    <cfRule type="expression" dxfId="1873" priority="7809">
      <formula>$C38="Advance"</formula>
    </cfRule>
  </conditionalFormatting>
  <conditionalFormatting sqref="B38 B41 B44 B47:B49 B51:B65 B67 B69:B73 B75:B239">
    <cfRule type="expression" dxfId="1872" priority="7790">
      <formula>$C38="Delivery charge"</formula>
    </cfRule>
    <cfRule type="expression" dxfId="1871" priority="7791">
      <formula>$C38="Staff Salary"</formula>
    </cfRule>
    <cfRule type="expression" dxfId="1870" priority="7792">
      <formula>$C38="Rent"</formula>
    </cfRule>
    <cfRule type="expression" dxfId="1869" priority="7793">
      <formula>$C38="Petrol"</formula>
    </cfRule>
    <cfRule type="expression" dxfId="1868" priority="7794">
      <formula>$C38="Bills"</formula>
    </cfRule>
    <cfRule type="expression" dxfId="1867" priority="7795">
      <formula>$C38="Sales"</formula>
    </cfRule>
    <cfRule type="expression" dxfId="1866" priority="7796">
      <formula>$C38="Expences"</formula>
    </cfRule>
    <cfRule type="expression" dxfId="1865" priority="7797">
      <formula>$C38="Garlic Purchase"</formula>
    </cfRule>
    <cfRule type="expression" dxfId="1864" priority="7798">
      <formula>$C38="Ginger Purchase"</formula>
    </cfRule>
  </conditionalFormatting>
  <conditionalFormatting sqref="B38 B41 B44 B47:B49 B51:B65 B67 B69:B73 B75:B239">
    <cfRule type="expression" dxfId="1863" priority="7799">
      <formula>$C38="Advance"</formula>
    </cfRule>
  </conditionalFormatting>
  <conditionalFormatting sqref="B38 B41 B44 B47:B49 B51:B65 B67 B69:B73 B75:B239">
    <cfRule type="expression" dxfId="1862" priority="7780">
      <formula>$C38="Delivery charge"</formula>
    </cfRule>
    <cfRule type="expression" dxfId="1861" priority="7781">
      <formula>$C38="Staff Salary"</formula>
    </cfRule>
    <cfRule type="expression" dxfId="1860" priority="7782">
      <formula>$C38="Rent"</formula>
    </cfRule>
    <cfRule type="expression" dxfId="1859" priority="7783">
      <formula>$C38="Petrol"</formula>
    </cfRule>
    <cfRule type="expression" dxfId="1858" priority="7784">
      <formula>$C38="Bills"</formula>
    </cfRule>
    <cfRule type="expression" dxfId="1857" priority="7785">
      <formula>$C38="Sales"</formula>
    </cfRule>
    <cfRule type="expression" dxfId="1856" priority="7786">
      <formula>$C38="Expences"</formula>
    </cfRule>
    <cfRule type="expression" dxfId="1855" priority="7787">
      <formula>$C38="Garlic Purchase"</formula>
    </cfRule>
    <cfRule type="expression" dxfId="1854" priority="7788">
      <formula>$C38="Ginger Purchase"</formula>
    </cfRule>
  </conditionalFormatting>
  <conditionalFormatting sqref="B38 B41 B44 B47:B49 B51:B65 B67 B69:B73 B75:B239">
    <cfRule type="expression" dxfId="1853" priority="7789">
      <formula>$C38="Advance"</formula>
    </cfRule>
  </conditionalFormatting>
  <conditionalFormatting sqref="B38 B41 B44 B47:B49 B51:B65 B67 B69:B73 B75:B239">
    <cfRule type="expression" dxfId="1852" priority="7770">
      <formula>$C38="Delivery charge"</formula>
    </cfRule>
    <cfRule type="expression" dxfId="1851" priority="7771">
      <formula>$C38="Staff Salary"</formula>
    </cfRule>
    <cfRule type="expression" dxfId="1850" priority="7772">
      <formula>$C38="Rent"</formula>
    </cfRule>
    <cfRule type="expression" dxfId="1849" priority="7773">
      <formula>$C38="Petrol"</formula>
    </cfRule>
    <cfRule type="expression" dxfId="1848" priority="7774">
      <formula>$C38="Bills"</formula>
    </cfRule>
    <cfRule type="expression" dxfId="1847" priority="7775">
      <formula>$C38="Sales"</formula>
    </cfRule>
    <cfRule type="expression" dxfId="1846" priority="7776">
      <formula>$C38="Expences"</formula>
    </cfRule>
    <cfRule type="expression" dxfId="1845" priority="7777">
      <formula>$C38="Garlic Purchase"</formula>
    </cfRule>
    <cfRule type="expression" dxfId="1844" priority="7778">
      <formula>$C38="Ginger Purchase"</formula>
    </cfRule>
  </conditionalFormatting>
  <conditionalFormatting sqref="B38 B41 B44 B47:B49 B51:B65 B67 B69:B73 B75:B239">
    <cfRule type="expression" dxfId="1843" priority="7779">
      <formula>$C38="Advance"</formula>
    </cfRule>
  </conditionalFormatting>
  <conditionalFormatting sqref="B38 B41 B44 B47:B49 B51:B65 B67 B69:B73 B75:B239">
    <cfRule type="expression" dxfId="1842" priority="7760">
      <formula>$C38="Delivery charge"</formula>
    </cfRule>
    <cfRule type="expression" dxfId="1841" priority="7761">
      <formula>$C38="Staff Salary"</formula>
    </cfRule>
    <cfRule type="expression" dxfId="1840" priority="7762">
      <formula>$C38="Rent"</formula>
    </cfRule>
    <cfRule type="expression" dxfId="1839" priority="7763">
      <formula>$C38="Petrol"</formula>
    </cfRule>
    <cfRule type="expression" dxfId="1838" priority="7764">
      <formula>$C38="Bills"</formula>
    </cfRule>
    <cfRule type="expression" dxfId="1837" priority="7765">
      <formula>$C38="Sales"</formula>
    </cfRule>
    <cfRule type="expression" dxfId="1836" priority="7766">
      <formula>$C38="Expences"</formula>
    </cfRule>
    <cfRule type="expression" dxfId="1835" priority="7767">
      <formula>$C38="Garlic Purchase"</formula>
    </cfRule>
    <cfRule type="expression" dxfId="1834" priority="7768">
      <formula>$C38="Ginger Purchase"</formula>
    </cfRule>
  </conditionalFormatting>
  <conditionalFormatting sqref="B38 B41 B44 B47:B49 B51:B65 B67 B69:B73 B75:B239">
    <cfRule type="expression" dxfId="1833" priority="7769">
      <formula>$C38="Advance"</formula>
    </cfRule>
  </conditionalFormatting>
  <conditionalFormatting sqref="B38 B41 B44 B47:B49 B51:B65 B67 B69:B73 B75:B239">
    <cfRule type="expression" dxfId="1832" priority="7750">
      <formula>$C38="Delivery charge"</formula>
    </cfRule>
    <cfRule type="expression" dxfId="1831" priority="7751">
      <formula>$C38="Staff Salary"</formula>
    </cfRule>
    <cfRule type="expression" dxfId="1830" priority="7752">
      <formula>$C38="Rent"</formula>
    </cfRule>
    <cfRule type="expression" dxfId="1829" priority="7753">
      <formula>$C38="Petrol"</formula>
    </cfRule>
    <cfRule type="expression" dxfId="1828" priority="7754">
      <formula>$C38="Bills"</formula>
    </cfRule>
    <cfRule type="expression" dxfId="1827" priority="7755">
      <formula>$C38="Sales"</formula>
    </cfRule>
    <cfRule type="expression" dxfId="1826" priority="7756">
      <formula>$C38="Expences"</formula>
    </cfRule>
    <cfRule type="expression" dxfId="1825" priority="7757">
      <formula>$C38="Garlic Purchase"</formula>
    </cfRule>
    <cfRule type="expression" dxfId="1824" priority="7758">
      <formula>$C38="Ginger Purchase"</formula>
    </cfRule>
  </conditionalFormatting>
  <conditionalFormatting sqref="B38 B41 B44 B47:B49 B51:B65 B67 B69:B73 B75:B239">
    <cfRule type="expression" dxfId="1823" priority="7759">
      <formula>$C38="Advance"</formula>
    </cfRule>
  </conditionalFormatting>
  <conditionalFormatting sqref="B38 B41 B44 B47:B49 B51:B65 B67 B69:B73 B75:B239">
    <cfRule type="expression" dxfId="1822" priority="7740">
      <formula>$C38="Delivery charge"</formula>
    </cfRule>
    <cfRule type="expression" dxfId="1821" priority="7741">
      <formula>$C38="Staff Salary"</formula>
    </cfRule>
    <cfRule type="expression" dxfId="1820" priority="7742">
      <formula>$C38="Rent"</formula>
    </cfRule>
    <cfRule type="expression" dxfId="1819" priority="7743">
      <formula>$C38="Petrol"</formula>
    </cfRule>
    <cfRule type="expression" dxfId="1818" priority="7744">
      <formula>$C38="Bills"</formula>
    </cfRule>
    <cfRule type="expression" dxfId="1817" priority="7745">
      <formula>$C38="Sales"</formula>
    </cfRule>
    <cfRule type="expression" dxfId="1816" priority="7746">
      <formula>$C38="Expences"</formula>
    </cfRule>
    <cfRule type="expression" dxfId="1815" priority="7747">
      <formula>$C38="Garlic Purchase"</formula>
    </cfRule>
    <cfRule type="expression" dxfId="1814" priority="7748">
      <formula>$C38="Ginger Purchase"</formula>
    </cfRule>
  </conditionalFormatting>
  <conditionalFormatting sqref="B38 B41 B44 B47:B49 B51:B65 B67 B69:B73 B75:B239">
    <cfRule type="expression" dxfId="1813" priority="7749">
      <formula>$C38="Advance"</formula>
    </cfRule>
  </conditionalFormatting>
  <conditionalFormatting sqref="B38 B41 B44 B47:B49 B51:B65 B67 B69:B73 B75:B239">
    <cfRule type="expression" dxfId="1812" priority="7730">
      <formula>$C38="Delivery charge"</formula>
    </cfRule>
    <cfRule type="expression" dxfId="1811" priority="7731">
      <formula>$C38="Staff Salary"</formula>
    </cfRule>
    <cfRule type="expression" dxfId="1810" priority="7732">
      <formula>$C38="Rent"</formula>
    </cfRule>
    <cfRule type="expression" dxfId="1809" priority="7733">
      <formula>$C38="Petrol"</formula>
    </cfRule>
    <cfRule type="expression" dxfId="1808" priority="7734">
      <formula>$C38="Bills"</formula>
    </cfRule>
    <cfRule type="expression" dxfId="1807" priority="7735">
      <formula>$C38="Sales"</formula>
    </cfRule>
    <cfRule type="expression" dxfId="1806" priority="7736">
      <formula>$C38="Expences"</formula>
    </cfRule>
    <cfRule type="expression" dxfId="1805" priority="7737">
      <formula>$C38="Garlic Purchase"</formula>
    </cfRule>
    <cfRule type="expression" dxfId="1804" priority="7738">
      <formula>$C38="Ginger Purchase"</formula>
    </cfRule>
  </conditionalFormatting>
  <conditionalFormatting sqref="B38 B41 B44 B47:B49 B51:B65 B67 B69:B73 B75:B239">
    <cfRule type="expression" dxfId="1803" priority="7739">
      <formula>$C38="Advance"</formula>
    </cfRule>
  </conditionalFormatting>
  <conditionalFormatting sqref="B37 B39:B40 B42:B43">
    <cfRule type="expression" dxfId="9884" priority="7729">
      <formula>$C37="Advance"</formula>
    </cfRule>
  </conditionalFormatting>
  <conditionalFormatting sqref="B37 B39:B40 B42:B43">
    <cfRule type="expression" dxfId="9883" priority="7720">
      <formula>$C37="Delivery charge"</formula>
    </cfRule>
    <cfRule type="expression" dxfId="9882" priority="7721">
      <formula>$C37="Staff Salary"</formula>
    </cfRule>
    <cfRule type="expression" dxfId="9881" priority="7722">
      <formula>$C37="Rent"</formula>
    </cfRule>
    <cfRule type="expression" dxfId="9880" priority="7723">
      <formula>$C37="Petrol"</formula>
    </cfRule>
    <cfRule type="expression" dxfId="9879" priority="7724">
      <formula>$C37="Bills"</formula>
    </cfRule>
    <cfRule type="expression" dxfId="9878" priority="7725">
      <formula>$C37="Sales"</formula>
    </cfRule>
    <cfRule type="expression" dxfId="9877" priority="7726">
      <formula>$C37="Expences"</formula>
    </cfRule>
    <cfRule type="expression" dxfId="9876" priority="7727">
      <formula>$C37="Garlic Purchase"</formula>
    </cfRule>
    <cfRule type="expression" dxfId="9875" priority="7728">
      <formula>$C37="Ginger Purchase"</formula>
    </cfRule>
  </conditionalFormatting>
  <conditionalFormatting sqref="B37 B39:B40 B42:B43">
    <cfRule type="expression" dxfId="9874" priority="7710">
      <formula>$C37="Delivery charge"</formula>
    </cfRule>
    <cfRule type="expression" dxfId="9873" priority="7711">
      <formula>$C37="Staff Salary"</formula>
    </cfRule>
    <cfRule type="expression" dxfId="9872" priority="7712">
      <formula>$C37="Rent"</formula>
    </cfRule>
    <cfRule type="expression" dxfId="9871" priority="7713">
      <formula>$C37="Petrol"</formula>
    </cfRule>
    <cfRule type="expression" dxfId="9870" priority="7714">
      <formula>$C37="Bills"</formula>
    </cfRule>
    <cfRule type="expression" dxfId="9869" priority="7715">
      <formula>$C37="Sales"</formula>
    </cfRule>
    <cfRule type="expression" dxfId="9868" priority="7716">
      <formula>$C37="Expences"</formula>
    </cfRule>
    <cfRule type="expression" dxfId="9867" priority="7717">
      <formula>$C37="Garlic Purchase"</formula>
    </cfRule>
    <cfRule type="expression" dxfId="9866" priority="7718">
      <formula>$C37="Ginger Purchase"</formula>
    </cfRule>
  </conditionalFormatting>
  <conditionalFormatting sqref="B37 B39:B40 B42:B43">
    <cfRule type="expression" dxfId="9865" priority="7719">
      <formula>$C37="Advance"</formula>
    </cfRule>
  </conditionalFormatting>
  <conditionalFormatting sqref="B38 B41 B44 B47:B49 B51:B65 B67 B69:B73 B75:B239">
    <cfRule type="expression" dxfId="1802" priority="7700">
      <formula>$C38="Delivery charge"</formula>
    </cfRule>
    <cfRule type="expression" dxfId="1801" priority="7701">
      <formula>$C38="Staff Salary"</formula>
    </cfRule>
    <cfRule type="expression" dxfId="1800" priority="7702">
      <formula>$C38="Rent"</formula>
    </cfRule>
    <cfRule type="expression" dxfId="1799" priority="7703">
      <formula>$C38="Petrol"</formula>
    </cfRule>
    <cfRule type="expression" dxfId="1798" priority="7704">
      <formula>$C38="Bills"</formula>
    </cfRule>
    <cfRule type="expression" dxfId="1797" priority="7705">
      <formula>$C38="Sales"</formula>
    </cfRule>
    <cfRule type="expression" dxfId="1796" priority="7706">
      <formula>$C38="Expences"</formula>
    </cfRule>
    <cfRule type="expression" dxfId="1795" priority="7707">
      <formula>$C38="Garlic Purchase"</formula>
    </cfRule>
    <cfRule type="expression" dxfId="1794" priority="7708">
      <formula>$C38="Ginger Purchase"</formula>
    </cfRule>
  </conditionalFormatting>
  <conditionalFormatting sqref="B38 B41 B44 B47:B49 B51:B65 B67 B69:B73 B75:B239">
    <cfRule type="expression" dxfId="1793" priority="7709">
      <formula>$C38="Advance"</formula>
    </cfRule>
  </conditionalFormatting>
  <conditionalFormatting sqref="B38 B41 B44 B47:B49 B51:B65 B67 B69:B73 B75:B239">
    <cfRule type="expression" dxfId="1792" priority="7690">
      <formula>$C38="Delivery charge"</formula>
    </cfRule>
    <cfRule type="expression" dxfId="1791" priority="7691">
      <formula>$C38="Staff Salary"</formula>
    </cfRule>
    <cfRule type="expression" dxfId="1790" priority="7692">
      <formula>$C38="Rent"</formula>
    </cfRule>
    <cfRule type="expression" dxfId="1789" priority="7693">
      <formula>$C38="Petrol"</formula>
    </cfRule>
    <cfRule type="expression" dxfId="1788" priority="7694">
      <formula>$C38="Bills"</formula>
    </cfRule>
    <cfRule type="expression" dxfId="1787" priority="7695">
      <formula>$C38="Sales"</formula>
    </cfRule>
    <cfRule type="expression" dxfId="1786" priority="7696">
      <formula>$C38="Expences"</formula>
    </cfRule>
    <cfRule type="expression" dxfId="1785" priority="7697">
      <formula>$C38="Garlic Purchase"</formula>
    </cfRule>
    <cfRule type="expression" dxfId="1784" priority="7698">
      <formula>$C38="Ginger Purchase"</formula>
    </cfRule>
  </conditionalFormatting>
  <conditionalFormatting sqref="B38 B41 B44 B47:B49 B51:B65 B67 B69:B73 B75:B239">
    <cfRule type="expression" dxfId="1783" priority="7699">
      <formula>$C38="Advance"</formula>
    </cfRule>
  </conditionalFormatting>
  <conditionalFormatting sqref="B38 B41 B44 B47:B49 B51:B65 B67 B69:B73 B75:B239">
    <cfRule type="expression" dxfId="1782" priority="7680">
      <formula>$C38="Delivery charge"</formula>
    </cfRule>
    <cfRule type="expression" dxfId="1781" priority="7681">
      <formula>$C38="Staff Salary"</formula>
    </cfRule>
    <cfRule type="expression" dxfId="1780" priority="7682">
      <formula>$C38="Rent"</formula>
    </cfRule>
    <cfRule type="expression" dxfId="1779" priority="7683">
      <formula>$C38="Petrol"</formula>
    </cfRule>
    <cfRule type="expression" dxfId="1778" priority="7684">
      <formula>$C38="Bills"</formula>
    </cfRule>
    <cfRule type="expression" dxfId="1777" priority="7685">
      <formula>$C38="Sales"</formula>
    </cfRule>
    <cfRule type="expression" dxfId="1776" priority="7686">
      <formula>$C38="Expences"</formula>
    </cfRule>
    <cfRule type="expression" dxfId="1775" priority="7687">
      <formula>$C38="Garlic Purchase"</formula>
    </cfRule>
    <cfRule type="expression" dxfId="1774" priority="7688">
      <formula>$C38="Ginger Purchase"</formula>
    </cfRule>
  </conditionalFormatting>
  <conditionalFormatting sqref="B38 B41 B44 B47:B49 B51:B65 B67 B69:B73 B75:B239">
    <cfRule type="expression" dxfId="1773" priority="7689">
      <formula>$C38="Advance"</formula>
    </cfRule>
  </conditionalFormatting>
  <conditionalFormatting sqref="B38 B41 B44 B47:B49 B51:B65 B67 B69:B73 B75:B239">
    <cfRule type="expression" dxfId="1772" priority="7670">
      <formula>$C38="Delivery charge"</formula>
    </cfRule>
    <cfRule type="expression" dxfId="1771" priority="7671">
      <formula>$C38="Staff Salary"</formula>
    </cfRule>
    <cfRule type="expression" dxfId="1770" priority="7672">
      <formula>$C38="Rent"</formula>
    </cfRule>
    <cfRule type="expression" dxfId="1769" priority="7673">
      <formula>$C38="Petrol"</formula>
    </cfRule>
    <cfRule type="expression" dxfId="1768" priority="7674">
      <formula>$C38="Bills"</formula>
    </cfRule>
    <cfRule type="expression" dxfId="1767" priority="7675">
      <formula>$C38="Sales"</formula>
    </cfRule>
    <cfRule type="expression" dxfId="1766" priority="7676">
      <formula>$C38="Expences"</formula>
    </cfRule>
    <cfRule type="expression" dxfId="1765" priority="7677">
      <formula>$C38="Garlic Purchase"</formula>
    </cfRule>
    <cfRule type="expression" dxfId="1764" priority="7678">
      <formula>$C38="Ginger Purchase"</formula>
    </cfRule>
  </conditionalFormatting>
  <conditionalFormatting sqref="B38 B41 B44 B47:B49 B51:B65 B67 B69:B73 B75:B239">
    <cfRule type="expression" dxfId="1763" priority="7679">
      <formula>$C38="Advance"</formula>
    </cfRule>
  </conditionalFormatting>
  <conditionalFormatting sqref="B37 B39:B40 B42:B43">
    <cfRule type="expression" dxfId="9864" priority="7660">
      <formula>$C37="Delivery charge"</formula>
    </cfRule>
    <cfRule type="expression" dxfId="9863" priority="7661">
      <formula>$C37="Staff Salary"</formula>
    </cfRule>
    <cfRule type="expression" dxfId="9862" priority="7662">
      <formula>$C37="Rent"</formula>
    </cfRule>
    <cfRule type="expression" dxfId="9861" priority="7663">
      <formula>$C37="Petrol"</formula>
    </cfRule>
    <cfRule type="expression" dxfId="9860" priority="7664">
      <formula>$C37="Bills"</formula>
    </cfRule>
    <cfRule type="expression" dxfId="9859" priority="7665">
      <formula>$C37="Sales"</formula>
    </cfRule>
    <cfRule type="expression" dxfId="9858" priority="7666">
      <formula>$C37="Expences"</formula>
    </cfRule>
    <cfRule type="expression" dxfId="9857" priority="7667">
      <formula>$C37="Garlic Purchase"</formula>
    </cfRule>
    <cfRule type="expression" dxfId="9856" priority="7668">
      <formula>$C37="Ginger Purchase"</formula>
    </cfRule>
  </conditionalFormatting>
  <conditionalFormatting sqref="B37 B39:B40 B42:B43">
    <cfRule type="expression" dxfId="9855" priority="7669">
      <formula>$C37="Advance"</formula>
    </cfRule>
  </conditionalFormatting>
  <conditionalFormatting sqref="B37 B39:B40 B42:B43">
    <cfRule type="expression" dxfId="9854" priority="7650">
      <formula>$C37="Delivery charge"</formula>
    </cfRule>
    <cfRule type="expression" dxfId="9853" priority="7651">
      <formula>$C37="Staff Salary"</formula>
    </cfRule>
    <cfRule type="expression" dxfId="9852" priority="7652">
      <formula>$C37="Rent"</formula>
    </cfRule>
    <cfRule type="expression" dxfId="9851" priority="7653">
      <formula>$C37="Petrol"</formula>
    </cfRule>
    <cfRule type="expression" dxfId="9850" priority="7654">
      <formula>$C37="Bills"</formula>
    </cfRule>
    <cfRule type="expression" dxfId="9849" priority="7655">
      <formula>$C37="Sales"</formula>
    </cfRule>
    <cfRule type="expression" dxfId="9848" priority="7656">
      <formula>$C37="Expences"</formula>
    </cfRule>
    <cfRule type="expression" dxfId="9847" priority="7657">
      <formula>$C37="Garlic Purchase"</formula>
    </cfRule>
    <cfRule type="expression" dxfId="9846" priority="7658">
      <formula>$C37="Ginger Purchase"</formula>
    </cfRule>
  </conditionalFormatting>
  <conditionalFormatting sqref="B37 B39:B40 B42:B43">
    <cfRule type="expression" dxfId="9845" priority="7659">
      <formula>$C37="Advance"</formula>
    </cfRule>
  </conditionalFormatting>
  <conditionalFormatting sqref="B37 B39:B40 B42:B43">
    <cfRule type="expression" dxfId="9844" priority="7640">
      <formula>$C37="Delivery charge"</formula>
    </cfRule>
    <cfRule type="expression" dxfId="9843" priority="7641">
      <formula>$C37="Staff Salary"</formula>
    </cfRule>
    <cfRule type="expression" dxfId="9842" priority="7642">
      <formula>$C37="Rent"</formula>
    </cfRule>
    <cfRule type="expression" dxfId="9841" priority="7643">
      <formula>$C37="Petrol"</formula>
    </cfRule>
    <cfRule type="expression" dxfId="9840" priority="7644">
      <formula>$C37="Bills"</formula>
    </cfRule>
    <cfRule type="expression" dxfId="9839" priority="7645">
      <formula>$C37="Sales"</formula>
    </cfRule>
    <cfRule type="expression" dxfId="9838" priority="7646">
      <formula>$C37="Expences"</formula>
    </cfRule>
    <cfRule type="expression" dxfId="9837" priority="7647">
      <formula>$C37="Garlic Purchase"</formula>
    </cfRule>
    <cfRule type="expression" dxfId="9836" priority="7648">
      <formula>$C37="Ginger Purchase"</formula>
    </cfRule>
  </conditionalFormatting>
  <conditionalFormatting sqref="B37 B39:B40 B42:B43">
    <cfRule type="expression" dxfId="9835" priority="7649">
      <formula>$C37="Advance"</formula>
    </cfRule>
  </conditionalFormatting>
  <conditionalFormatting sqref="B37 B39:B40 B42:B43">
    <cfRule type="expression" dxfId="9834" priority="7630">
      <formula>$C37="Delivery charge"</formula>
    </cfRule>
    <cfRule type="expression" dxfId="9833" priority="7631">
      <formula>$C37="Staff Salary"</formula>
    </cfRule>
    <cfRule type="expression" dxfId="9832" priority="7632">
      <formula>$C37="Rent"</formula>
    </cfRule>
    <cfRule type="expression" dxfId="9831" priority="7633">
      <formula>$C37="Petrol"</formula>
    </cfRule>
    <cfRule type="expression" dxfId="9830" priority="7634">
      <formula>$C37="Bills"</formula>
    </cfRule>
    <cfRule type="expression" dxfId="9829" priority="7635">
      <formula>$C37="Sales"</formula>
    </cfRule>
    <cfRule type="expression" dxfId="9828" priority="7636">
      <formula>$C37="Expences"</formula>
    </cfRule>
    <cfRule type="expression" dxfId="9827" priority="7637">
      <formula>$C37="Garlic Purchase"</formula>
    </cfRule>
    <cfRule type="expression" dxfId="9826" priority="7638">
      <formula>$C37="Ginger Purchase"</formula>
    </cfRule>
  </conditionalFormatting>
  <conditionalFormatting sqref="B37 B39:B40 B42:B43">
    <cfRule type="expression" dxfId="9825" priority="7639">
      <formula>$C37="Advance"</formula>
    </cfRule>
  </conditionalFormatting>
  <conditionalFormatting sqref="B38 B41 B44 B47:B49 B51:B65 B67 B69:B73 B75:B239">
    <cfRule type="expression" dxfId="1762" priority="7620">
      <formula>$C38="Delivery charge"</formula>
    </cfRule>
    <cfRule type="expression" dxfId="1761" priority="7621">
      <formula>$C38="Staff Salary"</formula>
    </cfRule>
    <cfRule type="expression" dxfId="1760" priority="7622">
      <formula>$C38="Rent"</formula>
    </cfRule>
    <cfRule type="expression" dxfId="1759" priority="7623">
      <formula>$C38="Petrol"</formula>
    </cfRule>
    <cfRule type="expression" dxfId="1758" priority="7624">
      <formula>$C38="Bills"</formula>
    </cfRule>
    <cfRule type="expression" dxfId="1757" priority="7625">
      <formula>$C38="Sales"</formula>
    </cfRule>
    <cfRule type="expression" dxfId="1756" priority="7626">
      <formula>$C38="Expences"</formula>
    </cfRule>
    <cfRule type="expression" dxfId="1755" priority="7627">
      <formula>$C38="Garlic Purchase"</formula>
    </cfRule>
    <cfRule type="expression" dxfId="1754" priority="7628">
      <formula>$C38="Ginger Purchase"</formula>
    </cfRule>
  </conditionalFormatting>
  <conditionalFormatting sqref="B38 B41 B44 B47:B49 B51:B65 B67 B69:B73 B75:B239">
    <cfRule type="expression" dxfId="1753" priority="7629">
      <formula>$C38="Advance"</formula>
    </cfRule>
  </conditionalFormatting>
  <conditionalFormatting sqref="B37 B39:B40 B42:B43">
    <cfRule type="expression" dxfId="9824" priority="7610">
      <formula>$C37="Delivery charge"</formula>
    </cfRule>
    <cfRule type="expression" dxfId="9823" priority="7611">
      <formula>$C37="Staff Salary"</formula>
    </cfRule>
    <cfRule type="expression" dxfId="9822" priority="7612">
      <formula>$C37="Rent"</formula>
    </cfRule>
    <cfRule type="expression" dxfId="9821" priority="7613">
      <formula>$C37="Petrol"</formula>
    </cfRule>
    <cfRule type="expression" dxfId="9820" priority="7614">
      <formula>$C37="Bills"</formula>
    </cfRule>
    <cfRule type="expression" dxfId="9819" priority="7615">
      <formula>$C37="Sales"</formula>
    </cfRule>
    <cfRule type="expression" dxfId="9818" priority="7616">
      <formula>$C37="Expences"</formula>
    </cfRule>
    <cfRule type="expression" dxfId="9817" priority="7617">
      <formula>$C37="Garlic Purchase"</formula>
    </cfRule>
    <cfRule type="expression" dxfId="9816" priority="7618">
      <formula>$C37="Ginger Purchase"</formula>
    </cfRule>
  </conditionalFormatting>
  <conditionalFormatting sqref="B37 B39:B40 B42:B43">
    <cfRule type="expression" dxfId="9815" priority="7619">
      <formula>$C37="Advance"</formula>
    </cfRule>
  </conditionalFormatting>
  <conditionalFormatting sqref="B37 B39:B40 B42:B43">
    <cfRule type="expression" dxfId="9814" priority="7600">
      <formula>$C37="Delivery charge"</formula>
    </cfRule>
    <cfRule type="expression" dxfId="9813" priority="7601">
      <formula>$C37="Staff Salary"</formula>
    </cfRule>
    <cfRule type="expression" dxfId="9812" priority="7602">
      <formula>$C37="Rent"</formula>
    </cfRule>
    <cfRule type="expression" dxfId="9811" priority="7603">
      <formula>$C37="Petrol"</formula>
    </cfRule>
    <cfRule type="expression" dxfId="9810" priority="7604">
      <formula>$C37="Bills"</formula>
    </cfRule>
    <cfRule type="expression" dxfId="9809" priority="7605">
      <formula>$C37="Sales"</formula>
    </cfRule>
    <cfRule type="expression" dxfId="9808" priority="7606">
      <formula>$C37="Expences"</formula>
    </cfRule>
    <cfRule type="expression" dxfId="9807" priority="7607">
      <formula>$C37="Garlic Purchase"</formula>
    </cfRule>
    <cfRule type="expression" dxfId="9806" priority="7608">
      <formula>$C37="Ginger Purchase"</formula>
    </cfRule>
  </conditionalFormatting>
  <conditionalFormatting sqref="B37 B39:B40 B42:B43">
    <cfRule type="expression" dxfId="9805" priority="7609">
      <formula>$C37="Advance"</formula>
    </cfRule>
  </conditionalFormatting>
  <conditionalFormatting sqref="B37 B39:B40 B42:B43">
    <cfRule type="expression" dxfId="9804" priority="7590">
      <formula>$C37="Delivery charge"</formula>
    </cfRule>
    <cfRule type="expression" dxfId="9803" priority="7591">
      <formula>$C37="Staff Salary"</formula>
    </cfRule>
    <cfRule type="expression" dxfId="9802" priority="7592">
      <formula>$C37="Rent"</formula>
    </cfRule>
    <cfRule type="expression" dxfId="9801" priority="7593">
      <formula>$C37="Petrol"</formula>
    </cfRule>
    <cfRule type="expression" dxfId="9800" priority="7594">
      <formula>$C37="Bills"</formula>
    </cfRule>
    <cfRule type="expression" dxfId="9799" priority="7595">
      <formula>$C37="Sales"</formula>
    </cfRule>
    <cfRule type="expression" dxfId="9798" priority="7596">
      <formula>$C37="Expences"</formula>
    </cfRule>
    <cfRule type="expression" dxfId="9797" priority="7597">
      <formula>$C37="Garlic Purchase"</formula>
    </cfRule>
    <cfRule type="expression" dxfId="9796" priority="7598">
      <formula>$C37="Ginger Purchase"</formula>
    </cfRule>
  </conditionalFormatting>
  <conditionalFormatting sqref="B37 B39:B40 B42:B43">
    <cfRule type="expression" dxfId="9795" priority="7599">
      <formula>$C37="Advance"</formula>
    </cfRule>
  </conditionalFormatting>
  <conditionalFormatting sqref="B37 B39:B40 B42:B43">
    <cfRule type="expression" dxfId="9794" priority="7580">
      <formula>$C37="Delivery charge"</formula>
    </cfRule>
    <cfRule type="expression" dxfId="9793" priority="7581">
      <formula>$C37="Staff Salary"</formula>
    </cfRule>
    <cfRule type="expression" dxfId="9792" priority="7582">
      <formula>$C37="Rent"</formula>
    </cfRule>
    <cfRule type="expression" dxfId="9791" priority="7583">
      <formula>$C37="Petrol"</formula>
    </cfRule>
    <cfRule type="expression" dxfId="9790" priority="7584">
      <formula>$C37="Bills"</formula>
    </cfRule>
    <cfRule type="expression" dxfId="9789" priority="7585">
      <formula>$C37="Sales"</formula>
    </cfRule>
    <cfRule type="expression" dxfId="9788" priority="7586">
      <formula>$C37="Expences"</formula>
    </cfRule>
    <cfRule type="expression" dxfId="9787" priority="7587">
      <formula>$C37="Garlic Purchase"</formula>
    </cfRule>
    <cfRule type="expression" dxfId="9786" priority="7588">
      <formula>$C37="Ginger Purchase"</formula>
    </cfRule>
  </conditionalFormatting>
  <conditionalFormatting sqref="B37 B39:B40 B42:B43">
    <cfRule type="expression" dxfId="9785" priority="7589">
      <formula>$C37="Advance"</formula>
    </cfRule>
  </conditionalFormatting>
  <conditionalFormatting sqref="B37 B39:B40 B42:B43">
    <cfRule type="expression" dxfId="9784" priority="7570">
      <formula>$C37="Delivery charge"</formula>
    </cfRule>
    <cfRule type="expression" dxfId="9783" priority="7571">
      <formula>$C37="Staff Salary"</formula>
    </cfRule>
    <cfRule type="expression" dxfId="9782" priority="7572">
      <formula>$C37="Rent"</formula>
    </cfRule>
    <cfRule type="expression" dxfId="9781" priority="7573">
      <formula>$C37="Petrol"</formula>
    </cfRule>
    <cfRule type="expression" dxfId="9780" priority="7574">
      <formula>$C37="Bills"</formula>
    </cfRule>
    <cfRule type="expression" dxfId="9779" priority="7575">
      <formula>$C37="Sales"</formula>
    </cfRule>
    <cfRule type="expression" dxfId="9778" priority="7576">
      <formula>$C37="Expences"</formula>
    </cfRule>
    <cfRule type="expression" dxfId="9777" priority="7577">
      <formula>$C37="Garlic Purchase"</formula>
    </cfRule>
    <cfRule type="expression" dxfId="9776" priority="7578">
      <formula>$C37="Ginger Purchase"</formula>
    </cfRule>
  </conditionalFormatting>
  <conditionalFormatting sqref="B37 B39:B40 B42:B43">
    <cfRule type="expression" dxfId="9775" priority="7579">
      <formula>$C37="Advance"</formula>
    </cfRule>
  </conditionalFormatting>
  <conditionalFormatting sqref="B38 B41 B44 B47:B49 B51:B65 B67 B69:B73 B75:B239">
    <cfRule type="expression" dxfId="1752" priority="7560">
      <formula>$C38="Delivery charge"</formula>
    </cfRule>
    <cfRule type="expression" dxfId="1751" priority="7561">
      <formula>$C38="Staff Salary"</formula>
    </cfRule>
    <cfRule type="expression" dxfId="1750" priority="7562">
      <formula>$C38="Rent"</formula>
    </cfRule>
    <cfRule type="expression" dxfId="1749" priority="7563">
      <formula>$C38="Petrol"</formula>
    </cfRule>
    <cfRule type="expression" dxfId="1748" priority="7564">
      <formula>$C38="Bills"</formula>
    </cfRule>
    <cfRule type="expression" dxfId="1747" priority="7565">
      <formula>$C38="Sales"</formula>
    </cfRule>
    <cfRule type="expression" dxfId="1746" priority="7566">
      <formula>$C38="Expences"</formula>
    </cfRule>
    <cfRule type="expression" dxfId="1745" priority="7567">
      <formula>$C38="Garlic Purchase"</formula>
    </cfRule>
    <cfRule type="expression" dxfId="1744" priority="7568">
      <formula>$C38="Ginger Purchase"</formula>
    </cfRule>
  </conditionalFormatting>
  <conditionalFormatting sqref="B38 B41 B44 B47:B49 B51:B65 B67 B69:B73 B75:B239">
    <cfRule type="expression" dxfId="1743" priority="7569">
      <formula>$C38="Advance"</formula>
    </cfRule>
  </conditionalFormatting>
  <conditionalFormatting sqref="B38 B41 B44 B47:B49 B51:B65 B67 B69:B73 B75:B239">
    <cfRule type="expression" dxfId="1742" priority="7550">
      <formula>$C38="Delivery charge"</formula>
    </cfRule>
    <cfRule type="expression" dxfId="1741" priority="7551">
      <formula>$C38="Staff Salary"</formula>
    </cfRule>
    <cfRule type="expression" dxfId="1740" priority="7552">
      <formula>$C38="Rent"</formula>
    </cfRule>
    <cfRule type="expression" dxfId="1739" priority="7553">
      <formula>$C38="Petrol"</formula>
    </cfRule>
    <cfRule type="expression" dxfId="1738" priority="7554">
      <formula>$C38="Bills"</formula>
    </cfRule>
    <cfRule type="expression" dxfId="1737" priority="7555">
      <formula>$C38="Sales"</formula>
    </cfRule>
    <cfRule type="expression" dxfId="1736" priority="7556">
      <formula>$C38="Expences"</formula>
    </cfRule>
    <cfRule type="expression" dxfId="1735" priority="7557">
      <formula>$C38="Garlic Purchase"</formula>
    </cfRule>
    <cfRule type="expression" dxfId="1734" priority="7558">
      <formula>$C38="Ginger Purchase"</formula>
    </cfRule>
  </conditionalFormatting>
  <conditionalFormatting sqref="B38 B41 B44 B47:B49 B51:B65 B67 B69:B73 B75:B239">
    <cfRule type="expression" dxfId="1733" priority="7559">
      <formula>$C38="Advance"</formula>
    </cfRule>
  </conditionalFormatting>
  <conditionalFormatting sqref="B38 B41 B44 B47:B49 B51:B65 B67 B69:B73 B75:B239">
    <cfRule type="expression" dxfId="1732" priority="7540">
      <formula>$C38="Delivery charge"</formula>
    </cfRule>
    <cfRule type="expression" dxfId="1731" priority="7541">
      <formula>$C38="Staff Salary"</formula>
    </cfRule>
    <cfRule type="expression" dxfId="1730" priority="7542">
      <formula>$C38="Rent"</formula>
    </cfRule>
    <cfRule type="expression" dxfId="1729" priority="7543">
      <formula>$C38="Petrol"</formula>
    </cfRule>
    <cfRule type="expression" dxfId="1728" priority="7544">
      <formula>$C38="Bills"</formula>
    </cfRule>
    <cfRule type="expression" dxfId="1727" priority="7545">
      <formula>$C38="Sales"</formula>
    </cfRule>
    <cfRule type="expression" dxfId="1726" priority="7546">
      <formula>$C38="Expences"</formula>
    </cfRule>
    <cfRule type="expression" dxfId="1725" priority="7547">
      <formula>$C38="Garlic Purchase"</formula>
    </cfRule>
    <cfRule type="expression" dxfId="1724" priority="7548">
      <formula>$C38="Ginger Purchase"</formula>
    </cfRule>
  </conditionalFormatting>
  <conditionalFormatting sqref="B38 B41 B44 B47:B49 B51:B65 B67 B69:B73 B75:B239">
    <cfRule type="expression" dxfId="1723" priority="7549">
      <formula>$C38="Advance"</formula>
    </cfRule>
  </conditionalFormatting>
  <conditionalFormatting sqref="B38 B41 B44 B47:B49 B51:B65 B67 B69:B73 B75:B239">
    <cfRule type="expression" dxfId="1722" priority="7530">
      <formula>$C38="Delivery charge"</formula>
    </cfRule>
    <cfRule type="expression" dxfId="1721" priority="7531">
      <formula>$C38="Staff Salary"</formula>
    </cfRule>
    <cfRule type="expression" dxfId="1720" priority="7532">
      <formula>$C38="Rent"</formula>
    </cfRule>
    <cfRule type="expression" dxfId="1719" priority="7533">
      <formula>$C38="Petrol"</formula>
    </cfRule>
    <cfRule type="expression" dxfId="1718" priority="7534">
      <formula>$C38="Bills"</formula>
    </cfRule>
    <cfRule type="expression" dxfId="1717" priority="7535">
      <formula>$C38="Sales"</formula>
    </cfRule>
    <cfRule type="expression" dxfId="1716" priority="7536">
      <formula>$C38="Expences"</formula>
    </cfRule>
    <cfRule type="expression" dxfId="1715" priority="7537">
      <formula>$C38="Garlic Purchase"</formula>
    </cfRule>
    <cfRule type="expression" dxfId="1714" priority="7538">
      <formula>$C38="Ginger Purchase"</formula>
    </cfRule>
  </conditionalFormatting>
  <conditionalFormatting sqref="B38 B41 B44 B47:B49 B51:B65 B67 B69:B73 B75:B239">
    <cfRule type="expression" dxfId="1713" priority="7539">
      <formula>$C38="Advance"</formula>
    </cfRule>
  </conditionalFormatting>
  <conditionalFormatting sqref="B38 B41 B44 B47:B49 B51:B65 B67 B69:B73 B75:B239">
    <cfRule type="expression" dxfId="1712" priority="7520">
      <formula>$C38="Delivery charge"</formula>
    </cfRule>
    <cfRule type="expression" dxfId="1711" priority="7521">
      <formula>$C38="Staff Salary"</formula>
    </cfRule>
    <cfRule type="expression" dxfId="1710" priority="7522">
      <formula>$C38="Rent"</formula>
    </cfRule>
    <cfRule type="expression" dxfId="1709" priority="7523">
      <formula>$C38="Petrol"</formula>
    </cfRule>
    <cfRule type="expression" dxfId="1708" priority="7524">
      <formula>$C38="Bills"</formula>
    </cfRule>
    <cfRule type="expression" dxfId="1707" priority="7525">
      <formula>$C38="Sales"</formula>
    </cfRule>
    <cfRule type="expression" dxfId="1706" priority="7526">
      <formula>$C38="Expences"</formula>
    </cfRule>
    <cfRule type="expression" dxfId="1705" priority="7527">
      <formula>$C38="Garlic Purchase"</formula>
    </cfRule>
    <cfRule type="expression" dxfId="1704" priority="7528">
      <formula>$C38="Ginger Purchase"</formula>
    </cfRule>
  </conditionalFormatting>
  <conditionalFormatting sqref="B38 B41 B44 B47:B49 B51:B65 B67 B69:B73 B75:B239">
    <cfRule type="expression" dxfId="1703" priority="7529">
      <formula>$C38="Advance"</formula>
    </cfRule>
  </conditionalFormatting>
  <conditionalFormatting sqref="B37 B39:B40 B42:B43">
    <cfRule type="expression" dxfId="9774" priority="7510">
      <formula>$C37="Delivery charge"</formula>
    </cfRule>
    <cfRule type="expression" dxfId="9773" priority="7511">
      <formula>$C37="Staff Salary"</formula>
    </cfRule>
    <cfRule type="expression" dxfId="9772" priority="7512">
      <formula>$C37="Rent"</formula>
    </cfRule>
    <cfRule type="expression" dxfId="9771" priority="7513">
      <formula>$C37="Petrol"</formula>
    </cfRule>
    <cfRule type="expression" dxfId="9770" priority="7514">
      <formula>$C37="Bills"</formula>
    </cfRule>
    <cfRule type="expression" dxfId="9769" priority="7515">
      <formula>$C37="Sales"</formula>
    </cfRule>
    <cfRule type="expression" dxfId="9768" priority="7516">
      <formula>$C37="Expences"</formula>
    </cfRule>
    <cfRule type="expression" dxfId="9767" priority="7517">
      <formula>$C37="Garlic Purchase"</formula>
    </cfRule>
    <cfRule type="expression" dxfId="9766" priority="7518">
      <formula>$C37="Ginger Purchase"</formula>
    </cfRule>
  </conditionalFormatting>
  <conditionalFormatting sqref="B37 B39:B40 B42:B43">
    <cfRule type="expression" dxfId="9765" priority="7519">
      <formula>$C37="Advance"</formula>
    </cfRule>
  </conditionalFormatting>
  <conditionalFormatting sqref="B38 B41 B44 B47:B49 B51:B65 B67 B69:B73 B75:B239">
    <cfRule type="expression" dxfId="1702" priority="7500">
      <formula>$C38="Delivery charge"</formula>
    </cfRule>
    <cfRule type="expression" dxfId="1701" priority="7501">
      <formula>$C38="Staff Salary"</formula>
    </cfRule>
    <cfRule type="expression" dxfId="1700" priority="7502">
      <formula>$C38="Rent"</formula>
    </cfRule>
    <cfRule type="expression" dxfId="1699" priority="7503">
      <formula>$C38="Petrol"</formula>
    </cfRule>
    <cfRule type="expression" dxfId="1698" priority="7504">
      <formula>$C38="Bills"</formula>
    </cfRule>
    <cfRule type="expression" dxfId="1697" priority="7505">
      <formula>$C38="Sales"</formula>
    </cfRule>
    <cfRule type="expression" dxfId="1696" priority="7506">
      <formula>$C38="Expences"</formula>
    </cfRule>
    <cfRule type="expression" dxfId="1695" priority="7507">
      <formula>$C38="Garlic Purchase"</formula>
    </cfRule>
    <cfRule type="expression" dxfId="1694" priority="7508">
      <formula>$C38="Ginger Purchase"</formula>
    </cfRule>
  </conditionalFormatting>
  <conditionalFormatting sqref="B38 B41 B44 B47:B49 B51:B65 B67 B69:B73 B75:B239">
    <cfRule type="expression" dxfId="1693" priority="7509">
      <formula>$C38="Advance"</formula>
    </cfRule>
  </conditionalFormatting>
  <conditionalFormatting sqref="B38 B41 B44 B47:B49 B51:B65 B67 B69:B73 B75:B239">
    <cfRule type="expression" dxfId="1692" priority="7490">
      <formula>$C38="Delivery charge"</formula>
    </cfRule>
    <cfRule type="expression" dxfId="1691" priority="7491">
      <formula>$C38="Staff Salary"</formula>
    </cfRule>
    <cfRule type="expression" dxfId="1690" priority="7492">
      <formula>$C38="Rent"</formula>
    </cfRule>
    <cfRule type="expression" dxfId="1689" priority="7493">
      <formula>$C38="Petrol"</formula>
    </cfRule>
    <cfRule type="expression" dxfId="1688" priority="7494">
      <formula>$C38="Bills"</formula>
    </cfRule>
    <cfRule type="expression" dxfId="1687" priority="7495">
      <formula>$C38="Sales"</formula>
    </cfRule>
    <cfRule type="expression" dxfId="1686" priority="7496">
      <formula>$C38="Expences"</formula>
    </cfRule>
    <cfRule type="expression" dxfId="1685" priority="7497">
      <formula>$C38="Garlic Purchase"</formula>
    </cfRule>
    <cfRule type="expression" dxfId="1684" priority="7498">
      <formula>$C38="Ginger Purchase"</formula>
    </cfRule>
  </conditionalFormatting>
  <conditionalFormatting sqref="B38 B41 B44 B47:B49 B51:B65 B67 B69:B73 B75:B239">
    <cfRule type="expression" dxfId="1683" priority="7499">
      <formula>$C38="Advance"</formula>
    </cfRule>
  </conditionalFormatting>
  <conditionalFormatting sqref="B38 B41 B44 B47:B49 B51:B65 B67 B69:B73 B75:B239">
    <cfRule type="expression" dxfId="1682" priority="7480">
      <formula>$C38="Delivery charge"</formula>
    </cfRule>
    <cfRule type="expression" dxfId="1681" priority="7481">
      <formula>$C38="Staff Salary"</formula>
    </cfRule>
    <cfRule type="expression" dxfId="1680" priority="7482">
      <formula>$C38="Rent"</formula>
    </cfRule>
    <cfRule type="expression" dxfId="1679" priority="7483">
      <formula>$C38="Petrol"</formula>
    </cfRule>
    <cfRule type="expression" dxfId="1678" priority="7484">
      <formula>$C38="Bills"</formula>
    </cfRule>
    <cfRule type="expression" dxfId="1677" priority="7485">
      <formula>$C38="Sales"</formula>
    </cfRule>
    <cfRule type="expression" dxfId="1676" priority="7486">
      <formula>$C38="Expences"</formula>
    </cfRule>
    <cfRule type="expression" dxfId="1675" priority="7487">
      <formula>$C38="Garlic Purchase"</formula>
    </cfRule>
    <cfRule type="expression" dxfId="1674" priority="7488">
      <formula>$C38="Ginger Purchase"</formula>
    </cfRule>
  </conditionalFormatting>
  <conditionalFormatting sqref="B38 B41 B44 B47:B49 B51:B65 B67 B69:B73 B75:B239">
    <cfRule type="expression" dxfId="1673" priority="7489">
      <formula>$C38="Advance"</formula>
    </cfRule>
  </conditionalFormatting>
  <conditionalFormatting sqref="B38 B41 B44 B47:B49 B51:B65 B67 B69:B73 B75:B239">
    <cfRule type="expression" dxfId="1672" priority="7470">
      <formula>$C38="Delivery charge"</formula>
    </cfRule>
    <cfRule type="expression" dxfId="1671" priority="7471">
      <formula>$C38="Staff Salary"</formula>
    </cfRule>
    <cfRule type="expression" dxfId="1670" priority="7472">
      <formula>$C38="Rent"</formula>
    </cfRule>
    <cfRule type="expression" dxfId="1669" priority="7473">
      <formula>$C38="Petrol"</formula>
    </cfRule>
    <cfRule type="expression" dxfId="1668" priority="7474">
      <formula>$C38="Bills"</formula>
    </cfRule>
    <cfRule type="expression" dxfId="1667" priority="7475">
      <formula>$C38="Sales"</formula>
    </cfRule>
    <cfRule type="expression" dxfId="1666" priority="7476">
      <formula>$C38="Expences"</formula>
    </cfRule>
    <cfRule type="expression" dxfId="1665" priority="7477">
      <formula>$C38="Garlic Purchase"</formula>
    </cfRule>
    <cfRule type="expression" dxfId="1664" priority="7478">
      <formula>$C38="Ginger Purchase"</formula>
    </cfRule>
  </conditionalFormatting>
  <conditionalFormatting sqref="B38 B41 B44 B47:B49 B51:B65 B67 B69:B73 B75:B239">
    <cfRule type="expression" dxfId="1663" priority="7479">
      <formula>$C38="Advance"</formula>
    </cfRule>
  </conditionalFormatting>
  <conditionalFormatting sqref="B38 B41 B44 B47:B49 B51:B65 B67 B69:B73 B75:B239">
    <cfRule type="expression" dxfId="1662" priority="7460">
      <formula>$C38="Delivery charge"</formula>
    </cfRule>
    <cfRule type="expression" dxfId="1661" priority="7461">
      <formula>$C38="Staff Salary"</formula>
    </cfRule>
    <cfRule type="expression" dxfId="1660" priority="7462">
      <formula>$C38="Rent"</formula>
    </cfRule>
    <cfRule type="expression" dxfId="1659" priority="7463">
      <formula>$C38="Petrol"</formula>
    </cfRule>
    <cfRule type="expression" dxfId="1658" priority="7464">
      <formula>$C38="Bills"</formula>
    </cfRule>
    <cfRule type="expression" dxfId="1657" priority="7465">
      <formula>$C38="Sales"</formula>
    </cfRule>
    <cfRule type="expression" dxfId="1656" priority="7466">
      <formula>$C38="Expences"</formula>
    </cfRule>
    <cfRule type="expression" dxfId="1655" priority="7467">
      <formula>$C38="Garlic Purchase"</formula>
    </cfRule>
    <cfRule type="expression" dxfId="1654" priority="7468">
      <formula>$C38="Ginger Purchase"</formula>
    </cfRule>
  </conditionalFormatting>
  <conditionalFormatting sqref="B38 B41 B44 B47:B49 B51:B65 B67 B69:B73 B75:B239">
    <cfRule type="expression" dxfId="1653" priority="7469">
      <formula>$C38="Advance"</formula>
    </cfRule>
  </conditionalFormatting>
  <conditionalFormatting sqref="B38 B41 B44 B47:B49 B51:B65 B67 B69:B73 B75:B239">
    <cfRule type="expression" dxfId="1652" priority="7450">
      <formula>$C38="Delivery charge"</formula>
    </cfRule>
    <cfRule type="expression" dxfId="1651" priority="7451">
      <formula>$C38="Staff Salary"</formula>
    </cfRule>
    <cfRule type="expression" dxfId="1650" priority="7452">
      <formula>$C38="Rent"</formula>
    </cfRule>
    <cfRule type="expression" dxfId="1649" priority="7453">
      <formula>$C38="Petrol"</formula>
    </cfRule>
    <cfRule type="expression" dxfId="1648" priority="7454">
      <formula>$C38="Bills"</formula>
    </cfRule>
    <cfRule type="expression" dxfId="1647" priority="7455">
      <formula>$C38="Sales"</formula>
    </cfRule>
    <cfRule type="expression" dxfId="1646" priority="7456">
      <formula>$C38="Expences"</formula>
    </cfRule>
    <cfRule type="expression" dxfId="1645" priority="7457">
      <formula>$C38="Garlic Purchase"</formula>
    </cfRule>
    <cfRule type="expression" dxfId="1644" priority="7458">
      <formula>$C38="Ginger Purchase"</formula>
    </cfRule>
  </conditionalFormatting>
  <conditionalFormatting sqref="B38 B41 B44 B47:B49 B51:B65 B67 B69:B73 B75:B239">
    <cfRule type="expression" dxfId="1643" priority="7459">
      <formula>$C38="Advance"</formula>
    </cfRule>
  </conditionalFormatting>
  <conditionalFormatting sqref="B38 B41 B44 B47:B49 B51:B65 B67 B69:B73 B75:B239">
    <cfRule type="expression" dxfId="1642" priority="7440">
      <formula>$C38="Delivery charge"</formula>
    </cfRule>
    <cfRule type="expression" dxfId="1641" priority="7441">
      <formula>$C38="Staff Salary"</formula>
    </cfRule>
    <cfRule type="expression" dxfId="1640" priority="7442">
      <formula>$C38="Rent"</formula>
    </cfRule>
    <cfRule type="expression" dxfId="1639" priority="7443">
      <formula>$C38="Petrol"</formula>
    </cfRule>
    <cfRule type="expression" dxfId="1638" priority="7444">
      <formula>$C38="Bills"</formula>
    </cfRule>
    <cfRule type="expression" dxfId="1637" priority="7445">
      <formula>$C38="Sales"</formula>
    </cfRule>
    <cfRule type="expression" dxfId="1636" priority="7446">
      <formula>$C38="Expences"</formula>
    </cfRule>
    <cfRule type="expression" dxfId="1635" priority="7447">
      <formula>$C38="Garlic Purchase"</formula>
    </cfRule>
    <cfRule type="expression" dxfId="1634" priority="7448">
      <formula>$C38="Ginger Purchase"</formula>
    </cfRule>
  </conditionalFormatting>
  <conditionalFormatting sqref="B38 B41 B44 B47:B49 B51:B65 B67 B69:B73 B75:B239">
    <cfRule type="expression" dxfId="1633" priority="7449">
      <formula>$C38="Advance"</formula>
    </cfRule>
  </conditionalFormatting>
  <conditionalFormatting sqref="B38 B41 B44 B47:B49 B51:B65 B67 B69:B73 B75:B239">
    <cfRule type="expression" dxfId="1632" priority="7430">
      <formula>$C38="Delivery charge"</formula>
    </cfRule>
    <cfRule type="expression" dxfId="1631" priority="7431">
      <formula>$C38="Staff Salary"</formula>
    </cfRule>
    <cfRule type="expression" dxfId="1630" priority="7432">
      <formula>$C38="Rent"</formula>
    </cfRule>
    <cfRule type="expression" dxfId="1629" priority="7433">
      <formula>$C38="Petrol"</formula>
    </cfRule>
    <cfRule type="expression" dxfId="1628" priority="7434">
      <formula>$C38="Bills"</formula>
    </cfRule>
    <cfRule type="expression" dxfId="1627" priority="7435">
      <formula>$C38="Sales"</formula>
    </cfRule>
    <cfRule type="expression" dxfId="1626" priority="7436">
      <formula>$C38="Expences"</formula>
    </cfRule>
    <cfRule type="expression" dxfId="1625" priority="7437">
      <formula>$C38="Garlic Purchase"</formula>
    </cfRule>
    <cfRule type="expression" dxfId="1624" priority="7438">
      <formula>$C38="Ginger Purchase"</formula>
    </cfRule>
  </conditionalFormatting>
  <conditionalFormatting sqref="B38 B41 B44 B47:B49 B51:B65 B67 B69:B73 B75:B239">
    <cfRule type="expression" dxfId="1623" priority="7439">
      <formula>$C38="Advance"</formula>
    </cfRule>
  </conditionalFormatting>
  <conditionalFormatting sqref="B38 B41 B44 B47:B49 B51:B65 B67 B69:B73 B75:B239">
    <cfRule type="expression" dxfId="1622" priority="7420">
      <formula>$C38="Delivery charge"</formula>
    </cfRule>
    <cfRule type="expression" dxfId="1621" priority="7421">
      <formula>$C38="Staff Salary"</formula>
    </cfRule>
    <cfRule type="expression" dxfId="1620" priority="7422">
      <formula>$C38="Rent"</formula>
    </cfRule>
    <cfRule type="expression" dxfId="1619" priority="7423">
      <formula>$C38="Petrol"</formula>
    </cfRule>
    <cfRule type="expression" dxfId="1618" priority="7424">
      <formula>$C38="Bills"</formula>
    </cfRule>
    <cfRule type="expression" dxfId="1617" priority="7425">
      <formula>$C38="Sales"</formula>
    </cfRule>
    <cfRule type="expression" dxfId="1616" priority="7426">
      <formula>$C38="Expences"</formula>
    </cfRule>
    <cfRule type="expression" dxfId="1615" priority="7427">
      <formula>$C38="Garlic Purchase"</formula>
    </cfRule>
    <cfRule type="expression" dxfId="1614" priority="7428">
      <formula>$C38="Ginger Purchase"</formula>
    </cfRule>
  </conditionalFormatting>
  <conditionalFormatting sqref="B38 B41 B44 B47:B49 B51:B65 B67 B69:B73 B75:B239">
    <cfRule type="expression" dxfId="1613" priority="7429">
      <formula>$C38="Advance"</formula>
    </cfRule>
  </conditionalFormatting>
  <conditionalFormatting sqref="B39 B42 B45 B48:B49 B53 B57 B61">
    <cfRule type="expression" dxfId="9764" priority="7410">
      <formula>$C39="Delivery charge"</formula>
    </cfRule>
    <cfRule type="expression" dxfId="9763" priority="7411">
      <formula>$C39="Staff Salary"</formula>
    </cfRule>
    <cfRule type="expression" dxfId="9762" priority="7412">
      <formula>$C39="Rent"</formula>
    </cfRule>
    <cfRule type="expression" dxfId="9761" priority="7413">
      <formula>$C39="Petrol"</formula>
    </cfRule>
    <cfRule type="expression" dxfId="9760" priority="7414">
      <formula>$C39="Bills"</formula>
    </cfRule>
    <cfRule type="expression" dxfId="9759" priority="7415">
      <formula>$C39="Sales"</formula>
    </cfRule>
    <cfRule type="expression" dxfId="9758" priority="7416">
      <formula>$C39="Expences"</formula>
    </cfRule>
    <cfRule type="expression" dxfId="9757" priority="7417">
      <formula>$C39="Garlic Purchase"</formula>
    </cfRule>
    <cfRule type="expression" dxfId="9756" priority="7418">
      <formula>$C39="Ginger Purchase"</formula>
    </cfRule>
  </conditionalFormatting>
  <conditionalFormatting sqref="B39 B42 B45 B48:B49 B53 B57 B61">
    <cfRule type="expression" dxfId="9755" priority="7419">
      <formula>$C39="Advance"</formula>
    </cfRule>
  </conditionalFormatting>
  <conditionalFormatting sqref="B39 B42 B45 B48:B49 B53 B57 B61">
    <cfRule type="expression" dxfId="9754" priority="7400">
      <formula>$C39="Delivery charge"</formula>
    </cfRule>
    <cfRule type="expression" dxfId="9753" priority="7401">
      <formula>$C39="Staff Salary"</formula>
    </cfRule>
    <cfRule type="expression" dxfId="9752" priority="7402">
      <formula>$C39="Rent"</formula>
    </cfRule>
    <cfRule type="expression" dxfId="9751" priority="7403">
      <formula>$C39="Petrol"</formula>
    </cfRule>
    <cfRule type="expression" dxfId="9750" priority="7404">
      <formula>$C39="Bills"</formula>
    </cfRule>
    <cfRule type="expression" dxfId="9749" priority="7405">
      <formula>$C39="Sales"</formula>
    </cfRule>
    <cfRule type="expression" dxfId="9748" priority="7406">
      <formula>$C39="Expences"</formula>
    </cfRule>
    <cfRule type="expression" dxfId="9747" priority="7407">
      <formula>$C39="Garlic Purchase"</formula>
    </cfRule>
    <cfRule type="expression" dxfId="9746" priority="7408">
      <formula>$C39="Ginger Purchase"</formula>
    </cfRule>
  </conditionalFormatting>
  <conditionalFormatting sqref="B39 B42 B45 B48:B49 B53 B57 B61">
    <cfRule type="expression" dxfId="9745" priority="7409">
      <formula>$C39="Advance"</formula>
    </cfRule>
  </conditionalFormatting>
  <conditionalFormatting sqref="B39 B42 B45 B48:B49 B53 B57 B61">
    <cfRule type="expression" dxfId="9744" priority="7390">
      <formula>$C39="Delivery charge"</formula>
    </cfRule>
    <cfRule type="expression" dxfId="9743" priority="7391">
      <formula>$C39="Staff Salary"</formula>
    </cfRule>
    <cfRule type="expression" dxfId="9742" priority="7392">
      <formula>$C39="Rent"</formula>
    </cfRule>
    <cfRule type="expression" dxfId="9741" priority="7393">
      <formula>$C39="Petrol"</formula>
    </cfRule>
    <cfRule type="expression" dxfId="9740" priority="7394">
      <formula>$C39="Bills"</formula>
    </cfRule>
    <cfRule type="expression" dxfId="9739" priority="7395">
      <formula>$C39="Sales"</formula>
    </cfRule>
    <cfRule type="expression" dxfId="9738" priority="7396">
      <formula>$C39="Expences"</formula>
    </cfRule>
    <cfRule type="expression" dxfId="9737" priority="7397">
      <formula>$C39="Garlic Purchase"</formula>
    </cfRule>
    <cfRule type="expression" dxfId="9736" priority="7398">
      <formula>$C39="Ginger Purchase"</formula>
    </cfRule>
  </conditionalFormatting>
  <conditionalFormatting sqref="B39 B42 B45 B48:B49 B53 B57 B61">
    <cfRule type="expression" dxfId="9735" priority="7399">
      <formula>$C39="Advance"</formula>
    </cfRule>
  </conditionalFormatting>
  <conditionalFormatting sqref="B39 B42 B45 B48:B49 B53 B57 B61">
    <cfRule type="expression" dxfId="9734" priority="7380">
      <formula>$C39="Delivery charge"</formula>
    </cfRule>
    <cfRule type="expression" dxfId="9733" priority="7381">
      <formula>$C39="Staff Salary"</formula>
    </cfRule>
    <cfRule type="expression" dxfId="9732" priority="7382">
      <formula>$C39="Rent"</formula>
    </cfRule>
    <cfRule type="expression" dxfId="9731" priority="7383">
      <formula>$C39="Petrol"</formula>
    </cfRule>
    <cfRule type="expression" dxfId="9730" priority="7384">
      <formula>$C39="Bills"</formula>
    </cfRule>
    <cfRule type="expression" dxfId="9729" priority="7385">
      <formula>$C39="Sales"</formula>
    </cfRule>
    <cfRule type="expression" dxfId="9728" priority="7386">
      <formula>$C39="Expences"</formula>
    </cfRule>
    <cfRule type="expression" dxfId="9727" priority="7387">
      <formula>$C39="Garlic Purchase"</formula>
    </cfRule>
    <cfRule type="expression" dxfId="9726" priority="7388">
      <formula>$C39="Ginger Purchase"</formula>
    </cfRule>
  </conditionalFormatting>
  <conditionalFormatting sqref="B39 B42 B45 B48:B49 B53 B57 B61">
    <cfRule type="expression" dxfId="9725" priority="7389">
      <formula>$C39="Advance"</formula>
    </cfRule>
  </conditionalFormatting>
  <conditionalFormatting sqref="B39 B42 B45 B48:B49 B53 B57 B61">
    <cfRule type="expression" dxfId="9724" priority="7370">
      <formula>$C39="Delivery charge"</formula>
    </cfRule>
    <cfRule type="expression" dxfId="9723" priority="7371">
      <formula>$C39="Staff Salary"</formula>
    </cfRule>
    <cfRule type="expression" dxfId="9722" priority="7372">
      <formula>$C39="Rent"</formula>
    </cfRule>
    <cfRule type="expression" dxfId="9721" priority="7373">
      <formula>$C39="Petrol"</formula>
    </cfRule>
    <cfRule type="expression" dxfId="9720" priority="7374">
      <formula>$C39="Bills"</formula>
    </cfRule>
    <cfRule type="expression" dxfId="9719" priority="7375">
      <formula>$C39="Sales"</formula>
    </cfRule>
    <cfRule type="expression" dxfId="9718" priority="7376">
      <formula>$C39="Expences"</formula>
    </cfRule>
    <cfRule type="expression" dxfId="9717" priority="7377">
      <formula>$C39="Garlic Purchase"</formula>
    </cfRule>
    <cfRule type="expression" dxfId="9716" priority="7378">
      <formula>$C39="Ginger Purchase"</formula>
    </cfRule>
  </conditionalFormatting>
  <conditionalFormatting sqref="B39 B42 B45 B48:B49 B53 B57 B61">
    <cfRule type="expression" dxfId="9715" priority="7379">
      <formula>$C39="Advance"</formula>
    </cfRule>
  </conditionalFormatting>
  <conditionalFormatting sqref="B39 B42 B45 B48:B49 B53 B57 B61">
    <cfRule type="expression" dxfId="9714" priority="7360">
      <formula>$C39="Delivery charge"</formula>
    </cfRule>
    <cfRule type="expression" dxfId="9713" priority="7361">
      <formula>$C39="Staff Salary"</formula>
    </cfRule>
    <cfRule type="expression" dxfId="9712" priority="7362">
      <formula>$C39="Rent"</formula>
    </cfRule>
    <cfRule type="expression" dxfId="9711" priority="7363">
      <formula>$C39="Petrol"</formula>
    </cfRule>
    <cfRule type="expression" dxfId="9710" priority="7364">
      <formula>$C39="Bills"</formula>
    </cfRule>
    <cfRule type="expression" dxfId="9709" priority="7365">
      <formula>$C39="Sales"</formula>
    </cfRule>
    <cfRule type="expression" dxfId="9708" priority="7366">
      <formula>$C39="Expences"</formula>
    </cfRule>
    <cfRule type="expression" dxfId="9707" priority="7367">
      <formula>$C39="Garlic Purchase"</formula>
    </cfRule>
    <cfRule type="expression" dxfId="9706" priority="7368">
      <formula>$C39="Ginger Purchase"</formula>
    </cfRule>
  </conditionalFormatting>
  <conditionalFormatting sqref="B39 B42 B45 B48:B49 B53 B57 B61">
    <cfRule type="expression" dxfId="9705" priority="7369">
      <formula>$C39="Advance"</formula>
    </cfRule>
  </conditionalFormatting>
  <conditionalFormatting sqref="B39 B42 B45 B48:B49 B53 B57 B61">
    <cfRule type="expression" dxfId="9704" priority="7350">
      <formula>$C39="Delivery charge"</formula>
    </cfRule>
    <cfRule type="expression" dxfId="9703" priority="7351">
      <formula>$C39="Staff Salary"</formula>
    </cfRule>
    <cfRule type="expression" dxfId="9702" priority="7352">
      <formula>$C39="Rent"</formula>
    </cfRule>
    <cfRule type="expression" dxfId="9701" priority="7353">
      <formula>$C39="Petrol"</formula>
    </cfRule>
    <cfRule type="expression" dxfId="9700" priority="7354">
      <formula>$C39="Bills"</formula>
    </cfRule>
    <cfRule type="expression" dxfId="9699" priority="7355">
      <formula>$C39="Sales"</formula>
    </cfRule>
    <cfRule type="expression" dxfId="9698" priority="7356">
      <formula>$C39="Expences"</formula>
    </cfRule>
    <cfRule type="expression" dxfId="9697" priority="7357">
      <formula>$C39="Garlic Purchase"</formula>
    </cfRule>
    <cfRule type="expression" dxfId="9696" priority="7358">
      <formula>$C39="Ginger Purchase"</formula>
    </cfRule>
  </conditionalFormatting>
  <conditionalFormatting sqref="B39 B42 B45 B48:B49 B53 B57 B61">
    <cfRule type="expression" dxfId="9695" priority="7359">
      <formula>$C39="Advance"</formula>
    </cfRule>
  </conditionalFormatting>
  <conditionalFormatting sqref="B39 B42 B45 B48:B49 B53 B57 B61">
    <cfRule type="expression" dxfId="9694" priority="7340">
      <formula>$C39="Delivery charge"</formula>
    </cfRule>
    <cfRule type="expression" dxfId="9693" priority="7341">
      <formula>$C39="Staff Salary"</formula>
    </cfRule>
    <cfRule type="expression" dxfId="9692" priority="7342">
      <formula>$C39="Rent"</formula>
    </cfRule>
    <cfRule type="expression" dxfId="9691" priority="7343">
      <formula>$C39="Petrol"</formula>
    </cfRule>
    <cfRule type="expression" dxfId="9690" priority="7344">
      <formula>$C39="Bills"</formula>
    </cfRule>
    <cfRule type="expression" dxfId="9689" priority="7345">
      <formula>$C39="Sales"</formula>
    </cfRule>
    <cfRule type="expression" dxfId="9688" priority="7346">
      <formula>$C39="Expences"</formula>
    </cfRule>
    <cfRule type="expression" dxfId="9687" priority="7347">
      <formula>$C39="Garlic Purchase"</formula>
    </cfRule>
    <cfRule type="expression" dxfId="9686" priority="7348">
      <formula>$C39="Ginger Purchase"</formula>
    </cfRule>
  </conditionalFormatting>
  <conditionalFormatting sqref="B39 B42 B45 B48:B49 B53 B57 B61">
    <cfRule type="expression" dxfId="9685" priority="7349">
      <formula>$C39="Advance"</formula>
    </cfRule>
  </conditionalFormatting>
  <conditionalFormatting sqref="B39 B42 B45 B48:B49 B53 B57 B61">
    <cfRule type="expression" dxfId="9684" priority="7330">
      <formula>$C39="Delivery charge"</formula>
    </cfRule>
    <cfRule type="expression" dxfId="9683" priority="7331">
      <formula>$C39="Staff Salary"</formula>
    </cfRule>
    <cfRule type="expression" dxfId="9682" priority="7332">
      <formula>$C39="Rent"</formula>
    </cfRule>
    <cfRule type="expression" dxfId="9681" priority="7333">
      <formula>$C39="Petrol"</formula>
    </cfRule>
    <cfRule type="expression" dxfId="9680" priority="7334">
      <formula>$C39="Bills"</formula>
    </cfRule>
    <cfRule type="expression" dxfId="9679" priority="7335">
      <formula>$C39="Sales"</formula>
    </cfRule>
    <cfRule type="expression" dxfId="9678" priority="7336">
      <formula>$C39="Expences"</formula>
    </cfRule>
    <cfRule type="expression" dxfId="9677" priority="7337">
      <formula>$C39="Garlic Purchase"</formula>
    </cfRule>
    <cfRule type="expression" dxfId="9676" priority="7338">
      <formula>$C39="Ginger Purchase"</formula>
    </cfRule>
  </conditionalFormatting>
  <conditionalFormatting sqref="B39 B42 B45 B48:B49 B53 B57 B61">
    <cfRule type="expression" dxfId="9675" priority="7339">
      <formula>$C39="Advance"</formula>
    </cfRule>
  </conditionalFormatting>
  <conditionalFormatting sqref="B39 B42 B45 B48:B49 B53 B57 B61">
    <cfRule type="expression" dxfId="9674" priority="7320">
      <formula>$C39="Delivery charge"</formula>
    </cfRule>
    <cfRule type="expression" dxfId="9673" priority="7321">
      <formula>$C39="Staff Salary"</formula>
    </cfRule>
    <cfRule type="expression" dxfId="9672" priority="7322">
      <formula>$C39="Rent"</formula>
    </cfRule>
    <cfRule type="expression" dxfId="9671" priority="7323">
      <formula>$C39="Petrol"</formula>
    </cfRule>
    <cfRule type="expression" dxfId="9670" priority="7324">
      <formula>$C39="Bills"</formula>
    </cfRule>
    <cfRule type="expression" dxfId="9669" priority="7325">
      <formula>$C39="Sales"</formula>
    </cfRule>
    <cfRule type="expression" dxfId="9668" priority="7326">
      <formula>$C39="Expences"</formula>
    </cfRule>
    <cfRule type="expression" dxfId="9667" priority="7327">
      <formula>$C39="Garlic Purchase"</formula>
    </cfRule>
    <cfRule type="expression" dxfId="9666" priority="7328">
      <formula>$C39="Ginger Purchase"</formula>
    </cfRule>
  </conditionalFormatting>
  <conditionalFormatting sqref="B39 B42 B45 B48:B49 B53 B57 B61">
    <cfRule type="expression" dxfId="9665" priority="7329">
      <formula>$C39="Advance"</formula>
    </cfRule>
  </conditionalFormatting>
  <conditionalFormatting sqref="B39 B42 B45 B48:B49 B53 B57 B61">
    <cfRule type="expression" dxfId="9664" priority="7310">
      <formula>$C39="Delivery charge"</formula>
    </cfRule>
    <cfRule type="expression" dxfId="9663" priority="7311">
      <formula>$C39="Staff Salary"</formula>
    </cfRule>
    <cfRule type="expression" dxfId="9662" priority="7312">
      <formula>$C39="Rent"</formula>
    </cfRule>
    <cfRule type="expression" dxfId="9661" priority="7313">
      <formula>$C39="Petrol"</formula>
    </cfRule>
    <cfRule type="expression" dxfId="9660" priority="7314">
      <formula>$C39="Bills"</formula>
    </cfRule>
    <cfRule type="expression" dxfId="9659" priority="7315">
      <formula>$C39="Sales"</formula>
    </cfRule>
    <cfRule type="expression" dxfId="9658" priority="7316">
      <formula>$C39="Expences"</formula>
    </cfRule>
    <cfRule type="expression" dxfId="9657" priority="7317">
      <formula>$C39="Garlic Purchase"</formula>
    </cfRule>
    <cfRule type="expression" dxfId="9656" priority="7318">
      <formula>$C39="Ginger Purchase"</formula>
    </cfRule>
  </conditionalFormatting>
  <conditionalFormatting sqref="B39 B42 B45 B48:B49 B53 B57 B61">
    <cfRule type="expression" dxfId="9655" priority="7319">
      <formula>$C39="Advance"</formula>
    </cfRule>
  </conditionalFormatting>
  <conditionalFormatting sqref="B39 B42 B45 B48:B49 B53 B57 B61">
    <cfRule type="expression" dxfId="9654" priority="7300">
      <formula>$C39="Delivery charge"</formula>
    </cfRule>
    <cfRule type="expression" dxfId="9653" priority="7301">
      <formula>$C39="Staff Salary"</formula>
    </cfRule>
    <cfRule type="expression" dxfId="9652" priority="7302">
      <formula>$C39="Rent"</formula>
    </cfRule>
    <cfRule type="expression" dxfId="9651" priority="7303">
      <formula>$C39="Petrol"</formula>
    </cfRule>
    <cfRule type="expression" dxfId="9650" priority="7304">
      <formula>$C39="Bills"</formula>
    </cfRule>
    <cfRule type="expression" dxfId="9649" priority="7305">
      <formula>$C39="Sales"</formula>
    </cfRule>
    <cfRule type="expression" dxfId="9648" priority="7306">
      <formula>$C39="Expences"</formula>
    </cfRule>
    <cfRule type="expression" dxfId="9647" priority="7307">
      <formula>$C39="Garlic Purchase"</formula>
    </cfRule>
    <cfRule type="expression" dxfId="9646" priority="7308">
      <formula>$C39="Ginger Purchase"</formula>
    </cfRule>
  </conditionalFormatting>
  <conditionalFormatting sqref="B39 B42 B45 B48:B49 B53 B57 B61">
    <cfRule type="expression" dxfId="9645" priority="7309">
      <formula>$C39="Advance"</formula>
    </cfRule>
  </conditionalFormatting>
  <conditionalFormatting sqref="B39 B42 B45 B48:B49 B53 B57 B61">
    <cfRule type="expression" dxfId="9644" priority="7290">
      <formula>$C39="Delivery charge"</formula>
    </cfRule>
    <cfRule type="expression" dxfId="9643" priority="7291">
      <formula>$C39="Staff Salary"</formula>
    </cfRule>
    <cfRule type="expression" dxfId="9642" priority="7292">
      <formula>$C39="Rent"</formula>
    </cfRule>
    <cfRule type="expression" dxfId="9641" priority="7293">
      <formula>$C39="Petrol"</formula>
    </cfRule>
    <cfRule type="expression" dxfId="9640" priority="7294">
      <formula>$C39="Bills"</formula>
    </cfRule>
    <cfRule type="expression" dxfId="9639" priority="7295">
      <formula>$C39="Sales"</formula>
    </cfRule>
    <cfRule type="expression" dxfId="9638" priority="7296">
      <formula>$C39="Expences"</formula>
    </cfRule>
    <cfRule type="expression" dxfId="9637" priority="7297">
      <formula>$C39="Garlic Purchase"</formula>
    </cfRule>
    <cfRule type="expression" dxfId="9636" priority="7298">
      <formula>$C39="Ginger Purchase"</formula>
    </cfRule>
  </conditionalFormatting>
  <conditionalFormatting sqref="B39 B42 B45 B48:B49 B53 B57 B61">
    <cfRule type="expression" dxfId="9635" priority="7299">
      <formula>$C39="Advance"</formula>
    </cfRule>
  </conditionalFormatting>
  <conditionalFormatting sqref="B39 B42 B45 B48:B49 B53 B57 B61">
    <cfRule type="expression" dxfId="9634" priority="7280">
      <formula>$C39="Delivery charge"</formula>
    </cfRule>
    <cfRule type="expression" dxfId="9633" priority="7281">
      <formula>$C39="Staff Salary"</formula>
    </cfRule>
    <cfRule type="expression" dxfId="9632" priority="7282">
      <formula>$C39="Rent"</formula>
    </cfRule>
    <cfRule type="expression" dxfId="9631" priority="7283">
      <formula>$C39="Petrol"</formula>
    </cfRule>
    <cfRule type="expression" dxfId="9630" priority="7284">
      <formula>$C39="Bills"</formula>
    </cfRule>
    <cfRule type="expression" dxfId="9629" priority="7285">
      <formula>$C39="Sales"</formula>
    </cfRule>
    <cfRule type="expression" dxfId="9628" priority="7286">
      <formula>$C39="Expences"</formula>
    </cfRule>
    <cfRule type="expression" dxfId="9627" priority="7287">
      <formula>$C39="Garlic Purchase"</formula>
    </cfRule>
    <cfRule type="expression" dxfId="9626" priority="7288">
      <formula>$C39="Ginger Purchase"</formula>
    </cfRule>
  </conditionalFormatting>
  <conditionalFormatting sqref="B39 B42 B45 B48:B49 B53 B57 B61">
    <cfRule type="expression" dxfId="9625" priority="7289">
      <formula>$C39="Advance"</formula>
    </cfRule>
  </conditionalFormatting>
  <conditionalFormatting sqref="B39 B42 B45 B48:B49 B53 B57 B61">
    <cfRule type="expression" dxfId="9624" priority="7270">
      <formula>$C39="Delivery charge"</formula>
    </cfRule>
    <cfRule type="expression" dxfId="9623" priority="7271">
      <formula>$C39="Staff Salary"</formula>
    </cfRule>
    <cfRule type="expression" dxfId="9622" priority="7272">
      <formula>$C39="Rent"</formula>
    </cfRule>
    <cfRule type="expression" dxfId="9621" priority="7273">
      <formula>$C39="Petrol"</formula>
    </cfRule>
    <cfRule type="expression" dxfId="9620" priority="7274">
      <formula>$C39="Bills"</formula>
    </cfRule>
    <cfRule type="expression" dxfId="9619" priority="7275">
      <formula>$C39="Sales"</formula>
    </cfRule>
    <cfRule type="expression" dxfId="9618" priority="7276">
      <formula>$C39="Expences"</formula>
    </cfRule>
    <cfRule type="expression" dxfId="9617" priority="7277">
      <formula>$C39="Garlic Purchase"</formula>
    </cfRule>
    <cfRule type="expression" dxfId="9616" priority="7278">
      <formula>$C39="Ginger Purchase"</formula>
    </cfRule>
  </conditionalFormatting>
  <conditionalFormatting sqref="B39 B42 B45 B48:B49 B53 B57 B61">
    <cfRule type="expression" dxfId="9615" priority="7279">
      <formula>$C39="Advance"</formula>
    </cfRule>
  </conditionalFormatting>
  <conditionalFormatting sqref="B39 B42 B45 B48:B49 B53 B57 B61">
    <cfRule type="expression" dxfId="9614" priority="7260">
      <formula>$C39="Delivery charge"</formula>
    </cfRule>
    <cfRule type="expression" dxfId="9613" priority="7261">
      <formula>$C39="Staff Salary"</formula>
    </cfRule>
    <cfRule type="expression" dxfId="9612" priority="7262">
      <formula>$C39="Rent"</formula>
    </cfRule>
    <cfRule type="expression" dxfId="9611" priority="7263">
      <formula>$C39="Petrol"</formula>
    </cfRule>
    <cfRule type="expression" dxfId="9610" priority="7264">
      <formula>$C39="Bills"</formula>
    </cfRule>
    <cfRule type="expression" dxfId="9609" priority="7265">
      <formula>$C39="Sales"</formula>
    </cfRule>
    <cfRule type="expression" dxfId="9608" priority="7266">
      <formula>$C39="Expences"</formula>
    </cfRule>
    <cfRule type="expression" dxfId="9607" priority="7267">
      <formula>$C39="Garlic Purchase"</formula>
    </cfRule>
    <cfRule type="expression" dxfId="9606" priority="7268">
      <formula>$C39="Ginger Purchase"</formula>
    </cfRule>
  </conditionalFormatting>
  <conditionalFormatting sqref="B39 B42 B45 B48:B49 B53 B57 B61">
    <cfRule type="expression" dxfId="9605" priority="7250">
      <formula>$C39="Delivery charge"</formula>
    </cfRule>
    <cfRule type="expression" dxfId="9604" priority="7251">
      <formula>$C39="Staff Salary"</formula>
    </cfRule>
    <cfRule type="expression" dxfId="9603" priority="7252">
      <formula>$C39="Rent"</formula>
    </cfRule>
    <cfRule type="expression" dxfId="9602" priority="7253">
      <formula>$C39="Petrol"</formula>
    </cfRule>
    <cfRule type="expression" dxfId="9601" priority="7254">
      <formula>$C39="Bills"</formula>
    </cfRule>
    <cfRule type="expression" dxfId="9600" priority="7255">
      <formula>$C39="Sales"</formula>
    </cfRule>
    <cfRule type="expression" dxfId="9599" priority="7256">
      <formula>$C39="Expences"</formula>
    </cfRule>
    <cfRule type="expression" dxfId="9598" priority="7257">
      <formula>$C39="Garlic Purchase"</formula>
    </cfRule>
    <cfRule type="expression" dxfId="9597" priority="7258">
      <formula>$C39="Ginger Purchase"</formula>
    </cfRule>
  </conditionalFormatting>
  <conditionalFormatting sqref="B39 B42 B45 B48:B49 B53 B57 B61">
    <cfRule type="expression" dxfId="9596" priority="7259">
      <formula>$C39="Advance"</formula>
    </cfRule>
  </conditionalFormatting>
  <conditionalFormatting sqref="B39 B42 B45 B48:B49 B53 B57 B61">
    <cfRule type="expression" dxfId="9595" priority="7240">
      <formula>$C39="Delivery charge"</formula>
    </cfRule>
    <cfRule type="expression" dxfId="9594" priority="7241">
      <formula>$C39="Staff Salary"</formula>
    </cfRule>
    <cfRule type="expression" dxfId="9593" priority="7242">
      <formula>$C39="Rent"</formula>
    </cfRule>
    <cfRule type="expression" dxfId="9592" priority="7243">
      <formula>$C39="Petrol"</formula>
    </cfRule>
    <cfRule type="expression" dxfId="9591" priority="7244">
      <formula>$C39="Bills"</formula>
    </cfRule>
    <cfRule type="expression" dxfId="9590" priority="7245">
      <formula>$C39="Sales"</formula>
    </cfRule>
    <cfRule type="expression" dxfId="9589" priority="7246">
      <formula>$C39="Expences"</formula>
    </cfRule>
    <cfRule type="expression" dxfId="9588" priority="7247">
      <formula>$C39="Garlic Purchase"</formula>
    </cfRule>
    <cfRule type="expression" dxfId="9587" priority="7248">
      <formula>$C39="Ginger Purchase"</formula>
    </cfRule>
  </conditionalFormatting>
  <conditionalFormatting sqref="B39 B42 B45 B48:B49 B53 B57 B61">
    <cfRule type="expression" dxfId="9586" priority="7249">
      <formula>$C39="Advance"</formula>
    </cfRule>
  </conditionalFormatting>
  <conditionalFormatting sqref="B39 B42 B45 B48:B49 B53 B57 B61">
    <cfRule type="expression" dxfId="9585" priority="7230">
      <formula>$C39="Delivery charge"</formula>
    </cfRule>
    <cfRule type="expression" dxfId="9584" priority="7231">
      <formula>$C39="Staff Salary"</formula>
    </cfRule>
    <cfRule type="expression" dxfId="9583" priority="7232">
      <formula>$C39="Rent"</formula>
    </cfRule>
    <cfRule type="expression" dxfId="9582" priority="7233">
      <formula>$C39="Petrol"</formula>
    </cfRule>
    <cfRule type="expression" dxfId="9581" priority="7234">
      <formula>$C39="Bills"</formula>
    </cfRule>
    <cfRule type="expression" dxfId="9580" priority="7235">
      <formula>$C39="Sales"</formula>
    </cfRule>
    <cfRule type="expression" dxfId="9579" priority="7236">
      <formula>$C39="Expences"</formula>
    </cfRule>
    <cfRule type="expression" dxfId="9578" priority="7237">
      <formula>$C39="Garlic Purchase"</formula>
    </cfRule>
    <cfRule type="expression" dxfId="9577" priority="7238">
      <formula>$C39="Ginger Purchase"</formula>
    </cfRule>
  </conditionalFormatting>
  <conditionalFormatting sqref="B39 B42 B45 B48:B49 B53 B57 B61">
    <cfRule type="expression" dxfId="9576" priority="7239">
      <formula>$C39="Advance"</formula>
    </cfRule>
  </conditionalFormatting>
  <conditionalFormatting sqref="B39 B42 B45 B48:B49 B53 B57 B61">
    <cfRule type="expression" dxfId="9575" priority="7220">
      <formula>$C39="Delivery charge"</formula>
    </cfRule>
    <cfRule type="expression" dxfId="9574" priority="7221">
      <formula>$C39="Staff Salary"</formula>
    </cfRule>
    <cfRule type="expression" dxfId="9573" priority="7222">
      <formula>$C39="Rent"</formula>
    </cfRule>
    <cfRule type="expression" dxfId="9572" priority="7223">
      <formula>$C39="Petrol"</formula>
    </cfRule>
    <cfRule type="expression" dxfId="9571" priority="7224">
      <formula>$C39="Bills"</formula>
    </cfRule>
    <cfRule type="expression" dxfId="9570" priority="7225">
      <formula>$C39="Sales"</formula>
    </cfRule>
    <cfRule type="expression" dxfId="9569" priority="7226">
      <formula>$C39="Expences"</formula>
    </cfRule>
    <cfRule type="expression" dxfId="9568" priority="7227">
      <formula>$C39="Garlic Purchase"</formula>
    </cfRule>
    <cfRule type="expression" dxfId="9567" priority="7228">
      <formula>$C39="Ginger Purchase"</formula>
    </cfRule>
  </conditionalFormatting>
  <conditionalFormatting sqref="B39 B42 B45 B48:B49 B53 B57 B61">
    <cfRule type="expression" dxfId="9566" priority="7229">
      <formula>$C39="Advance"</formula>
    </cfRule>
  </conditionalFormatting>
  <conditionalFormatting sqref="B39 B42 B45 B48:B49 B53 B57 B61">
    <cfRule type="expression" dxfId="9565" priority="7210">
      <formula>$C39="Delivery charge"</formula>
    </cfRule>
    <cfRule type="expression" dxfId="9564" priority="7211">
      <formula>$C39="Staff Salary"</formula>
    </cfRule>
    <cfRule type="expression" dxfId="9563" priority="7212">
      <formula>$C39="Rent"</formula>
    </cfRule>
    <cfRule type="expression" dxfId="9562" priority="7213">
      <formula>$C39="Petrol"</formula>
    </cfRule>
    <cfRule type="expression" dxfId="9561" priority="7214">
      <formula>$C39="Bills"</formula>
    </cfRule>
    <cfRule type="expression" dxfId="9560" priority="7215">
      <formula>$C39="Sales"</formula>
    </cfRule>
    <cfRule type="expression" dxfId="9559" priority="7216">
      <formula>$C39="Expences"</formula>
    </cfRule>
    <cfRule type="expression" dxfId="9558" priority="7217">
      <formula>$C39="Garlic Purchase"</formula>
    </cfRule>
    <cfRule type="expression" dxfId="9557" priority="7218">
      <formula>$C39="Ginger Purchase"</formula>
    </cfRule>
  </conditionalFormatting>
  <conditionalFormatting sqref="B39 B42 B45 B48:B49 B53 B57 B61">
    <cfRule type="expression" dxfId="9556" priority="7219">
      <formula>$C39="Advance"</formula>
    </cfRule>
  </conditionalFormatting>
  <conditionalFormatting sqref="B39 B42 B45 B48:B49 B53 B57 B61">
    <cfRule type="expression" dxfId="9555" priority="7200">
      <formula>$C39="Delivery charge"</formula>
    </cfRule>
    <cfRule type="expression" dxfId="9554" priority="7201">
      <formula>$C39="Staff Salary"</formula>
    </cfRule>
    <cfRule type="expression" dxfId="9553" priority="7202">
      <formula>$C39="Rent"</formula>
    </cfRule>
    <cfRule type="expression" dxfId="9552" priority="7203">
      <formula>$C39="Petrol"</formula>
    </cfRule>
    <cfRule type="expression" dxfId="9551" priority="7204">
      <formula>$C39="Bills"</formula>
    </cfRule>
    <cfRule type="expression" dxfId="9550" priority="7205">
      <formula>$C39="Sales"</formula>
    </cfRule>
    <cfRule type="expression" dxfId="9549" priority="7206">
      <formula>$C39="Expences"</formula>
    </cfRule>
    <cfRule type="expression" dxfId="9548" priority="7207">
      <formula>$C39="Garlic Purchase"</formula>
    </cfRule>
    <cfRule type="expression" dxfId="9547" priority="7208">
      <formula>$C39="Ginger Purchase"</formula>
    </cfRule>
  </conditionalFormatting>
  <conditionalFormatting sqref="B39 B42 B45 B48:B49 B53 B57 B61">
    <cfRule type="expression" dxfId="9546" priority="7209">
      <formula>$C39="Advance"</formula>
    </cfRule>
  </conditionalFormatting>
  <conditionalFormatting sqref="B39 B42 B45 B48:B49 B53 B57 B61">
    <cfRule type="expression" dxfId="9545" priority="7190">
      <formula>$C39="Delivery charge"</formula>
    </cfRule>
    <cfRule type="expression" dxfId="9544" priority="7191">
      <formula>$C39="Staff Salary"</formula>
    </cfRule>
    <cfRule type="expression" dxfId="9543" priority="7192">
      <formula>$C39="Rent"</formula>
    </cfRule>
    <cfRule type="expression" dxfId="9542" priority="7193">
      <formula>$C39="Petrol"</formula>
    </cfRule>
    <cfRule type="expression" dxfId="9541" priority="7194">
      <formula>$C39="Bills"</formula>
    </cfRule>
    <cfRule type="expression" dxfId="9540" priority="7195">
      <formula>$C39="Sales"</formula>
    </cfRule>
    <cfRule type="expression" dxfId="9539" priority="7196">
      <formula>$C39="Expences"</formula>
    </cfRule>
    <cfRule type="expression" dxfId="9538" priority="7197">
      <formula>$C39="Garlic Purchase"</formula>
    </cfRule>
    <cfRule type="expression" dxfId="9537" priority="7198">
      <formula>$C39="Ginger Purchase"</formula>
    </cfRule>
  </conditionalFormatting>
  <conditionalFormatting sqref="B39 B42 B45 B48:B49 B53 B57 B61">
    <cfRule type="expression" dxfId="9536" priority="7199">
      <formula>$C39="Advance"</formula>
    </cfRule>
  </conditionalFormatting>
  <conditionalFormatting sqref="B39 B42 B45 B48:B49 B53 B57 B61">
    <cfRule type="expression" dxfId="9535" priority="7180">
      <formula>$C39="Delivery charge"</formula>
    </cfRule>
    <cfRule type="expression" dxfId="9534" priority="7181">
      <formula>$C39="Staff Salary"</formula>
    </cfRule>
    <cfRule type="expression" dxfId="9533" priority="7182">
      <formula>$C39="Rent"</formula>
    </cfRule>
    <cfRule type="expression" dxfId="9532" priority="7183">
      <formula>$C39="Petrol"</formula>
    </cfRule>
    <cfRule type="expression" dxfId="9531" priority="7184">
      <formula>$C39="Bills"</formula>
    </cfRule>
    <cfRule type="expression" dxfId="9530" priority="7185">
      <formula>$C39="Sales"</formula>
    </cfRule>
    <cfRule type="expression" dxfId="9529" priority="7186">
      <formula>$C39="Expences"</formula>
    </cfRule>
    <cfRule type="expression" dxfId="9528" priority="7187">
      <formula>$C39="Garlic Purchase"</formula>
    </cfRule>
    <cfRule type="expression" dxfId="9527" priority="7188">
      <formula>$C39="Ginger Purchase"</formula>
    </cfRule>
  </conditionalFormatting>
  <conditionalFormatting sqref="B39 B42 B45 B48:B49 B53 B57 B61">
    <cfRule type="expression" dxfId="9526" priority="7189">
      <formula>$C39="Advance"</formula>
    </cfRule>
  </conditionalFormatting>
  <conditionalFormatting sqref="B39 B42 B45 B48:B49 B53 B57 B61">
    <cfRule type="expression" dxfId="9525" priority="7170">
      <formula>$C39="Delivery charge"</formula>
    </cfRule>
    <cfRule type="expression" dxfId="9524" priority="7171">
      <formula>$C39="Staff Salary"</formula>
    </cfRule>
    <cfRule type="expression" dxfId="9523" priority="7172">
      <formula>$C39="Rent"</formula>
    </cfRule>
    <cfRule type="expression" dxfId="9522" priority="7173">
      <formula>$C39="Petrol"</formula>
    </cfRule>
    <cfRule type="expression" dxfId="9521" priority="7174">
      <formula>$C39="Bills"</formula>
    </cfRule>
    <cfRule type="expression" dxfId="9520" priority="7175">
      <formula>$C39="Sales"</formula>
    </cfRule>
    <cfRule type="expression" dxfId="9519" priority="7176">
      <formula>$C39="Expences"</formula>
    </cfRule>
    <cfRule type="expression" dxfId="9518" priority="7177">
      <formula>$C39="Garlic Purchase"</formula>
    </cfRule>
    <cfRule type="expression" dxfId="9517" priority="7178">
      <formula>$C39="Ginger Purchase"</formula>
    </cfRule>
  </conditionalFormatting>
  <conditionalFormatting sqref="B39 B42 B45 B48:B49 B53 B57 B61">
    <cfRule type="expression" dxfId="9516" priority="7179">
      <formula>$C39="Advance"</formula>
    </cfRule>
  </conditionalFormatting>
  <conditionalFormatting sqref="B39 B42 B45 B48:B49 B53 B57 B61">
    <cfRule type="expression" dxfId="9515" priority="7160">
      <formula>$C39="Delivery charge"</formula>
    </cfRule>
    <cfRule type="expression" dxfId="9514" priority="7161">
      <formula>$C39="Staff Salary"</formula>
    </cfRule>
    <cfRule type="expression" dxfId="9513" priority="7162">
      <formula>$C39="Rent"</formula>
    </cfRule>
    <cfRule type="expression" dxfId="9512" priority="7163">
      <formula>$C39="Petrol"</formula>
    </cfRule>
    <cfRule type="expression" dxfId="9511" priority="7164">
      <formula>$C39="Bills"</formula>
    </cfRule>
    <cfRule type="expression" dxfId="9510" priority="7165">
      <formula>$C39="Sales"</formula>
    </cfRule>
    <cfRule type="expression" dxfId="9509" priority="7166">
      <formula>$C39="Expences"</formula>
    </cfRule>
    <cfRule type="expression" dxfId="9508" priority="7167">
      <formula>$C39="Garlic Purchase"</formula>
    </cfRule>
    <cfRule type="expression" dxfId="9507" priority="7168">
      <formula>$C39="Ginger Purchase"</formula>
    </cfRule>
  </conditionalFormatting>
  <conditionalFormatting sqref="B39 B42 B45 B48:B49 B53 B57 B61">
    <cfRule type="expression" dxfId="9506" priority="7169">
      <formula>$C39="Advance"</formula>
    </cfRule>
  </conditionalFormatting>
  <conditionalFormatting sqref="B39 B42 B45 B48:B49 B53 B57 B61">
    <cfRule type="expression" dxfId="9505" priority="7150">
      <formula>$C39="Delivery charge"</formula>
    </cfRule>
    <cfRule type="expression" dxfId="9504" priority="7151">
      <formula>$C39="Staff Salary"</formula>
    </cfRule>
    <cfRule type="expression" dxfId="9503" priority="7152">
      <formula>$C39="Rent"</formula>
    </cfRule>
    <cfRule type="expression" dxfId="9502" priority="7153">
      <formula>$C39="Petrol"</formula>
    </cfRule>
    <cfRule type="expression" dxfId="9501" priority="7154">
      <formula>$C39="Bills"</formula>
    </cfRule>
    <cfRule type="expression" dxfId="9500" priority="7155">
      <formula>$C39="Sales"</formula>
    </cfRule>
    <cfRule type="expression" dxfId="9499" priority="7156">
      <formula>$C39="Expences"</formula>
    </cfRule>
    <cfRule type="expression" dxfId="9498" priority="7157">
      <formula>$C39="Garlic Purchase"</formula>
    </cfRule>
    <cfRule type="expression" dxfId="9497" priority="7158">
      <formula>$C39="Ginger Purchase"</formula>
    </cfRule>
  </conditionalFormatting>
  <conditionalFormatting sqref="B39 B42 B45 B48:B49 B53 B57 B61">
    <cfRule type="expression" dxfId="9496" priority="7159">
      <formula>$C39="Advance"</formula>
    </cfRule>
  </conditionalFormatting>
  <conditionalFormatting sqref="B39 B42 B45 B48:B49 B53 B57 B61">
    <cfRule type="expression" dxfId="9495" priority="7140">
      <formula>$C39="Delivery charge"</formula>
    </cfRule>
    <cfRule type="expression" dxfId="9494" priority="7141">
      <formula>$C39="Staff Salary"</formula>
    </cfRule>
    <cfRule type="expression" dxfId="9493" priority="7142">
      <formula>$C39="Rent"</formula>
    </cfRule>
    <cfRule type="expression" dxfId="9492" priority="7143">
      <formula>$C39="Petrol"</formula>
    </cfRule>
    <cfRule type="expression" dxfId="9491" priority="7144">
      <formula>$C39="Bills"</formula>
    </cfRule>
    <cfRule type="expression" dxfId="9490" priority="7145">
      <formula>$C39="Sales"</formula>
    </cfRule>
    <cfRule type="expression" dxfId="9489" priority="7146">
      <formula>$C39="Expences"</formula>
    </cfRule>
    <cfRule type="expression" dxfId="9488" priority="7147">
      <formula>$C39="Garlic Purchase"</formula>
    </cfRule>
    <cfRule type="expression" dxfId="9487" priority="7148">
      <formula>$C39="Ginger Purchase"</formula>
    </cfRule>
  </conditionalFormatting>
  <conditionalFormatting sqref="B39 B42 B45 B48:B49 B53 B57 B61">
    <cfRule type="expression" dxfId="9486" priority="7149">
      <formula>$C39="Advance"</formula>
    </cfRule>
  </conditionalFormatting>
  <conditionalFormatting sqref="B39 B42 B45 B48:B49 B53 B57 B61">
    <cfRule type="expression" dxfId="9485" priority="7130">
      <formula>$C39="Delivery charge"</formula>
    </cfRule>
    <cfRule type="expression" dxfId="9484" priority="7131">
      <formula>$C39="Staff Salary"</formula>
    </cfRule>
    <cfRule type="expression" dxfId="9483" priority="7132">
      <formula>$C39="Rent"</formula>
    </cfRule>
    <cfRule type="expression" dxfId="9482" priority="7133">
      <formula>$C39="Petrol"</formula>
    </cfRule>
    <cfRule type="expression" dxfId="9481" priority="7134">
      <formula>$C39="Bills"</formula>
    </cfRule>
    <cfRule type="expression" dxfId="9480" priority="7135">
      <formula>$C39="Sales"</formula>
    </cfRule>
    <cfRule type="expression" dxfId="9479" priority="7136">
      <formula>$C39="Expences"</formula>
    </cfRule>
    <cfRule type="expression" dxfId="9478" priority="7137">
      <formula>$C39="Garlic Purchase"</formula>
    </cfRule>
    <cfRule type="expression" dxfId="9477" priority="7138">
      <formula>$C39="Ginger Purchase"</formula>
    </cfRule>
  </conditionalFormatting>
  <conditionalFormatting sqref="B39 B42 B45 B48:B49 B53 B57 B61">
    <cfRule type="expression" dxfId="9476" priority="7139">
      <formula>$C39="Advance"</formula>
    </cfRule>
  </conditionalFormatting>
  <conditionalFormatting sqref="B39 B42 B45 B48:B49 B53 B57 B61">
    <cfRule type="expression" dxfId="9475" priority="7120">
      <formula>$C39="Delivery charge"</formula>
    </cfRule>
    <cfRule type="expression" dxfId="9474" priority="7121">
      <formula>$C39="Staff Salary"</formula>
    </cfRule>
    <cfRule type="expression" dxfId="9473" priority="7122">
      <formula>$C39="Rent"</formula>
    </cfRule>
    <cfRule type="expression" dxfId="9472" priority="7123">
      <formula>$C39="Petrol"</formula>
    </cfRule>
    <cfRule type="expression" dxfId="9471" priority="7124">
      <formula>$C39="Bills"</formula>
    </cfRule>
    <cfRule type="expression" dxfId="9470" priority="7125">
      <formula>$C39="Sales"</formula>
    </cfRule>
    <cfRule type="expression" dxfId="9469" priority="7126">
      <formula>$C39="Expences"</formula>
    </cfRule>
    <cfRule type="expression" dxfId="9468" priority="7127">
      <formula>$C39="Garlic Purchase"</formula>
    </cfRule>
    <cfRule type="expression" dxfId="9467" priority="7128">
      <formula>$C39="Ginger Purchase"</formula>
    </cfRule>
  </conditionalFormatting>
  <conditionalFormatting sqref="B39 B42 B45 B48:B49 B53 B57 B61">
    <cfRule type="expression" dxfId="9466" priority="7129">
      <formula>$C39="Advance"</formula>
    </cfRule>
  </conditionalFormatting>
  <conditionalFormatting sqref="B46 B52 B66 B156 B48:B50 B54 B56 B60 B58 B62 B68 B70:B72 B74:B75">
    <cfRule type="expression" dxfId="9465" priority="7118">
      <formula>$C46="Advance"</formula>
    </cfRule>
  </conditionalFormatting>
  <conditionalFormatting sqref="B46 B52 B66 B156 B48:B50 B54 B56 B60 B58 B62 B68 B70:B72 B74:B75">
    <cfRule type="expression" dxfId="9464" priority="7109">
      <formula>$C46="Delivery charge"</formula>
    </cfRule>
    <cfRule type="expression" dxfId="9463" priority="7110">
      <formula>$C46="Staff Salary"</formula>
    </cfRule>
    <cfRule type="expression" dxfId="9462" priority="7111">
      <formula>$C46="Rent"</formula>
    </cfRule>
    <cfRule type="expression" dxfId="9461" priority="7112">
      <formula>$C46="Petrol"</formula>
    </cfRule>
    <cfRule type="expression" dxfId="9460" priority="7113">
      <formula>$C46="Bills"</formula>
    </cfRule>
    <cfRule type="expression" dxfId="9459" priority="7114">
      <formula>$C46="Sales"</formula>
    </cfRule>
    <cfRule type="expression" dxfId="9458" priority="7115">
      <formula>$C46="Expences"</formula>
    </cfRule>
    <cfRule type="expression" dxfId="9457" priority="7116">
      <formula>$C46="Garlic Purchase"</formula>
    </cfRule>
    <cfRule type="expression" dxfId="9456" priority="7117">
      <formula>$C46="Ginger Purchase"</formula>
    </cfRule>
  </conditionalFormatting>
  <conditionalFormatting sqref="B46 B52 B66 B156 B48:B50 B54 B56 B60 B58 B62 B68 B70:B72 B74:B75">
    <cfRule type="expression" dxfId="9455" priority="7099">
      <formula>$C46="Delivery charge"</formula>
    </cfRule>
    <cfRule type="expression" dxfId="9454" priority="7100">
      <formula>$C46="Staff Salary"</formula>
    </cfRule>
    <cfRule type="expression" dxfId="9453" priority="7101">
      <formula>$C46="Rent"</formula>
    </cfRule>
    <cfRule type="expression" dxfId="9452" priority="7102">
      <formula>$C46="Petrol"</formula>
    </cfRule>
    <cfRule type="expression" dxfId="9451" priority="7103">
      <formula>$C46="Bills"</formula>
    </cfRule>
    <cfRule type="expression" dxfId="9450" priority="7104">
      <formula>$C46="Sales"</formula>
    </cfRule>
    <cfRule type="expression" dxfId="9449" priority="7105">
      <formula>$C46="Expences"</formula>
    </cfRule>
    <cfRule type="expression" dxfId="9448" priority="7106">
      <formula>$C46="Garlic Purchase"</formula>
    </cfRule>
    <cfRule type="expression" dxfId="9447" priority="7107">
      <formula>$C46="Ginger Purchase"</formula>
    </cfRule>
  </conditionalFormatting>
  <conditionalFormatting sqref="B46 B52 B66 B156 B48:B50 B54 B56 B60 B58 B62 B68 B70:B72 B74:B75">
    <cfRule type="expression" dxfId="9446" priority="7108">
      <formula>$C46="Advance"</formula>
    </cfRule>
  </conditionalFormatting>
  <conditionalFormatting sqref="B46 B52 B66 B156 B48:B50 B54 B56 B60 B58 B62 B68 B70:B72 B74:B75">
    <cfRule type="expression" dxfId="9445" priority="7089">
      <formula>$C46="Delivery charge"</formula>
    </cfRule>
    <cfRule type="expression" dxfId="9444" priority="7090">
      <formula>$C46="Staff Salary"</formula>
    </cfRule>
    <cfRule type="expression" dxfId="9443" priority="7091">
      <formula>$C46="Rent"</formula>
    </cfRule>
    <cfRule type="expression" dxfId="9442" priority="7092">
      <formula>$C46="Petrol"</formula>
    </cfRule>
    <cfRule type="expression" dxfId="9441" priority="7093">
      <formula>$C46="Bills"</formula>
    </cfRule>
    <cfRule type="expression" dxfId="9440" priority="7094">
      <formula>$C46="Sales"</formula>
    </cfRule>
    <cfRule type="expression" dxfId="9439" priority="7095">
      <formula>$C46="Expences"</formula>
    </cfRule>
    <cfRule type="expression" dxfId="9438" priority="7096">
      <formula>$C46="Garlic Purchase"</formula>
    </cfRule>
    <cfRule type="expression" dxfId="9437" priority="7097">
      <formula>$C46="Ginger Purchase"</formula>
    </cfRule>
  </conditionalFormatting>
  <conditionalFormatting sqref="B46 B52 B66 B156 B48:B50 B54 B56 B60 B58 B62 B68 B70:B72 B74:B75">
    <cfRule type="expression" dxfId="9436" priority="7098">
      <formula>$C46="Advance"</formula>
    </cfRule>
  </conditionalFormatting>
  <conditionalFormatting sqref="B46 B52 B66 B156 B48:B50 B54 B56 B60 B58 B62 B68 B70:B72 B74:B75">
    <cfRule type="expression" dxfId="9435" priority="7079">
      <formula>$C46="Delivery charge"</formula>
    </cfRule>
    <cfRule type="expression" dxfId="9434" priority="7080">
      <formula>$C46="Staff Salary"</formula>
    </cfRule>
    <cfRule type="expression" dxfId="9433" priority="7081">
      <formula>$C46="Rent"</formula>
    </cfRule>
    <cfRule type="expression" dxfId="9432" priority="7082">
      <formula>$C46="Petrol"</formula>
    </cfRule>
    <cfRule type="expression" dxfId="9431" priority="7083">
      <formula>$C46="Bills"</formula>
    </cfRule>
    <cfRule type="expression" dxfId="9430" priority="7084">
      <formula>$C46="Sales"</formula>
    </cfRule>
    <cfRule type="expression" dxfId="9429" priority="7085">
      <formula>$C46="Expences"</formula>
    </cfRule>
    <cfRule type="expression" dxfId="9428" priority="7086">
      <formula>$C46="Garlic Purchase"</formula>
    </cfRule>
    <cfRule type="expression" dxfId="9427" priority="7087">
      <formula>$C46="Ginger Purchase"</formula>
    </cfRule>
  </conditionalFormatting>
  <conditionalFormatting sqref="B46 B52 B66 B156 B48:B50 B54 B56 B60 B58 B62 B68 B70:B72 B74:B75">
    <cfRule type="expression" dxfId="9426" priority="7088">
      <formula>$C46="Advance"</formula>
    </cfRule>
  </conditionalFormatting>
  <conditionalFormatting sqref="B46 B52 B66 B156 B48:B50 B54 B56 B60 B58 B62 B68 B70:B72 B74:B75">
    <cfRule type="expression" dxfId="9425" priority="7069">
      <formula>$C46="Delivery charge"</formula>
    </cfRule>
    <cfRule type="expression" dxfId="9424" priority="7070">
      <formula>$C46="Staff Salary"</formula>
    </cfRule>
    <cfRule type="expression" dxfId="9423" priority="7071">
      <formula>$C46="Rent"</formula>
    </cfRule>
    <cfRule type="expression" dxfId="9422" priority="7072">
      <formula>$C46="Petrol"</formula>
    </cfRule>
    <cfRule type="expression" dxfId="9421" priority="7073">
      <formula>$C46="Bills"</formula>
    </cfRule>
    <cfRule type="expression" dxfId="9420" priority="7074">
      <formula>$C46="Sales"</formula>
    </cfRule>
    <cfRule type="expression" dxfId="9419" priority="7075">
      <formula>$C46="Expences"</formula>
    </cfRule>
    <cfRule type="expression" dxfId="9418" priority="7076">
      <formula>$C46="Garlic Purchase"</formula>
    </cfRule>
    <cfRule type="expression" dxfId="9417" priority="7077">
      <formula>$C46="Ginger Purchase"</formula>
    </cfRule>
  </conditionalFormatting>
  <conditionalFormatting sqref="B46 B52 B66 B156 B48:B50 B54 B56 B60 B58 B62 B68 B70:B72 B74:B75">
    <cfRule type="expression" dxfId="9416" priority="7078">
      <formula>$C46="Advance"</formula>
    </cfRule>
  </conditionalFormatting>
  <conditionalFormatting sqref="B46 B52 B66 B156 B48:B50 B54 B56 B60 B58 B62 B68 B70:B72 B74:B75">
    <cfRule type="expression" dxfId="9415" priority="7059">
      <formula>$C46="Delivery charge"</formula>
    </cfRule>
    <cfRule type="expression" dxfId="9414" priority="7060">
      <formula>$C46="Staff Salary"</formula>
    </cfRule>
    <cfRule type="expression" dxfId="9413" priority="7061">
      <formula>$C46="Rent"</formula>
    </cfRule>
    <cfRule type="expression" dxfId="9412" priority="7062">
      <formula>$C46="Petrol"</formula>
    </cfRule>
    <cfRule type="expression" dxfId="9411" priority="7063">
      <formula>$C46="Bills"</formula>
    </cfRule>
    <cfRule type="expression" dxfId="9410" priority="7064">
      <formula>$C46="Sales"</formula>
    </cfRule>
    <cfRule type="expression" dxfId="9409" priority="7065">
      <formula>$C46="Expences"</formula>
    </cfRule>
    <cfRule type="expression" dxfId="9408" priority="7066">
      <formula>$C46="Garlic Purchase"</formula>
    </cfRule>
    <cfRule type="expression" dxfId="9407" priority="7067">
      <formula>$C46="Ginger Purchase"</formula>
    </cfRule>
  </conditionalFormatting>
  <conditionalFormatting sqref="B46 B52 B66 B156 B48:B50 B54 B56 B60 B58 B62 B68 B70:B72 B74:B75">
    <cfRule type="expression" dxfId="9406" priority="7068">
      <formula>$C46="Advance"</formula>
    </cfRule>
  </conditionalFormatting>
  <conditionalFormatting sqref="B46 B52 B66 B156 B48:B50 B54 B56 B60 B58 B62 B68 B70:B72 B74:B75">
    <cfRule type="expression" dxfId="9405" priority="7049">
      <formula>$C46="Delivery charge"</formula>
    </cfRule>
    <cfRule type="expression" dxfId="9404" priority="7050">
      <formula>$C46="Staff Salary"</formula>
    </cfRule>
    <cfRule type="expression" dxfId="9403" priority="7051">
      <formula>$C46="Rent"</formula>
    </cfRule>
    <cfRule type="expression" dxfId="9402" priority="7052">
      <formula>$C46="Petrol"</formula>
    </cfRule>
    <cfRule type="expression" dxfId="9401" priority="7053">
      <formula>$C46="Bills"</formula>
    </cfRule>
    <cfRule type="expression" dxfId="9400" priority="7054">
      <formula>$C46="Sales"</formula>
    </cfRule>
    <cfRule type="expression" dxfId="9399" priority="7055">
      <formula>$C46="Expences"</formula>
    </cfRule>
    <cfRule type="expression" dxfId="9398" priority="7056">
      <formula>$C46="Garlic Purchase"</formula>
    </cfRule>
    <cfRule type="expression" dxfId="9397" priority="7057">
      <formula>$C46="Ginger Purchase"</formula>
    </cfRule>
  </conditionalFormatting>
  <conditionalFormatting sqref="B46 B52 B66 B156 B48:B50 B54 B56 B60 B58 B62 B68 B70:B72 B74:B75">
    <cfRule type="expression" dxfId="9396" priority="7058">
      <formula>$C46="Advance"</formula>
    </cfRule>
  </conditionalFormatting>
  <conditionalFormatting sqref="B46 B52 B66 B156 B48:B50 B54 B56 B60 B58 B62 B68 B70:B72 B74:B75">
    <cfRule type="expression" dxfId="9395" priority="7039">
      <formula>$C46="Delivery charge"</formula>
    </cfRule>
    <cfRule type="expression" dxfId="9394" priority="7040">
      <formula>$C46="Staff Salary"</formula>
    </cfRule>
    <cfRule type="expression" dxfId="9393" priority="7041">
      <formula>$C46="Rent"</formula>
    </cfRule>
    <cfRule type="expression" dxfId="9392" priority="7042">
      <formula>$C46="Petrol"</formula>
    </cfRule>
    <cfRule type="expression" dxfId="9391" priority="7043">
      <formula>$C46="Bills"</formula>
    </cfRule>
    <cfRule type="expression" dxfId="9390" priority="7044">
      <formula>$C46="Sales"</formula>
    </cfRule>
    <cfRule type="expression" dxfId="9389" priority="7045">
      <formula>$C46="Expences"</formula>
    </cfRule>
    <cfRule type="expression" dxfId="9388" priority="7046">
      <formula>$C46="Garlic Purchase"</formula>
    </cfRule>
    <cfRule type="expression" dxfId="9387" priority="7047">
      <formula>$C46="Ginger Purchase"</formula>
    </cfRule>
  </conditionalFormatting>
  <conditionalFormatting sqref="B46 B52 B66 B156 B48:B50 B54 B56 B60 B58 B62 B68 B70:B72 B74:B75">
    <cfRule type="expression" dxfId="9386" priority="7048">
      <formula>$C46="Advance"</formula>
    </cfRule>
  </conditionalFormatting>
  <conditionalFormatting sqref="B46 B52 B66 B156 B48:B50 B54 B56 B60 B58 B62 B68 B70:B72 B74:B75">
    <cfRule type="expression" dxfId="9385" priority="7029">
      <formula>$C46="Delivery charge"</formula>
    </cfRule>
    <cfRule type="expression" dxfId="9384" priority="7030">
      <formula>$C46="Staff Salary"</formula>
    </cfRule>
    <cfRule type="expression" dxfId="9383" priority="7031">
      <formula>$C46="Rent"</formula>
    </cfRule>
    <cfRule type="expression" dxfId="9382" priority="7032">
      <formula>$C46="Petrol"</formula>
    </cfRule>
    <cfRule type="expression" dxfId="9381" priority="7033">
      <formula>$C46="Bills"</formula>
    </cfRule>
    <cfRule type="expression" dxfId="9380" priority="7034">
      <formula>$C46="Sales"</formula>
    </cfRule>
    <cfRule type="expression" dxfId="9379" priority="7035">
      <formula>$C46="Expences"</formula>
    </cfRule>
    <cfRule type="expression" dxfId="9378" priority="7036">
      <formula>$C46="Garlic Purchase"</formula>
    </cfRule>
    <cfRule type="expression" dxfId="9377" priority="7037">
      <formula>$C46="Ginger Purchase"</formula>
    </cfRule>
  </conditionalFormatting>
  <conditionalFormatting sqref="B46 B52 B66 B156 B48:B50 B54 B56 B60 B58 B62 B68 B70:B72 B74:B75">
    <cfRule type="expression" dxfId="9376" priority="7038">
      <formula>$C46="Advance"</formula>
    </cfRule>
  </conditionalFormatting>
  <conditionalFormatting sqref="B46 B52 B66 B156 B48:B50 B54 B56 B60 B58 B62 B68 B70:B72 B74:B75">
    <cfRule type="expression" dxfId="9375" priority="7019">
      <formula>$C46="Delivery charge"</formula>
    </cfRule>
    <cfRule type="expression" dxfId="9374" priority="7020">
      <formula>$C46="Staff Salary"</formula>
    </cfRule>
    <cfRule type="expression" dxfId="9373" priority="7021">
      <formula>$C46="Rent"</formula>
    </cfRule>
    <cfRule type="expression" dxfId="9372" priority="7022">
      <formula>$C46="Petrol"</formula>
    </cfRule>
    <cfRule type="expression" dxfId="9371" priority="7023">
      <formula>$C46="Bills"</formula>
    </cfRule>
    <cfRule type="expression" dxfId="9370" priority="7024">
      <formula>$C46="Sales"</formula>
    </cfRule>
    <cfRule type="expression" dxfId="9369" priority="7025">
      <formula>$C46="Expences"</formula>
    </cfRule>
    <cfRule type="expression" dxfId="9368" priority="7026">
      <formula>$C46="Garlic Purchase"</formula>
    </cfRule>
    <cfRule type="expression" dxfId="9367" priority="7027">
      <formula>$C46="Ginger Purchase"</formula>
    </cfRule>
  </conditionalFormatting>
  <conditionalFormatting sqref="B46 B52 B66 B156 B48:B50 B54 B56 B60 B58 B62 B68 B70:B72 B74:B75">
    <cfRule type="expression" dxfId="9366" priority="7028">
      <formula>$C46="Advance"</formula>
    </cfRule>
  </conditionalFormatting>
  <conditionalFormatting sqref="B46 B52 B66 B156 B48:B50 B54 B56 B60 B58 B62 B68 B70:B72 B74:B75">
    <cfRule type="expression" dxfId="9365" priority="7009">
      <formula>$C46="Delivery charge"</formula>
    </cfRule>
    <cfRule type="expression" dxfId="9364" priority="7010">
      <formula>$C46="Staff Salary"</formula>
    </cfRule>
    <cfRule type="expression" dxfId="9363" priority="7011">
      <formula>$C46="Rent"</formula>
    </cfRule>
    <cfRule type="expression" dxfId="9362" priority="7012">
      <formula>$C46="Petrol"</formula>
    </cfRule>
    <cfRule type="expression" dxfId="9361" priority="7013">
      <formula>$C46="Bills"</formula>
    </cfRule>
    <cfRule type="expression" dxfId="9360" priority="7014">
      <formula>$C46="Sales"</formula>
    </cfRule>
    <cfRule type="expression" dxfId="9359" priority="7015">
      <formula>$C46="Expences"</formula>
    </cfRule>
    <cfRule type="expression" dxfId="9358" priority="7016">
      <formula>$C46="Garlic Purchase"</formula>
    </cfRule>
    <cfRule type="expression" dxfId="9357" priority="7017">
      <formula>$C46="Ginger Purchase"</formula>
    </cfRule>
  </conditionalFormatting>
  <conditionalFormatting sqref="B46 B52 B66 B156 B48:B50 B54 B56 B60 B58 B62 B68 B70:B72 B74:B75">
    <cfRule type="expression" dxfId="9356" priority="7018">
      <formula>$C46="Advance"</formula>
    </cfRule>
  </conditionalFormatting>
  <conditionalFormatting sqref="B46 B52 B66 B156 B48:B50 B54 B56 B60 B58 B62 B68 B70:B72 B74:B75">
    <cfRule type="expression" dxfId="9355" priority="6999">
      <formula>$C46="Delivery charge"</formula>
    </cfRule>
    <cfRule type="expression" dxfId="9354" priority="7000">
      <formula>$C46="Staff Salary"</formula>
    </cfRule>
    <cfRule type="expression" dxfId="9353" priority="7001">
      <formula>$C46="Rent"</formula>
    </cfRule>
    <cfRule type="expression" dxfId="9352" priority="7002">
      <formula>$C46="Petrol"</formula>
    </cfRule>
    <cfRule type="expression" dxfId="9351" priority="7003">
      <formula>$C46="Bills"</formula>
    </cfRule>
    <cfRule type="expression" dxfId="9350" priority="7004">
      <formula>$C46="Sales"</formula>
    </cfRule>
    <cfRule type="expression" dxfId="9349" priority="7005">
      <formula>$C46="Expences"</formula>
    </cfRule>
    <cfRule type="expression" dxfId="9348" priority="7006">
      <formula>$C46="Garlic Purchase"</formula>
    </cfRule>
    <cfRule type="expression" dxfId="9347" priority="7007">
      <formula>$C46="Ginger Purchase"</formula>
    </cfRule>
  </conditionalFormatting>
  <conditionalFormatting sqref="B46 B52 B66 B156 B48:B50 B54 B56 B60 B58 B62 B68 B70:B72 B74:B75">
    <cfRule type="expression" dxfId="9346" priority="7008">
      <formula>$C46="Advance"</formula>
    </cfRule>
  </conditionalFormatting>
  <conditionalFormatting sqref="B46 B52 B66 B156 B48:B50 B54 B56 B60 B58 B62 B68 B70:B72 B74:B75">
    <cfRule type="expression" dxfId="9345" priority="6989">
      <formula>$C46="Delivery charge"</formula>
    </cfRule>
    <cfRule type="expression" dxfId="9344" priority="6990">
      <formula>$C46="Staff Salary"</formula>
    </cfRule>
    <cfRule type="expression" dxfId="9343" priority="6991">
      <formula>$C46="Rent"</formula>
    </cfRule>
    <cfRule type="expression" dxfId="9342" priority="6992">
      <formula>$C46="Petrol"</formula>
    </cfRule>
    <cfRule type="expression" dxfId="9341" priority="6993">
      <formula>$C46="Bills"</formula>
    </cfRule>
    <cfRule type="expression" dxfId="9340" priority="6994">
      <formula>$C46="Sales"</formula>
    </cfRule>
    <cfRule type="expression" dxfId="9339" priority="6995">
      <formula>$C46="Expences"</formula>
    </cfRule>
    <cfRule type="expression" dxfId="9338" priority="6996">
      <formula>$C46="Garlic Purchase"</formula>
    </cfRule>
    <cfRule type="expression" dxfId="9337" priority="6997">
      <formula>$C46="Ginger Purchase"</formula>
    </cfRule>
  </conditionalFormatting>
  <conditionalFormatting sqref="B46 B52 B66 B156 B48:B50 B54 B56 B60 B58 B62 B68 B70:B72 B74:B75">
    <cfRule type="expression" dxfId="9336" priority="6998">
      <formula>$C46="Advance"</formula>
    </cfRule>
  </conditionalFormatting>
  <conditionalFormatting sqref="B46 B52 B66 B156 B48:B50 B54 B56 B60 B58 B62 B68 B70:B72 B74:B75">
    <cfRule type="expression" dxfId="9335" priority="6979">
      <formula>$C46="Delivery charge"</formula>
    </cfRule>
    <cfRule type="expression" dxfId="9334" priority="6980">
      <formula>$C46="Staff Salary"</formula>
    </cfRule>
    <cfRule type="expression" dxfId="9333" priority="6981">
      <formula>$C46="Rent"</formula>
    </cfRule>
    <cfRule type="expression" dxfId="9332" priority="6982">
      <formula>$C46="Petrol"</formula>
    </cfRule>
    <cfRule type="expression" dxfId="9331" priority="6983">
      <formula>$C46="Bills"</formula>
    </cfRule>
    <cfRule type="expression" dxfId="9330" priority="6984">
      <formula>$C46="Sales"</formula>
    </cfRule>
    <cfRule type="expression" dxfId="9329" priority="6985">
      <formula>$C46="Expences"</formula>
    </cfRule>
    <cfRule type="expression" dxfId="9328" priority="6986">
      <formula>$C46="Garlic Purchase"</formula>
    </cfRule>
    <cfRule type="expression" dxfId="9327" priority="6987">
      <formula>$C46="Ginger Purchase"</formula>
    </cfRule>
  </conditionalFormatting>
  <conditionalFormatting sqref="B46 B52 B66 B156 B48:B50 B54 B56 B60 B58 B62 B68 B70:B72 B74:B75">
    <cfRule type="expression" dxfId="9326" priority="6988">
      <formula>$C46="Advance"</formula>
    </cfRule>
  </conditionalFormatting>
  <conditionalFormatting sqref="B46 B52 B66 B156 B48:B50 B54 B56 B60 B58 B62 B68 B70:B72 B74:B75">
    <cfRule type="expression" dxfId="9325" priority="6969">
      <formula>$C46="Delivery charge"</formula>
    </cfRule>
    <cfRule type="expression" dxfId="9324" priority="6970">
      <formula>$C46="Staff Salary"</formula>
    </cfRule>
    <cfRule type="expression" dxfId="9323" priority="6971">
      <formula>$C46="Rent"</formula>
    </cfRule>
    <cfRule type="expression" dxfId="9322" priority="6972">
      <formula>$C46="Petrol"</formula>
    </cfRule>
    <cfRule type="expression" dxfId="9321" priority="6973">
      <formula>$C46="Bills"</formula>
    </cfRule>
    <cfRule type="expression" dxfId="9320" priority="6974">
      <formula>$C46="Sales"</formula>
    </cfRule>
    <cfRule type="expression" dxfId="9319" priority="6975">
      <formula>$C46="Expences"</formula>
    </cfRule>
    <cfRule type="expression" dxfId="9318" priority="6976">
      <formula>$C46="Garlic Purchase"</formula>
    </cfRule>
    <cfRule type="expression" dxfId="9317" priority="6977">
      <formula>$C46="Ginger Purchase"</formula>
    </cfRule>
  </conditionalFormatting>
  <conditionalFormatting sqref="B46 B52 B66 B156 B48:B50 B54 B56 B60 B58 B62 B68 B70:B72 B74:B75">
    <cfRule type="expression" dxfId="9316" priority="6978">
      <formula>$C46="Advance"</formula>
    </cfRule>
  </conditionalFormatting>
  <conditionalFormatting sqref="B46 B52 B66 B156 B48:B50 B54 B56 B60 B58 B62 B68 B70:B72 B74:B75">
    <cfRule type="expression" dxfId="9315" priority="6959">
      <formula>$C46="Delivery charge"</formula>
    </cfRule>
    <cfRule type="expression" dxfId="9314" priority="6960">
      <formula>$C46="Staff Salary"</formula>
    </cfRule>
    <cfRule type="expression" dxfId="9313" priority="6961">
      <formula>$C46="Rent"</formula>
    </cfRule>
    <cfRule type="expression" dxfId="9312" priority="6962">
      <formula>$C46="Petrol"</formula>
    </cfRule>
    <cfRule type="expression" dxfId="9311" priority="6963">
      <formula>$C46="Bills"</formula>
    </cfRule>
    <cfRule type="expression" dxfId="9310" priority="6964">
      <formula>$C46="Sales"</formula>
    </cfRule>
    <cfRule type="expression" dxfId="9309" priority="6965">
      <formula>$C46="Expences"</formula>
    </cfRule>
    <cfRule type="expression" dxfId="9308" priority="6966">
      <formula>$C46="Garlic Purchase"</formula>
    </cfRule>
    <cfRule type="expression" dxfId="9307" priority="6967">
      <formula>$C46="Ginger Purchase"</formula>
    </cfRule>
  </conditionalFormatting>
  <conditionalFormatting sqref="B46 B52 B66 B156 B48:B50 B54 B56 B60 B58 B62 B68 B70:B72 B74:B75">
    <cfRule type="expression" dxfId="9306" priority="6968">
      <formula>$C46="Advance"</formula>
    </cfRule>
  </conditionalFormatting>
  <conditionalFormatting sqref="B46 B52 B66 B156 B48:B50 B54 B56 B60 B58 B62 B68 B70:B72 B74:B75">
    <cfRule type="expression" dxfId="9305" priority="6949">
      <formula>$C46="Delivery charge"</formula>
    </cfRule>
    <cfRule type="expression" dxfId="9304" priority="6950">
      <formula>$C46="Staff Salary"</formula>
    </cfRule>
    <cfRule type="expression" dxfId="9303" priority="6951">
      <formula>$C46="Rent"</formula>
    </cfRule>
    <cfRule type="expression" dxfId="9302" priority="6952">
      <formula>$C46="Petrol"</formula>
    </cfRule>
    <cfRule type="expression" dxfId="9301" priority="6953">
      <formula>$C46="Bills"</formula>
    </cfRule>
    <cfRule type="expression" dxfId="9300" priority="6954">
      <formula>$C46="Sales"</formula>
    </cfRule>
    <cfRule type="expression" dxfId="9299" priority="6955">
      <formula>$C46="Expences"</formula>
    </cfRule>
    <cfRule type="expression" dxfId="9298" priority="6956">
      <formula>$C46="Garlic Purchase"</formula>
    </cfRule>
    <cfRule type="expression" dxfId="9297" priority="6957">
      <formula>$C46="Ginger Purchase"</formula>
    </cfRule>
  </conditionalFormatting>
  <conditionalFormatting sqref="B46 B52 B66 B156 B48:B50 B54 B56 B60 B58 B62 B68 B70:B72 B74:B75">
    <cfRule type="expression" dxfId="9296" priority="6958">
      <formula>$C46="Advance"</formula>
    </cfRule>
  </conditionalFormatting>
  <conditionalFormatting sqref="B46 B52 B66 B156 B48:B50 B54 B56 B60 B58 B62 B68 B70:B72 B74:B75">
    <cfRule type="expression" dxfId="9295" priority="6939">
      <formula>$C46="Delivery charge"</formula>
    </cfRule>
    <cfRule type="expression" dxfId="9294" priority="6940">
      <formula>$C46="Staff Salary"</formula>
    </cfRule>
    <cfRule type="expression" dxfId="9293" priority="6941">
      <formula>$C46="Rent"</formula>
    </cfRule>
    <cfRule type="expression" dxfId="9292" priority="6942">
      <formula>$C46="Petrol"</formula>
    </cfRule>
    <cfRule type="expression" dxfId="9291" priority="6943">
      <formula>$C46="Bills"</formula>
    </cfRule>
    <cfRule type="expression" dxfId="9290" priority="6944">
      <formula>$C46="Sales"</formula>
    </cfRule>
    <cfRule type="expression" dxfId="9289" priority="6945">
      <formula>$C46="Expences"</formula>
    </cfRule>
    <cfRule type="expression" dxfId="9288" priority="6946">
      <formula>$C46="Garlic Purchase"</formula>
    </cfRule>
    <cfRule type="expression" dxfId="9287" priority="6947">
      <formula>$C46="Ginger Purchase"</formula>
    </cfRule>
  </conditionalFormatting>
  <conditionalFormatting sqref="B46 B52 B66 B156 B48:B50 B54 B56 B60 B58 B62 B68 B70:B72 B74:B75">
    <cfRule type="expression" dxfId="9286" priority="6948">
      <formula>$C46="Advance"</formula>
    </cfRule>
  </conditionalFormatting>
  <conditionalFormatting sqref="B46 B52 B66 B156 B48:B50 B54 B56 B60 B58 B62 B68 B70:B72 B74:B75">
    <cfRule type="expression" dxfId="9285" priority="6929">
      <formula>$C46="Delivery charge"</formula>
    </cfRule>
    <cfRule type="expression" dxfId="9284" priority="6930">
      <formula>$C46="Staff Salary"</formula>
    </cfRule>
    <cfRule type="expression" dxfId="9283" priority="6931">
      <formula>$C46="Rent"</formula>
    </cfRule>
    <cfRule type="expression" dxfId="9282" priority="6932">
      <formula>$C46="Petrol"</formula>
    </cfRule>
    <cfRule type="expression" dxfId="9281" priority="6933">
      <formula>$C46="Bills"</formula>
    </cfRule>
    <cfRule type="expression" dxfId="9280" priority="6934">
      <formula>$C46="Sales"</formula>
    </cfRule>
    <cfRule type="expression" dxfId="9279" priority="6935">
      <formula>$C46="Expences"</formula>
    </cfRule>
    <cfRule type="expression" dxfId="9278" priority="6936">
      <formula>$C46="Garlic Purchase"</formula>
    </cfRule>
    <cfRule type="expression" dxfId="9277" priority="6937">
      <formula>$C46="Ginger Purchase"</formula>
    </cfRule>
  </conditionalFormatting>
  <conditionalFormatting sqref="B46 B52 B66 B156 B48:B50 B54 B56 B60 B58 B62 B68 B70:B72 B74:B75">
    <cfRule type="expression" dxfId="9276" priority="6938">
      <formula>$C46="Advance"</formula>
    </cfRule>
  </conditionalFormatting>
  <conditionalFormatting sqref="B46 B52 B66 B156 B48:B50 B54 B56 B60 B58 B62 B68 B70:B72 B74:B75">
    <cfRule type="expression" dxfId="9275" priority="6919">
      <formula>$C46="Delivery charge"</formula>
    </cfRule>
    <cfRule type="expression" dxfId="9274" priority="6920">
      <formula>$C46="Staff Salary"</formula>
    </cfRule>
    <cfRule type="expression" dxfId="9273" priority="6921">
      <formula>$C46="Rent"</formula>
    </cfRule>
    <cfRule type="expression" dxfId="9272" priority="6922">
      <formula>$C46="Petrol"</formula>
    </cfRule>
    <cfRule type="expression" dxfId="9271" priority="6923">
      <formula>$C46="Bills"</formula>
    </cfRule>
    <cfRule type="expression" dxfId="9270" priority="6924">
      <formula>$C46="Sales"</formula>
    </cfRule>
    <cfRule type="expression" dxfId="9269" priority="6925">
      <formula>$C46="Expences"</formula>
    </cfRule>
    <cfRule type="expression" dxfId="9268" priority="6926">
      <formula>$C46="Garlic Purchase"</formula>
    </cfRule>
    <cfRule type="expression" dxfId="9267" priority="6927">
      <formula>$C46="Ginger Purchase"</formula>
    </cfRule>
  </conditionalFormatting>
  <conditionalFormatting sqref="B46 B52 B66 B156 B48:B50 B54 B56 B60 B58 B62 B68 B70:B72 B74:B75">
    <cfRule type="expression" dxfId="9266" priority="6928">
      <formula>$C46="Advance"</formula>
    </cfRule>
  </conditionalFormatting>
  <conditionalFormatting sqref="B46 B52 B66 B156 B48:B50 B54 B56 B60 B58 B62 B68 B70:B72 B74:B75">
    <cfRule type="expression" dxfId="9265" priority="6918">
      <formula>$C46="Advance"</formula>
    </cfRule>
  </conditionalFormatting>
  <conditionalFormatting sqref="B46 B52 B66 B156 B48:B50 B54 B56 B60 B58 B62 B68 B70:B72 B74:B75">
    <cfRule type="expression" dxfId="9264" priority="6909">
      <formula>$C46="Delivery charge"</formula>
    </cfRule>
    <cfRule type="expression" dxfId="9263" priority="6910">
      <formula>$C46="Staff Salary"</formula>
    </cfRule>
    <cfRule type="expression" dxfId="9262" priority="6911">
      <formula>$C46="Rent"</formula>
    </cfRule>
    <cfRule type="expression" dxfId="9261" priority="6912">
      <formula>$C46="Petrol"</formula>
    </cfRule>
    <cfRule type="expression" dxfId="9260" priority="6913">
      <formula>$C46="Bills"</formula>
    </cfRule>
    <cfRule type="expression" dxfId="9259" priority="6914">
      <formula>$C46="Sales"</formula>
    </cfRule>
    <cfRule type="expression" dxfId="9258" priority="6915">
      <formula>$C46="Expences"</formula>
    </cfRule>
    <cfRule type="expression" dxfId="9257" priority="6916">
      <formula>$C46="Garlic Purchase"</formula>
    </cfRule>
    <cfRule type="expression" dxfId="9256" priority="6917">
      <formula>$C46="Ginger Purchase"</formula>
    </cfRule>
  </conditionalFormatting>
  <conditionalFormatting sqref="B46 B52 B66 B156 B48:B50 B54 B56 B60 B58 B62 B68 B70:B72 B74:B75">
    <cfRule type="expression" dxfId="9255" priority="6899">
      <formula>$C46="Delivery charge"</formula>
    </cfRule>
    <cfRule type="expression" dxfId="9254" priority="6900">
      <formula>$C46="Staff Salary"</formula>
    </cfRule>
    <cfRule type="expression" dxfId="9253" priority="6901">
      <formula>$C46="Rent"</formula>
    </cfRule>
    <cfRule type="expression" dxfId="9252" priority="6902">
      <formula>$C46="Petrol"</formula>
    </cfRule>
    <cfRule type="expression" dxfId="9251" priority="6903">
      <formula>$C46="Bills"</formula>
    </cfRule>
    <cfRule type="expression" dxfId="9250" priority="6904">
      <formula>$C46="Sales"</formula>
    </cfRule>
    <cfRule type="expression" dxfId="9249" priority="6905">
      <formula>$C46="Expences"</formula>
    </cfRule>
    <cfRule type="expression" dxfId="9248" priority="6906">
      <formula>$C46="Garlic Purchase"</formula>
    </cfRule>
    <cfRule type="expression" dxfId="9247" priority="6907">
      <formula>$C46="Ginger Purchase"</formula>
    </cfRule>
  </conditionalFormatting>
  <conditionalFormatting sqref="B46 B52 B66 B156 B48:B50 B54 B56 B60 B58 B62 B68 B70:B72 B74:B75">
    <cfRule type="expression" dxfId="9246" priority="6908">
      <formula>$C46="Advance"</formula>
    </cfRule>
  </conditionalFormatting>
  <conditionalFormatting sqref="B46 B52 B66 B156 B48:B50 B54 B56 B60 B58 B62 B68 B70:B72 B74:B75">
    <cfRule type="expression" dxfId="9245" priority="6889">
      <formula>$C46="Delivery charge"</formula>
    </cfRule>
    <cfRule type="expression" dxfId="9244" priority="6890">
      <formula>$C46="Staff Salary"</formula>
    </cfRule>
    <cfRule type="expression" dxfId="9243" priority="6891">
      <formula>$C46="Rent"</formula>
    </cfRule>
    <cfRule type="expression" dxfId="9242" priority="6892">
      <formula>$C46="Petrol"</formula>
    </cfRule>
    <cfRule type="expression" dxfId="9241" priority="6893">
      <formula>$C46="Bills"</formula>
    </cfRule>
    <cfRule type="expression" dxfId="9240" priority="6894">
      <formula>$C46="Sales"</formula>
    </cfRule>
    <cfRule type="expression" dxfId="9239" priority="6895">
      <formula>$C46="Expences"</formula>
    </cfRule>
    <cfRule type="expression" dxfId="9238" priority="6896">
      <formula>$C46="Garlic Purchase"</formula>
    </cfRule>
    <cfRule type="expression" dxfId="9237" priority="6897">
      <formula>$C46="Ginger Purchase"</formula>
    </cfRule>
  </conditionalFormatting>
  <conditionalFormatting sqref="B46 B52 B66 B156 B48:B50 B54 B56 B60 B58 B62 B68 B70:B72 B74:B75">
    <cfRule type="expression" dxfId="9236" priority="6898">
      <formula>$C46="Advance"</formula>
    </cfRule>
  </conditionalFormatting>
  <conditionalFormatting sqref="B46 B52 B66 B156 B48:B50 B54 B56 B60 B58 B62 B68 B70:B72 B74:B75">
    <cfRule type="expression" dxfId="9235" priority="6879">
      <formula>$C46="Delivery charge"</formula>
    </cfRule>
    <cfRule type="expression" dxfId="9234" priority="6880">
      <formula>$C46="Staff Salary"</formula>
    </cfRule>
    <cfRule type="expression" dxfId="9233" priority="6881">
      <formula>$C46="Rent"</formula>
    </cfRule>
    <cfRule type="expression" dxfId="9232" priority="6882">
      <formula>$C46="Petrol"</formula>
    </cfRule>
    <cfRule type="expression" dxfId="9231" priority="6883">
      <formula>$C46="Bills"</formula>
    </cfRule>
    <cfRule type="expression" dxfId="9230" priority="6884">
      <formula>$C46="Sales"</formula>
    </cfRule>
    <cfRule type="expression" dxfId="9229" priority="6885">
      <formula>$C46="Expences"</formula>
    </cfRule>
    <cfRule type="expression" dxfId="9228" priority="6886">
      <formula>$C46="Garlic Purchase"</formula>
    </cfRule>
    <cfRule type="expression" dxfId="9227" priority="6887">
      <formula>$C46="Ginger Purchase"</formula>
    </cfRule>
  </conditionalFormatting>
  <conditionalFormatting sqref="B46 B52 B66 B156 B48:B50 B54 B56 B60 B58 B62 B68 B70:B72 B74:B75">
    <cfRule type="expression" dxfId="9226" priority="6888">
      <formula>$C46="Advance"</formula>
    </cfRule>
  </conditionalFormatting>
  <conditionalFormatting sqref="B46 B52 B66 B156 B48:B50 B54 B56 B60 B58 B62 B68 B70:B72 B74:B75">
    <cfRule type="expression" dxfId="9225" priority="6869">
      <formula>$C46="Delivery charge"</formula>
    </cfRule>
    <cfRule type="expression" dxfId="9224" priority="6870">
      <formula>$C46="Staff Salary"</formula>
    </cfRule>
    <cfRule type="expression" dxfId="9223" priority="6871">
      <formula>$C46="Rent"</formula>
    </cfRule>
    <cfRule type="expression" dxfId="9222" priority="6872">
      <formula>$C46="Petrol"</formula>
    </cfRule>
    <cfRule type="expression" dxfId="9221" priority="6873">
      <formula>$C46="Bills"</formula>
    </cfRule>
    <cfRule type="expression" dxfId="9220" priority="6874">
      <formula>$C46="Sales"</formula>
    </cfRule>
    <cfRule type="expression" dxfId="9219" priority="6875">
      <formula>$C46="Expences"</formula>
    </cfRule>
    <cfRule type="expression" dxfId="9218" priority="6876">
      <formula>$C46="Garlic Purchase"</formula>
    </cfRule>
    <cfRule type="expression" dxfId="9217" priority="6877">
      <formula>$C46="Ginger Purchase"</formula>
    </cfRule>
  </conditionalFormatting>
  <conditionalFormatting sqref="B46 B52 B66 B156 B48:B50 B54 B56 B60 B58 B62 B68 B70:B72 B74:B75">
    <cfRule type="expression" dxfId="9216" priority="6878">
      <formula>$C46="Advance"</formula>
    </cfRule>
  </conditionalFormatting>
  <conditionalFormatting sqref="B46 B52 B66 B156 B48:B50 B54 B56 B60 B58 B62 B68 B70:B72 B74:B75">
    <cfRule type="expression" dxfId="9215" priority="6859">
      <formula>$C46="Delivery charge"</formula>
    </cfRule>
    <cfRule type="expression" dxfId="9214" priority="6860">
      <formula>$C46="Staff Salary"</formula>
    </cfRule>
    <cfRule type="expression" dxfId="9213" priority="6861">
      <formula>$C46="Rent"</formula>
    </cfRule>
    <cfRule type="expression" dxfId="9212" priority="6862">
      <formula>$C46="Petrol"</formula>
    </cfRule>
    <cfRule type="expression" dxfId="9211" priority="6863">
      <formula>$C46="Bills"</formula>
    </cfRule>
    <cfRule type="expression" dxfId="9210" priority="6864">
      <formula>$C46="Sales"</formula>
    </cfRule>
    <cfRule type="expression" dxfId="9209" priority="6865">
      <formula>$C46="Expences"</formula>
    </cfRule>
    <cfRule type="expression" dxfId="9208" priority="6866">
      <formula>$C46="Garlic Purchase"</formula>
    </cfRule>
    <cfRule type="expression" dxfId="9207" priority="6867">
      <formula>$C46="Ginger Purchase"</formula>
    </cfRule>
  </conditionalFormatting>
  <conditionalFormatting sqref="B46 B52 B66 B156 B48:B50 B54 B56 B60 B58 B62 B68 B70:B72 B74:B75">
    <cfRule type="expression" dxfId="9206" priority="6868">
      <formula>$C46="Advance"</formula>
    </cfRule>
  </conditionalFormatting>
  <conditionalFormatting sqref="B46 B52 B66 B156 B48:B50 B54 B56 B60 B58 B62 B68 B70:B72 B74:B75">
    <cfRule type="expression" dxfId="9205" priority="6849">
      <formula>$C46="Delivery charge"</formula>
    </cfRule>
    <cfRule type="expression" dxfId="9204" priority="6850">
      <formula>$C46="Staff Salary"</formula>
    </cfRule>
    <cfRule type="expression" dxfId="9203" priority="6851">
      <formula>$C46="Rent"</formula>
    </cfRule>
    <cfRule type="expression" dxfId="9202" priority="6852">
      <formula>$C46="Petrol"</formula>
    </cfRule>
    <cfRule type="expression" dxfId="9201" priority="6853">
      <formula>$C46="Bills"</formula>
    </cfRule>
    <cfRule type="expression" dxfId="9200" priority="6854">
      <formula>$C46="Sales"</formula>
    </cfRule>
    <cfRule type="expression" dxfId="9199" priority="6855">
      <formula>$C46="Expences"</formula>
    </cfRule>
    <cfRule type="expression" dxfId="9198" priority="6856">
      <formula>$C46="Garlic Purchase"</formula>
    </cfRule>
    <cfRule type="expression" dxfId="9197" priority="6857">
      <formula>$C46="Ginger Purchase"</formula>
    </cfRule>
  </conditionalFormatting>
  <conditionalFormatting sqref="B46 B52 B66 B156 B48:B50 B54 B56 B60 B58 B62 B68 B70:B72 B74:B75">
    <cfRule type="expression" dxfId="9196" priority="6858">
      <formula>$C46="Advance"</formula>
    </cfRule>
  </conditionalFormatting>
  <conditionalFormatting sqref="B46 B52 B66 B156 B48:B50 B54 B56 B60 B58 B62 B68 B70:B72 B74:B75">
    <cfRule type="expression" dxfId="9195" priority="6839">
      <formula>$C46="Delivery charge"</formula>
    </cfRule>
    <cfRule type="expression" dxfId="9194" priority="6840">
      <formula>$C46="Staff Salary"</formula>
    </cfRule>
    <cfRule type="expression" dxfId="9193" priority="6841">
      <formula>$C46="Rent"</formula>
    </cfRule>
    <cfRule type="expression" dxfId="9192" priority="6842">
      <formula>$C46="Petrol"</formula>
    </cfRule>
    <cfRule type="expression" dxfId="9191" priority="6843">
      <formula>$C46="Bills"</formula>
    </cfRule>
    <cfRule type="expression" dxfId="9190" priority="6844">
      <formula>$C46="Sales"</formula>
    </cfRule>
    <cfRule type="expression" dxfId="9189" priority="6845">
      <formula>$C46="Expences"</formula>
    </cfRule>
    <cfRule type="expression" dxfId="9188" priority="6846">
      <formula>$C46="Garlic Purchase"</formula>
    </cfRule>
    <cfRule type="expression" dxfId="9187" priority="6847">
      <formula>$C46="Ginger Purchase"</formula>
    </cfRule>
  </conditionalFormatting>
  <conditionalFormatting sqref="B46 B52 B66 B156 B48:B50 B54 B56 B60 B58 B62 B68 B70:B72 B74:B75">
    <cfRule type="expression" dxfId="9186" priority="6848">
      <formula>$C46="Advance"</formula>
    </cfRule>
  </conditionalFormatting>
  <conditionalFormatting sqref="B46 B52 B66 B156 B48:B50 B54 B56 B60 B58 B62 B68 B70:B72 B74:B75">
    <cfRule type="expression" dxfId="9185" priority="6829">
      <formula>$C46="Delivery charge"</formula>
    </cfRule>
    <cfRule type="expression" dxfId="9184" priority="6830">
      <formula>$C46="Staff Salary"</formula>
    </cfRule>
    <cfRule type="expression" dxfId="9183" priority="6831">
      <formula>$C46="Rent"</formula>
    </cfRule>
    <cfRule type="expression" dxfId="9182" priority="6832">
      <formula>$C46="Petrol"</formula>
    </cfRule>
    <cfRule type="expression" dxfId="9181" priority="6833">
      <formula>$C46="Bills"</formula>
    </cfRule>
    <cfRule type="expression" dxfId="9180" priority="6834">
      <formula>$C46="Sales"</formula>
    </cfRule>
    <cfRule type="expression" dxfId="9179" priority="6835">
      <formula>$C46="Expences"</formula>
    </cfRule>
    <cfRule type="expression" dxfId="9178" priority="6836">
      <formula>$C46="Garlic Purchase"</formula>
    </cfRule>
    <cfRule type="expression" dxfId="9177" priority="6837">
      <formula>$C46="Ginger Purchase"</formula>
    </cfRule>
  </conditionalFormatting>
  <conditionalFormatting sqref="B46 B52 B66 B156 B48:B50 B54 B56 B60 B58 B62 B68 B70:B72 B74:B75">
    <cfRule type="expression" dxfId="9176" priority="6838">
      <formula>$C46="Advance"</formula>
    </cfRule>
  </conditionalFormatting>
  <conditionalFormatting sqref="B46 B52 B66 B156 B48:B50 B54 B56 B60 B58 B62 B68 B70:B72 B74:B75">
    <cfRule type="expression" dxfId="9175" priority="6819">
      <formula>$C46="Delivery charge"</formula>
    </cfRule>
    <cfRule type="expression" dxfId="9174" priority="6820">
      <formula>$C46="Staff Salary"</formula>
    </cfRule>
    <cfRule type="expression" dxfId="9173" priority="6821">
      <formula>$C46="Rent"</formula>
    </cfRule>
    <cfRule type="expression" dxfId="9172" priority="6822">
      <formula>$C46="Petrol"</formula>
    </cfRule>
    <cfRule type="expression" dxfId="9171" priority="6823">
      <formula>$C46="Bills"</formula>
    </cfRule>
    <cfRule type="expression" dxfId="9170" priority="6824">
      <formula>$C46="Sales"</formula>
    </cfRule>
    <cfRule type="expression" dxfId="9169" priority="6825">
      <formula>$C46="Expences"</formula>
    </cfRule>
    <cfRule type="expression" dxfId="9168" priority="6826">
      <formula>$C46="Garlic Purchase"</formula>
    </cfRule>
    <cfRule type="expression" dxfId="9167" priority="6827">
      <formula>$C46="Ginger Purchase"</formula>
    </cfRule>
  </conditionalFormatting>
  <conditionalFormatting sqref="B46 B52 B66 B156 B48:B50 B54 B56 B60 B58 B62 B68 B70:B72 B74:B75">
    <cfRule type="expression" dxfId="9166" priority="6828">
      <formula>$C46="Advance"</formula>
    </cfRule>
  </conditionalFormatting>
  <conditionalFormatting sqref="B46 B52 B66 B156 B48:B50 B54 B56 B60 B58 B62 B68 B70:B72 B74:B75">
    <cfRule type="expression" dxfId="9165" priority="6809">
      <formula>$C46="Delivery charge"</formula>
    </cfRule>
    <cfRule type="expression" dxfId="9164" priority="6810">
      <formula>$C46="Staff Salary"</formula>
    </cfRule>
    <cfRule type="expression" dxfId="9163" priority="6811">
      <formula>$C46="Rent"</formula>
    </cfRule>
    <cfRule type="expression" dxfId="9162" priority="6812">
      <formula>$C46="Petrol"</formula>
    </cfRule>
    <cfRule type="expression" dxfId="9161" priority="6813">
      <formula>$C46="Bills"</formula>
    </cfRule>
    <cfRule type="expression" dxfId="9160" priority="6814">
      <formula>$C46="Sales"</formula>
    </cfRule>
    <cfRule type="expression" dxfId="9159" priority="6815">
      <formula>$C46="Expences"</formula>
    </cfRule>
    <cfRule type="expression" dxfId="9158" priority="6816">
      <formula>$C46="Garlic Purchase"</formula>
    </cfRule>
    <cfRule type="expression" dxfId="9157" priority="6817">
      <formula>$C46="Ginger Purchase"</formula>
    </cfRule>
  </conditionalFormatting>
  <conditionalFormatting sqref="B46 B52 B66 B156 B48:B50 B54 B56 B60 B58 B62 B68 B70:B72 B74:B75">
    <cfRule type="expression" dxfId="9156" priority="6818">
      <formula>$C46="Advance"</formula>
    </cfRule>
  </conditionalFormatting>
  <conditionalFormatting sqref="B46 B52 B66 B156 B48:B50 B54 B56 B60 B58 B62 B68 B70:B72 B74:B75">
    <cfRule type="expression" dxfId="9155" priority="6799">
      <formula>$C46="Delivery charge"</formula>
    </cfRule>
    <cfRule type="expression" dxfId="9154" priority="6800">
      <formula>$C46="Staff Salary"</formula>
    </cfRule>
    <cfRule type="expression" dxfId="9153" priority="6801">
      <formula>$C46="Rent"</formula>
    </cfRule>
    <cfRule type="expression" dxfId="9152" priority="6802">
      <formula>$C46="Petrol"</formula>
    </cfRule>
    <cfRule type="expression" dxfId="9151" priority="6803">
      <formula>$C46="Bills"</formula>
    </cfRule>
    <cfRule type="expression" dxfId="9150" priority="6804">
      <formula>$C46="Sales"</formula>
    </cfRule>
    <cfRule type="expression" dxfId="9149" priority="6805">
      <formula>$C46="Expences"</formula>
    </cfRule>
    <cfRule type="expression" dxfId="9148" priority="6806">
      <formula>$C46="Garlic Purchase"</formula>
    </cfRule>
    <cfRule type="expression" dxfId="9147" priority="6807">
      <formula>$C46="Ginger Purchase"</formula>
    </cfRule>
  </conditionalFormatting>
  <conditionalFormatting sqref="B46 B52 B66 B156 B48:B50 B54 B56 B60 B58 B62 B68 B70:B72 B74:B75">
    <cfRule type="expression" dxfId="9146" priority="6808">
      <formula>$C46="Advance"</formula>
    </cfRule>
  </conditionalFormatting>
  <conditionalFormatting sqref="B46 B52 B66 B156 B48:B50 B54 B56 B60 B58 B62 B68 B70:B72 B74:B75">
    <cfRule type="expression" dxfId="9145" priority="6789">
      <formula>$C46="Delivery charge"</formula>
    </cfRule>
    <cfRule type="expression" dxfId="9144" priority="6790">
      <formula>$C46="Staff Salary"</formula>
    </cfRule>
    <cfRule type="expression" dxfId="9143" priority="6791">
      <formula>$C46="Rent"</formula>
    </cfRule>
    <cfRule type="expression" dxfId="9142" priority="6792">
      <formula>$C46="Petrol"</formula>
    </cfRule>
    <cfRule type="expression" dxfId="9141" priority="6793">
      <formula>$C46="Bills"</formula>
    </cfRule>
    <cfRule type="expression" dxfId="9140" priority="6794">
      <formula>$C46="Sales"</formula>
    </cfRule>
    <cfRule type="expression" dxfId="9139" priority="6795">
      <formula>$C46="Expences"</formula>
    </cfRule>
    <cfRule type="expression" dxfId="9138" priority="6796">
      <formula>$C46="Garlic Purchase"</formula>
    </cfRule>
    <cfRule type="expression" dxfId="9137" priority="6797">
      <formula>$C46="Ginger Purchase"</formula>
    </cfRule>
  </conditionalFormatting>
  <conditionalFormatting sqref="B46 B52 B66 B156 B48:B50 B54 B56 B60 B58 B62 B68 B70:B72 B74:B75">
    <cfRule type="expression" dxfId="9136" priority="6798">
      <formula>$C46="Advance"</formula>
    </cfRule>
  </conditionalFormatting>
  <conditionalFormatting sqref="B46 B52 B66 B156 B48:B50 B54 B56 B60 B58 B62 B68 B70:B72 B74:B75">
    <cfRule type="expression" dxfId="9135" priority="6779">
      <formula>$C46="Delivery charge"</formula>
    </cfRule>
    <cfRule type="expression" dxfId="9134" priority="6780">
      <formula>$C46="Staff Salary"</formula>
    </cfRule>
    <cfRule type="expression" dxfId="9133" priority="6781">
      <formula>$C46="Rent"</formula>
    </cfRule>
    <cfRule type="expression" dxfId="9132" priority="6782">
      <formula>$C46="Petrol"</formula>
    </cfRule>
    <cfRule type="expression" dxfId="9131" priority="6783">
      <formula>$C46="Bills"</formula>
    </cfRule>
    <cfRule type="expression" dxfId="9130" priority="6784">
      <formula>$C46="Sales"</formula>
    </cfRule>
    <cfRule type="expression" dxfId="9129" priority="6785">
      <formula>$C46="Expences"</formula>
    </cfRule>
    <cfRule type="expression" dxfId="9128" priority="6786">
      <formula>$C46="Garlic Purchase"</formula>
    </cfRule>
    <cfRule type="expression" dxfId="9127" priority="6787">
      <formula>$C46="Ginger Purchase"</formula>
    </cfRule>
  </conditionalFormatting>
  <conditionalFormatting sqref="B46 B52 B66 B156 B48:B50 B54 B56 B60 B58 B62 B68 B70:B72 B74:B75">
    <cfRule type="expression" dxfId="9126" priority="6788">
      <formula>$C46="Advance"</formula>
    </cfRule>
  </conditionalFormatting>
  <conditionalFormatting sqref="B46 B52 B66 B156 B48:B50 B54 B56 B60 B58 B62 B68 B70:B72 B74:B75">
    <cfRule type="expression" dxfId="9125" priority="6769">
      <formula>$C46="Delivery charge"</formula>
    </cfRule>
    <cfRule type="expression" dxfId="9124" priority="6770">
      <formula>$C46="Staff Salary"</formula>
    </cfRule>
    <cfRule type="expression" dxfId="9123" priority="6771">
      <formula>$C46="Rent"</formula>
    </cfRule>
    <cfRule type="expression" dxfId="9122" priority="6772">
      <formula>$C46="Petrol"</formula>
    </cfRule>
    <cfRule type="expression" dxfId="9121" priority="6773">
      <formula>$C46="Bills"</formula>
    </cfRule>
    <cfRule type="expression" dxfId="9120" priority="6774">
      <formula>$C46="Sales"</formula>
    </cfRule>
    <cfRule type="expression" dxfId="9119" priority="6775">
      <formula>$C46="Expences"</formula>
    </cfRule>
    <cfRule type="expression" dxfId="9118" priority="6776">
      <formula>$C46="Garlic Purchase"</formula>
    </cfRule>
    <cfRule type="expression" dxfId="9117" priority="6777">
      <formula>$C46="Ginger Purchase"</formula>
    </cfRule>
  </conditionalFormatting>
  <conditionalFormatting sqref="B46 B52 B66 B156 B48:B50 B54 B56 B60 B58 B62 B68 B70:B72 B74:B75">
    <cfRule type="expression" dxfId="9116" priority="6778">
      <formula>$C46="Advance"</formula>
    </cfRule>
  </conditionalFormatting>
  <conditionalFormatting sqref="B46 B52 B66 B156 B48:B50 B54 B56 B60 B58 B62 B68 B70:B72 B74:B75">
    <cfRule type="expression" dxfId="9115" priority="6759">
      <formula>$C46="Delivery charge"</formula>
    </cfRule>
    <cfRule type="expression" dxfId="9114" priority="6760">
      <formula>$C46="Staff Salary"</formula>
    </cfRule>
    <cfRule type="expression" dxfId="9113" priority="6761">
      <formula>$C46="Rent"</formula>
    </cfRule>
    <cfRule type="expression" dxfId="9112" priority="6762">
      <formula>$C46="Petrol"</formula>
    </cfRule>
    <cfRule type="expression" dxfId="9111" priority="6763">
      <formula>$C46="Bills"</formula>
    </cfRule>
    <cfRule type="expression" dxfId="9110" priority="6764">
      <formula>$C46="Sales"</formula>
    </cfRule>
    <cfRule type="expression" dxfId="9109" priority="6765">
      <formula>$C46="Expences"</formula>
    </cfRule>
    <cfRule type="expression" dxfId="9108" priority="6766">
      <formula>$C46="Garlic Purchase"</formula>
    </cfRule>
    <cfRule type="expression" dxfId="9107" priority="6767">
      <formula>$C46="Ginger Purchase"</formula>
    </cfRule>
  </conditionalFormatting>
  <conditionalFormatting sqref="B46 B52 B66 B156 B48:B50 B54 B56 B60 B58 B62 B68 B70:B72 B74:B75">
    <cfRule type="expression" dxfId="9106" priority="6768">
      <formula>$C46="Advance"</formula>
    </cfRule>
  </conditionalFormatting>
  <conditionalFormatting sqref="B46 B52 B66 B156 B48:B50 B54 B56 B60 B58 B62 B68 B70:B72 B74:B75">
    <cfRule type="expression" dxfId="9105" priority="6749">
      <formula>$C46="Delivery charge"</formula>
    </cfRule>
    <cfRule type="expression" dxfId="9104" priority="6750">
      <formula>$C46="Staff Salary"</formula>
    </cfRule>
    <cfRule type="expression" dxfId="9103" priority="6751">
      <formula>$C46="Rent"</formula>
    </cfRule>
    <cfRule type="expression" dxfId="9102" priority="6752">
      <formula>$C46="Petrol"</formula>
    </cfRule>
    <cfRule type="expression" dxfId="9101" priority="6753">
      <formula>$C46="Bills"</formula>
    </cfRule>
    <cfRule type="expression" dxfId="9100" priority="6754">
      <formula>$C46="Sales"</formula>
    </cfRule>
    <cfRule type="expression" dxfId="9099" priority="6755">
      <formula>$C46="Expences"</formula>
    </cfRule>
    <cfRule type="expression" dxfId="9098" priority="6756">
      <formula>$C46="Garlic Purchase"</formula>
    </cfRule>
    <cfRule type="expression" dxfId="9097" priority="6757">
      <formula>$C46="Ginger Purchase"</formula>
    </cfRule>
  </conditionalFormatting>
  <conditionalFormatting sqref="B46 B52 B66 B156 B48:B50 B54 B56 B60 B58 B62 B68 B70:B72 B74:B75">
    <cfRule type="expression" dxfId="9096" priority="6758">
      <formula>$C46="Advance"</formula>
    </cfRule>
  </conditionalFormatting>
  <conditionalFormatting sqref="B46 B52 B66 B156 B48:B50 B54 B56 B60 B58 B62 B68 B70:B72 B74:B75">
    <cfRule type="expression" dxfId="9095" priority="6739">
      <formula>$C46="Delivery charge"</formula>
    </cfRule>
    <cfRule type="expression" dxfId="9094" priority="6740">
      <formula>$C46="Staff Salary"</formula>
    </cfRule>
    <cfRule type="expression" dxfId="9093" priority="6741">
      <formula>$C46="Rent"</formula>
    </cfRule>
    <cfRule type="expression" dxfId="9092" priority="6742">
      <formula>$C46="Petrol"</formula>
    </cfRule>
    <cfRule type="expression" dxfId="9091" priority="6743">
      <formula>$C46="Bills"</formula>
    </cfRule>
    <cfRule type="expression" dxfId="9090" priority="6744">
      <formula>$C46="Sales"</formula>
    </cfRule>
    <cfRule type="expression" dxfId="9089" priority="6745">
      <formula>$C46="Expences"</formula>
    </cfRule>
    <cfRule type="expression" dxfId="9088" priority="6746">
      <formula>$C46="Garlic Purchase"</formula>
    </cfRule>
    <cfRule type="expression" dxfId="9087" priority="6747">
      <formula>$C46="Ginger Purchase"</formula>
    </cfRule>
  </conditionalFormatting>
  <conditionalFormatting sqref="B46 B52 B66 B156 B48:B50 B54 B56 B60 B58 B62 B68 B70:B72 B74:B75">
    <cfRule type="expression" dxfId="9086" priority="6748">
      <formula>$C46="Advance"</formula>
    </cfRule>
  </conditionalFormatting>
  <conditionalFormatting sqref="B46 B52 B66 B156 B48:B50 B54 B56 B60 B58 B62 B68 B70:B72 B74:B75">
    <cfRule type="expression" dxfId="9085" priority="6729">
      <formula>$C46="Delivery charge"</formula>
    </cfRule>
    <cfRule type="expression" dxfId="9084" priority="6730">
      <formula>$C46="Staff Salary"</formula>
    </cfRule>
    <cfRule type="expression" dxfId="9083" priority="6731">
      <formula>$C46="Rent"</formula>
    </cfRule>
    <cfRule type="expression" dxfId="9082" priority="6732">
      <formula>$C46="Petrol"</formula>
    </cfRule>
    <cfRule type="expression" dxfId="9081" priority="6733">
      <formula>$C46="Bills"</formula>
    </cfRule>
    <cfRule type="expression" dxfId="9080" priority="6734">
      <formula>$C46="Sales"</formula>
    </cfRule>
    <cfRule type="expression" dxfId="9079" priority="6735">
      <formula>$C46="Expences"</formula>
    </cfRule>
    <cfRule type="expression" dxfId="9078" priority="6736">
      <formula>$C46="Garlic Purchase"</formula>
    </cfRule>
    <cfRule type="expression" dxfId="9077" priority="6737">
      <formula>$C46="Ginger Purchase"</formula>
    </cfRule>
  </conditionalFormatting>
  <conditionalFormatting sqref="B46 B52 B66 B156 B48:B50 B54 B56 B60 B58 B62 B68 B70:B72 B74:B75">
    <cfRule type="expression" dxfId="9076" priority="6738">
      <formula>$C46="Advance"</formula>
    </cfRule>
  </conditionalFormatting>
  <conditionalFormatting sqref="B46 B52 B66 B156 B48:B50 B54 B56 B60 B58 B62 B68 B70:B72 B74:B75">
    <cfRule type="expression" dxfId="9075" priority="6719">
      <formula>$C46="Delivery charge"</formula>
    </cfRule>
    <cfRule type="expression" dxfId="9074" priority="6720">
      <formula>$C46="Staff Salary"</formula>
    </cfRule>
    <cfRule type="expression" dxfId="9073" priority="6721">
      <formula>$C46="Rent"</formula>
    </cfRule>
    <cfRule type="expression" dxfId="9072" priority="6722">
      <formula>$C46="Petrol"</formula>
    </cfRule>
    <cfRule type="expression" dxfId="9071" priority="6723">
      <formula>$C46="Bills"</formula>
    </cfRule>
    <cfRule type="expression" dxfId="9070" priority="6724">
      <formula>$C46="Sales"</formula>
    </cfRule>
    <cfRule type="expression" dxfId="9069" priority="6725">
      <formula>$C46="Expences"</formula>
    </cfRule>
    <cfRule type="expression" dxfId="9068" priority="6726">
      <formula>$C46="Garlic Purchase"</formula>
    </cfRule>
    <cfRule type="expression" dxfId="9067" priority="6727">
      <formula>$C46="Ginger Purchase"</formula>
    </cfRule>
  </conditionalFormatting>
  <conditionalFormatting sqref="B46 B52 B66 B156 B48:B50 B54 B56 B60 B58 B62 B68 B70:B72 B74:B75">
    <cfRule type="expression" dxfId="9066" priority="6728">
      <formula>$C46="Advance"</formula>
    </cfRule>
  </conditionalFormatting>
  <conditionalFormatting sqref="B46 B52 B66 B156 B48:B50 B54 B56 B60 B58 B62 B68 B70:B72 B74:B75">
    <cfRule type="expression" dxfId="9065" priority="6709">
      <formula>$C46="Delivery charge"</formula>
    </cfRule>
    <cfRule type="expression" dxfId="9064" priority="6710">
      <formula>$C46="Staff Salary"</formula>
    </cfRule>
    <cfRule type="expression" dxfId="9063" priority="6711">
      <formula>$C46="Rent"</formula>
    </cfRule>
    <cfRule type="expression" dxfId="9062" priority="6712">
      <formula>$C46="Petrol"</formula>
    </cfRule>
    <cfRule type="expression" dxfId="9061" priority="6713">
      <formula>$C46="Bills"</formula>
    </cfRule>
    <cfRule type="expression" dxfId="9060" priority="6714">
      <formula>$C46="Sales"</formula>
    </cfRule>
    <cfRule type="expression" dxfId="9059" priority="6715">
      <formula>$C46="Expences"</formula>
    </cfRule>
    <cfRule type="expression" dxfId="9058" priority="6716">
      <formula>$C46="Garlic Purchase"</formula>
    </cfRule>
    <cfRule type="expression" dxfId="9057" priority="6717">
      <formula>$C46="Ginger Purchase"</formula>
    </cfRule>
  </conditionalFormatting>
  <conditionalFormatting sqref="B46 B52 B66 B156 B48:B50 B54 B56 B60 B58 B62 B68 B70:B72 B74:B75">
    <cfRule type="expression" dxfId="9056" priority="6718">
      <formula>$C46="Advance"</formula>
    </cfRule>
  </conditionalFormatting>
  <conditionalFormatting sqref="B46 B52 B66 B156 B48:B50 B54 B56 B60 B58 B62 B68 B70:B72 B74:B75">
    <cfRule type="expression" dxfId="9055" priority="6699">
      <formula>$C46="Delivery charge"</formula>
    </cfRule>
    <cfRule type="expression" dxfId="9054" priority="6700">
      <formula>$C46="Staff Salary"</formula>
    </cfRule>
    <cfRule type="expression" dxfId="9053" priority="6701">
      <formula>$C46="Rent"</formula>
    </cfRule>
    <cfRule type="expression" dxfId="9052" priority="6702">
      <formula>$C46="Petrol"</formula>
    </cfRule>
    <cfRule type="expression" dxfId="9051" priority="6703">
      <formula>$C46="Bills"</formula>
    </cfRule>
    <cfRule type="expression" dxfId="9050" priority="6704">
      <formula>$C46="Sales"</formula>
    </cfRule>
    <cfRule type="expression" dxfId="9049" priority="6705">
      <formula>$C46="Expences"</formula>
    </cfRule>
    <cfRule type="expression" dxfId="9048" priority="6706">
      <formula>$C46="Garlic Purchase"</formula>
    </cfRule>
    <cfRule type="expression" dxfId="9047" priority="6707">
      <formula>$C46="Ginger Purchase"</formula>
    </cfRule>
  </conditionalFormatting>
  <conditionalFormatting sqref="B46 B52 B66 B156 B48:B50 B54 B56 B60 B58 B62 B68 B70:B72 B74:B75">
    <cfRule type="expression" dxfId="9046" priority="6708">
      <formula>$C46="Advance"</formula>
    </cfRule>
  </conditionalFormatting>
  <conditionalFormatting sqref="B46 B52 B66 B156 B48:B50 B54 B56 B60 B58 B62 B68 B70:B72 B74:B75">
    <cfRule type="expression" dxfId="9045" priority="6689">
      <formula>$C46="Delivery charge"</formula>
    </cfRule>
    <cfRule type="expression" dxfId="9044" priority="6690">
      <formula>$C46="Staff Salary"</formula>
    </cfRule>
    <cfRule type="expression" dxfId="9043" priority="6691">
      <formula>$C46="Rent"</formula>
    </cfRule>
    <cfRule type="expression" dxfId="9042" priority="6692">
      <formula>$C46="Petrol"</formula>
    </cfRule>
    <cfRule type="expression" dxfId="9041" priority="6693">
      <formula>$C46="Bills"</formula>
    </cfRule>
    <cfRule type="expression" dxfId="9040" priority="6694">
      <formula>$C46="Sales"</formula>
    </cfRule>
    <cfRule type="expression" dxfId="9039" priority="6695">
      <formula>$C46="Expences"</formula>
    </cfRule>
    <cfRule type="expression" dxfId="9038" priority="6696">
      <formula>$C46="Garlic Purchase"</formula>
    </cfRule>
    <cfRule type="expression" dxfId="9037" priority="6697">
      <formula>$C46="Ginger Purchase"</formula>
    </cfRule>
  </conditionalFormatting>
  <conditionalFormatting sqref="B46 B52 B66 B156 B48:B50 B54 B56 B60 B58 B62 B68 B70:B72 B74:B75">
    <cfRule type="expression" dxfId="9036" priority="6698">
      <formula>$C46="Advance"</formula>
    </cfRule>
  </conditionalFormatting>
  <conditionalFormatting sqref="B46 B52 B66 B156 B48:B50 B54 B56 B60 B58 B62 B68 B70:B72 B74:B75">
    <cfRule type="expression" dxfId="9035" priority="6679">
      <formula>$C46="Delivery charge"</formula>
    </cfRule>
    <cfRule type="expression" dxfId="9034" priority="6680">
      <formula>$C46="Staff Salary"</formula>
    </cfRule>
    <cfRule type="expression" dxfId="9033" priority="6681">
      <formula>$C46="Rent"</formula>
    </cfRule>
    <cfRule type="expression" dxfId="9032" priority="6682">
      <formula>$C46="Petrol"</formula>
    </cfRule>
    <cfRule type="expression" dxfId="9031" priority="6683">
      <formula>$C46="Bills"</formula>
    </cfRule>
    <cfRule type="expression" dxfId="9030" priority="6684">
      <formula>$C46="Sales"</formula>
    </cfRule>
    <cfRule type="expression" dxfId="9029" priority="6685">
      <formula>$C46="Expences"</formula>
    </cfRule>
    <cfRule type="expression" dxfId="9028" priority="6686">
      <formula>$C46="Garlic Purchase"</formula>
    </cfRule>
    <cfRule type="expression" dxfId="9027" priority="6687">
      <formula>$C46="Ginger Purchase"</formula>
    </cfRule>
  </conditionalFormatting>
  <conditionalFormatting sqref="B46 B52 B66 B156 B48:B50 B54 B56 B60 B58 B62 B68 B70:B72 B74:B75">
    <cfRule type="expression" dxfId="9026" priority="6688">
      <formula>$C46="Advance"</formula>
    </cfRule>
  </conditionalFormatting>
  <conditionalFormatting sqref="B46 B52 B66 B156 B48:B50 B54 B56 B60 B58 B62 B68 B70:B72 B74:B75">
    <cfRule type="expression" dxfId="9025" priority="6669">
      <formula>$C46="Delivery charge"</formula>
    </cfRule>
    <cfRule type="expression" dxfId="9024" priority="6670">
      <formula>$C46="Staff Salary"</formula>
    </cfRule>
    <cfRule type="expression" dxfId="9023" priority="6671">
      <formula>$C46="Rent"</formula>
    </cfRule>
    <cfRule type="expression" dxfId="9022" priority="6672">
      <formula>$C46="Petrol"</formula>
    </cfRule>
    <cfRule type="expression" dxfId="9021" priority="6673">
      <formula>$C46="Bills"</formula>
    </cfRule>
    <cfRule type="expression" dxfId="9020" priority="6674">
      <formula>$C46="Sales"</formula>
    </cfRule>
    <cfRule type="expression" dxfId="9019" priority="6675">
      <formula>$C46="Expences"</formula>
    </cfRule>
    <cfRule type="expression" dxfId="9018" priority="6676">
      <formula>$C46="Garlic Purchase"</formula>
    </cfRule>
    <cfRule type="expression" dxfId="9017" priority="6677">
      <formula>$C46="Ginger Purchase"</formula>
    </cfRule>
  </conditionalFormatting>
  <conditionalFormatting sqref="B46 B52 B66 B156 B48:B50 B54 B56 B60 B58 B62 B68 B70:B72 B74:B75">
    <cfRule type="expression" dxfId="9016" priority="6678">
      <formula>$C46="Advance"</formula>
    </cfRule>
  </conditionalFormatting>
  <conditionalFormatting sqref="B46 B52 B66 B156 B48:B50 B54 B56 B60 B58 B62 B68 B70:B72 B74:B75">
    <cfRule type="expression" dxfId="9015" priority="6659">
      <formula>$C46="Delivery charge"</formula>
    </cfRule>
    <cfRule type="expression" dxfId="9014" priority="6660">
      <formula>$C46="Staff Salary"</formula>
    </cfRule>
    <cfRule type="expression" dxfId="9013" priority="6661">
      <formula>$C46="Rent"</formula>
    </cfRule>
    <cfRule type="expression" dxfId="9012" priority="6662">
      <formula>$C46="Petrol"</formula>
    </cfRule>
    <cfRule type="expression" dxfId="9011" priority="6663">
      <formula>$C46="Bills"</formula>
    </cfRule>
    <cfRule type="expression" dxfId="9010" priority="6664">
      <formula>$C46="Sales"</formula>
    </cfRule>
    <cfRule type="expression" dxfId="9009" priority="6665">
      <formula>$C46="Expences"</formula>
    </cfRule>
    <cfRule type="expression" dxfId="9008" priority="6666">
      <formula>$C46="Garlic Purchase"</formula>
    </cfRule>
    <cfRule type="expression" dxfId="9007" priority="6667">
      <formula>$C46="Ginger Purchase"</formula>
    </cfRule>
  </conditionalFormatting>
  <conditionalFormatting sqref="B46 B52 B66 B156 B48:B50 B54 B56 B60 B58 B62 B68 B70:B72 B74:B75">
    <cfRule type="expression" dxfId="9006" priority="6668">
      <formula>$C46="Advance"</formula>
    </cfRule>
  </conditionalFormatting>
  <conditionalFormatting sqref="B46 B52 B66 B156 B48:B50 B54 B56 B60 B58 B62 B68 B70:B72 B74:B75">
    <cfRule type="expression" dxfId="9005" priority="6649">
      <formula>$C46="Delivery charge"</formula>
    </cfRule>
    <cfRule type="expression" dxfId="9004" priority="6650">
      <formula>$C46="Staff Salary"</formula>
    </cfRule>
    <cfRule type="expression" dxfId="9003" priority="6651">
      <formula>$C46="Rent"</formula>
    </cfRule>
    <cfRule type="expression" dxfId="9002" priority="6652">
      <formula>$C46="Petrol"</formula>
    </cfRule>
    <cfRule type="expression" dxfId="9001" priority="6653">
      <formula>$C46="Bills"</formula>
    </cfRule>
    <cfRule type="expression" dxfId="9000" priority="6654">
      <formula>$C46="Sales"</formula>
    </cfRule>
    <cfRule type="expression" dxfId="8999" priority="6655">
      <formula>$C46="Expences"</formula>
    </cfRule>
    <cfRule type="expression" dxfId="8998" priority="6656">
      <formula>$C46="Garlic Purchase"</formula>
    </cfRule>
    <cfRule type="expression" dxfId="8997" priority="6657">
      <formula>$C46="Ginger Purchase"</formula>
    </cfRule>
  </conditionalFormatting>
  <conditionalFormatting sqref="B46 B52 B66 B156 B48:B50 B54 B56 B60 B58 B62 B68 B70:B72 B74:B75">
    <cfRule type="expression" dxfId="8996" priority="6658">
      <formula>$C46="Advance"</formula>
    </cfRule>
  </conditionalFormatting>
  <conditionalFormatting sqref="B46 B52 B66 B156 B48:B50 B54 B56 B60 B58 B62 B68 B70:B72 B74:B75">
    <cfRule type="expression" dxfId="8995" priority="6639">
      <formula>$C46="Delivery charge"</formula>
    </cfRule>
    <cfRule type="expression" dxfId="8994" priority="6640">
      <formula>$C46="Staff Salary"</formula>
    </cfRule>
    <cfRule type="expression" dxfId="8993" priority="6641">
      <formula>$C46="Rent"</formula>
    </cfRule>
    <cfRule type="expression" dxfId="8992" priority="6642">
      <formula>$C46="Petrol"</formula>
    </cfRule>
    <cfRule type="expression" dxfId="8991" priority="6643">
      <formula>$C46="Bills"</formula>
    </cfRule>
    <cfRule type="expression" dxfId="8990" priority="6644">
      <formula>$C46="Sales"</formula>
    </cfRule>
    <cfRule type="expression" dxfId="8989" priority="6645">
      <formula>$C46="Expences"</formula>
    </cfRule>
    <cfRule type="expression" dxfId="8988" priority="6646">
      <formula>$C46="Garlic Purchase"</formula>
    </cfRule>
    <cfRule type="expression" dxfId="8987" priority="6647">
      <formula>$C46="Ginger Purchase"</formula>
    </cfRule>
  </conditionalFormatting>
  <conditionalFormatting sqref="B46 B52 B66 B156 B48:B50 B54 B56 B60 B58 B62 B68 B70:B72 B74:B75">
    <cfRule type="expression" dxfId="8986" priority="6648">
      <formula>$C46="Advance"</formula>
    </cfRule>
  </conditionalFormatting>
  <conditionalFormatting sqref="B46 B52 B66 B156 B48:B50 B54 B56 B60 B58 B62 B68 B70:B72 B74:B75">
    <cfRule type="expression" dxfId="8985" priority="6629">
      <formula>$C46="Delivery charge"</formula>
    </cfRule>
    <cfRule type="expression" dxfId="8984" priority="6630">
      <formula>$C46="Staff Salary"</formula>
    </cfRule>
    <cfRule type="expression" dxfId="8983" priority="6631">
      <formula>$C46="Rent"</formula>
    </cfRule>
    <cfRule type="expression" dxfId="8982" priority="6632">
      <formula>$C46="Petrol"</formula>
    </cfRule>
    <cfRule type="expression" dxfId="8981" priority="6633">
      <formula>$C46="Bills"</formula>
    </cfRule>
    <cfRule type="expression" dxfId="8980" priority="6634">
      <formula>$C46="Sales"</formula>
    </cfRule>
    <cfRule type="expression" dxfId="8979" priority="6635">
      <formula>$C46="Expences"</formula>
    </cfRule>
    <cfRule type="expression" dxfId="8978" priority="6636">
      <formula>$C46="Garlic Purchase"</formula>
    </cfRule>
    <cfRule type="expression" dxfId="8977" priority="6637">
      <formula>$C46="Ginger Purchase"</formula>
    </cfRule>
  </conditionalFormatting>
  <conditionalFormatting sqref="B46 B52 B66 B156 B48:B50 B54 B56 B60 B58 B62 B68 B70:B72 B74:B75">
    <cfRule type="expression" dxfId="8976" priority="6638">
      <formula>$C46="Advance"</formula>
    </cfRule>
  </conditionalFormatting>
  <conditionalFormatting sqref="B46 B52 B66 B156 B48:B50 B54 B56 B60 B58 B62 B68 B70:B72 B74:B75">
    <cfRule type="expression" dxfId="8975" priority="6619">
      <formula>$C46="Delivery charge"</formula>
    </cfRule>
    <cfRule type="expression" dxfId="8974" priority="6620">
      <formula>$C46="Staff Salary"</formula>
    </cfRule>
    <cfRule type="expression" dxfId="8973" priority="6621">
      <formula>$C46="Rent"</formula>
    </cfRule>
    <cfRule type="expression" dxfId="8972" priority="6622">
      <formula>$C46="Petrol"</formula>
    </cfRule>
    <cfRule type="expression" dxfId="8971" priority="6623">
      <formula>$C46="Bills"</formula>
    </cfRule>
    <cfRule type="expression" dxfId="8970" priority="6624">
      <formula>$C46="Sales"</formula>
    </cfRule>
    <cfRule type="expression" dxfId="8969" priority="6625">
      <formula>$C46="Expences"</formula>
    </cfRule>
    <cfRule type="expression" dxfId="8968" priority="6626">
      <formula>$C46="Garlic Purchase"</formula>
    </cfRule>
    <cfRule type="expression" dxfId="8967" priority="6627">
      <formula>$C46="Ginger Purchase"</formula>
    </cfRule>
  </conditionalFormatting>
  <conditionalFormatting sqref="B46 B52 B66 B156 B48:B50 B54 B56 B60 B58 B62 B68 B70:B72 B74:B75">
    <cfRule type="expression" dxfId="8966" priority="6628">
      <formula>$C46="Advance"</formula>
    </cfRule>
  </conditionalFormatting>
  <conditionalFormatting sqref="B46 B52 B66 B156 B48:B50 B54 B56 B60 B58 B62 B68 B70:B72 B74:B75">
    <cfRule type="expression" dxfId="8965" priority="6609">
      <formula>$C46="Delivery charge"</formula>
    </cfRule>
    <cfRule type="expression" dxfId="8964" priority="6610">
      <formula>$C46="Staff Salary"</formula>
    </cfRule>
    <cfRule type="expression" dxfId="8963" priority="6611">
      <formula>$C46="Rent"</formula>
    </cfRule>
    <cfRule type="expression" dxfId="8962" priority="6612">
      <formula>$C46="Petrol"</formula>
    </cfRule>
    <cfRule type="expression" dxfId="8961" priority="6613">
      <formula>$C46="Bills"</formula>
    </cfRule>
    <cfRule type="expression" dxfId="8960" priority="6614">
      <formula>$C46="Sales"</formula>
    </cfRule>
    <cfRule type="expression" dxfId="8959" priority="6615">
      <formula>$C46="Expences"</formula>
    </cfRule>
    <cfRule type="expression" dxfId="8958" priority="6616">
      <formula>$C46="Garlic Purchase"</formula>
    </cfRule>
    <cfRule type="expression" dxfId="8957" priority="6617">
      <formula>$C46="Ginger Purchase"</formula>
    </cfRule>
  </conditionalFormatting>
  <conditionalFormatting sqref="B46 B52 B66 B156 B48:B50 B54 B56 B60 B58 B62 B68 B70:B72 B74:B75">
    <cfRule type="expression" dxfId="8956" priority="6618">
      <formula>$C46="Advance"</formula>
    </cfRule>
  </conditionalFormatting>
  <conditionalFormatting sqref="B47 B49:B51 B53 B55 B57 B61 B59 B63:B65 B67 B69:B73 B75:B239">
    <cfRule type="expression" dxfId="1612" priority="6599">
      <formula>$C47="Delivery charge"</formula>
    </cfRule>
    <cfRule type="expression" dxfId="1611" priority="6600">
      <formula>$C47="Staff Salary"</formula>
    </cfRule>
    <cfRule type="expression" dxfId="1610" priority="6601">
      <formula>$C47="Rent"</formula>
    </cfRule>
    <cfRule type="expression" dxfId="1609" priority="6602">
      <formula>$C47="Petrol"</formula>
    </cfRule>
    <cfRule type="expression" dxfId="1608" priority="6603">
      <formula>$C47="Bills"</formula>
    </cfRule>
    <cfRule type="expression" dxfId="1607" priority="6604">
      <formula>$C47="Sales"</formula>
    </cfRule>
    <cfRule type="expression" dxfId="1606" priority="6605">
      <formula>$C47="Expences"</formula>
    </cfRule>
    <cfRule type="expression" dxfId="1605" priority="6606">
      <formula>$C47="Garlic Purchase"</formula>
    </cfRule>
    <cfRule type="expression" dxfId="1604" priority="6607">
      <formula>$C47="Ginger Purchase"</formula>
    </cfRule>
  </conditionalFormatting>
  <conditionalFormatting sqref="B47 B49:B51 B53 B55 B57 B61 B59 B63:B65 B67 B69:B73 B75:B239">
    <cfRule type="expression" dxfId="1603" priority="6608">
      <formula>$C47="Advance"</formula>
    </cfRule>
  </conditionalFormatting>
  <conditionalFormatting sqref="B47 B49:B51 B53 B55 B57 B61 B59 B63:B65 B67 B69:B73 B75:B239">
    <cfRule type="expression" dxfId="1602" priority="6589">
      <formula>$C47="Delivery charge"</formula>
    </cfRule>
    <cfRule type="expression" dxfId="1601" priority="6590">
      <formula>$C47="Staff Salary"</formula>
    </cfRule>
    <cfRule type="expression" dxfId="1600" priority="6591">
      <formula>$C47="Rent"</formula>
    </cfRule>
    <cfRule type="expression" dxfId="1599" priority="6592">
      <formula>$C47="Petrol"</formula>
    </cfRule>
    <cfRule type="expression" dxfId="1598" priority="6593">
      <formula>$C47="Bills"</formula>
    </cfRule>
    <cfRule type="expression" dxfId="1597" priority="6594">
      <formula>$C47="Sales"</formula>
    </cfRule>
    <cfRule type="expression" dxfId="1596" priority="6595">
      <formula>$C47="Expences"</formula>
    </cfRule>
    <cfRule type="expression" dxfId="1595" priority="6596">
      <formula>$C47="Garlic Purchase"</formula>
    </cfRule>
    <cfRule type="expression" dxfId="1594" priority="6597">
      <formula>$C47="Ginger Purchase"</formula>
    </cfRule>
  </conditionalFormatting>
  <conditionalFormatting sqref="B47 B49:B51 B53 B55 B57 B61 B59 B63:B65 B67 B69:B73 B75:B239">
    <cfRule type="expression" dxfId="1593" priority="6598">
      <formula>$C47="Advance"</formula>
    </cfRule>
  </conditionalFormatting>
  <conditionalFormatting sqref="B47 B49:B51 B53 B55 B57 B61 B59 B63:B65 B67 B69:B73 B75:B239">
    <cfRule type="expression" dxfId="1592" priority="6579">
      <formula>$C47="Delivery charge"</formula>
    </cfRule>
    <cfRule type="expression" dxfId="1591" priority="6580">
      <formula>$C47="Staff Salary"</formula>
    </cfRule>
    <cfRule type="expression" dxfId="1590" priority="6581">
      <formula>$C47="Rent"</formula>
    </cfRule>
    <cfRule type="expression" dxfId="1589" priority="6582">
      <formula>$C47="Petrol"</formula>
    </cfRule>
    <cfRule type="expression" dxfId="1588" priority="6583">
      <formula>$C47="Bills"</formula>
    </cfRule>
    <cfRule type="expression" dxfId="1587" priority="6584">
      <formula>$C47="Sales"</formula>
    </cfRule>
    <cfRule type="expression" dxfId="1586" priority="6585">
      <formula>$C47="Expences"</formula>
    </cfRule>
    <cfRule type="expression" dxfId="1585" priority="6586">
      <formula>$C47="Garlic Purchase"</formula>
    </cfRule>
    <cfRule type="expression" dxfId="1584" priority="6587">
      <formula>$C47="Ginger Purchase"</formula>
    </cfRule>
  </conditionalFormatting>
  <conditionalFormatting sqref="B47 B49:B51 B53 B55 B57 B61 B59 B63:B65 B67 B69:B73 B75:B239">
    <cfRule type="expression" dxfId="1583" priority="6588">
      <formula>$C47="Advance"</formula>
    </cfRule>
  </conditionalFormatting>
  <conditionalFormatting sqref="B47 B49:B51 B53 B55 B57 B61 B59 B63:B65 B67 B69:B73 B75:B239">
    <cfRule type="expression" dxfId="1582" priority="6569">
      <formula>$C47="Delivery charge"</formula>
    </cfRule>
    <cfRule type="expression" dxfId="1581" priority="6570">
      <formula>$C47="Staff Salary"</formula>
    </cfRule>
    <cfRule type="expression" dxfId="1580" priority="6571">
      <formula>$C47="Rent"</formula>
    </cfRule>
    <cfRule type="expression" dxfId="1579" priority="6572">
      <formula>$C47="Petrol"</formula>
    </cfRule>
    <cfRule type="expression" dxfId="1578" priority="6573">
      <formula>$C47="Bills"</formula>
    </cfRule>
    <cfRule type="expression" dxfId="1577" priority="6574">
      <formula>$C47="Sales"</formula>
    </cfRule>
    <cfRule type="expression" dxfId="1576" priority="6575">
      <formula>$C47="Expences"</formula>
    </cfRule>
    <cfRule type="expression" dxfId="1575" priority="6576">
      <formula>$C47="Garlic Purchase"</formula>
    </cfRule>
    <cfRule type="expression" dxfId="1574" priority="6577">
      <formula>$C47="Ginger Purchase"</formula>
    </cfRule>
  </conditionalFormatting>
  <conditionalFormatting sqref="B47 B49:B51 B53 B55 B57 B61 B59 B63:B65 B67 B69:B73 B75:B239">
    <cfRule type="expression" dxfId="1573" priority="6578">
      <formula>$C47="Advance"</formula>
    </cfRule>
  </conditionalFormatting>
  <conditionalFormatting sqref="B47 B49:B51 B53 B55 B57 B61 B59 B63:B65 B67 B69:B73 B75:B239">
    <cfRule type="expression" dxfId="1572" priority="6559">
      <formula>$C47="Delivery charge"</formula>
    </cfRule>
    <cfRule type="expression" dxfId="1571" priority="6560">
      <formula>$C47="Staff Salary"</formula>
    </cfRule>
    <cfRule type="expression" dxfId="1570" priority="6561">
      <formula>$C47="Rent"</formula>
    </cfRule>
    <cfRule type="expression" dxfId="1569" priority="6562">
      <formula>$C47="Petrol"</formula>
    </cfRule>
    <cfRule type="expression" dxfId="1568" priority="6563">
      <formula>$C47="Bills"</formula>
    </cfRule>
    <cfRule type="expression" dxfId="1567" priority="6564">
      <formula>$C47="Sales"</formula>
    </cfRule>
    <cfRule type="expression" dxfId="1566" priority="6565">
      <formula>$C47="Expences"</formula>
    </cfRule>
    <cfRule type="expression" dxfId="1565" priority="6566">
      <formula>$C47="Garlic Purchase"</formula>
    </cfRule>
    <cfRule type="expression" dxfId="1564" priority="6567">
      <formula>$C47="Ginger Purchase"</formula>
    </cfRule>
  </conditionalFormatting>
  <conditionalFormatting sqref="B47 B49:B51 B53 B55 B57 B61 B59 B63:B65 B67 B69:B73 B75:B239">
    <cfRule type="expression" dxfId="1563" priority="6568">
      <formula>$C47="Advance"</formula>
    </cfRule>
  </conditionalFormatting>
  <conditionalFormatting sqref="B47 B49:B51 B53 B55 B57 B61 B59 B63:B65 B67 B69:B73 B75:B239">
    <cfRule type="expression" dxfId="1562" priority="6549">
      <formula>$C47="Delivery charge"</formula>
    </cfRule>
    <cfRule type="expression" dxfId="1561" priority="6550">
      <formula>$C47="Staff Salary"</formula>
    </cfRule>
    <cfRule type="expression" dxfId="1560" priority="6551">
      <formula>$C47="Rent"</formula>
    </cfRule>
    <cfRule type="expression" dxfId="1559" priority="6552">
      <formula>$C47="Petrol"</formula>
    </cfRule>
    <cfRule type="expression" dxfId="1558" priority="6553">
      <formula>$C47="Bills"</formula>
    </cfRule>
    <cfRule type="expression" dxfId="1557" priority="6554">
      <formula>$C47="Sales"</formula>
    </cfRule>
    <cfRule type="expression" dxfId="1556" priority="6555">
      <formula>$C47="Expences"</formula>
    </cfRule>
    <cfRule type="expression" dxfId="1555" priority="6556">
      <formula>$C47="Garlic Purchase"</formula>
    </cfRule>
    <cfRule type="expression" dxfId="1554" priority="6557">
      <formula>$C47="Ginger Purchase"</formula>
    </cfRule>
  </conditionalFormatting>
  <conditionalFormatting sqref="B47 B49:B51 B53 B55 B57 B61 B59 B63:B65 B67 B69:B73 B75:B239">
    <cfRule type="expression" dxfId="1553" priority="6558">
      <formula>$C47="Advance"</formula>
    </cfRule>
  </conditionalFormatting>
  <conditionalFormatting sqref="B47 B49:B51 B53 B55 B57 B61 B59 B63:B65 B67 B69:B73 B75:B239">
    <cfRule type="expression" dxfId="1552" priority="6539">
      <formula>$C47="Delivery charge"</formula>
    </cfRule>
    <cfRule type="expression" dxfId="1551" priority="6540">
      <formula>$C47="Staff Salary"</formula>
    </cfRule>
    <cfRule type="expression" dxfId="1550" priority="6541">
      <formula>$C47="Rent"</formula>
    </cfRule>
    <cfRule type="expression" dxfId="1549" priority="6542">
      <formula>$C47="Petrol"</formula>
    </cfRule>
    <cfRule type="expression" dxfId="1548" priority="6543">
      <formula>$C47="Bills"</formula>
    </cfRule>
    <cfRule type="expression" dxfId="1547" priority="6544">
      <formula>$C47="Sales"</formula>
    </cfRule>
    <cfRule type="expression" dxfId="1546" priority="6545">
      <formula>$C47="Expences"</formula>
    </cfRule>
    <cfRule type="expression" dxfId="1545" priority="6546">
      <formula>$C47="Garlic Purchase"</formula>
    </cfRule>
    <cfRule type="expression" dxfId="1544" priority="6547">
      <formula>$C47="Ginger Purchase"</formula>
    </cfRule>
  </conditionalFormatting>
  <conditionalFormatting sqref="B47 B49:B51 B53 B55 B57 B61 B59 B63:B65 B67 B69:B73 B75:B239">
    <cfRule type="expression" dxfId="1543" priority="6548">
      <formula>$C47="Advance"</formula>
    </cfRule>
  </conditionalFormatting>
  <conditionalFormatting sqref="B47 B49:B51 B53 B55 B57 B61 B59 B63:B65 B67 B69:B73 B75:B239">
    <cfRule type="expression" dxfId="1542" priority="6529">
      <formula>$C47="Delivery charge"</formula>
    </cfRule>
    <cfRule type="expression" dxfId="1541" priority="6530">
      <formula>$C47="Staff Salary"</formula>
    </cfRule>
    <cfRule type="expression" dxfId="1540" priority="6531">
      <formula>$C47="Rent"</formula>
    </cfRule>
    <cfRule type="expression" dxfId="1539" priority="6532">
      <formula>$C47="Petrol"</formula>
    </cfRule>
    <cfRule type="expression" dxfId="1538" priority="6533">
      <formula>$C47="Bills"</formula>
    </cfRule>
    <cfRule type="expression" dxfId="1537" priority="6534">
      <formula>$C47="Sales"</formula>
    </cfRule>
    <cfRule type="expression" dxfId="1536" priority="6535">
      <formula>$C47="Expences"</formula>
    </cfRule>
    <cfRule type="expression" dxfId="1535" priority="6536">
      <formula>$C47="Garlic Purchase"</formula>
    </cfRule>
    <cfRule type="expression" dxfId="1534" priority="6537">
      <formula>$C47="Ginger Purchase"</formula>
    </cfRule>
  </conditionalFormatting>
  <conditionalFormatting sqref="B47 B49:B51 B53 B55 B57 B61 B59 B63:B65 B67 B69:B73 B75:B239">
    <cfRule type="expression" dxfId="1533" priority="6538">
      <formula>$C47="Advance"</formula>
    </cfRule>
  </conditionalFormatting>
  <conditionalFormatting sqref="B47 B49:B51 B53 B55 B57 B61 B59 B63:B65 B67 B69:B73 B75:B239">
    <cfRule type="expression" dxfId="1532" priority="6519">
      <formula>$C47="Delivery charge"</formula>
    </cfRule>
    <cfRule type="expression" dxfId="1531" priority="6520">
      <formula>$C47="Staff Salary"</formula>
    </cfRule>
    <cfRule type="expression" dxfId="1530" priority="6521">
      <formula>$C47="Rent"</formula>
    </cfRule>
    <cfRule type="expression" dxfId="1529" priority="6522">
      <formula>$C47="Petrol"</formula>
    </cfRule>
    <cfRule type="expression" dxfId="1528" priority="6523">
      <formula>$C47="Bills"</formula>
    </cfRule>
    <cfRule type="expression" dxfId="1527" priority="6524">
      <formula>$C47="Sales"</formula>
    </cfRule>
    <cfRule type="expression" dxfId="1526" priority="6525">
      <formula>$C47="Expences"</formula>
    </cfRule>
    <cfRule type="expression" dxfId="1525" priority="6526">
      <formula>$C47="Garlic Purchase"</formula>
    </cfRule>
    <cfRule type="expression" dxfId="1524" priority="6527">
      <formula>$C47="Ginger Purchase"</formula>
    </cfRule>
  </conditionalFormatting>
  <conditionalFormatting sqref="B47 B49:B51 B53 B55 B57 B61 B59 B63:B65 B67 B69:B73 B75:B239">
    <cfRule type="expression" dxfId="1523" priority="6528">
      <formula>$C47="Advance"</formula>
    </cfRule>
  </conditionalFormatting>
  <conditionalFormatting sqref="B47 B49:B51 B53 B55 B57 B61 B59 B63:B65 B67 B69:B73 B75:B239">
    <cfRule type="expression" dxfId="1522" priority="6509">
      <formula>$C47="Delivery charge"</formula>
    </cfRule>
    <cfRule type="expression" dxfId="1521" priority="6510">
      <formula>$C47="Staff Salary"</formula>
    </cfRule>
    <cfRule type="expression" dxfId="1520" priority="6511">
      <formula>$C47="Rent"</formula>
    </cfRule>
    <cfRule type="expression" dxfId="1519" priority="6512">
      <formula>$C47="Petrol"</formula>
    </cfRule>
    <cfRule type="expression" dxfId="1518" priority="6513">
      <formula>$C47="Bills"</formula>
    </cfRule>
    <cfRule type="expression" dxfId="1517" priority="6514">
      <formula>$C47="Sales"</formula>
    </cfRule>
    <cfRule type="expression" dxfId="1516" priority="6515">
      <formula>$C47="Expences"</formula>
    </cfRule>
    <cfRule type="expression" dxfId="1515" priority="6516">
      <formula>$C47="Garlic Purchase"</formula>
    </cfRule>
    <cfRule type="expression" dxfId="1514" priority="6517">
      <formula>$C47="Ginger Purchase"</formula>
    </cfRule>
  </conditionalFormatting>
  <conditionalFormatting sqref="B47 B49:B51 B53 B55 B57 B61 B59 B63:B65 B67 B69:B73 B75:B239">
    <cfRule type="expression" dxfId="1513" priority="6518">
      <formula>$C47="Advance"</formula>
    </cfRule>
  </conditionalFormatting>
  <conditionalFormatting sqref="B47 B49:B51 B53 B55 B57 B61 B59 B63:B65 B67 B69:B73 B75:B239">
    <cfRule type="expression" dxfId="1512" priority="6499">
      <formula>$C47="Delivery charge"</formula>
    </cfRule>
    <cfRule type="expression" dxfId="1511" priority="6500">
      <formula>$C47="Staff Salary"</formula>
    </cfRule>
    <cfRule type="expression" dxfId="1510" priority="6501">
      <formula>$C47="Rent"</formula>
    </cfRule>
    <cfRule type="expression" dxfId="1509" priority="6502">
      <formula>$C47="Petrol"</formula>
    </cfRule>
    <cfRule type="expression" dxfId="1508" priority="6503">
      <formula>$C47="Bills"</formula>
    </cfRule>
    <cfRule type="expression" dxfId="1507" priority="6504">
      <formula>$C47="Sales"</formula>
    </cfRule>
    <cfRule type="expression" dxfId="1506" priority="6505">
      <formula>$C47="Expences"</formula>
    </cfRule>
    <cfRule type="expression" dxfId="1505" priority="6506">
      <formula>$C47="Garlic Purchase"</formula>
    </cfRule>
    <cfRule type="expression" dxfId="1504" priority="6507">
      <formula>$C47="Ginger Purchase"</formula>
    </cfRule>
  </conditionalFormatting>
  <conditionalFormatting sqref="B47 B49:B51 B53 B55 B57 B61 B59 B63:B65 B67 B69:B73 B75:B239">
    <cfRule type="expression" dxfId="1503" priority="6508">
      <formula>$C47="Advance"</formula>
    </cfRule>
  </conditionalFormatting>
  <conditionalFormatting sqref="B47 B49:B51 B53 B55 B57 B61 B59 B63:B65 B67 B69:B73 B75:B239">
    <cfRule type="expression" dxfId="1502" priority="6489">
      <formula>$C47="Delivery charge"</formula>
    </cfRule>
    <cfRule type="expression" dxfId="1501" priority="6490">
      <formula>$C47="Staff Salary"</formula>
    </cfRule>
    <cfRule type="expression" dxfId="1500" priority="6491">
      <formula>$C47="Rent"</formula>
    </cfRule>
    <cfRule type="expression" dxfId="1499" priority="6492">
      <formula>$C47="Petrol"</formula>
    </cfRule>
    <cfRule type="expression" dxfId="1498" priority="6493">
      <formula>$C47="Bills"</formula>
    </cfRule>
    <cfRule type="expression" dxfId="1497" priority="6494">
      <formula>$C47="Sales"</formula>
    </cfRule>
    <cfRule type="expression" dxfId="1496" priority="6495">
      <formula>$C47="Expences"</formula>
    </cfRule>
    <cfRule type="expression" dxfId="1495" priority="6496">
      <formula>$C47="Garlic Purchase"</formula>
    </cfRule>
    <cfRule type="expression" dxfId="1494" priority="6497">
      <formula>$C47="Ginger Purchase"</formula>
    </cfRule>
  </conditionalFormatting>
  <conditionalFormatting sqref="B47 B49:B51 B53 B55 B57 B61 B59 B63:B65 B67 B69:B73 B75:B239">
    <cfRule type="expression" dxfId="1493" priority="6498">
      <formula>$C47="Advance"</formula>
    </cfRule>
  </conditionalFormatting>
  <conditionalFormatting sqref="B47 B49:B51 B53 B55 B57 B61 B59 B63:B65 B67 B69:B73 B75:B239">
    <cfRule type="expression" dxfId="1492" priority="6479">
      <formula>$C47="Delivery charge"</formula>
    </cfRule>
    <cfRule type="expression" dxfId="1491" priority="6480">
      <formula>$C47="Staff Salary"</formula>
    </cfRule>
    <cfRule type="expression" dxfId="1490" priority="6481">
      <formula>$C47="Rent"</formula>
    </cfRule>
    <cfRule type="expression" dxfId="1489" priority="6482">
      <formula>$C47="Petrol"</formula>
    </cfRule>
    <cfRule type="expression" dxfId="1488" priority="6483">
      <formula>$C47="Bills"</formula>
    </cfRule>
    <cfRule type="expression" dxfId="1487" priority="6484">
      <formula>$C47="Sales"</formula>
    </cfRule>
    <cfRule type="expression" dxfId="1486" priority="6485">
      <formula>$C47="Expences"</formula>
    </cfRule>
    <cfRule type="expression" dxfId="1485" priority="6486">
      <formula>$C47="Garlic Purchase"</formula>
    </cfRule>
    <cfRule type="expression" dxfId="1484" priority="6487">
      <formula>$C47="Ginger Purchase"</formula>
    </cfRule>
  </conditionalFormatting>
  <conditionalFormatting sqref="B47 B49:B51 B53 B55 B57 B61 B59 B63:B65 B67 B69:B73 B75:B239">
    <cfRule type="expression" dxfId="1483" priority="6488">
      <formula>$C47="Advance"</formula>
    </cfRule>
  </conditionalFormatting>
  <conditionalFormatting sqref="B47 B49:B51 B53 B55 B57 B61 B59 B63:B65 B67 B69:B73 B75:B239">
    <cfRule type="expression" dxfId="1482" priority="6469">
      <formula>$C47="Delivery charge"</formula>
    </cfRule>
    <cfRule type="expression" dxfId="1481" priority="6470">
      <formula>$C47="Staff Salary"</formula>
    </cfRule>
    <cfRule type="expression" dxfId="1480" priority="6471">
      <formula>$C47="Rent"</formula>
    </cfRule>
    <cfRule type="expression" dxfId="1479" priority="6472">
      <formula>$C47="Petrol"</formula>
    </cfRule>
    <cfRule type="expression" dxfId="1478" priority="6473">
      <formula>$C47="Bills"</formula>
    </cfRule>
    <cfRule type="expression" dxfId="1477" priority="6474">
      <formula>$C47="Sales"</formula>
    </cfRule>
    <cfRule type="expression" dxfId="1476" priority="6475">
      <formula>$C47="Expences"</formula>
    </cfRule>
    <cfRule type="expression" dxfId="1475" priority="6476">
      <formula>$C47="Garlic Purchase"</formula>
    </cfRule>
    <cfRule type="expression" dxfId="1474" priority="6477">
      <formula>$C47="Ginger Purchase"</formula>
    </cfRule>
  </conditionalFormatting>
  <conditionalFormatting sqref="B47 B49:B51 B53 B55 B57 B61 B59 B63:B65 B67 B69:B73 B75:B239">
    <cfRule type="expression" dxfId="1473" priority="6478">
      <formula>$C47="Advance"</formula>
    </cfRule>
  </conditionalFormatting>
  <conditionalFormatting sqref="B47 B49:B51 B53 B55 B57 B61 B59 B63:B65 B67 B69:B73 B75:B239">
    <cfRule type="expression" dxfId="1472" priority="6459">
      <formula>$C47="Delivery charge"</formula>
    </cfRule>
    <cfRule type="expression" dxfId="1471" priority="6460">
      <formula>$C47="Staff Salary"</formula>
    </cfRule>
    <cfRule type="expression" dxfId="1470" priority="6461">
      <formula>$C47="Rent"</formula>
    </cfRule>
    <cfRule type="expression" dxfId="1469" priority="6462">
      <formula>$C47="Petrol"</formula>
    </cfRule>
    <cfRule type="expression" dxfId="1468" priority="6463">
      <formula>$C47="Bills"</formula>
    </cfRule>
    <cfRule type="expression" dxfId="1467" priority="6464">
      <formula>$C47="Sales"</formula>
    </cfRule>
    <cfRule type="expression" dxfId="1466" priority="6465">
      <formula>$C47="Expences"</formula>
    </cfRule>
    <cfRule type="expression" dxfId="1465" priority="6466">
      <formula>$C47="Garlic Purchase"</formula>
    </cfRule>
    <cfRule type="expression" dxfId="1464" priority="6467">
      <formula>$C47="Ginger Purchase"</formula>
    </cfRule>
  </conditionalFormatting>
  <conditionalFormatting sqref="B47 B49:B51 B53 B55 B57 B61 B59 B63:B65 B67 B69:B73 B75:B239">
    <cfRule type="expression" dxfId="1463" priority="6468">
      <formula>$C47="Advance"</formula>
    </cfRule>
  </conditionalFormatting>
  <conditionalFormatting sqref="B47 B49:B51 B53 B55 B57 B61 B59 B63:B65 B67 B69:B73 B75:B239">
    <cfRule type="expression" dxfId="1462" priority="6449">
      <formula>$C47="Delivery charge"</formula>
    </cfRule>
    <cfRule type="expression" dxfId="1461" priority="6450">
      <formula>$C47="Staff Salary"</formula>
    </cfRule>
    <cfRule type="expression" dxfId="1460" priority="6451">
      <formula>$C47="Rent"</formula>
    </cfRule>
    <cfRule type="expression" dxfId="1459" priority="6452">
      <formula>$C47="Petrol"</formula>
    </cfRule>
    <cfRule type="expression" dxfId="1458" priority="6453">
      <formula>$C47="Bills"</formula>
    </cfRule>
    <cfRule type="expression" dxfId="1457" priority="6454">
      <formula>$C47="Sales"</formula>
    </cfRule>
    <cfRule type="expression" dxfId="1456" priority="6455">
      <formula>$C47="Expences"</formula>
    </cfRule>
    <cfRule type="expression" dxfId="1455" priority="6456">
      <formula>$C47="Garlic Purchase"</formula>
    </cfRule>
    <cfRule type="expression" dxfId="1454" priority="6457">
      <formula>$C47="Ginger Purchase"</formula>
    </cfRule>
  </conditionalFormatting>
  <conditionalFormatting sqref="B47 B49:B51 B53 B55 B57 B61 B59 B63:B65 B67 B69:B73 B75:B239">
    <cfRule type="expression" dxfId="1453" priority="6458">
      <formula>$C47="Advance"</formula>
    </cfRule>
  </conditionalFormatting>
  <conditionalFormatting sqref="B47 B49:B51 B53 B55 B57 B61 B59 B63:B65 B67 B69:B73 B75:B239">
    <cfRule type="expression" dxfId="1452" priority="6439">
      <formula>$C47="Delivery charge"</formula>
    </cfRule>
    <cfRule type="expression" dxfId="1451" priority="6440">
      <formula>$C47="Staff Salary"</formula>
    </cfRule>
    <cfRule type="expression" dxfId="1450" priority="6441">
      <formula>$C47="Rent"</formula>
    </cfRule>
    <cfRule type="expression" dxfId="1449" priority="6442">
      <formula>$C47="Petrol"</formula>
    </cfRule>
    <cfRule type="expression" dxfId="1448" priority="6443">
      <formula>$C47="Bills"</formula>
    </cfRule>
    <cfRule type="expression" dxfId="1447" priority="6444">
      <formula>$C47="Sales"</formula>
    </cfRule>
    <cfRule type="expression" dxfId="1446" priority="6445">
      <formula>$C47="Expences"</formula>
    </cfRule>
    <cfRule type="expression" dxfId="1445" priority="6446">
      <formula>$C47="Garlic Purchase"</formula>
    </cfRule>
    <cfRule type="expression" dxfId="1444" priority="6447">
      <formula>$C47="Ginger Purchase"</formula>
    </cfRule>
  </conditionalFormatting>
  <conditionalFormatting sqref="B47 B49:B51 B53 B55 B57 B61 B59 B63:B65 B67 B69:B73 B75:B239">
    <cfRule type="expression" dxfId="1443" priority="6448">
      <formula>$C47="Advance"</formula>
    </cfRule>
  </conditionalFormatting>
  <conditionalFormatting sqref="B47 B49:B51 B53 B55 B57 B61 B59 B63:B65 B67 B69:B73 B75:B239">
    <cfRule type="expression" dxfId="1442" priority="6429">
      <formula>$C47="Delivery charge"</formula>
    </cfRule>
    <cfRule type="expression" dxfId="1441" priority="6430">
      <formula>$C47="Staff Salary"</formula>
    </cfRule>
    <cfRule type="expression" dxfId="1440" priority="6431">
      <formula>$C47="Rent"</formula>
    </cfRule>
    <cfRule type="expression" dxfId="1439" priority="6432">
      <formula>$C47="Petrol"</formula>
    </cfRule>
    <cfRule type="expression" dxfId="1438" priority="6433">
      <formula>$C47="Bills"</formula>
    </cfRule>
    <cfRule type="expression" dxfId="1437" priority="6434">
      <formula>$C47="Sales"</formula>
    </cfRule>
    <cfRule type="expression" dxfId="1436" priority="6435">
      <formula>$C47="Expences"</formula>
    </cfRule>
    <cfRule type="expression" dxfId="1435" priority="6436">
      <formula>$C47="Garlic Purchase"</formula>
    </cfRule>
    <cfRule type="expression" dxfId="1434" priority="6437">
      <formula>$C47="Ginger Purchase"</formula>
    </cfRule>
  </conditionalFormatting>
  <conditionalFormatting sqref="B47 B49:B51 B53 B55 B57 B61 B59 B63:B65 B67 B69:B73 B75:B239">
    <cfRule type="expression" dxfId="1433" priority="6438">
      <formula>$C47="Advance"</formula>
    </cfRule>
  </conditionalFormatting>
  <conditionalFormatting sqref="B47 B49:B51 B53 B55 B57 B61 B59 B63:B65 B67 B69:B73 B75:B239">
    <cfRule type="expression" dxfId="1432" priority="6419">
      <formula>$C47="Delivery charge"</formula>
    </cfRule>
    <cfRule type="expression" dxfId="1431" priority="6420">
      <formula>$C47="Staff Salary"</formula>
    </cfRule>
    <cfRule type="expression" dxfId="1430" priority="6421">
      <formula>$C47="Rent"</formula>
    </cfRule>
    <cfRule type="expression" dxfId="1429" priority="6422">
      <formula>$C47="Petrol"</formula>
    </cfRule>
    <cfRule type="expression" dxfId="1428" priority="6423">
      <formula>$C47="Bills"</formula>
    </cfRule>
    <cfRule type="expression" dxfId="1427" priority="6424">
      <formula>$C47="Sales"</formula>
    </cfRule>
    <cfRule type="expression" dxfId="1426" priority="6425">
      <formula>$C47="Expences"</formula>
    </cfRule>
    <cfRule type="expression" dxfId="1425" priority="6426">
      <formula>$C47="Garlic Purchase"</formula>
    </cfRule>
    <cfRule type="expression" dxfId="1424" priority="6427">
      <formula>$C47="Ginger Purchase"</formula>
    </cfRule>
  </conditionalFormatting>
  <conditionalFormatting sqref="B47 B49:B51 B53 B55 B57 B61 B59 B63:B65 B67 B69:B73 B75:B239">
    <cfRule type="expression" dxfId="1423" priority="6428">
      <formula>$C47="Advance"</formula>
    </cfRule>
  </conditionalFormatting>
  <conditionalFormatting sqref="B47 B49:B51 B53 B55 B57 B61 B59 B63:B65 B67 B69:B73 B75:B239">
    <cfRule type="expression" dxfId="1422" priority="6409">
      <formula>$C47="Delivery charge"</formula>
    </cfRule>
    <cfRule type="expression" dxfId="1421" priority="6410">
      <formula>$C47="Staff Salary"</formula>
    </cfRule>
    <cfRule type="expression" dxfId="1420" priority="6411">
      <formula>$C47="Rent"</formula>
    </cfRule>
    <cfRule type="expression" dxfId="1419" priority="6412">
      <formula>$C47="Petrol"</formula>
    </cfRule>
    <cfRule type="expression" dxfId="1418" priority="6413">
      <formula>$C47="Bills"</formula>
    </cfRule>
    <cfRule type="expression" dxfId="1417" priority="6414">
      <formula>$C47="Sales"</formula>
    </cfRule>
    <cfRule type="expression" dxfId="1416" priority="6415">
      <formula>$C47="Expences"</formula>
    </cfRule>
    <cfRule type="expression" dxfId="1415" priority="6416">
      <formula>$C47="Garlic Purchase"</formula>
    </cfRule>
    <cfRule type="expression" dxfId="1414" priority="6417">
      <formula>$C47="Ginger Purchase"</formula>
    </cfRule>
  </conditionalFormatting>
  <conditionalFormatting sqref="B47 B49:B51 B53 B55 B57 B61 B59 B63:B65 B67 B69:B73 B75:B239">
    <cfRule type="expression" dxfId="1413" priority="6418">
      <formula>$C47="Advance"</formula>
    </cfRule>
  </conditionalFormatting>
  <conditionalFormatting sqref="B47 B49:B51 B53 B55 B57 B61 B59 B63:B65 B67 B69:B73 B75:B239">
    <cfRule type="expression" dxfId="1412" priority="6399">
      <formula>$C47="Delivery charge"</formula>
    </cfRule>
    <cfRule type="expression" dxfId="1411" priority="6400">
      <formula>$C47="Staff Salary"</formula>
    </cfRule>
    <cfRule type="expression" dxfId="1410" priority="6401">
      <formula>$C47="Rent"</formula>
    </cfRule>
    <cfRule type="expression" dxfId="1409" priority="6402">
      <formula>$C47="Petrol"</formula>
    </cfRule>
    <cfRule type="expression" dxfId="1408" priority="6403">
      <formula>$C47="Bills"</formula>
    </cfRule>
    <cfRule type="expression" dxfId="1407" priority="6404">
      <formula>$C47="Sales"</formula>
    </cfRule>
    <cfRule type="expression" dxfId="1406" priority="6405">
      <formula>$C47="Expences"</formula>
    </cfRule>
    <cfRule type="expression" dxfId="1405" priority="6406">
      <formula>$C47="Garlic Purchase"</formula>
    </cfRule>
    <cfRule type="expression" dxfId="1404" priority="6407">
      <formula>$C47="Ginger Purchase"</formula>
    </cfRule>
  </conditionalFormatting>
  <conditionalFormatting sqref="B47 B49:B51 B53 B55 B57 B61 B59 B63:B65 B67 B69:B73 B75:B239">
    <cfRule type="expression" dxfId="1403" priority="6408">
      <formula>$C47="Advance"</formula>
    </cfRule>
  </conditionalFormatting>
  <conditionalFormatting sqref="B47 B49:B51 B53 B55 B57 B61 B59 B63:B65 B67 B69:B73 B75:B239">
    <cfRule type="expression" dxfId="1402" priority="6389">
      <formula>$C47="Delivery charge"</formula>
    </cfRule>
    <cfRule type="expression" dxfId="1401" priority="6390">
      <formula>$C47="Staff Salary"</formula>
    </cfRule>
    <cfRule type="expression" dxfId="1400" priority="6391">
      <formula>$C47="Rent"</formula>
    </cfRule>
    <cfRule type="expression" dxfId="1399" priority="6392">
      <formula>$C47="Petrol"</formula>
    </cfRule>
    <cfRule type="expression" dxfId="1398" priority="6393">
      <formula>$C47="Bills"</formula>
    </cfRule>
    <cfRule type="expression" dxfId="1397" priority="6394">
      <formula>$C47="Sales"</formula>
    </cfRule>
    <cfRule type="expression" dxfId="1396" priority="6395">
      <formula>$C47="Expences"</formula>
    </cfRule>
    <cfRule type="expression" dxfId="1395" priority="6396">
      <formula>$C47="Garlic Purchase"</formula>
    </cfRule>
    <cfRule type="expression" dxfId="1394" priority="6397">
      <formula>$C47="Ginger Purchase"</formula>
    </cfRule>
  </conditionalFormatting>
  <conditionalFormatting sqref="B47 B49:B51 B53 B55 B57 B61 B59 B63:B65 B67 B69:B73 B75:B239">
    <cfRule type="expression" dxfId="1393" priority="6398">
      <formula>$C47="Advance"</formula>
    </cfRule>
  </conditionalFormatting>
  <conditionalFormatting sqref="B47 B49:B51 B53 B55 B57 B61 B59 B63:B65 B67 B69:B73 B75:B239">
    <cfRule type="expression" dxfId="1392" priority="6379">
      <formula>$C47="Delivery charge"</formula>
    </cfRule>
    <cfRule type="expression" dxfId="1391" priority="6380">
      <formula>$C47="Staff Salary"</formula>
    </cfRule>
    <cfRule type="expression" dxfId="1390" priority="6381">
      <formula>$C47="Rent"</formula>
    </cfRule>
    <cfRule type="expression" dxfId="1389" priority="6382">
      <formula>$C47="Petrol"</formula>
    </cfRule>
    <cfRule type="expression" dxfId="1388" priority="6383">
      <formula>$C47="Bills"</formula>
    </cfRule>
    <cfRule type="expression" dxfId="1387" priority="6384">
      <formula>$C47="Sales"</formula>
    </cfRule>
    <cfRule type="expression" dxfId="1386" priority="6385">
      <formula>$C47="Expences"</formula>
    </cfRule>
    <cfRule type="expression" dxfId="1385" priority="6386">
      <formula>$C47="Garlic Purchase"</formula>
    </cfRule>
    <cfRule type="expression" dxfId="1384" priority="6387">
      <formula>$C47="Ginger Purchase"</formula>
    </cfRule>
  </conditionalFormatting>
  <conditionalFormatting sqref="B47 B49:B51 B53 B55 B57 B61 B59 B63:B65 B67 B69:B73 B75:B239">
    <cfRule type="expression" dxfId="1383" priority="6388">
      <formula>$C47="Advance"</formula>
    </cfRule>
  </conditionalFormatting>
  <conditionalFormatting sqref="B47 B49:B51 B53 B55 B57 B61 B59 B63:B65 B67 B69:B73 B75:B239">
    <cfRule type="expression" dxfId="1382" priority="6369">
      <formula>$C47="Delivery charge"</formula>
    </cfRule>
    <cfRule type="expression" dxfId="1381" priority="6370">
      <formula>$C47="Staff Salary"</formula>
    </cfRule>
    <cfRule type="expression" dxfId="1380" priority="6371">
      <formula>$C47="Rent"</formula>
    </cfRule>
    <cfRule type="expression" dxfId="1379" priority="6372">
      <formula>$C47="Petrol"</formula>
    </cfRule>
    <cfRule type="expression" dxfId="1378" priority="6373">
      <formula>$C47="Bills"</formula>
    </cfRule>
    <cfRule type="expression" dxfId="1377" priority="6374">
      <formula>$C47="Sales"</formula>
    </cfRule>
    <cfRule type="expression" dxfId="1376" priority="6375">
      <formula>$C47="Expences"</formula>
    </cfRule>
    <cfRule type="expression" dxfId="1375" priority="6376">
      <formula>$C47="Garlic Purchase"</formula>
    </cfRule>
    <cfRule type="expression" dxfId="1374" priority="6377">
      <formula>$C47="Ginger Purchase"</formula>
    </cfRule>
  </conditionalFormatting>
  <conditionalFormatting sqref="B47 B49:B51 B53 B55 B57 B61 B59 B63:B65 B67 B69:B73 B75:B239">
    <cfRule type="expression" dxfId="1373" priority="6378">
      <formula>$C47="Advance"</formula>
    </cfRule>
  </conditionalFormatting>
  <conditionalFormatting sqref="B47 B49:B51 B53 B55 B57 B61 B59 B63:B65 B67 B69:B73 B75:B239">
    <cfRule type="expression" dxfId="1372" priority="6359">
      <formula>$C47="Delivery charge"</formula>
    </cfRule>
    <cfRule type="expression" dxfId="1371" priority="6360">
      <formula>$C47="Staff Salary"</formula>
    </cfRule>
    <cfRule type="expression" dxfId="1370" priority="6361">
      <formula>$C47="Rent"</formula>
    </cfRule>
    <cfRule type="expression" dxfId="1369" priority="6362">
      <formula>$C47="Petrol"</formula>
    </cfRule>
    <cfRule type="expression" dxfId="1368" priority="6363">
      <formula>$C47="Bills"</formula>
    </cfRule>
    <cfRule type="expression" dxfId="1367" priority="6364">
      <formula>$C47="Sales"</formula>
    </cfRule>
    <cfRule type="expression" dxfId="1366" priority="6365">
      <formula>$C47="Expences"</formula>
    </cfRule>
    <cfRule type="expression" dxfId="1365" priority="6366">
      <formula>$C47="Garlic Purchase"</formula>
    </cfRule>
    <cfRule type="expression" dxfId="1364" priority="6367">
      <formula>$C47="Ginger Purchase"</formula>
    </cfRule>
  </conditionalFormatting>
  <conditionalFormatting sqref="B47 B49:B51 B53 B55 B57 B61 B59 B63:B65 B67 B69:B73 B75:B239">
    <cfRule type="expression" dxfId="1363" priority="6368">
      <formula>$C47="Advance"</formula>
    </cfRule>
  </conditionalFormatting>
  <conditionalFormatting sqref="B47 B49:B51 B53 B55 B57 B61 B59 B63:B65 B67 B69:B73 B75:B239">
    <cfRule type="expression" dxfId="1362" priority="6349">
      <formula>$C47="Delivery charge"</formula>
    </cfRule>
    <cfRule type="expression" dxfId="1361" priority="6350">
      <formula>$C47="Staff Salary"</formula>
    </cfRule>
    <cfRule type="expression" dxfId="1360" priority="6351">
      <formula>$C47="Rent"</formula>
    </cfRule>
    <cfRule type="expression" dxfId="1359" priority="6352">
      <formula>$C47="Petrol"</formula>
    </cfRule>
    <cfRule type="expression" dxfId="1358" priority="6353">
      <formula>$C47="Bills"</formula>
    </cfRule>
    <cfRule type="expression" dxfId="1357" priority="6354">
      <formula>$C47="Sales"</formula>
    </cfRule>
    <cfRule type="expression" dxfId="1356" priority="6355">
      <formula>$C47="Expences"</formula>
    </cfRule>
    <cfRule type="expression" dxfId="1355" priority="6356">
      <formula>$C47="Garlic Purchase"</formula>
    </cfRule>
    <cfRule type="expression" dxfId="1354" priority="6357">
      <formula>$C47="Ginger Purchase"</formula>
    </cfRule>
  </conditionalFormatting>
  <conditionalFormatting sqref="B47 B49:B51 B53 B55 B57 B61 B59 B63:B65 B67 B69:B73 B75:B239">
    <cfRule type="expression" dxfId="1353" priority="6358">
      <formula>$C47="Advance"</formula>
    </cfRule>
  </conditionalFormatting>
  <conditionalFormatting sqref="B47 B49:B51 B53 B55 B57 B61 B59 B63:B65 B67 B69:B73 B75:B239">
    <cfRule type="expression" dxfId="1352" priority="6339">
      <formula>$C47="Delivery charge"</formula>
    </cfRule>
    <cfRule type="expression" dxfId="1351" priority="6340">
      <formula>$C47="Staff Salary"</formula>
    </cfRule>
    <cfRule type="expression" dxfId="1350" priority="6341">
      <formula>$C47="Rent"</formula>
    </cfRule>
    <cfRule type="expression" dxfId="1349" priority="6342">
      <formula>$C47="Petrol"</formula>
    </cfRule>
    <cfRule type="expression" dxfId="1348" priority="6343">
      <formula>$C47="Bills"</formula>
    </cfRule>
    <cfRule type="expression" dxfId="1347" priority="6344">
      <formula>$C47="Sales"</formula>
    </cfRule>
    <cfRule type="expression" dxfId="1346" priority="6345">
      <formula>$C47="Expences"</formula>
    </cfRule>
    <cfRule type="expression" dxfId="1345" priority="6346">
      <formula>$C47="Garlic Purchase"</formula>
    </cfRule>
    <cfRule type="expression" dxfId="1344" priority="6347">
      <formula>$C47="Ginger Purchase"</formula>
    </cfRule>
  </conditionalFormatting>
  <conditionalFormatting sqref="B47 B49:B51 B53 B55 B57 B61 B59 B63:B65 B67 B69:B73 B75:B239">
    <cfRule type="expression" dxfId="1343" priority="6348">
      <formula>$C47="Advance"</formula>
    </cfRule>
  </conditionalFormatting>
  <conditionalFormatting sqref="B47 B49:B51 B53 B55 B57 B61 B59 B63:B65 B67 B69:B73 B75:B239">
    <cfRule type="expression" dxfId="1342" priority="6329">
      <formula>$C47="Delivery charge"</formula>
    </cfRule>
    <cfRule type="expression" dxfId="1341" priority="6330">
      <formula>$C47="Staff Salary"</formula>
    </cfRule>
    <cfRule type="expression" dxfId="1340" priority="6331">
      <formula>$C47="Rent"</formula>
    </cfRule>
    <cfRule type="expression" dxfId="1339" priority="6332">
      <formula>$C47="Petrol"</formula>
    </cfRule>
    <cfRule type="expression" dxfId="1338" priority="6333">
      <formula>$C47="Bills"</formula>
    </cfRule>
    <cfRule type="expression" dxfId="1337" priority="6334">
      <formula>$C47="Sales"</formula>
    </cfRule>
    <cfRule type="expression" dxfId="1336" priority="6335">
      <formula>$C47="Expences"</formula>
    </cfRule>
    <cfRule type="expression" dxfId="1335" priority="6336">
      <formula>$C47="Garlic Purchase"</formula>
    </cfRule>
    <cfRule type="expression" dxfId="1334" priority="6337">
      <formula>$C47="Ginger Purchase"</formula>
    </cfRule>
  </conditionalFormatting>
  <conditionalFormatting sqref="B47 B49:B51 B53 B55 B57 B61 B59 B63:B65 B67 B69:B73 B75:B239">
    <cfRule type="expression" dxfId="8955" priority="6319">
      <formula>$C47="Delivery charge"</formula>
    </cfRule>
    <cfRule type="expression" dxfId="8954" priority="6320">
      <formula>$C47="Staff Salary"</formula>
    </cfRule>
    <cfRule type="expression" dxfId="8953" priority="6321">
      <formula>$C47="Rent"</formula>
    </cfRule>
    <cfRule type="expression" dxfId="8952" priority="6322">
      <formula>$C47="Petrol"</formula>
    </cfRule>
    <cfRule type="expression" dxfId="8951" priority="6323">
      <formula>$C47="Bills"</formula>
    </cfRule>
    <cfRule type="expression" dxfId="8950" priority="6324">
      <formula>$C47="Sales"</formula>
    </cfRule>
    <cfRule type="expression" dxfId="8949" priority="6325">
      <formula>$C47="Expences"</formula>
    </cfRule>
    <cfRule type="expression" dxfId="8948" priority="6326">
      <formula>$C47="Garlic Purchase"</formula>
    </cfRule>
    <cfRule type="expression" dxfId="8947" priority="6327">
      <formula>$C47="Ginger Purchase"</formula>
    </cfRule>
  </conditionalFormatting>
  <conditionalFormatting sqref="B47 B49:B51 B53 B55 B57 B61 B59 B63:B65 B67 B69:B73 B75:B239">
    <cfRule type="expression" dxfId="1333" priority="6328">
      <formula>$C47="Advance"</formula>
    </cfRule>
  </conditionalFormatting>
  <conditionalFormatting sqref="B47 B49:B51 B53 B55 B57 B61 B59 B63:B65 B67 B69:B73 B75:B239">
    <cfRule type="expression" dxfId="1332" priority="6309">
      <formula>$C47="Delivery charge"</formula>
    </cfRule>
    <cfRule type="expression" dxfId="1331" priority="6310">
      <formula>$C47="Staff Salary"</formula>
    </cfRule>
    <cfRule type="expression" dxfId="1330" priority="6311">
      <formula>$C47="Rent"</formula>
    </cfRule>
    <cfRule type="expression" dxfId="1329" priority="6312">
      <formula>$C47="Petrol"</formula>
    </cfRule>
    <cfRule type="expression" dxfId="1328" priority="6313">
      <formula>$C47="Bills"</formula>
    </cfRule>
    <cfRule type="expression" dxfId="1327" priority="6314">
      <formula>$C47="Sales"</formula>
    </cfRule>
    <cfRule type="expression" dxfId="1326" priority="6315">
      <formula>$C47="Expences"</formula>
    </cfRule>
    <cfRule type="expression" dxfId="1325" priority="6316">
      <formula>$C47="Garlic Purchase"</formula>
    </cfRule>
    <cfRule type="expression" dxfId="1324" priority="6317">
      <formula>$C47="Ginger Purchase"</formula>
    </cfRule>
  </conditionalFormatting>
  <conditionalFormatting sqref="B47 B49:B51 B53 B55 B57 B61 B59 B63:B65 B67 B69:B73 B75:B239">
    <cfRule type="expression" dxfId="1323" priority="6318">
      <formula>$C47="Advance"</formula>
    </cfRule>
  </conditionalFormatting>
  <conditionalFormatting sqref="A20:A32">
    <cfRule type="expression" dxfId="8946" priority="6302">
      <formula>$C20="Advance"</formula>
    </cfRule>
  </conditionalFormatting>
  <conditionalFormatting sqref="A4:A13">
    <cfRule type="expression" dxfId="8945" priority="6304">
      <formula>$C4="Advance"</formula>
    </cfRule>
  </conditionalFormatting>
  <conditionalFormatting sqref="A14:A19">
    <cfRule type="expression" dxfId="8944" priority="6303">
      <formula>$C14="Advance"</formula>
    </cfRule>
  </conditionalFormatting>
  <conditionalFormatting sqref="B31 B33 B35 B37 B39 B41 B43 B47 B51">
    <cfRule type="expression" dxfId="8943" priority="6101">
      <formula>$C31="Advance"</formula>
    </cfRule>
  </conditionalFormatting>
  <conditionalFormatting sqref="B31 B33 B35 B37 B39 B41 B43 B47 B51">
    <cfRule type="expression" dxfId="8942" priority="6292">
      <formula>$C31="Delivery charge"</formula>
    </cfRule>
    <cfRule type="expression" dxfId="8941" priority="6293">
      <formula>$C31="Staff Salary"</formula>
    </cfRule>
    <cfRule type="expression" dxfId="8940" priority="6294">
      <formula>$C31="Rent"</formula>
    </cfRule>
    <cfRule type="expression" dxfId="8939" priority="6295">
      <formula>$C31="Petrol"</formula>
    </cfRule>
    <cfRule type="expression" dxfId="8938" priority="6296">
      <formula>$C31="Bills"</formula>
    </cfRule>
    <cfRule type="expression" dxfId="8937" priority="6297">
      <formula>$C31="Sales"</formula>
    </cfRule>
    <cfRule type="expression" dxfId="8936" priority="6298">
      <formula>$C31="Expences"</formula>
    </cfRule>
    <cfRule type="expression" dxfId="8935" priority="6299">
      <formula>$C31="Garlic Purchase"</formula>
    </cfRule>
    <cfRule type="expression" dxfId="8934" priority="6300">
      <formula>$C31="Ginger Purchase"</formula>
    </cfRule>
  </conditionalFormatting>
  <conditionalFormatting sqref="B31 B33 B35 B37 B39 B41 B43 B47 B51">
    <cfRule type="expression" dxfId="8933" priority="6301">
      <formula>$C31="Advance"</formula>
    </cfRule>
  </conditionalFormatting>
  <conditionalFormatting sqref="B32 B34 B36 B38 B40 B42">
    <cfRule type="expression" dxfId="8932" priority="6282">
      <formula>$C32="Delivery charge"</formula>
    </cfRule>
    <cfRule type="expression" dxfId="8931" priority="6283">
      <formula>$C32="Staff Salary"</formula>
    </cfRule>
    <cfRule type="expression" dxfId="8930" priority="6284">
      <formula>$C32="Rent"</formula>
    </cfRule>
    <cfRule type="expression" dxfId="8929" priority="6285">
      <formula>$C32="Petrol"</formula>
    </cfRule>
    <cfRule type="expression" dxfId="8928" priority="6286">
      <formula>$C32="Bills"</formula>
    </cfRule>
    <cfRule type="expression" dxfId="8927" priority="6287">
      <formula>$C32="Sales"</formula>
    </cfRule>
    <cfRule type="expression" dxfId="8926" priority="6288">
      <formula>$C32="Expences"</formula>
    </cfRule>
    <cfRule type="expression" dxfId="8925" priority="6289">
      <formula>$C32="Garlic Purchase"</formula>
    </cfRule>
    <cfRule type="expression" dxfId="8924" priority="6290">
      <formula>$C32="Ginger Purchase"</formula>
    </cfRule>
  </conditionalFormatting>
  <conditionalFormatting sqref="B32 B34 B36 B38 B40 B42">
    <cfRule type="expression" dxfId="8923" priority="6291">
      <formula>$C32="Advance"</formula>
    </cfRule>
  </conditionalFormatting>
  <conditionalFormatting sqref="B32 B34 B36 B38 B40 B42">
    <cfRule type="expression" dxfId="8922" priority="6272">
      <formula>$C32="Delivery charge"</formula>
    </cfRule>
    <cfRule type="expression" dxfId="8921" priority="6273">
      <formula>$C32="Staff Salary"</formula>
    </cfRule>
    <cfRule type="expression" dxfId="8920" priority="6274">
      <formula>$C32="Rent"</formula>
    </cfRule>
    <cfRule type="expression" dxfId="8919" priority="6275">
      <formula>$C32="Petrol"</formula>
    </cfRule>
    <cfRule type="expression" dxfId="8918" priority="6276">
      <formula>$C32="Bills"</formula>
    </cfRule>
    <cfRule type="expression" dxfId="8917" priority="6277">
      <formula>$C32="Sales"</formula>
    </cfRule>
    <cfRule type="expression" dxfId="8916" priority="6278">
      <formula>$C32="Expences"</formula>
    </cfRule>
    <cfRule type="expression" dxfId="8915" priority="6279">
      <formula>$C32="Garlic Purchase"</formula>
    </cfRule>
    <cfRule type="expression" dxfId="8914" priority="6280">
      <formula>$C32="Ginger Purchase"</formula>
    </cfRule>
  </conditionalFormatting>
  <conditionalFormatting sqref="B32 B34 B36 B38 B40 B42">
    <cfRule type="expression" dxfId="8913" priority="6281">
      <formula>$C32="Advance"</formula>
    </cfRule>
  </conditionalFormatting>
  <conditionalFormatting sqref="B32 B34 B36 B38 B40 B42">
    <cfRule type="expression" dxfId="8912" priority="6262">
      <formula>$C32="Delivery charge"</formula>
    </cfRule>
    <cfRule type="expression" dxfId="8911" priority="6263">
      <formula>$C32="Staff Salary"</formula>
    </cfRule>
    <cfRule type="expression" dxfId="8910" priority="6264">
      <formula>$C32="Rent"</formula>
    </cfRule>
    <cfRule type="expression" dxfId="8909" priority="6265">
      <formula>$C32="Petrol"</formula>
    </cfRule>
    <cfRule type="expression" dxfId="8908" priority="6266">
      <formula>$C32="Bills"</formula>
    </cfRule>
    <cfRule type="expression" dxfId="8907" priority="6267">
      <formula>$C32="Sales"</formula>
    </cfRule>
    <cfRule type="expression" dxfId="8906" priority="6268">
      <formula>$C32="Expences"</formula>
    </cfRule>
    <cfRule type="expression" dxfId="8905" priority="6269">
      <formula>$C32="Garlic Purchase"</formula>
    </cfRule>
    <cfRule type="expression" dxfId="8904" priority="6270">
      <formula>$C32="Ginger Purchase"</formula>
    </cfRule>
  </conditionalFormatting>
  <conditionalFormatting sqref="B32 B34 B36 B38 B40 B42">
    <cfRule type="expression" dxfId="8903" priority="6271">
      <formula>$C32="Advance"</formula>
    </cfRule>
  </conditionalFormatting>
  <conditionalFormatting sqref="B32 B34 B36 B38 B40 B42">
    <cfRule type="expression" dxfId="8902" priority="6252">
      <formula>$C32="Delivery charge"</formula>
    </cfRule>
    <cfRule type="expression" dxfId="8901" priority="6253">
      <formula>$C32="Staff Salary"</formula>
    </cfRule>
    <cfRule type="expression" dxfId="8900" priority="6254">
      <formula>$C32="Rent"</formula>
    </cfRule>
    <cfRule type="expression" dxfId="8899" priority="6255">
      <formula>$C32="Petrol"</formula>
    </cfRule>
    <cfRule type="expression" dxfId="8898" priority="6256">
      <formula>$C32="Bills"</formula>
    </cfRule>
    <cfRule type="expression" dxfId="8897" priority="6257">
      <formula>$C32="Sales"</formula>
    </cfRule>
    <cfRule type="expression" dxfId="8896" priority="6258">
      <formula>$C32="Expences"</formula>
    </cfRule>
    <cfRule type="expression" dxfId="8895" priority="6259">
      <formula>$C32="Garlic Purchase"</formula>
    </cfRule>
    <cfRule type="expression" dxfId="8894" priority="6260">
      <formula>$C32="Ginger Purchase"</formula>
    </cfRule>
  </conditionalFormatting>
  <conditionalFormatting sqref="B32 B34 B36 B38 B40 B42">
    <cfRule type="expression" dxfId="8893" priority="6261">
      <formula>$C32="Advance"</formula>
    </cfRule>
  </conditionalFormatting>
  <conditionalFormatting sqref="B31 B33 B35 B37 B39 B41 B43 B47 B51">
    <cfRule type="expression" dxfId="8892" priority="6242">
      <formula>$C31="Delivery charge"</formula>
    </cfRule>
    <cfRule type="expression" dxfId="8891" priority="6243">
      <formula>$C31="Staff Salary"</formula>
    </cfRule>
    <cfRule type="expression" dxfId="8890" priority="6244">
      <formula>$C31="Rent"</formula>
    </cfRule>
    <cfRule type="expression" dxfId="8889" priority="6245">
      <formula>$C31="Petrol"</formula>
    </cfRule>
    <cfRule type="expression" dxfId="8888" priority="6246">
      <formula>$C31="Bills"</formula>
    </cfRule>
    <cfRule type="expression" dxfId="8887" priority="6247">
      <formula>$C31="Sales"</formula>
    </cfRule>
    <cfRule type="expression" dxfId="8886" priority="6248">
      <formula>$C31="Expences"</formula>
    </cfRule>
    <cfRule type="expression" dxfId="8885" priority="6249">
      <formula>$C31="Garlic Purchase"</formula>
    </cfRule>
    <cfRule type="expression" dxfId="8884" priority="6250">
      <formula>$C31="Ginger Purchase"</formula>
    </cfRule>
  </conditionalFormatting>
  <conditionalFormatting sqref="B31 B33 B35 B37 B39 B41 B43 B47 B51">
    <cfRule type="expression" dxfId="8883" priority="6251">
      <formula>$C31="Advance"</formula>
    </cfRule>
  </conditionalFormatting>
  <conditionalFormatting sqref="B31 B33 B35 B37 B39 B41 B43 B47 B51">
    <cfRule type="expression" dxfId="8882" priority="6232">
      <formula>$C31="Delivery charge"</formula>
    </cfRule>
    <cfRule type="expression" dxfId="8881" priority="6233">
      <formula>$C31="Staff Salary"</formula>
    </cfRule>
    <cfRule type="expression" dxfId="8880" priority="6234">
      <formula>$C31="Rent"</formula>
    </cfRule>
    <cfRule type="expression" dxfId="8879" priority="6235">
      <formula>$C31="Petrol"</formula>
    </cfRule>
    <cfRule type="expression" dxfId="8878" priority="6236">
      <formula>$C31="Bills"</formula>
    </cfRule>
    <cfRule type="expression" dxfId="8877" priority="6237">
      <formula>$C31="Sales"</formula>
    </cfRule>
    <cfRule type="expression" dxfId="8876" priority="6238">
      <formula>$C31="Expences"</formula>
    </cfRule>
    <cfRule type="expression" dxfId="8875" priority="6239">
      <formula>$C31="Garlic Purchase"</formula>
    </cfRule>
    <cfRule type="expression" dxfId="8874" priority="6240">
      <formula>$C31="Ginger Purchase"</formula>
    </cfRule>
  </conditionalFormatting>
  <conditionalFormatting sqref="B31 B33 B35 B37 B39 B41 B43 B47 B51">
    <cfRule type="expression" dxfId="8873" priority="6241">
      <formula>$C31="Advance"</formula>
    </cfRule>
  </conditionalFormatting>
  <conditionalFormatting sqref="B31 B33 B35 B37 B39 B41 B43 B47 B51">
    <cfRule type="expression" dxfId="8872" priority="6222">
      <formula>$C31="Delivery charge"</formula>
    </cfRule>
    <cfRule type="expression" dxfId="8871" priority="6223">
      <formula>$C31="Staff Salary"</formula>
    </cfRule>
    <cfRule type="expression" dxfId="8870" priority="6224">
      <formula>$C31="Rent"</formula>
    </cfRule>
    <cfRule type="expression" dxfId="8869" priority="6225">
      <formula>$C31="Petrol"</formula>
    </cfRule>
    <cfRule type="expression" dxfId="8868" priority="6226">
      <formula>$C31="Bills"</formula>
    </cfRule>
    <cfRule type="expression" dxfId="8867" priority="6227">
      <formula>$C31="Sales"</formula>
    </cfRule>
    <cfRule type="expression" dxfId="8866" priority="6228">
      <formula>$C31="Expences"</formula>
    </cfRule>
    <cfRule type="expression" dxfId="8865" priority="6229">
      <formula>$C31="Garlic Purchase"</formula>
    </cfRule>
    <cfRule type="expression" dxfId="8864" priority="6230">
      <formula>$C31="Ginger Purchase"</formula>
    </cfRule>
  </conditionalFormatting>
  <conditionalFormatting sqref="B31 B33 B35 B37 B39 B41 B43 B47 B51">
    <cfRule type="expression" dxfId="8863" priority="6231">
      <formula>$C31="Advance"</formula>
    </cfRule>
  </conditionalFormatting>
  <conditionalFormatting sqref="B31 B33 B35 B37 B39 B41 B43 B47 B51">
    <cfRule type="expression" dxfId="8862" priority="6212">
      <formula>$C31="Delivery charge"</formula>
    </cfRule>
    <cfRule type="expression" dxfId="8861" priority="6213">
      <formula>$C31="Staff Salary"</formula>
    </cfRule>
    <cfRule type="expression" dxfId="8860" priority="6214">
      <formula>$C31="Rent"</formula>
    </cfRule>
    <cfRule type="expression" dxfId="8859" priority="6215">
      <formula>$C31="Petrol"</formula>
    </cfRule>
    <cfRule type="expression" dxfId="8858" priority="6216">
      <formula>$C31="Bills"</formula>
    </cfRule>
    <cfRule type="expression" dxfId="8857" priority="6217">
      <formula>$C31="Sales"</formula>
    </cfRule>
    <cfRule type="expression" dxfId="8856" priority="6218">
      <formula>$C31="Expences"</formula>
    </cfRule>
    <cfRule type="expression" dxfId="8855" priority="6219">
      <formula>$C31="Garlic Purchase"</formula>
    </cfRule>
    <cfRule type="expression" dxfId="8854" priority="6220">
      <formula>$C31="Ginger Purchase"</formula>
    </cfRule>
  </conditionalFormatting>
  <conditionalFormatting sqref="B31 B33 B35 B37 B39 B41 B43 B47 B51">
    <cfRule type="expression" dxfId="8853" priority="6221">
      <formula>$C31="Advance"</formula>
    </cfRule>
  </conditionalFormatting>
  <conditionalFormatting sqref="B32 B34 B36 B38 B40 B42">
    <cfRule type="expression" dxfId="8852" priority="6211">
      <formula>$C32="Advance"</formula>
    </cfRule>
  </conditionalFormatting>
  <conditionalFormatting sqref="B32 B34 B36 B38 B40 B42">
    <cfRule type="expression" dxfId="8851" priority="6202">
      <formula>$C32="Delivery charge"</formula>
    </cfRule>
    <cfRule type="expression" dxfId="8850" priority="6203">
      <formula>$C32="Staff Salary"</formula>
    </cfRule>
    <cfRule type="expression" dxfId="8849" priority="6204">
      <formula>$C32="Rent"</formula>
    </cfRule>
    <cfRule type="expression" dxfId="8848" priority="6205">
      <formula>$C32="Petrol"</formula>
    </cfRule>
    <cfRule type="expression" dxfId="8847" priority="6206">
      <formula>$C32="Bills"</formula>
    </cfRule>
    <cfRule type="expression" dxfId="8846" priority="6207">
      <formula>$C32="Sales"</formula>
    </cfRule>
    <cfRule type="expression" dxfId="8845" priority="6208">
      <formula>$C32="Expences"</formula>
    </cfRule>
    <cfRule type="expression" dxfId="8844" priority="6209">
      <formula>$C32="Garlic Purchase"</formula>
    </cfRule>
    <cfRule type="expression" dxfId="8843" priority="6210">
      <formula>$C32="Ginger Purchase"</formula>
    </cfRule>
  </conditionalFormatting>
  <conditionalFormatting sqref="B31 B33 B35 B37 B39 B41 B43 B47 B51">
    <cfRule type="expression" dxfId="8842" priority="6192">
      <formula>$C31="Delivery charge"</formula>
    </cfRule>
    <cfRule type="expression" dxfId="8841" priority="6193">
      <formula>$C31="Staff Salary"</formula>
    </cfRule>
    <cfRule type="expression" dxfId="8840" priority="6194">
      <formula>$C31="Rent"</formula>
    </cfRule>
    <cfRule type="expression" dxfId="8839" priority="6195">
      <formula>$C31="Petrol"</formula>
    </cfRule>
    <cfRule type="expression" dxfId="8838" priority="6196">
      <formula>$C31="Bills"</formula>
    </cfRule>
    <cfRule type="expression" dxfId="8837" priority="6197">
      <formula>$C31="Sales"</formula>
    </cfRule>
    <cfRule type="expression" dxfId="8836" priority="6198">
      <formula>$C31="Expences"</formula>
    </cfRule>
    <cfRule type="expression" dxfId="8835" priority="6199">
      <formula>$C31="Garlic Purchase"</formula>
    </cfRule>
    <cfRule type="expression" dxfId="8834" priority="6200">
      <formula>$C31="Ginger Purchase"</formula>
    </cfRule>
  </conditionalFormatting>
  <conditionalFormatting sqref="B31 B33 B35 B37 B39 B41 B43 B47 B51">
    <cfRule type="expression" dxfId="8833" priority="6201">
      <formula>$C31="Advance"</formula>
    </cfRule>
  </conditionalFormatting>
  <conditionalFormatting sqref="B31 B33 B35 B37 B39 B41 B43 B47 B51">
    <cfRule type="expression" dxfId="8832" priority="6182">
      <formula>$C31="Delivery charge"</formula>
    </cfRule>
    <cfRule type="expression" dxfId="8831" priority="6183">
      <formula>$C31="Staff Salary"</formula>
    </cfRule>
    <cfRule type="expression" dxfId="8830" priority="6184">
      <formula>$C31="Rent"</formula>
    </cfRule>
    <cfRule type="expression" dxfId="8829" priority="6185">
      <formula>$C31="Petrol"</formula>
    </cfRule>
    <cfRule type="expression" dxfId="8828" priority="6186">
      <formula>$C31="Bills"</formula>
    </cfRule>
    <cfRule type="expression" dxfId="8827" priority="6187">
      <formula>$C31="Sales"</formula>
    </cfRule>
    <cfRule type="expression" dxfId="8826" priority="6188">
      <formula>$C31="Expences"</formula>
    </cfRule>
    <cfRule type="expression" dxfId="8825" priority="6189">
      <formula>$C31="Garlic Purchase"</formula>
    </cfRule>
    <cfRule type="expression" dxfId="8824" priority="6190">
      <formula>$C31="Ginger Purchase"</formula>
    </cfRule>
  </conditionalFormatting>
  <conditionalFormatting sqref="B31 B33 B35 B37 B39 B41 B43 B47 B51">
    <cfRule type="expression" dxfId="8823" priority="6191">
      <formula>$C31="Advance"</formula>
    </cfRule>
  </conditionalFormatting>
  <conditionalFormatting sqref="B31 B33 B35 B37 B39 B41 B43 B47 B51">
    <cfRule type="expression" dxfId="8822" priority="6172">
      <formula>$C31="Delivery charge"</formula>
    </cfRule>
    <cfRule type="expression" dxfId="8821" priority="6173">
      <formula>$C31="Staff Salary"</formula>
    </cfRule>
    <cfRule type="expression" dxfId="8820" priority="6174">
      <formula>$C31="Rent"</formula>
    </cfRule>
    <cfRule type="expression" dxfId="8819" priority="6175">
      <formula>$C31="Petrol"</formula>
    </cfRule>
    <cfRule type="expression" dxfId="8818" priority="6176">
      <formula>$C31="Bills"</formula>
    </cfRule>
    <cfRule type="expression" dxfId="8817" priority="6177">
      <formula>$C31="Sales"</formula>
    </cfRule>
    <cfRule type="expression" dxfId="8816" priority="6178">
      <formula>$C31="Expences"</formula>
    </cfRule>
    <cfRule type="expression" dxfId="8815" priority="6179">
      <formula>$C31="Garlic Purchase"</formula>
    </cfRule>
    <cfRule type="expression" dxfId="8814" priority="6180">
      <formula>$C31="Ginger Purchase"</formula>
    </cfRule>
  </conditionalFormatting>
  <conditionalFormatting sqref="B31 B33 B35 B37 B39 B41 B43 B47 B51">
    <cfRule type="expression" dxfId="8813" priority="6181">
      <formula>$C31="Advance"</formula>
    </cfRule>
  </conditionalFormatting>
  <conditionalFormatting sqref="B31 B33 B35 B37 B39 B41 B43 B47 B51">
    <cfRule type="expression" dxfId="8812" priority="6162">
      <formula>$C31="Delivery charge"</formula>
    </cfRule>
    <cfRule type="expression" dxfId="8811" priority="6163">
      <formula>$C31="Staff Salary"</formula>
    </cfRule>
    <cfRule type="expression" dxfId="8810" priority="6164">
      <formula>$C31="Rent"</formula>
    </cfRule>
    <cfRule type="expression" dxfId="8809" priority="6165">
      <formula>$C31="Petrol"</formula>
    </cfRule>
    <cfRule type="expression" dxfId="8808" priority="6166">
      <formula>$C31="Bills"</formula>
    </cfRule>
    <cfRule type="expression" dxfId="8807" priority="6167">
      <formula>$C31="Sales"</formula>
    </cfRule>
    <cfRule type="expression" dxfId="8806" priority="6168">
      <formula>$C31="Expences"</formula>
    </cfRule>
    <cfRule type="expression" dxfId="8805" priority="6169">
      <formula>$C31="Garlic Purchase"</formula>
    </cfRule>
    <cfRule type="expression" dxfId="8804" priority="6170">
      <formula>$C31="Ginger Purchase"</formula>
    </cfRule>
  </conditionalFormatting>
  <conditionalFormatting sqref="B31 B33 B35 B37 B39 B41 B43 B47 B51">
    <cfRule type="expression" dxfId="8803" priority="6171">
      <formula>$C31="Advance"</formula>
    </cfRule>
  </conditionalFormatting>
  <conditionalFormatting sqref="B31 B33 B35 B37 B39 B41 B43 B47 B51">
    <cfRule type="expression" dxfId="8802" priority="6152">
      <formula>$C31="Delivery charge"</formula>
    </cfRule>
    <cfRule type="expression" dxfId="8801" priority="6153">
      <formula>$C31="Staff Salary"</formula>
    </cfRule>
    <cfRule type="expression" dxfId="8800" priority="6154">
      <formula>$C31="Rent"</formula>
    </cfRule>
    <cfRule type="expression" dxfId="8799" priority="6155">
      <formula>$C31="Petrol"</formula>
    </cfRule>
    <cfRule type="expression" dxfId="8798" priority="6156">
      <formula>$C31="Bills"</formula>
    </cfRule>
    <cfRule type="expression" dxfId="8797" priority="6157">
      <formula>$C31="Sales"</formula>
    </cfRule>
    <cfRule type="expression" dxfId="8796" priority="6158">
      <formula>$C31="Expences"</formula>
    </cfRule>
    <cfRule type="expression" dxfId="8795" priority="6159">
      <formula>$C31="Garlic Purchase"</formula>
    </cfRule>
    <cfRule type="expression" dxfId="8794" priority="6160">
      <formula>$C31="Ginger Purchase"</formula>
    </cfRule>
  </conditionalFormatting>
  <conditionalFormatting sqref="B31 B33 B35 B37 B39 B41 B43 B47 B51">
    <cfRule type="expression" dxfId="8793" priority="6161">
      <formula>$C31="Advance"</formula>
    </cfRule>
  </conditionalFormatting>
  <conditionalFormatting sqref="B32 B34 B36 B38 B40 B42">
    <cfRule type="expression" dxfId="8792" priority="6142">
      <formula>$C32="Delivery charge"</formula>
    </cfRule>
    <cfRule type="expression" dxfId="8791" priority="6143">
      <formula>$C32="Staff Salary"</formula>
    </cfRule>
    <cfRule type="expression" dxfId="8790" priority="6144">
      <formula>$C32="Rent"</formula>
    </cfRule>
    <cfRule type="expression" dxfId="8789" priority="6145">
      <formula>$C32="Petrol"</formula>
    </cfRule>
    <cfRule type="expression" dxfId="8788" priority="6146">
      <formula>$C32="Bills"</formula>
    </cfRule>
    <cfRule type="expression" dxfId="8787" priority="6147">
      <formula>$C32="Sales"</formula>
    </cfRule>
    <cfRule type="expression" dxfId="8786" priority="6148">
      <formula>$C32="Expences"</formula>
    </cfRule>
    <cfRule type="expression" dxfId="8785" priority="6149">
      <formula>$C32="Garlic Purchase"</formula>
    </cfRule>
    <cfRule type="expression" dxfId="8784" priority="6150">
      <formula>$C32="Ginger Purchase"</formula>
    </cfRule>
  </conditionalFormatting>
  <conditionalFormatting sqref="B32 B34 B36 B38 B40 B42">
    <cfRule type="expression" dxfId="8783" priority="6151">
      <formula>$C32="Advance"</formula>
    </cfRule>
  </conditionalFormatting>
  <conditionalFormatting sqref="B32 B34 B36 B38 B40 B42">
    <cfRule type="expression" dxfId="8782" priority="6132">
      <formula>$C32="Delivery charge"</formula>
    </cfRule>
    <cfRule type="expression" dxfId="8781" priority="6133">
      <formula>$C32="Staff Salary"</formula>
    </cfRule>
    <cfRule type="expression" dxfId="8780" priority="6134">
      <formula>$C32="Rent"</formula>
    </cfRule>
    <cfRule type="expression" dxfId="8779" priority="6135">
      <formula>$C32="Petrol"</formula>
    </cfRule>
    <cfRule type="expression" dxfId="8778" priority="6136">
      <formula>$C32="Bills"</formula>
    </cfRule>
    <cfRule type="expression" dxfId="8777" priority="6137">
      <formula>$C32="Sales"</formula>
    </cfRule>
    <cfRule type="expression" dxfId="8776" priority="6138">
      <formula>$C32="Expences"</formula>
    </cfRule>
    <cfRule type="expression" dxfId="8775" priority="6139">
      <formula>$C32="Garlic Purchase"</formula>
    </cfRule>
    <cfRule type="expression" dxfId="8774" priority="6140">
      <formula>$C32="Ginger Purchase"</formula>
    </cfRule>
  </conditionalFormatting>
  <conditionalFormatting sqref="B32 B34 B36 B38 B40 B42">
    <cfRule type="expression" dxfId="8773" priority="6141">
      <formula>$C32="Advance"</formula>
    </cfRule>
  </conditionalFormatting>
  <conditionalFormatting sqref="B32 B34 B36 B38 B40 B42">
    <cfRule type="expression" dxfId="8772" priority="6122">
      <formula>$C32="Delivery charge"</formula>
    </cfRule>
    <cfRule type="expression" dxfId="8771" priority="6123">
      <formula>$C32="Staff Salary"</formula>
    </cfRule>
    <cfRule type="expression" dxfId="8770" priority="6124">
      <formula>$C32="Rent"</formula>
    </cfRule>
    <cfRule type="expression" dxfId="8769" priority="6125">
      <formula>$C32="Petrol"</formula>
    </cfRule>
    <cfRule type="expression" dxfId="8768" priority="6126">
      <formula>$C32="Bills"</formula>
    </cfRule>
    <cfRule type="expression" dxfId="8767" priority="6127">
      <formula>$C32="Sales"</formula>
    </cfRule>
    <cfRule type="expression" dxfId="8766" priority="6128">
      <formula>$C32="Expences"</formula>
    </cfRule>
    <cfRule type="expression" dxfId="8765" priority="6129">
      <formula>$C32="Garlic Purchase"</formula>
    </cfRule>
    <cfRule type="expression" dxfId="8764" priority="6130">
      <formula>$C32="Ginger Purchase"</formula>
    </cfRule>
  </conditionalFormatting>
  <conditionalFormatting sqref="B32 B34 B36 B38 B40 B42">
    <cfRule type="expression" dxfId="8763" priority="6131">
      <formula>$C32="Advance"</formula>
    </cfRule>
  </conditionalFormatting>
  <conditionalFormatting sqref="B32 B34 B36 B38 B40 B42">
    <cfRule type="expression" dxfId="8762" priority="6112">
      <formula>$C32="Delivery charge"</formula>
    </cfRule>
    <cfRule type="expression" dxfId="8761" priority="6113">
      <formula>$C32="Staff Salary"</formula>
    </cfRule>
    <cfRule type="expression" dxfId="8760" priority="6114">
      <formula>$C32="Rent"</formula>
    </cfRule>
    <cfRule type="expression" dxfId="8759" priority="6115">
      <formula>$C32="Petrol"</formula>
    </cfRule>
    <cfRule type="expression" dxfId="8758" priority="6116">
      <formula>$C32="Bills"</formula>
    </cfRule>
    <cfRule type="expression" dxfId="8757" priority="6117">
      <formula>$C32="Sales"</formula>
    </cfRule>
    <cfRule type="expression" dxfId="8756" priority="6118">
      <formula>$C32="Expences"</formula>
    </cfRule>
    <cfRule type="expression" dxfId="8755" priority="6119">
      <formula>$C32="Garlic Purchase"</formula>
    </cfRule>
    <cfRule type="expression" dxfId="8754" priority="6120">
      <formula>$C32="Ginger Purchase"</formula>
    </cfRule>
  </conditionalFormatting>
  <conditionalFormatting sqref="B32 B34 B36 B38 B40 B42">
    <cfRule type="expression" dxfId="8753" priority="6121">
      <formula>$C32="Advance"</formula>
    </cfRule>
  </conditionalFormatting>
  <conditionalFormatting sqref="B32 B34 B36 B38 B40 B42">
    <cfRule type="expression" dxfId="8752" priority="6102">
      <formula>$C32="Delivery charge"</formula>
    </cfRule>
    <cfRule type="expression" dxfId="8751" priority="6103">
      <formula>$C32="Staff Salary"</formula>
    </cfRule>
    <cfRule type="expression" dxfId="8750" priority="6104">
      <formula>$C32="Rent"</formula>
    </cfRule>
    <cfRule type="expression" dxfId="8749" priority="6105">
      <formula>$C32="Petrol"</formula>
    </cfRule>
    <cfRule type="expression" dxfId="8748" priority="6106">
      <formula>$C32="Bills"</formula>
    </cfRule>
    <cfRule type="expression" dxfId="8747" priority="6107">
      <formula>$C32="Sales"</formula>
    </cfRule>
    <cfRule type="expression" dxfId="8746" priority="6108">
      <formula>$C32="Expences"</formula>
    </cfRule>
    <cfRule type="expression" dxfId="8745" priority="6109">
      <formula>$C32="Garlic Purchase"</formula>
    </cfRule>
    <cfRule type="expression" dxfId="8744" priority="6110">
      <formula>$C32="Ginger Purchase"</formula>
    </cfRule>
  </conditionalFormatting>
  <conditionalFormatting sqref="B32 B34 B36 B38 B40 B42">
    <cfRule type="expression" dxfId="8743" priority="6111">
      <formula>$C32="Advance"</formula>
    </cfRule>
  </conditionalFormatting>
  <conditionalFormatting sqref="B31 B33 B35 B37 B39 B41 B43 B47 B51">
    <cfRule type="expression" dxfId="8742" priority="6092">
      <formula>$C31="Delivery charge"</formula>
    </cfRule>
    <cfRule type="expression" dxfId="8741" priority="6093">
      <formula>$C31="Staff Salary"</formula>
    </cfRule>
    <cfRule type="expression" dxfId="8740" priority="6094">
      <formula>$C31="Rent"</formula>
    </cfRule>
    <cfRule type="expression" dxfId="8739" priority="6095">
      <formula>$C31="Petrol"</formula>
    </cfRule>
    <cfRule type="expression" dxfId="8738" priority="6096">
      <formula>$C31="Bills"</formula>
    </cfRule>
    <cfRule type="expression" dxfId="8737" priority="6097">
      <formula>$C31="Sales"</formula>
    </cfRule>
    <cfRule type="expression" dxfId="8736" priority="6098">
      <formula>$C31="Expences"</formula>
    </cfRule>
    <cfRule type="expression" dxfId="8735" priority="6099">
      <formula>$C31="Garlic Purchase"</formula>
    </cfRule>
    <cfRule type="expression" dxfId="8734" priority="6100">
      <formula>$C31="Ginger Purchase"</formula>
    </cfRule>
  </conditionalFormatting>
  <conditionalFormatting sqref="B31 B33 B35 B37 B39 B41 B43 B47 B51">
    <cfRule type="expression" dxfId="8733" priority="6082">
      <formula>$C31="Delivery charge"</formula>
    </cfRule>
    <cfRule type="expression" dxfId="8732" priority="6083">
      <formula>$C31="Staff Salary"</formula>
    </cfRule>
    <cfRule type="expression" dxfId="8731" priority="6084">
      <formula>$C31="Rent"</formula>
    </cfRule>
    <cfRule type="expression" dxfId="8730" priority="6085">
      <formula>$C31="Petrol"</formula>
    </cfRule>
    <cfRule type="expression" dxfId="8729" priority="6086">
      <formula>$C31="Bills"</formula>
    </cfRule>
    <cfRule type="expression" dxfId="8728" priority="6087">
      <formula>$C31="Sales"</formula>
    </cfRule>
    <cfRule type="expression" dxfId="8727" priority="6088">
      <formula>$C31="Expences"</formula>
    </cfRule>
    <cfRule type="expression" dxfId="8726" priority="6089">
      <formula>$C31="Garlic Purchase"</formula>
    </cfRule>
    <cfRule type="expression" dxfId="8725" priority="6090">
      <formula>$C31="Ginger Purchase"</formula>
    </cfRule>
  </conditionalFormatting>
  <conditionalFormatting sqref="B31 B33 B35 B37 B39 B41 B43 B47 B51">
    <cfRule type="expression" dxfId="8724" priority="6091">
      <formula>$C31="Advance"</formula>
    </cfRule>
  </conditionalFormatting>
  <conditionalFormatting sqref="B31 B33 B35 B37 B39 B41 B43 B47 B51">
    <cfRule type="expression" dxfId="8723" priority="6072">
      <formula>$C31="Delivery charge"</formula>
    </cfRule>
    <cfRule type="expression" dxfId="8722" priority="6073">
      <formula>$C31="Staff Salary"</formula>
    </cfRule>
    <cfRule type="expression" dxfId="8721" priority="6074">
      <formula>$C31="Rent"</formula>
    </cfRule>
    <cfRule type="expression" dxfId="8720" priority="6075">
      <formula>$C31="Petrol"</formula>
    </cfRule>
    <cfRule type="expression" dxfId="8719" priority="6076">
      <formula>$C31="Bills"</formula>
    </cfRule>
    <cfRule type="expression" dxfId="8718" priority="6077">
      <formula>$C31="Sales"</formula>
    </cfRule>
    <cfRule type="expression" dxfId="8717" priority="6078">
      <formula>$C31="Expences"</formula>
    </cfRule>
    <cfRule type="expression" dxfId="8716" priority="6079">
      <formula>$C31="Garlic Purchase"</formula>
    </cfRule>
    <cfRule type="expression" dxfId="8715" priority="6080">
      <formula>$C31="Ginger Purchase"</formula>
    </cfRule>
  </conditionalFormatting>
  <conditionalFormatting sqref="B31 B33 B35 B37 B39 B41 B43 B47 B51">
    <cfRule type="expression" dxfId="8714" priority="6081">
      <formula>$C31="Advance"</formula>
    </cfRule>
  </conditionalFormatting>
  <conditionalFormatting sqref="B31 B33 B35 B37 B39 B41 B43 B47 B51">
    <cfRule type="expression" dxfId="8713" priority="6062">
      <formula>$C31="Delivery charge"</formula>
    </cfRule>
    <cfRule type="expression" dxfId="8712" priority="6063">
      <formula>$C31="Staff Salary"</formula>
    </cfRule>
    <cfRule type="expression" dxfId="8711" priority="6064">
      <formula>$C31="Rent"</formula>
    </cfRule>
    <cfRule type="expression" dxfId="8710" priority="6065">
      <formula>$C31="Petrol"</formula>
    </cfRule>
    <cfRule type="expression" dxfId="8709" priority="6066">
      <formula>$C31="Bills"</formula>
    </cfRule>
    <cfRule type="expression" dxfId="8708" priority="6067">
      <formula>$C31="Sales"</formula>
    </cfRule>
    <cfRule type="expression" dxfId="8707" priority="6068">
      <formula>$C31="Expences"</formula>
    </cfRule>
    <cfRule type="expression" dxfId="8706" priority="6069">
      <formula>$C31="Garlic Purchase"</formula>
    </cfRule>
    <cfRule type="expression" dxfId="8705" priority="6070">
      <formula>$C31="Ginger Purchase"</formula>
    </cfRule>
  </conditionalFormatting>
  <conditionalFormatting sqref="B31 B33 B35 B37 B39 B41 B43 B47 B51">
    <cfRule type="expression" dxfId="8704" priority="6071">
      <formula>$C31="Advance"</formula>
    </cfRule>
  </conditionalFormatting>
  <conditionalFormatting sqref="B31 B33 B35 B37 B39 B41 B43 B47 B51">
    <cfRule type="expression" dxfId="8703" priority="6052">
      <formula>$C31="Delivery charge"</formula>
    </cfRule>
    <cfRule type="expression" dxfId="8702" priority="6053">
      <formula>$C31="Staff Salary"</formula>
    </cfRule>
    <cfRule type="expression" dxfId="8701" priority="6054">
      <formula>$C31="Rent"</formula>
    </cfRule>
    <cfRule type="expression" dxfId="8700" priority="6055">
      <formula>$C31="Petrol"</formula>
    </cfRule>
    <cfRule type="expression" dxfId="8699" priority="6056">
      <formula>$C31="Bills"</formula>
    </cfRule>
    <cfRule type="expression" dxfId="8698" priority="6057">
      <formula>$C31="Sales"</formula>
    </cfRule>
    <cfRule type="expression" dxfId="8697" priority="6058">
      <formula>$C31="Expences"</formula>
    </cfRule>
    <cfRule type="expression" dxfId="8696" priority="6059">
      <formula>$C31="Garlic Purchase"</formula>
    </cfRule>
    <cfRule type="expression" dxfId="8695" priority="6060">
      <formula>$C31="Ginger Purchase"</formula>
    </cfRule>
  </conditionalFormatting>
  <conditionalFormatting sqref="B31 B33 B35 B37 B39 B41 B43 B47 B51">
    <cfRule type="expression" dxfId="8694" priority="6061">
      <formula>$C31="Advance"</formula>
    </cfRule>
  </conditionalFormatting>
  <conditionalFormatting sqref="B32 B34 B36 B38 B40 B42">
    <cfRule type="expression" dxfId="8693" priority="6042">
      <formula>$C32="Delivery charge"</formula>
    </cfRule>
    <cfRule type="expression" dxfId="8692" priority="6043">
      <formula>$C32="Staff Salary"</formula>
    </cfRule>
    <cfRule type="expression" dxfId="8691" priority="6044">
      <formula>$C32="Rent"</formula>
    </cfRule>
    <cfRule type="expression" dxfId="8690" priority="6045">
      <formula>$C32="Petrol"</formula>
    </cfRule>
    <cfRule type="expression" dxfId="8689" priority="6046">
      <formula>$C32="Bills"</formula>
    </cfRule>
    <cfRule type="expression" dxfId="8688" priority="6047">
      <formula>$C32="Sales"</formula>
    </cfRule>
    <cfRule type="expression" dxfId="8687" priority="6048">
      <formula>$C32="Expences"</formula>
    </cfRule>
    <cfRule type="expression" dxfId="8686" priority="6049">
      <formula>$C32="Garlic Purchase"</formula>
    </cfRule>
    <cfRule type="expression" dxfId="8685" priority="6050">
      <formula>$C32="Ginger Purchase"</formula>
    </cfRule>
  </conditionalFormatting>
  <conditionalFormatting sqref="B32 B34 B36 B38 B40 B42">
    <cfRule type="expression" dxfId="8684" priority="6051">
      <formula>$C32="Advance"</formula>
    </cfRule>
  </conditionalFormatting>
  <conditionalFormatting sqref="B32 B34 B36 B38 B40 B42">
    <cfRule type="expression" dxfId="8683" priority="6032">
      <formula>$C32="Delivery charge"</formula>
    </cfRule>
    <cfRule type="expression" dxfId="8682" priority="6033">
      <formula>$C32="Staff Salary"</formula>
    </cfRule>
    <cfRule type="expression" dxfId="8681" priority="6034">
      <formula>$C32="Rent"</formula>
    </cfRule>
    <cfRule type="expression" dxfId="8680" priority="6035">
      <formula>$C32="Petrol"</formula>
    </cfRule>
    <cfRule type="expression" dxfId="8679" priority="6036">
      <formula>$C32="Bills"</formula>
    </cfRule>
    <cfRule type="expression" dxfId="8678" priority="6037">
      <formula>$C32="Sales"</formula>
    </cfRule>
    <cfRule type="expression" dxfId="8677" priority="6038">
      <formula>$C32="Expences"</formula>
    </cfRule>
    <cfRule type="expression" dxfId="8676" priority="6039">
      <formula>$C32="Garlic Purchase"</formula>
    </cfRule>
    <cfRule type="expression" dxfId="8675" priority="6040">
      <formula>$C32="Ginger Purchase"</formula>
    </cfRule>
  </conditionalFormatting>
  <conditionalFormatting sqref="B32 B34 B36 B38 B40 B42">
    <cfRule type="expression" dxfId="8674" priority="6041">
      <formula>$C32="Advance"</formula>
    </cfRule>
  </conditionalFormatting>
  <conditionalFormatting sqref="B32 B34 B36 B38 B40 B42">
    <cfRule type="expression" dxfId="8673" priority="6022">
      <formula>$C32="Delivery charge"</formula>
    </cfRule>
    <cfRule type="expression" dxfId="8672" priority="6023">
      <formula>$C32="Staff Salary"</formula>
    </cfRule>
    <cfRule type="expression" dxfId="8671" priority="6024">
      <formula>$C32="Rent"</formula>
    </cfRule>
    <cfRule type="expression" dxfId="8670" priority="6025">
      <formula>$C32="Petrol"</formula>
    </cfRule>
    <cfRule type="expression" dxfId="8669" priority="6026">
      <formula>$C32="Bills"</formula>
    </cfRule>
    <cfRule type="expression" dxfId="8668" priority="6027">
      <formula>$C32="Sales"</formula>
    </cfRule>
    <cfRule type="expression" dxfId="8667" priority="6028">
      <formula>$C32="Expences"</formula>
    </cfRule>
    <cfRule type="expression" dxfId="8666" priority="6029">
      <formula>$C32="Garlic Purchase"</formula>
    </cfRule>
    <cfRule type="expression" dxfId="8665" priority="6030">
      <formula>$C32="Ginger Purchase"</formula>
    </cfRule>
  </conditionalFormatting>
  <conditionalFormatting sqref="B32 B34 B36 B38 B40 B42">
    <cfRule type="expression" dxfId="8664" priority="6031">
      <formula>$C32="Advance"</formula>
    </cfRule>
  </conditionalFormatting>
  <conditionalFormatting sqref="B32 B34 B36 B38 B40 B42">
    <cfRule type="expression" dxfId="8663" priority="6012">
      <formula>$C32="Delivery charge"</formula>
    </cfRule>
    <cfRule type="expression" dxfId="8662" priority="6013">
      <formula>$C32="Staff Salary"</formula>
    </cfRule>
    <cfRule type="expression" dxfId="8661" priority="6014">
      <formula>$C32="Rent"</formula>
    </cfRule>
    <cfRule type="expression" dxfId="8660" priority="6015">
      <formula>$C32="Petrol"</formula>
    </cfRule>
    <cfRule type="expression" dxfId="8659" priority="6016">
      <formula>$C32="Bills"</formula>
    </cfRule>
    <cfRule type="expression" dxfId="8658" priority="6017">
      <formula>$C32="Sales"</formula>
    </cfRule>
    <cfRule type="expression" dxfId="8657" priority="6018">
      <formula>$C32="Expences"</formula>
    </cfRule>
    <cfRule type="expression" dxfId="8656" priority="6019">
      <formula>$C32="Garlic Purchase"</formula>
    </cfRule>
    <cfRule type="expression" dxfId="8655" priority="6020">
      <formula>$C32="Ginger Purchase"</formula>
    </cfRule>
  </conditionalFormatting>
  <conditionalFormatting sqref="B32 B34 B36 B38 B40 B42">
    <cfRule type="expression" dxfId="8654" priority="6021">
      <formula>$C32="Advance"</formula>
    </cfRule>
  </conditionalFormatting>
  <conditionalFormatting sqref="B31 B33 B35 B37 B39 B41 B43 B47 B51">
    <cfRule type="expression" dxfId="8653" priority="6002">
      <formula>$C31="Delivery charge"</formula>
    </cfRule>
    <cfRule type="expression" dxfId="8652" priority="6003">
      <formula>$C31="Staff Salary"</formula>
    </cfRule>
    <cfRule type="expression" dxfId="8651" priority="6004">
      <formula>$C31="Rent"</formula>
    </cfRule>
    <cfRule type="expression" dxfId="8650" priority="6005">
      <formula>$C31="Petrol"</formula>
    </cfRule>
    <cfRule type="expression" dxfId="8649" priority="6006">
      <formula>$C31="Bills"</formula>
    </cfRule>
    <cfRule type="expression" dxfId="8648" priority="6007">
      <formula>$C31="Sales"</formula>
    </cfRule>
    <cfRule type="expression" dxfId="8647" priority="6008">
      <formula>$C31="Expences"</formula>
    </cfRule>
    <cfRule type="expression" dxfId="8646" priority="6009">
      <formula>$C31="Garlic Purchase"</formula>
    </cfRule>
    <cfRule type="expression" dxfId="8645" priority="6010">
      <formula>$C31="Ginger Purchase"</formula>
    </cfRule>
  </conditionalFormatting>
  <conditionalFormatting sqref="B31 B33 B35 B37 B39 B41 B43 B47 B51">
    <cfRule type="expression" dxfId="8644" priority="6011">
      <formula>$C31="Advance"</formula>
    </cfRule>
  </conditionalFormatting>
  <conditionalFormatting sqref="B32 B34 B36 B38 B40 B42">
    <cfRule type="expression" dxfId="8643" priority="5992">
      <formula>$C32="Delivery charge"</formula>
    </cfRule>
    <cfRule type="expression" dxfId="8642" priority="5993">
      <formula>$C32="Staff Salary"</formula>
    </cfRule>
    <cfRule type="expression" dxfId="8641" priority="5994">
      <formula>$C32="Rent"</formula>
    </cfRule>
    <cfRule type="expression" dxfId="8640" priority="5995">
      <formula>$C32="Petrol"</formula>
    </cfRule>
    <cfRule type="expression" dxfId="8639" priority="5996">
      <formula>$C32="Bills"</formula>
    </cfRule>
    <cfRule type="expression" dxfId="8638" priority="5997">
      <formula>$C32="Sales"</formula>
    </cfRule>
    <cfRule type="expression" dxfId="8637" priority="5998">
      <formula>$C32="Expences"</formula>
    </cfRule>
    <cfRule type="expression" dxfId="8636" priority="5999">
      <formula>$C32="Garlic Purchase"</formula>
    </cfRule>
    <cfRule type="expression" dxfId="8635" priority="6000">
      <formula>$C32="Ginger Purchase"</formula>
    </cfRule>
  </conditionalFormatting>
  <conditionalFormatting sqref="B32 B34 B36 B38 B40 B42">
    <cfRule type="expression" dxfId="8634" priority="6001">
      <formula>$C32="Advance"</formula>
    </cfRule>
  </conditionalFormatting>
  <conditionalFormatting sqref="B32 B34 B36 B38 B40 B42">
    <cfRule type="expression" dxfId="8633" priority="5982">
      <formula>$C32="Delivery charge"</formula>
    </cfRule>
    <cfRule type="expression" dxfId="8632" priority="5983">
      <formula>$C32="Staff Salary"</formula>
    </cfRule>
    <cfRule type="expression" dxfId="8631" priority="5984">
      <formula>$C32="Rent"</formula>
    </cfRule>
    <cfRule type="expression" dxfId="8630" priority="5985">
      <formula>$C32="Petrol"</formula>
    </cfRule>
    <cfRule type="expression" dxfId="8629" priority="5986">
      <formula>$C32="Bills"</formula>
    </cfRule>
    <cfRule type="expression" dxfId="8628" priority="5987">
      <formula>$C32="Sales"</formula>
    </cfRule>
    <cfRule type="expression" dxfId="8627" priority="5988">
      <formula>$C32="Expences"</formula>
    </cfRule>
    <cfRule type="expression" dxfId="8626" priority="5989">
      <formula>$C32="Garlic Purchase"</formula>
    </cfRule>
    <cfRule type="expression" dxfId="8625" priority="5990">
      <formula>$C32="Ginger Purchase"</formula>
    </cfRule>
  </conditionalFormatting>
  <conditionalFormatting sqref="B32 B34 B36 B38 B40 B42">
    <cfRule type="expression" dxfId="8624" priority="5991">
      <formula>$C32="Advance"</formula>
    </cfRule>
  </conditionalFormatting>
  <conditionalFormatting sqref="B32 B34 B36 B38 B40 B42">
    <cfRule type="expression" dxfId="8623" priority="5972">
      <formula>$C32="Delivery charge"</formula>
    </cfRule>
    <cfRule type="expression" dxfId="8622" priority="5973">
      <formula>$C32="Staff Salary"</formula>
    </cfRule>
    <cfRule type="expression" dxfId="8621" priority="5974">
      <formula>$C32="Rent"</formula>
    </cfRule>
    <cfRule type="expression" dxfId="8620" priority="5975">
      <formula>$C32="Petrol"</formula>
    </cfRule>
    <cfRule type="expression" dxfId="8619" priority="5976">
      <formula>$C32="Bills"</formula>
    </cfRule>
    <cfRule type="expression" dxfId="8618" priority="5977">
      <formula>$C32="Sales"</formula>
    </cfRule>
    <cfRule type="expression" dxfId="8617" priority="5978">
      <formula>$C32="Expences"</formula>
    </cfRule>
    <cfRule type="expression" dxfId="8616" priority="5979">
      <formula>$C32="Garlic Purchase"</formula>
    </cfRule>
    <cfRule type="expression" dxfId="8615" priority="5980">
      <formula>$C32="Ginger Purchase"</formula>
    </cfRule>
  </conditionalFormatting>
  <conditionalFormatting sqref="B32 B34 B36 B38 B40 B42">
    <cfRule type="expression" dxfId="8614" priority="5981">
      <formula>$C32="Advance"</formula>
    </cfRule>
  </conditionalFormatting>
  <conditionalFormatting sqref="B32 B34 B36 B38 B40 B42">
    <cfRule type="expression" dxfId="8613" priority="5962">
      <formula>$C32="Delivery charge"</formula>
    </cfRule>
    <cfRule type="expression" dxfId="8612" priority="5963">
      <formula>$C32="Staff Salary"</formula>
    </cfRule>
    <cfRule type="expression" dxfId="8611" priority="5964">
      <formula>$C32="Rent"</formula>
    </cfRule>
    <cfRule type="expression" dxfId="8610" priority="5965">
      <formula>$C32="Petrol"</formula>
    </cfRule>
    <cfRule type="expression" dxfId="8609" priority="5966">
      <formula>$C32="Bills"</formula>
    </cfRule>
    <cfRule type="expression" dxfId="8608" priority="5967">
      <formula>$C32="Sales"</formula>
    </cfRule>
    <cfRule type="expression" dxfId="8607" priority="5968">
      <formula>$C32="Expences"</formula>
    </cfRule>
    <cfRule type="expression" dxfId="8606" priority="5969">
      <formula>$C32="Garlic Purchase"</formula>
    </cfRule>
    <cfRule type="expression" dxfId="8605" priority="5970">
      <formula>$C32="Ginger Purchase"</formula>
    </cfRule>
  </conditionalFormatting>
  <conditionalFormatting sqref="B32 B34 B36 B38 B40 B42">
    <cfRule type="expression" dxfId="8604" priority="5971">
      <formula>$C32="Advance"</formula>
    </cfRule>
  </conditionalFormatting>
  <conditionalFormatting sqref="B32 B34 B36 B38 B40 B42">
    <cfRule type="expression" dxfId="8603" priority="5952">
      <formula>$C32="Delivery charge"</formula>
    </cfRule>
    <cfRule type="expression" dxfId="8602" priority="5953">
      <formula>$C32="Staff Salary"</formula>
    </cfRule>
    <cfRule type="expression" dxfId="8601" priority="5954">
      <formula>$C32="Rent"</formula>
    </cfRule>
    <cfRule type="expression" dxfId="8600" priority="5955">
      <formula>$C32="Petrol"</formula>
    </cfRule>
    <cfRule type="expression" dxfId="8599" priority="5956">
      <formula>$C32="Bills"</formula>
    </cfRule>
    <cfRule type="expression" dxfId="8598" priority="5957">
      <formula>$C32="Sales"</formula>
    </cfRule>
    <cfRule type="expression" dxfId="8597" priority="5958">
      <formula>$C32="Expences"</formula>
    </cfRule>
    <cfRule type="expression" dxfId="8596" priority="5959">
      <formula>$C32="Garlic Purchase"</formula>
    </cfRule>
    <cfRule type="expression" dxfId="8595" priority="5960">
      <formula>$C32="Ginger Purchase"</formula>
    </cfRule>
  </conditionalFormatting>
  <conditionalFormatting sqref="B32 B34 B36 B38 B40 B42">
    <cfRule type="expression" dxfId="8594" priority="5961">
      <formula>$C32="Advance"</formula>
    </cfRule>
  </conditionalFormatting>
  <conditionalFormatting sqref="B31 B33 B35 B37 B39 B41 B43 B47 B51">
    <cfRule type="expression" dxfId="8593" priority="5942">
      <formula>$C31="Delivery charge"</formula>
    </cfRule>
    <cfRule type="expression" dxfId="8592" priority="5943">
      <formula>$C31="Staff Salary"</formula>
    </cfRule>
    <cfRule type="expression" dxfId="8591" priority="5944">
      <formula>$C31="Rent"</formula>
    </cfRule>
    <cfRule type="expression" dxfId="8590" priority="5945">
      <formula>$C31="Petrol"</formula>
    </cfRule>
    <cfRule type="expression" dxfId="8589" priority="5946">
      <formula>$C31="Bills"</formula>
    </cfRule>
    <cfRule type="expression" dxfId="8588" priority="5947">
      <formula>$C31="Sales"</formula>
    </cfRule>
    <cfRule type="expression" dxfId="8587" priority="5948">
      <formula>$C31="Expences"</formula>
    </cfRule>
    <cfRule type="expression" dxfId="8586" priority="5949">
      <formula>$C31="Garlic Purchase"</formula>
    </cfRule>
    <cfRule type="expression" dxfId="8585" priority="5950">
      <formula>$C31="Ginger Purchase"</formula>
    </cfRule>
  </conditionalFormatting>
  <conditionalFormatting sqref="B31 B33 B35 B37 B39 B41 B43 B47 B51">
    <cfRule type="expression" dxfId="8584" priority="5951">
      <formula>$C31="Advance"</formula>
    </cfRule>
  </conditionalFormatting>
  <conditionalFormatting sqref="B31 B33 B35 B37 B39 B41 B43 B47 B51">
    <cfRule type="expression" dxfId="8583" priority="5932">
      <formula>$C31="Delivery charge"</formula>
    </cfRule>
    <cfRule type="expression" dxfId="8582" priority="5933">
      <formula>$C31="Staff Salary"</formula>
    </cfRule>
    <cfRule type="expression" dxfId="8581" priority="5934">
      <formula>$C31="Rent"</formula>
    </cfRule>
    <cfRule type="expression" dxfId="8580" priority="5935">
      <formula>$C31="Petrol"</formula>
    </cfRule>
    <cfRule type="expression" dxfId="8579" priority="5936">
      <formula>$C31="Bills"</formula>
    </cfRule>
    <cfRule type="expression" dxfId="8578" priority="5937">
      <formula>$C31="Sales"</formula>
    </cfRule>
    <cfRule type="expression" dxfId="8577" priority="5938">
      <formula>$C31="Expences"</formula>
    </cfRule>
    <cfRule type="expression" dxfId="8576" priority="5939">
      <formula>$C31="Garlic Purchase"</formula>
    </cfRule>
    <cfRule type="expression" dxfId="8575" priority="5940">
      <formula>$C31="Ginger Purchase"</formula>
    </cfRule>
  </conditionalFormatting>
  <conditionalFormatting sqref="B31 B33 B35 B37 B39 B41 B43 B47 B51">
    <cfRule type="expression" dxfId="8574" priority="5941">
      <formula>$C31="Advance"</formula>
    </cfRule>
  </conditionalFormatting>
  <conditionalFormatting sqref="B31 B33 B35 B37 B39 B41 B43 B47 B51">
    <cfRule type="expression" dxfId="8573" priority="5922">
      <formula>$C31="Delivery charge"</formula>
    </cfRule>
    <cfRule type="expression" dxfId="8572" priority="5923">
      <formula>$C31="Staff Salary"</formula>
    </cfRule>
    <cfRule type="expression" dxfId="8571" priority="5924">
      <formula>$C31="Rent"</formula>
    </cfRule>
    <cfRule type="expression" dxfId="8570" priority="5925">
      <formula>$C31="Petrol"</formula>
    </cfRule>
    <cfRule type="expression" dxfId="8569" priority="5926">
      <formula>$C31="Bills"</formula>
    </cfRule>
    <cfRule type="expression" dxfId="8568" priority="5927">
      <formula>$C31="Sales"</formula>
    </cfRule>
    <cfRule type="expression" dxfId="8567" priority="5928">
      <formula>$C31="Expences"</formula>
    </cfRule>
    <cfRule type="expression" dxfId="8566" priority="5929">
      <formula>$C31="Garlic Purchase"</formula>
    </cfRule>
    <cfRule type="expression" dxfId="8565" priority="5930">
      <formula>$C31="Ginger Purchase"</formula>
    </cfRule>
  </conditionalFormatting>
  <conditionalFormatting sqref="B31 B33 B35 B37 B39 B41 B43 B47 B51">
    <cfRule type="expression" dxfId="8564" priority="5931">
      <formula>$C31="Advance"</formula>
    </cfRule>
  </conditionalFormatting>
  <conditionalFormatting sqref="B31 B33 B35 B37 B39 B41 B43 B47 B51">
    <cfRule type="expression" dxfId="8563" priority="5912">
      <formula>$C31="Delivery charge"</formula>
    </cfRule>
    <cfRule type="expression" dxfId="8562" priority="5913">
      <formula>$C31="Staff Salary"</formula>
    </cfRule>
    <cfRule type="expression" dxfId="8561" priority="5914">
      <formula>$C31="Rent"</formula>
    </cfRule>
    <cfRule type="expression" dxfId="8560" priority="5915">
      <formula>$C31="Petrol"</formula>
    </cfRule>
    <cfRule type="expression" dxfId="8559" priority="5916">
      <formula>$C31="Bills"</formula>
    </cfRule>
    <cfRule type="expression" dxfId="8558" priority="5917">
      <formula>$C31="Sales"</formula>
    </cfRule>
    <cfRule type="expression" dxfId="8557" priority="5918">
      <formula>$C31="Expences"</formula>
    </cfRule>
    <cfRule type="expression" dxfId="8556" priority="5919">
      <formula>$C31="Garlic Purchase"</formula>
    </cfRule>
    <cfRule type="expression" dxfId="8555" priority="5920">
      <formula>$C31="Ginger Purchase"</formula>
    </cfRule>
  </conditionalFormatting>
  <conditionalFormatting sqref="B31 B33 B35 B37 B39 B41 B43 B47 B51">
    <cfRule type="expression" dxfId="8554" priority="5921">
      <formula>$C31="Advance"</formula>
    </cfRule>
  </conditionalFormatting>
  <conditionalFormatting sqref="B32 B34 B36 B38 B40 B42">
    <cfRule type="expression" dxfId="8553" priority="5911">
      <formula>$C32="Advance"</formula>
    </cfRule>
  </conditionalFormatting>
  <conditionalFormatting sqref="B32 B34 B36 B38 B40 B42">
    <cfRule type="expression" dxfId="8552" priority="5902">
      <formula>$C32="Delivery charge"</formula>
    </cfRule>
    <cfRule type="expression" dxfId="8551" priority="5903">
      <formula>$C32="Staff Salary"</formula>
    </cfRule>
    <cfRule type="expression" dxfId="8550" priority="5904">
      <formula>$C32="Rent"</formula>
    </cfRule>
    <cfRule type="expression" dxfId="8549" priority="5905">
      <formula>$C32="Petrol"</formula>
    </cfRule>
    <cfRule type="expression" dxfId="8548" priority="5906">
      <formula>$C32="Bills"</formula>
    </cfRule>
    <cfRule type="expression" dxfId="8547" priority="5907">
      <formula>$C32="Sales"</formula>
    </cfRule>
    <cfRule type="expression" dxfId="8546" priority="5908">
      <formula>$C32="Expences"</formula>
    </cfRule>
    <cfRule type="expression" dxfId="8545" priority="5909">
      <formula>$C32="Garlic Purchase"</formula>
    </cfRule>
    <cfRule type="expression" dxfId="8544" priority="5910">
      <formula>$C32="Ginger Purchase"</formula>
    </cfRule>
  </conditionalFormatting>
  <conditionalFormatting sqref="B31 B33 B35 B37 B39 B41 B43 B47 B51">
    <cfRule type="expression" dxfId="8543" priority="5901">
      <formula>$C31="Advance"</formula>
    </cfRule>
  </conditionalFormatting>
  <conditionalFormatting sqref="B31 B33 B35 B37 B39 B41 B43 B47 B51">
    <cfRule type="expression" dxfId="8542" priority="5892">
      <formula>$C31="Delivery charge"</formula>
    </cfRule>
    <cfRule type="expression" dxfId="8541" priority="5893">
      <formula>$C31="Staff Salary"</formula>
    </cfRule>
    <cfRule type="expression" dxfId="8540" priority="5894">
      <formula>$C31="Rent"</formula>
    </cfRule>
    <cfRule type="expression" dxfId="8539" priority="5895">
      <formula>$C31="Petrol"</formula>
    </cfRule>
    <cfRule type="expression" dxfId="8538" priority="5896">
      <formula>$C31="Bills"</formula>
    </cfRule>
    <cfRule type="expression" dxfId="8537" priority="5897">
      <formula>$C31="Sales"</formula>
    </cfRule>
    <cfRule type="expression" dxfId="8536" priority="5898">
      <formula>$C31="Expences"</formula>
    </cfRule>
    <cfRule type="expression" dxfId="8535" priority="5899">
      <formula>$C31="Garlic Purchase"</formula>
    </cfRule>
    <cfRule type="expression" dxfId="8534" priority="5900">
      <formula>$C31="Ginger Purchase"</formula>
    </cfRule>
  </conditionalFormatting>
  <conditionalFormatting sqref="B31 B33 B35 B37 B39 B41 B43 B47 B51">
    <cfRule type="expression" dxfId="8533" priority="5882">
      <formula>$C31="Delivery charge"</formula>
    </cfRule>
    <cfRule type="expression" dxfId="8532" priority="5883">
      <formula>$C31="Staff Salary"</formula>
    </cfRule>
    <cfRule type="expression" dxfId="8531" priority="5884">
      <formula>$C31="Rent"</formula>
    </cfRule>
    <cfRule type="expression" dxfId="8530" priority="5885">
      <formula>$C31="Petrol"</formula>
    </cfRule>
    <cfRule type="expression" dxfId="8529" priority="5886">
      <formula>$C31="Bills"</formula>
    </cfRule>
    <cfRule type="expression" dxfId="8528" priority="5887">
      <formula>$C31="Sales"</formula>
    </cfRule>
    <cfRule type="expression" dxfId="8527" priority="5888">
      <formula>$C31="Expences"</formula>
    </cfRule>
    <cfRule type="expression" dxfId="8526" priority="5889">
      <formula>$C31="Garlic Purchase"</formula>
    </cfRule>
    <cfRule type="expression" dxfId="8525" priority="5890">
      <formula>$C31="Ginger Purchase"</formula>
    </cfRule>
  </conditionalFormatting>
  <conditionalFormatting sqref="B31 B33 B35 B37 B39 B41 B43 B47 B51">
    <cfRule type="expression" dxfId="8524" priority="5891">
      <formula>$C31="Advance"</formula>
    </cfRule>
  </conditionalFormatting>
  <conditionalFormatting sqref="B31 B33 B35 B37 B39 B41 B43 B47 B51">
    <cfRule type="expression" dxfId="8523" priority="5872">
      <formula>$C31="Delivery charge"</formula>
    </cfRule>
    <cfRule type="expression" dxfId="8522" priority="5873">
      <formula>$C31="Staff Salary"</formula>
    </cfRule>
    <cfRule type="expression" dxfId="8521" priority="5874">
      <formula>$C31="Rent"</formula>
    </cfRule>
    <cfRule type="expression" dxfId="8520" priority="5875">
      <formula>$C31="Petrol"</formula>
    </cfRule>
    <cfRule type="expression" dxfId="8519" priority="5876">
      <formula>$C31="Bills"</formula>
    </cfRule>
    <cfRule type="expression" dxfId="8518" priority="5877">
      <formula>$C31="Sales"</formula>
    </cfRule>
    <cfRule type="expression" dxfId="8517" priority="5878">
      <formula>$C31="Expences"</formula>
    </cfRule>
    <cfRule type="expression" dxfId="8516" priority="5879">
      <formula>$C31="Garlic Purchase"</formula>
    </cfRule>
    <cfRule type="expression" dxfId="8515" priority="5880">
      <formula>$C31="Ginger Purchase"</formula>
    </cfRule>
  </conditionalFormatting>
  <conditionalFormatting sqref="B31 B33 B35 B37 B39 B41 B43 B47 B51">
    <cfRule type="expression" dxfId="8514" priority="5881">
      <formula>$C31="Advance"</formula>
    </cfRule>
  </conditionalFormatting>
  <conditionalFormatting sqref="B31 B33 B35 B37 B39 B41 B43 B47 B51">
    <cfRule type="expression" dxfId="8513" priority="5862">
      <formula>$C31="Delivery charge"</formula>
    </cfRule>
    <cfRule type="expression" dxfId="8512" priority="5863">
      <formula>$C31="Staff Salary"</formula>
    </cfRule>
    <cfRule type="expression" dxfId="8511" priority="5864">
      <formula>$C31="Rent"</formula>
    </cfRule>
    <cfRule type="expression" dxfId="8510" priority="5865">
      <formula>$C31="Petrol"</formula>
    </cfRule>
    <cfRule type="expression" dxfId="8509" priority="5866">
      <formula>$C31="Bills"</formula>
    </cfRule>
    <cfRule type="expression" dxfId="8508" priority="5867">
      <formula>$C31="Sales"</formula>
    </cfRule>
    <cfRule type="expression" dxfId="8507" priority="5868">
      <formula>$C31="Expences"</formula>
    </cfRule>
    <cfRule type="expression" dxfId="8506" priority="5869">
      <formula>$C31="Garlic Purchase"</formula>
    </cfRule>
    <cfRule type="expression" dxfId="8505" priority="5870">
      <formula>$C31="Ginger Purchase"</formula>
    </cfRule>
  </conditionalFormatting>
  <conditionalFormatting sqref="B31 B33 B35 B37 B39 B41 B43 B47 B51">
    <cfRule type="expression" dxfId="8504" priority="5871">
      <formula>$C31="Advance"</formula>
    </cfRule>
  </conditionalFormatting>
  <conditionalFormatting sqref="B31 B33 B35 B37 B39 B41 B43 B47 B51">
    <cfRule type="expression" dxfId="8503" priority="5852">
      <formula>$C31="Delivery charge"</formula>
    </cfRule>
    <cfRule type="expression" dxfId="8502" priority="5853">
      <formula>$C31="Staff Salary"</formula>
    </cfRule>
    <cfRule type="expression" dxfId="8501" priority="5854">
      <formula>$C31="Rent"</formula>
    </cfRule>
    <cfRule type="expression" dxfId="8500" priority="5855">
      <formula>$C31="Petrol"</formula>
    </cfRule>
    <cfRule type="expression" dxfId="8499" priority="5856">
      <formula>$C31="Bills"</formula>
    </cfRule>
    <cfRule type="expression" dxfId="8498" priority="5857">
      <formula>$C31="Sales"</formula>
    </cfRule>
    <cfRule type="expression" dxfId="8497" priority="5858">
      <formula>$C31="Expences"</formula>
    </cfRule>
    <cfRule type="expression" dxfId="8496" priority="5859">
      <formula>$C31="Garlic Purchase"</formula>
    </cfRule>
    <cfRule type="expression" dxfId="8495" priority="5860">
      <formula>$C31="Ginger Purchase"</formula>
    </cfRule>
  </conditionalFormatting>
  <conditionalFormatting sqref="B31 B33 B35 B37 B39 B41 B43 B47 B51">
    <cfRule type="expression" dxfId="8494" priority="5861">
      <formula>$C31="Advance"</formula>
    </cfRule>
  </conditionalFormatting>
  <conditionalFormatting sqref="B31 B33 B35 B37 B39 B41 B43 B47 B51">
    <cfRule type="expression" dxfId="8493" priority="5842">
      <formula>$C31="Delivery charge"</formula>
    </cfRule>
    <cfRule type="expression" dxfId="8492" priority="5843">
      <formula>$C31="Staff Salary"</formula>
    </cfRule>
    <cfRule type="expression" dxfId="8491" priority="5844">
      <formula>$C31="Rent"</formula>
    </cfRule>
    <cfRule type="expression" dxfId="8490" priority="5845">
      <formula>$C31="Petrol"</formula>
    </cfRule>
    <cfRule type="expression" dxfId="8489" priority="5846">
      <formula>$C31="Bills"</formula>
    </cfRule>
    <cfRule type="expression" dxfId="8488" priority="5847">
      <formula>$C31="Sales"</formula>
    </cfRule>
    <cfRule type="expression" dxfId="8487" priority="5848">
      <formula>$C31="Expences"</formula>
    </cfRule>
    <cfRule type="expression" dxfId="8486" priority="5849">
      <formula>$C31="Garlic Purchase"</formula>
    </cfRule>
    <cfRule type="expression" dxfId="8485" priority="5850">
      <formula>$C31="Ginger Purchase"</formula>
    </cfRule>
  </conditionalFormatting>
  <conditionalFormatting sqref="B31 B33 B35 B37 B39 B41 B43 B47 B51">
    <cfRule type="expression" dxfId="8484" priority="5851">
      <formula>$C31="Advance"</formula>
    </cfRule>
  </conditionalFormatting>
  <conditionalFormatting sqref="B31 B33 B35 B37 B39 B41 B43 B47 B51">
    <cfRule type="expression" dxfId="8483" priority="5832">
      <formula>$C31="Delivery charge"</formula>
    </cfRule>
    <cfRule type="expression" dxfId="8482" priority="5833">
      <formula>$C31="Staff Salary"</formula>
    </cfRule>
    <cfRule type="expression" dxfId="8481" priority="5834">
      <formula>$C31="Rent"</formula>
    </cfRule>
    <cfRule type="expression" dxfId="8480" priority="5835">
      <formula>$C31="Petrol"</formula>
    </cfRule>
    <cfRule type="expression" dxfId="8479" priority="5836">
      <formula>$C31="Bills"</formula>
    </cfRule>
    <cfRule type="expression" dxfId="8478" priority="5837">
      <formula>$C31="Sales"</formula>
    </cfRule>
    <cfRule type="expression" dxfId="8477" priority="5838">
      <formula>$C31="Expences"</formula>
    </cfRule>
    <cfRule type="expression" dxfId="8476" priority="5839">
      <formula>$C31="Garlic Purchase"</formula>
    </cfRule>
    <cfRule type="expression" dxfId="8475" priority="5840">
      <formula>$C31="Ginger Purchase"</formula>
    </cfRule>
  </conditionalFormatting>
  <conditionalFormatting sqref="B31 B33 B35 B37 B39 B41 B43 B47 B51">
    <cfRule type="expression" dxfId="8474" priority="5841">
      <formula>$C31="Advance"</formula>
    </cfRule>
  </conditionalFormatting>
  <conditionalFormatting sqref="B31 B33 B35 B37 B39 B41 B43 B47 B51">
    <cfRule type="expression" dxfId="8473" priority="5822">
      <formula>$C31="Delivery charge"</formula>
    </cfRule>
    <cfRule type="expression" dxfId="8472" priority="5823">
      <formula>$C31="Staff Salary"</formula>
    </cfRule>
    <cfRule type="expression" dxfId="8471" priority="5824">
      <formula>$C31="Rent"</formula>
    </cfRule>
    <cfRule type="expression" dxfId="8470" priority="5825">
      <formula>$C31="Petrol"</formula>
    </cfRule>
    <cfRule type="expression" dxfId="8469" priority="5826">
      <formula>$C31="Bills"</formula>
    </cfRule>
    <cfRule type="expression" dxfId="8468" priority="5827">
      <formula>$C31="Sales"</formula>
    </cfRule>
    <cfRule type="expression" dxfId="8467" priority="5828">
      <formula>$C31="Expences"</formula>
    </cfRule>
    <cfRule type="expression" dxfId="8466" priority="5829">
      <formula>$C31="Garlic Purchase"</formula>
    </cfRule>
    <cfRule type="expression" dxfId="8465" priority="5830">
      <formula>$C31="Ginger Purchase"</formula>
    </cfRule>
  </conditionalFormatting>
  <conditionalFormatting sqref="B31 B33 B35 B37 B39 B41 B43 B47 B51">
    <cfRule type="expression" dxfId="8464" priority="5831">
      <formula>$C31="Advance"</formula>
    </cfRule>
  </conditionalFormatting>
  <conditionalFormatting sqref="B31 B33 B35 B37 B39 B41 B43 B47 B51">
    <cfRule type="expression" dxfId="8463" priority="5812">
      <formula>$C31="Delivery charge"</formula>
    </cfRule>
    <cfRule type="expression" dxfId="8462" priority="5813">
      <formula>$C31="Staff Salary"</formula>
    </cfRule>
    <cfRule type="expression" dxfId="8461" priority="5814">
      <formula>$C31="Rent"</formula>
    </cfRule>
    <cfRule type="expression" dxfId="8460" priority="5815">
      <formula>$C31="Petrol"</formula>
    </cfRule>
    <cfRule type="expression" dxfId="8459" priority="5816">
      <formula>$C31="Bills"</formula>
    </cfRule>
    <cfRule type="expression" dxfId="8458" priority="5817">
      <formula>$C31="Sales"</formula>
    </cfRule>
    <cfRule type="expression" dxfId="8457" priority="5818">
      <formula>$C31="Expences"</formula>
    </cfRule>
    <cfRule type="expression" dxfId="8456" priority="5819">
      <formula>$C31="Garlic Purchase"</formula>
    </cfRule>
    <cfRule type="expression" dxfId="8455" priority="5820">
      <formula>$C31="Ginger Purchase"</formula>
    </cfRule>
  </conditionalFormatting>
  <conditionalFormatting sqref="B31 B33 B35 B37 B39 B41 B43 B47 B51">
    <cfRule type="expression" dxfId="8454" priority="5821">
      <formula>$C31="Advance"</formula>
    </cfRule>
  </conditionalFormatting>
  <conditionalFormatting sqref="B31 B33 B35 B37 B39 B41 B43 B47 B51">
    <cfRule type="expression" dxfId="8453" priority="5802">
      <formula>$C31="Delivery charge"</formula>
    </cfRule>
    <cfRule type="expression" dxfId="8452" priority="5803">
      <formula>$C31="Staff Salary"</formula>
    </cfRule>
    <cfRule type="expression" dxfId="8451" priority="5804">
      <formula>$C31="Rent"</formula>
    </cfRule>
    <cfRule type="expression" dxfId="8450" priority="5805">
      <formula>$C31="Petrol"</formula>
    </cfRule>
    <cfRule type="expression" dxfId="8449" priority="5806">
      <formula>$C31="Bills"</formula>
    </cfRule>
    <cfRule type="expression" dxfId="8448" priority="5807">
      <formula>$C31="Sales"</formula>
    </cfRule>
    <cfRule type="expression" dxfId="8447" priority="5808">
      <formula>$C31="Expences"</formula>
    </cfRule>
    <cfRule type="expression" dxfId="8446" priority="5809">
      <formula>$C31="Garlic Purchase"</formula>
    </cfRule>
    <cfRule type="expression" dxfId="8445" priority="5810">
      <formula>$C31="Ginger Purchase"</formula>
    </cfRule>
  </conditionalFormatting>
  <conditionalFormatting sqref="B31 B33 B35 B37 B39 B41 B43 B47 B51">
    <cfRule type="expression" dxfId="8444" priority="5811">
      <formula>$C31="Advance"</formula>
    </cfRule>
  </conditionalFormatting>
  <conditionalFormatting sqref="B31 B33 B35 B37 B39 B41 B43 B47 B51">
    <cfRule type="expression" dxfId="8443" priority="5792">
      <formula>$C31="Delivery charge"</formula>
    </cfRule>
    <cfRule type="expression" dxfId="8442" priority="5793">
      <formula>$C31="Staff Salary"</formula>
    </cfRule>
    <cfRule type="expression" dxfId="8441" priority="5794">
      <formula>$C31="Rent"</formula>
    </cfRule>
    <cfRule type="expression" dxfId="8440" priority="5795">
      <formula>$C31="Petrol"</formula>
    </cfRule>
    <cfRule type="expression" dxfId="8439" priority="5796">
      <formula>$C31="Bills"</formula>
    </cfRule>
    <cfRule type="expression" dxfId="8438" priority="5797">
      <formula>$C31="Sales"</formula>
    </cfRule>
    <cfRule type="expression" dxfId="8437" priority="5798">
      <formula>$C31="Expences"</formula>
    </cfRule>
    <cfRule type="expression" dxfId="8436" priority="5799">
      <formula>$C31="Garlic Purchase"</formula>
    </cfRule>
    <cfRule type="expression" dxfId="8435" priority="5800">
      <formula>$C31="Ginger Purchase"</formula>
    </cfRule>
  </conditionalFormatting>
  <conditionalFormatting sqref="B31 B33 B35 B37 B39 B41 B43 B47 B51">
    <cfRule type="expression" dxfId="8434" priority="5801">
      <formula>$C31="Advance"</formula>
    </cfRule>
  </conditionalFormatting>
  <conditionalFormatting sqref="B31 B33 B35 B37 B39 B41 B43 B47 B51">
    <cfRule type="expression" dxfId="8433" priority="5782">
      <formula>$C31="Delivery charge"</formula>
    </cfRule>
    <cfRule type="expression" dxfId="8432" priority="5783">
      <formula>$C31="Staff Salary"</formula>
    </cfRule>
    <cfRule type="expression" dxfId="8431" priority="5784">
      <formula>$C31="Rent"</formula>
    </cfRule>
    <cfRule type="expression" dxfId="8430" priority="5785">
      <formula>$C31="Petrol"</formula>
    </cfRule>
    <cfRule type="expression" dxfId="8429" priority="5786">
      <formula>$C31="Bills"</formula>
    </cfRule>
    <cfRule type="expression" dxfId="8428" priority="5787">
      <formula>$C31="Sales"</formula>
    </cfRule>
    <cfRule type="expression" dxfId="8427" priority="5788">
      <formula>$C31="Expences"</formula>
    </cfRule>
    <cfRule type="expression" dxfId="8426" priority="5789">
      <formula>$C31="Garlic Purchase"</formula>
    </cfRule>
    <cfRule type="expression" dxfId="8425" priority="5790">
      <formula>$C31="Ginger Purchase"</formula>
    </cfRule>
  </conditionalFormatting>
  <conditionalFormatting sqref="B31 B33 B35 B37 B39 B41 B43 B47 B51">
    <cfRule type="expression" dxfId="8424" priority="5791">
      <formula>$C31="Advance"</formula>
    </cfRule>
  </conditionalFormatting>
  <conditionalFormatting sqref="B31 B33 B35 B37 B39 B41 B43 B47 B51">
    <cfRule type="expression" dxfId="8423" priority="5772">
      <formula>$C31="Delivery charge"</formula>
    </cfRule>
    <cfRule type="expression" dxfId="8422" priority="5773">
      <formula>$C31="Staff Salary"</formula>
    </cfRule>
    <cfRule type="expression" dxfId="8421" priority="5774">
      <formula>$C31="Rent"</formula>
    </cfRule>
    <cfRule type="expression" dxfId="8420" priority="5775">
      <formula>$C31="Petrol"</formula>
    </cfRule>
    <cfRule type="expression" dxfId="8419" priority="5776">
      <formula>$C31="Bills"</formula>
    </cfRule>
    <cfRule type="expression" dxfId="8418" priority="5777">
      <formula>$C31="Sales"</formula>
    </cfRule>
    <cfRule type="expression" dxfId="8417" priority="5778">
      <formula>$C31="Expences"</formula>
    </cfRule>
    <cfRule type="expression" dxfId="8416" priority="5779">
      <formula>$C31="Garlic Purchase"</formula>
    </cfRule>
    <cfRule type="expression" dxfId="8415" priority="5780">
      <formula>$C31="Ginger Purchase"</formula>
    </cfRule>
  </conditionalFormatting>
  <conditionalFormatting sqref="B31 B33 B35 B37 B39 B41 B43 B47 B51">
    <cfRule type="expression" dxfId="8414" priority="5781">
      <formula>$C31="Advance"</formula>
    </cfRule>
  </conditionalFormatting>
  <conditionalFormatting sqref="B31 B33 B35 B37 B39 B41 B43 B47 B51">
    <cfRule type="expression" dxfId="8413" priority="5762">
      <formula>$C31="Delivery charge"</formula>
    </cfRule>
    <cfRule type="expression" dxfId="8412" priority="5763">
      <formula>$C31="Staff Salary"</formula>
    </cfRule>
    <cfRule type="expression" dxfId="8411" priority="5764">
      <formula>$C31="Rent"</formula>
    </cfRule>
    <cfRule type="expression" dxfId="8410" priority="5765">
      <formula>$C31="Petrol"</formula>
    </cfRule>
    <cfRule type="expression" dxfId="8409" priority="5766">
      <formula>$C31="Bills"</formula>
    </cfRule>
    <cfRule type="expression" dxfId="8408" priority="5767">
      <formula>$C31="Sales"</formula>
    </cfRule>
    <cfRule type="expression" dxfId="8407" priority="5768">
      <formula>$C31="Expences"</formula>
    </cfRule>
    <cfRule type="expression" dxfId="8406" priority="5769">
      <formula>$C31="Garlic Purchase"</formula>
    </cfRule>
    <cfRule type="expression" dxfId="8405" priority="5770">
      <formula>$C31="Ginger Purchase"</formula>
    </cfRule>
  </conditionalFormatting>
  <conditionalFormatting sqref="B31 B33 B35 B37 B39 B41 B43 B47 B51">
    <cfRule type="expression" dxfId="8404" priority="5771">
      <formula>$C31="Advance"</formula>
    </cfRule>
  </conditionalFormatting>
  <conditionalFormatting sqref="B31 B33 B35 B37 B39 B41 B43 B47 B51">
    <cfRule type="expression" dxfId="8403" priority="5752">
      <formula>$C31="Delivery charge"</formula>
    </cfRule>
    <cfRule type="expression" dxfId="8402" priority="5753">
      <formula>$C31="Staff Salary"</formula>
    </cfRule>
    <cfRule type="expression" dxfId="8401" priority="5754">
      <formula>$C31="Rent"</formula>
    </cfRule>
    <cfRule type="expression" dxfId="8400" priority="5755">
      <formula>$C31="Petrol"</formula>
    </cfRule>
    <cfRule type="expression" dxfId="8399" priority="5756">
      <formula>$C31="Bills"</formula>
    </cfRule>
    <cfRule type="expression" dxfId="8398" priority="5757">
      <formula>$C31="Sales"</formula>
    </cfRule>
    <cfRule type="expression" dxfId="8397" priority="5758">
      <formula>$C31="Expences"</formula>
    </cfRule>
    <cfRule type="expression" dxfId="8396" priority="5759">
      <formula>$C31="Garlic Purchase"</formula>
    </cfRule>
    <cfRule type="expression" dxfId="8395" priority="5760">
      <formula>$C31="Ginger Purchase"</formula>
    </cfRule>
  </conditionalFormatting>
  <conditionalFormatting sqref="B31 B33 B35 B37 B39 B41 B43 B47 B51">
    <cfRule type="expression" dxfId="8394" priority="5761">
      <formula>$C31="Advance"</formula>
    </cfRule>
  </conditionalFormatting>
  <conditionalFormatting sqref="B31 B33 B35 B37 B39 B41 B43 B47 B51">
    <cfRule type="expression" dxfId="8393" priority="5742">
      <formula>$C31="Delivery charge"</formula>
    </cfRule>
    <cfRule type="expression" dxfId="8392" priority="5743">
      <formula>$C31="Staff Salary"</formula>
    </cfRule>
    <cfRule type="expression" dxfId="8391" priority="5744">
      <formula>$C31="Rent"</formula>
    </cfRule>
    <cfRule type="expression" dxfId="8390" priority="5745">
      <formula>$C31="Petrol"</formula>
    </cfRule>
    <cfRule type="expression" dxfId="8389" priority="5746">
      <formula>$C31="Bills"</formula>
    </cfRule>
    <cfRule type="expression" dxfId="8388" priority="5747">
      <formula>$C31="Sales"</formula>
    </cfRule>
    <cfRule type="expression" dxfId="8387" priority="5748">
      <formula>$C31="Expences"</formula>
    </cfRule>
    <cfRule type="expression" dxfId="8386" priority="5749">
      <formula>$C31="Garlic Purchase"</formula>
    </cfRule>
    <cfRule type="expression" dxfId="8385" priority="5750">
      <formula>$C31="Ginger Purchase"</formula>
    </cfRule>
  </conditionalFormatting>
  <conditionalFormatting sqref="B31 B33 B35 B37 B39 B41 B43 B47 B51">
    <cfRule type="expression" dxfId="8384" priority="5751">
      <formula>$C31="Advance"</formula>
    </cfRule>
  </conditionalFormatting>
  <conditionalFormatting sqref="B31 B33 B35 B37 B39 B41 B43 B47 B51">
    <cfRule type="expression" dxfId="8383" priority="5732">
      <formula>$C31="Delivery charge"</formula>
    </cfRule>
    <cfRule type="expression" dxfId="8382" priority="5733">
      <formula>$C31="Staff Salary"</formula>
    </cfRule>
    <cfRule type="expression" dxfId="8381" priority="5734">
      <formula>$C31="Rent"</formula>
    </cfRule>
    <cfRule type="expression" dxfId="8380" priority="5735">
      <formula>$C31="Petrol"</formula>
    </cfRule>
    <cfRule type="expression" dxfId="8379" priority="5736">
      <formula>$C31="Bills"</formula>
    </cfRule>
    <cfRule type="expression" dxfId="8378" priority="5737">
      <formula>$C31="Sales"</formula>
    </cfRule>
    <cfRule type="expression" dxfId="8377" priority="5738">
      <formula>$C31="Expences"</formula>
    </cfRule>
    <cfRule type="expression" dxfId="8376" priority="5739">
      <formula>$C31="Garlic Purchase"</formula>
    </cfRule>
    <cfRule type="expression" dxfId="8375" priority="5740">
      <formula>$C31="Ginger Purchase"</formula>
    </cfRule>
  </conditionalFormatting>
  <conditionalFormatting sqref="B31 B33 B35 B37 B39 B41 B43 B47 B51">
    <cfRule type="expression" dxfId="8374" priority="5741">
      <formula>$C31="Advance"</formula>
    </cfRule>
  </conditionalFormatting>
  <conditionalFormatting sqref="B31 B33 B35 B37 B39 B41 B43 B47 B51">
    <cfRule type="expression" dxfId="8373" priority="5722">
      <formula>$C31="Delivery charge"</formula>
    </cfRule>
    <cfRule type="expression" dxfId="8372" priority="5723">
      <formula>$C31="Staff Salary"</formula>
    </cfRule>
    <cfRule type="expression" dxfId="8371" priority="5724">
      <formula>$C31="Rent"</formula>
    </cfRule>
    <cfRule type="expression" dxfId="8370" priority="5725">
      <formula>$C31="Petrol"</formula>
    </cfRule>
    <cfRule type="expression" dxfId="8369" priority="5726">
      <formula>$C31="Bills"</formula>
    </cfRule>
    <cfRule type="expression" dxfId="8368" priority="5727">
      <formula>$C31="Sales"</formula>
    </cfRule>
    <cfRule type="expression" dxfId="8367" priority="5728">
      <formula>$C31="Expences"</formula>
    </cfRule>
    <cfRule type="expression" dxfId="8366" priority="5729">
      <formula>$C31="Garlic Purchase"</formula>
    </cfRule>
    <cfRule type="expression" dxfId="8365" priority="5730">
      <formula>$C31="Ginger Purchase"</formula>
    </cfRule>
  </conditionalFormatting>
  <conditionalFormatting sqref="B31 B33 B35 B37 B39 B41 B43 B47 B51">
    <cfRule type="expression" dxfId="8364" priority="5731">
      <formula>$C31="Advance"</formula>
    </cfRule>
  </conditionalFormatting>
  <conditionalFormatting sqref="B31 B33 B35 B37 B39 B41 B43 B47 B51">
    <cfRule type="expression" dxfId="8363" priority="5712">
      <formula>$C31="Delivery charge"</formula>
    </cfRule>
    <cfRule type="expression" dxfId="8362" priority="5713">
      <formula>$C31="Staff Salary"</formula>
    </cfRule>
    <cfRule type="expression" dxfId="8361" priority="5714">
      <formula>$C31="Rent"</formula>
    </cfRule>
    <cfRule type="expression" dxfId="8360" priority="5715">
      <formula>$C31="Petrol"</formula>
    </cfRule>
    <cfRule type="expression" dxfId="8359" priority="5716">
      <formula>$C31="Bills"</formula>
    </cfRule>
    <cfRule type="expression" dxfId="8358" priority="5717">
      <formula>$C31="Sales"</formula>
    </cfRule>
    <cfRule type="expression" dxfId="8357" priority="5718">
      <formula>$C31="Expences"</formula>
    </cfRule>
    <cfRule type="expression" dxfId="8356" priority="5719">
      <formula>$C31="Garlic Purchase"</formula>
    </cfRule>
    <cfRule type="expression" dxfId="8355" priority="5720">
      <formula>$C31="Ginger Purchase"</formula>
    </cfRule>
  </conditionalFormatting>
  <conditionalFormatting sqref="B31 B33 B35 B37 B39 B41 B43 B47 B51">
    <cfRule type="expression" dxfId="8354" priority="5721">
      <formula>$C31="Advance"</formula>
    </cfRule>
  </conditionalFormatting>
  <conditionalFormatting sqref="B31 B33 B35 B37 B39 B41 B43 B47 B51">
    <cfRule type="expression" dxfId="8353" priority="5702">
      <formula>$C31="Delivery charge"</formula>
    </cfRule>
    <cfRule type="expression" dxfId="8352" priority="5703">
      <formula>$C31="Staff Salary"</formula>
    </cfRule>
    <cfRule type="expression" dxfId="8351" priority="5704">
      <formula>$C31="Rent"</formula>
    </cfRule>
    <cfRule type="expression" dxfId="8350" priority="5705">
      <formula>$C31="Petrol"</formula>
    </cfRule>
    <cfRule type="expression" dxfId="8349" priority="5706">
      <formula>$C31="Bills"</formula>
    </cfRule>
    <cfRule type="expression" dxfId="8348" priority="5707">
      <formula>$C31="Sales"</formula>
    </cfRule>
    <cfRule type="expression" dxfId="8347" priority="5708">
      <formula>$C31="Expences"</formula>
    </cfRule>
    <cfRule type="expression" dxfId="8346" priority="5709">
      <formula>$C31="Garlic Purchase"</formula>
    </cfRule>
    <cfRule type="expression" dxfId="8345" priority="5710">
      <formula>$C31="Ginger Purchase"</formula>
    </cfRule>
  </conditionalFormatting>
  <conditionalFormatting sqref="B31 B33 B35 B37 B39 B41 B43 B47 B51">
    <cfRule type="expression" dxfId="8344" priority="5711">
      <formula>$C31="Advance"</formula>
    </cfRule>
  </conditionalFormatting>
  <conditionalFormatting sqref="B31 B33 B35 B37 B39 B41 B43 B47 B51">
    <cfRule type="expression" dxfId="8343" priority="5701">
      <formula>$C31="Advance"</formula>
    </cfRule>
  </conditionalFormatting>
  <conditionalFormatting sqref="B31 B33 B35 B37 B39 B41 B43 B47 B51">
    <cfRule type="expression" dxfId="8342" priority="5692">
      <formula>$C31="Delivery charge"</formula>
    </cfRule>
    <cfRule type="expression" dxfId="8341" priority="5693">
      <formula>$C31="Staff Salary"</formula>
    </cfRule>
    <cfRule type="expression" dxfId="8340" priority="5694">
      <formula>$C31="Rent"</formula>
    </cfRule>
    <cfRule type="expression" dxfId="8339" priority="5695">
      <formula>$C31="Petrol"</formula>
    </cfRule>
    <cfRule type="expression" dxfId="8338" priority="5696">
      <formula>$C31="Bills"</formula>
    </cfRule>
    <cfRule type="expression" dxfId="8337" priority="5697">
      <formula>$C31="Sales"</formula>
    </cfRule>
    <cfRule type="expression" dxfId="8336" priority="5698">
      <formula>$C31="Expences"</formula>
    </cfRule>
    <cfRule type="expression" dxfId="8335" priority="5699">
      <formula>$C31="Garlic Purchase"</formula>
    </cfRule>
    <cfRule type="expression" dxfId="8334" priority="5700">
      <formula>$C31="Ginger Purchase"</formula>
    </cfRule>
  </conditionalFormatting>
  <conditionalFormatting sqref="B32 B34 B36 B38 B40 B42">
    <cfRule type="expression" dxfId="8333" priority="5682">
      <formula>$C32="Delivery charge"</formula>
    </cfRule>
    <cfRule type="expression" dxfId="8332" priority="5683">
      <formula>$C32="Staff Salary"</formula>
    </cfRule>
    <cfRule type="expression" dxfId="8331" priority="5684">
      <formula>$C32="Rent"</formula>
    </cfRule>
    <cfRule type="expression" dxfId="8330" priority="5685">
      <formula>$C32="Petrol"</formula>
    </cfRule>
    <cfRule type="expression" dxfId="8329" priority="5686">
      <formula>$C32="Bills"</formula>
    </cfRule>
    <cfRule type="expression" dxfId="8328" priority="5687">
      <formula>$C32="Sales"</formula>
    </cfRule>
    <cfRule type="expression" dxfId="8327" priority="5688">
      <formula>$C32="Expences"</formula>
    </cfRule>
    <cfRule type="expression" dxfId="8326" priority="5689">
      <formula>$C32="Garlic Purchase"</formula>
    </cfRule>
    <cfRule type="expression" dxfId="8325" priority="5690">
      <formula>$C32="Ginger Purchase"</formula>
    </cfRule>
  </conditionalFormatting>
  <conditionalFormatting sqref="B32 B34 B36 B38 B40 B42">
    <cfRule type="expression" dxfId="8324" priority="5691">
      <formula>$C32="Advance"</formula>
    </cfRule>
  </conditionalFormatting>
  <conditionalFormatting sqref="B32 B34 B36 B38 B40 B42">
    <cfRule type="expression" dxfId="8323" priority="5672">
      <formula>$C32="Delivery charge"</formula>
    </cfRule>
    <cfRule type="expression" dxfId="8322" priority="5673">
      <formula>$C32="Staff Salary"</formula>
    </cfRule>
    <cfRule type="expression" dxfId="8321" priority="5674">
      <formula>$C32="Rent"</formula>
    </cfRule>
    <cfRule type="expression" dxfId="8320" priority="5675">
      <formula>$C32="Petrol"</formula>
    </cfRule>
    <cfRule type="expression" dxfId="8319" priority="5676">
      <formula>$C32="Bills"</formula>
    </cfRule>
    <cfRule type="expression" dxfId="8318" priority="5677">
      <formula>$C32="Sales"</formula>
    </cfRule>
    <cfRule type="expression" dxfId="8317" priority="5678">
      <formula>$C32="Expences"</formula>
    </cfRule>
    <cfRule type="expression" dxfId="8316" priority="5679">
      <formula>$C32="Garlic Purchase"</formula>
    </cfRule>
    <cfRule type="expression" dxfId="8315" priority="5680">
      <formula>$C32="Ginger Purchase"</formula>
    </cfRule>
  </conditionalFormatting>
  <conditionalFormatting sqref="B32 B34 B36 B38 B40 B42">
    <cfRule type="expression" dxfId="8314" priority="5681">
      <formula>$C32="Advance"</formula>
    </cfRule>
  </conditionalFormatting>
  <conditionalFormatting sqref="B32 B34 B36 B38 B40 B42">
    <cfRule type="expression" dxfId="8313" priority="5662">
      <formula>$C32="Delivery charge"</formula>
    </cfRule>
    <cfRule type="expression" dxfId="8312" priority="5663">
      <formula>$C32="Staff Salary"</formula>
    </cfRule>
    <cfRule type="expression" dxfId="8311" priority="5664">
      <formula>$C32="Rent"</formula>
    </cfRule>
    <cfRule type="expression" dxfId="8310" priority="5665">
      <formula>$C32="Petrol"</formula>
    </cfRule>
    <cfRule type="expression" dxfId="8309" priority="5666">
      <formula>$C32="Bills"</formula>
    </cfRule>
    <cfRule type="expression" dxfId="8308" priority="5667">
      <formula>$C32="Sales"</formula>
    </cfRule>
    <cfRule type="expression" dxfId="8307" priority="5668">
      <formula>$C32="Expences"</formula>
    </cfRule>
    <cfRule type="expression" dxfId="8306" priority="5669">
      <formula>$C32="Garlic Purchase"</formula>
    </cfRule>
    <cfRule type="expression" dxfId="8305" priority="5670">
      <formula>$C32="Ginger Purchase"</formula>
    </cfRule>
  </conditionalFormatting>
  <conditionalFormatting sqref="B32 B34 B36 B38 B40 B42">
    <cfRule type="expression" dxfId="8304" priority="5671">
      <formula>$C32="Advance"</formula>
    </cfRule>
  </conditionalFormatting>
  <conditionalFormatting sqref="B32 B34 B36 B38 B40 B42">
    <cfRule type="expression" dxfId="8303" priority="5652">
      <formula>$C32="Delivery charge"</formula>
    </cfRule>
    <cfRule type="expression" dxfId="8302" priority="5653">
      <formula>$C32="Staff Salary"</formula>
    </cfRule>
    <cfRule type="expression" dxfId="8301" priority="5654">
      <formula>$C32="Rent"</formula>
    </cfRule>
    <cfRule type="expression" dxfId="8300" priority="5655">
      <formula>$C32="Petrol"</formula>
    </cfRule>
    <cfRule type="expression" dxfId="8299" priority="5656">
      <formula>$C32="Bills"</formula>
    </cfRule>
    <cfRule type="expression" dxfId="8298" priority="5657">
      <formula>$C32="Sales"</formula>
    </cfRule>
    <cfRule type="expression" dxfId="8297" priority="5658">
      <formula>$C32="Expences"</formula>
    </cfRule>
    <cfRule type="expression" dxfId="8296" priority="5659">
      <formula>$C32="Garlic Purchase"</formula>
    </cfRule>
    <cfRule type="expression" dxfId="8295" priority="5660">
      <formula>$C32="Ginger Purchase"</formula>
    </cfRule>
  </conditionalFormatting>
  <conditionalFormatting sqref="B32 B34 B36 B38 B40 B42">
    <cfRule type="expression" dxfId="8294" priority="5661">
      <formula>$C32="Advance"</formula>
    </cfRule>
  </conditionalFormatting>
  <conditionalFormatting sqref="B32 B34 B36 B38 B40 B42">
    <cfRule type="expression" dxfId="8293" priority="5642">
      <formula>$C32="Delivery charge"</formula>
    </cfRule>
    <cfRule type="expression" dxfId="8292" priority="5643">
      <formula>$C32="Staff Salary"</formula>
    </cfRule>
    <cfRule type="expression" dxfId="8291" priority="5644">
      <formula>$C32="Rent"</formula>
    </cfRule>
    <cfRule type="expression" dxfId="8290" priority="5645">
      <formula>$C32="Petrol"</formula>
    </cfRule>
    <cfRule type="expression" dxfId="8289" priority="5646">
      <formula>$C32="Bills"</formula>
    </cfRule>
    <cfRule type="expression" dxfId="8288" priority="5647">
      <formula>$C32="Sales"</formula>
    </cfRule>
    <cfRule type="expression" dxfId="8287" priority="5648">
      <formula>$C32="Expences"</formula>
    </cfRule>
    <cfRule type="expression" dxfId="8286" priority="5649">
      <formula>$C32="Garlic Purchase"</formula>
    </cfRule>
    <cfRule type="expression" dxfId="8285" priority="5650">
      <formula>$C32="Ginger Purchase"</formula>
    </cfRule>
  </conditionalFormatting>
  <conditionalFormatting sqref="B32 B34 B36 B38 B40 B42">
    <cfRule type="expression" dxfId="8284" priority="5651">
      <formula>$C32="Advance"</formula>
    </cfRule>
  </conditionalFormatting>
  <conditionalFormatting sqref="B32 B34 B36 B38 B40 B42">
    <cfRule type="expression" dxfId="8283" priority="5632">
      <formula>$C32="Delivery charge"</formula>
    </cfRule>
    <cfRule type="expression" dxfId="8282" priority="5633">
      <formula>$C32="Staff Salary"</formula>
    </cfRule>
    <cfRule type="expression" dxfId="8281" priority="5634">
      <formula>$C32="Rent"</formula>
    </cfRule>
    <cfRule type="expression" dxfId="8280" priority="5635">
      <formula>$C32="Petrol"</formula>
    </cfRule>
    <cfRule type="expression" dxfId="8279" priority="5636">
      <formula>$C32="Bills"</formula>
    </cfRule>
    <cfRule type="expression" dxfId="8278" priority="5637">
      <formula>$C32="Sales"</formula>
    </cfRule>
    <cfRule type="expression" dxfId="8277" priority="5638">
      <formula>$C32="Expences"</formula>
    </cfRule>
    <cfRule type="expression" dxfId="8276" priority="5639">
      <formula>$C32="Garlic Purchase"</formula>
    </cfRule>
    <cfRule type="expression" dxfId="8275" priority="5640">
      <formula>$C32="Ginger Purchase"</formula>
    </cfRule>
  </conditionalFormatting>
  <conditionalFormatting sqref="B32 B34 B36 B38 B40 B42">
    <cfRule type="expression" dxfId="8274" priority="5641">
      <formula>$C32="Advance"</formula>
    </cfRule>
  </conditionalFormatting>
  <conditionalFormatting sqref="B32 B34 B36 B38 B40 B42">
    <cfRule type="expression" dxfId="8273" priority="5622">
      <formula>$C32="Delivery charge"</formula>
    </cfRule>
    <cfRule type="expression" dxfId="8272" priority="5623">
      <formula>$C32="Staff Salary"</formula>
    </cfRule>
    <cfRule type="expression" dxfId="8271" priority="5624">
      <formula>$C32="Rent"</formula>
    </cfRule>
    <cfRule type="expression" dxfId="8270" priority="5625">
      <formula>$C32="Petrol"</formula>
    </cfRule>
    <cfRule type="expression" dxfId="8269" priority="5626">
      <formula>$C32="Bills"</formula>
    </cfRule>
    <cfRule type="expression" dxfId="8268" priority="5627">
      <formula>$C32="Sales"</formula>
    </cfRule>
    <cfRule type="expression" dxfId="8267" priority="5628">
      <formula>$C32="Expences"</formula>
    </cfRule>
    <cfRule type="expression" dxfId="8266" priority="5629">
      <formula>$C32="Garlic Purchase"</formula>
    </cfRule>
    <cfRule type="expression" dxfId="8265" priority="5630">
      <formula>$C32="Ginger Purchase"</formula>
    </cfRule>
  </conditionalFormatting>
  <conditionalFormatting sqref="B32 B34 B36 B38 B40 B42">
    <cfRule type="expression" dxfId="8264" priority="5631">
      <formula>$C32="Advance"</formula>
    </cfRule>
  </conditionalFormatting>
  <conditionalFormatting sqref="B32 B34 B36 B38 B40 B42">
    <cfRule type="expression" dxfId="8263" priority="5612">
      <formula>$C32="Delivery charge"</formula>
    </cfRule>
    <cfRule type="expression" dxfId="8262" priority="5613">
      <formula>$C32="Staff Salary"</formula>
    </cfRule>
    <cfRule type="expression" dxfId="8261" priority="5614">
      <formula>$C32="Rent"</formula>
    </cfRule>
    <cfRule type="expression" dxfId="8260" priority="5615">
      <formula>$C32="Petrol"</formula>
    </cfRule>
    <cfRule type="expression" dxfId="8259" priority="5616">
      <formula>$C32="Bills"</formula>
    </cfRule>
    <cfRule type="expression" dxfId="8258" priority="5617">
      <formula>$C32="Sales"</formula>
    </cfRule>
    <cfRule type="expression" dxfId="8257" priority="5618">
      <formula>$C32="Expences"</formula>
    </cfRule>
    <cfRule type="expression" dxfId="8256" priority="5619">
      <formula>$C32="Garlic Purchase"</formula>
    </cfRule>
    <cfRule type="expression" dxfId="8255" priority="5620">
      <formula>$C32="Ginger Purchase"</formula>
    </cfRule>
  </conditionalFormatting>
  <conditionalFormatting sqref="B32 B34 B36 B38 B40 B42">
    <cfRule type="expression" dxfId="8254" priority="5621">
      <formula>$C32="Advance"</formula>
    </cfRule>
  </conditionalFormatting>
  <conditionalFormatting sqref="B32 B34 B36 B38 B40 B42">
    <cfRule type="expression" dxfId="8253" priority="5602">
      <formula>$C32="Delivery charge"</formula>
    </cfRule>
    <cfRule type="expression" dxfId="8252" priority="5603">
      <formula>$C32="Staff Salary"</formula>
    </cfRule>
    <cfRule type="expression" dxfId="8251" priority="5604">
      <formula>$C32="Rent"</formula>
    </cfRule>
    <cfRule type="expression" dxfId="8250" priority="5605">
      <formula>$C32="Petrol"</formula>
    </cfRule>
    <cfRule type="expression" dxfId="8249" priority="5606">
      <formula>$C32="Bills"</formula>
    </cfRule>
    <cfRule type="expression" dxfId="8248" priority="5607">
      <formula>$C32="Sales"</formula>
    </cfRule>
    <cfRule type="expression" dxfId="8247" priority="5608">
      <formula>$C32="Expences"</formula>
    </cfRule>
    <cfRule type="expression" dxfId="8246" priority="5609">
      <formula>$C32="Garlic Purchase"</formula>
    </cfRule>
    <cfRule type="expression" dxfId="8245" priority="5610">
      <formula>$C32="Ginger Purchase"</formula>
    </cfRule>
  </conditionalFormatting>
  <conditionalFormatting sqref="B32 B34 B36 B38 B40 B42">
    <cfRule type="expression" dxfId="8244" priority="5611">
      <formula>$C32="Advance"</formula>
    </cfRule>
  </conditionalFormatting>
  <conditionalFormatting sqref="B32 B34 B36 B38 B40 B42">
    <cfRule type="expression" dxfId="8243" priority="5592">
      <formula>$C32="Delivery charge"</formula>
    </cfRule>
    <cfRule type="expression" dxfId="8242" priority="5593">
      <formula>$C32="Staff Salary"</formula>
    </cfRule>
    <cfRule type="expression" dxfId="8241" priority="5594">
      <formula>$C32="Rent"</formula>
    </cfRule>
    <cfRule type="expression" dxfId="8240" priority="5595">
      <formula>$C32="Petrol"</formula>
    </cfRule>
    <cfRule type="expression" dxfId="8239" priority="5596">
      <formula>$C32="Bills"</formula>
    </cfRule>
    <cfRule type="expression" dxfId="8238" priority="5597">
      <formula>$C32="Sales"</formula>
    </cfRule>
    <cfRule type="expression" dxfId="8237" priority="5598">
      <formula>$C32="Expences"</formula>
    </cfRule>
    <cfRule type="expression" dxfId="8236" priority="5599">
      <formula>$C32="Garlic Purchase"</formula>
    </cfRule>
    <cfRule type="expression" dxfId="8235" priority="5600">
      <formula>$C32="Ginger Purchase"</formula>
    </cfRule>
  </conditionalFormatting>
  <conditionalFormatting sqref="B32 B34 B36 B38 B40 B42">
    <cfRule type="expression" dxfId="8234" priority="5601">
      <formula>$C32="Advance"</formula>
    </cfRule>
  </conditionalFormatting>
  <conditionalFormatting sqref="B32 B34 B36 B38 B40 B42">
    <cfRule type="expression" dxfId="8233" priority="5582">
      <formula>$C32="Delivery charge"</formula>
    </cfRule>
    <cfRule type="expression" dxfId="8232" priority="5583">
      <formula>$C32="Staff Salary"</formula>
    </cfRule>
    <cfRule type="expression" dxfId="8231" priority="5584">
      <formula>$C32="Rent"</formula>
    </cfRule>
    <cfRule type="expression" dxfId="8230" priority="5585">
      <formula>$C32="Petrol"</formula>
    </cfRule>
    <cfRule type="expression" dxfId="8229" priority="5586">
      <formula>$C32="Bills"</formula>
    </cfRule>
    <cfRule type="expression" dxfId="8228" priority="5587">
      <formula>$C32="Sales"</formula>
    </cfRule>
    <cfRule type="expression" dxfId="8227" priority="5588">
      <formula>$C32="Expences"</formula>
    </cfRule>
    <cfRule type="expression" dxfId="8226" priority="5589">
      <formula>$C32="Garlic Purchase"</formula>
    </cfRule>
    <cfRule type="expression" dxfId="8225" priority="5590">
      <formula>$C32="Ginger Purchase"</formula>
    </cfRule>
  </conditionalFormatting>
  <conditionalFormatting sqref="B32 B34 B36 B38 B40 B42">
    <cfRule type="expression" dxfId="8224" priority="5591">
      <formula>$C32="Advance"</formula>
    </cfRule>
  </conditionalFormatting>
  <conditionalFormatting sqref="B31 B33 B35 B37 B39 B41 B43 B47 B51">
    <cfRule type="expression" dxfId="8223" priority="5581">
      <formula>$C31="Advance"</formula>
    </cfRule>
  </conditionalFormatting>
  <conditionalFormatting sqref="B31 B33 B35 B37 B39 B41 B43 B47 B51">
    <cfRule type="expression" dxfId="8222" priority="5572">
      <formula>$C31="Delivery charge"</formula>
    </cfRule>
    <cfRule type="expression" dxfId="8221" priority="5573">
      <formula>$C31="Staff Salary"</formula>
    </cfRule>
    <cfRule type="expression" dxfId="8220" priority="5574">
      <formula>$C31="Rent"</formula>
    </cfRule>
    <cfRule type="expression" dxfId="8219" priority="5575">
      <formula>$C31="Petrol"</formula>
    </cfRule>
    <cfRule type="expression" dxfId="8218" priority="5576">
      <formula>$C31="Bills"</formula>
    </cfRule>
    <cfRule type="expression" dxfId="8217" priority="5577">
      <formula>$C31="Sales"</formula>
    </cfRule>
    <cfRule type="expression" dxfId="8216" priority="5578">
      <formula>$C31="Expences"</formula>
    </cfRule>
    <cfRule type="expression" dxfId="8215" priority="5579">
      <formula>$C31="Garlic Purchase"</formula>
    </cfRule>
    <cfRule type="expression" dxfId="8214" priority="5580">
      <formula>$C31="Ginger Purchase"</formula>
    </cfRule>
  </conditionalFormatting>
  <conditionalFormatting sqref="B31 B33 B35 B37 B39 B41 B43 B47 B51">
    <cfRule type="expression" dxfId="8213" priority="5562">
      <formula>$C31="Delivery charge"</formula>
    </cfRule>
    <cfRule type="expression" dxfId="8212" priority="5563">
      <formula>$C31="Staff Salary"</formula>
    </cfRule>
    <cfRule type="expression" dxfId="8211" priority="5564">
      <formula>$C31="Rent"</formula>
    </cfRule>
    <cfRule type="expression" dxfId="8210" priority="5565">
      <formula>$C31="Petrol"</formula>
    </cfRule>
    <cfRule type="expression" dxfId="8209" priority="5566">
      <formula>$C31="Bills"</formula>
    </cfRule>
    <cfRule type="expression" dxfId="8208" priority="5567">
      <formula>$C31="Sales"</formula>
    </cfRule>
    <cfRule type="expression" dxfId="8207" priority="5568">
      <formula>$C31="Expences"</formula>
    </cfRule>
    <cfRule type="expression" dxfId="8206" priority="5569">
      <formula>$C31="Garlic Purchase"</formula>
    </cfRule>
    <cfRule type="expression" dxfId="8205" priority="5570">
      <formula>$C31="Ginger Purchase"</formula>
    </cfRule>
  </conditionalFormatting>
  <conditionalFormatting sqref="B31 B33 B35 B37 B39 B41 B43 B47 B51">
    <cfRule type="expression" dxfId="8204" priority="5571">
      <formula>$C31="Advance"</formula>
    </cfRule>
  </conditionalFormatting>
  <conditionalFormatting sqref="B32 B34 B36 B38 B40 B42">
    <cfRule type="expression" dxfId="8203" priority="5552">
      <formula>$C32="Delivery charge"</formula>
    </cfRule>
    <cfRule type="expression" dxfId="8202" priority="5553">
      <formula>$C32="Staff Salary"</formula>
    </cfRule>
    <cfRule type="expression" dxfId="8201" priority="5554">
      <formula>$C32="Rent"</formula>
    </cfRule>
    <cfRule type="expression" dxfId="8200" priority="5555">
      <formula>$C32="Petrol"</formula>
    </cfRule>
    <cfRule type="expression" dxfId="8199" priority="5556">
      <formula>$C32="Bills"</formula>
    </cfRule>
    <cfRule type="expression" dxfId="8198" priority="5557">
      <formula>$C32="Sales"</formula>
    </cfRule>
    <cfRule type="expression" dxfId="8197" priority="5558">
      <formula>$C32="Expences"</formula>
    </cfRule>
    <cfRule type="expression" dxfId="8196" priority="5559">
      <formula>$C32="Garlic Purchase"</formula>
    </cfRule>
    <cfRule type="expression" dxfId="8195" priority="5560">
      <formula>$C32="Ginger Purchase"</formula>
    </cfRule>
  </conditionalFormatting>
  <conditionalFormatting sqref="B32 B34 B36 B38 B40 B42">
    <cfRule type="expression" dxfId="8194" priority="5561">
      <formula>$C32="Advance"</formula>
    </cfRule>
  </conditionalFormatting>
  <conditionalFormatting sqref="B32 B34 B36 B38 B40 B42">
    <cfRule type="expression" dxfId="8193" priority="5542">
      <formula>$C32="Delivery charge"</formula>
    </cfRule>
    <cfRule type="expression" dxfId="8192" priority="5543">
      <formula>$C32="Staff Salary"</formula>
    </cfRule>
    <cfRule type="expression" dxfId="8191" priority="5544">
      <formula>$C32="Rent"</formula>
    </cfRule>
    <cfRule type="expression" dxfId="8190" priority="5545">
      <formula>$C32="Petrol"</formula>
    </cfRule>
    <cfRule type="expression" dxfId="8189" priority="5546">
      <formula>$C32="Bills"</formula>
    </cfRule>
    <cfRule type="expression" dxfId="8188" priority="5547">
      <formula>$C32="Sales"</formula>
    </cfRule>
    <cfRule type="expression" dxfId="8187" priority="5548">
      <formula>$C32="Expences"</formula>
    </cfRule>
    <cfRule type="expression" dxfId="8186" priority="5549">
      <formula>$C32="Garlic Purchase"</formula>
    </cfRule>
    <cfRule type="expression" dxfId="8185" priority="5550">
      <formula>$C32="Ginger Purchase"</formula>
    </cfRule>
  </conditionalFormatting>
  <conditionalFormatting sqref="B32 B34 B36 B38 B40 B42">
    <cfRule type="expression" dxfId="8184" priority="5551">
      <formula>$C32="Advance"</formula>
    </cfRule>
  </conditionalFormatting>
  <conditionalFormatting sqref="B32 B34 B36 B38 B40 B42">
    <cfRule type="expression" dxfId="8183" priority="5532">
      <formula>$C32="Delivery charge"</formula>
    </cfRule>
    <cfRule type="expression" dxfId="8182" priority="5533">
      <formula>$C32="Staff Salary"</formula>
    </cfRule>
    <cfRule type="expression" dxfId="8181" priority="5534">
      <formula>$C32="Rent"</formula>
    </cfRule>
    <cfRule type="expression" dxfId="8180" priority="5535">
      <formula>$C32="Petrol"</formula>
    </cfRule>
    <cfRule type="expression" dxfId="8179" priority="5536">
      <formula>$C32="Bills"</formula>
    </cfRule>
    <cfRule type="expression" dxfId="8178" priority="5537">
      <formula>$C32="Sales"</formula>
    </cfRule>
    <cfRule type="expression" dxfId="8177" priority="5538">
      <formula>$C32="Expences"</formula>
    </cfRule>
    <cfRule type="expression" dxfId="8176" priority="5539">
      <formula>$C32="Garlic Purchase"</formula>
    </cfRule>
    <cfRule type="expression" dxfId="8175" priority="5540">
      <formula>$C32="Ginger Purchase"</formula>
    </cfRule>
  </conditionalFormatting>
  <conditionalFormatting sqref="B32 B34 B36 B38 B40 B42">
    <cfRule type="expression" dxfId="8174" priority="5541">
      <formula>$C32="Advance"</formula>
    </cfRule>
  </conditionalFormatting>
  <conditionalFormatting sqref="B32 B34 B36 B38 B40 B42">
    <cfRule type="expression" dxfId="8173" priority="5522">
      <formula>$C32="Delivery charge"</formula>
    </cfRule>
    <cfRule type="expression" dxfId="8172" priority="5523">
      <formula>$C32="Staff Salary"</formula>
    </cfRule>
    <cfRule type="expression" dxfId="8171" priority="5524">
      <formula>$C32="Rent"</formula>
    </cfRule>
    <cfRule type="expression" dxfId="8170" priority="5525">
      <formula>$C32="Petrol"</formula>
    </cfRule>
    <cfRule type="expression" dxfId="8169" priority="5526">
      <formula>$C32="Bills"</formula>
    </cfRule>
    <cfRule type="expression" dxfId="8168" priority="5527">
      <formula>$C32="Sales"</formula>
    </cfRule>
    <cfRule type="expression" dxfId="8167" priority="5528">
      <formula>$C32="Expences"</formula>
    </cfRule>
    <cfRule type="expression" dxfId="8166" priority="5529">
      <formula>$C32="Garlic Purchase"</formula>
    </cfRule>
    <cfRule type="expression" dxfId="8165" priority="5530">
      <formula>$C32="Ginger Purchase"</formula>
    </cfRule>
  </conditionalFormatting>
  <conditionalFormatting sqref="B32 B34 B36 B38 B40 B42">
    <cfRule type="expression" dxfId="8164" priority="5531">
      <formula>$C32="Advance"</formula>
    </cfRule>
  </conditionalFormatting>
  <conditionalFormatting sqref="B31 B33 B35 B37 B39 B41 B43 B47 B51">
    <cfRule type="expression" dxfId="8163" priority="5512">
      <formula>$C31="Delivery charge"</formula>
    </cfRule>
    <cfRule type="expression" dxfId="8162" priority="5513">
      <formula>$C31="Staff Salary"</formula>
    </cfRule>
    <cfRule type="expression" dxfId="8161" priority="5514">
      <formula>$C31="Rent"</formula>
    </cfRule>
    <cfRule type="expression" dxfId="8160" priority="5515">
      <formula>$C31="Petrol"</formula>
    </cfRule>
    <cfRule type="expression" dxfId="8159" priority="5516">
      <formula>$C31="Bills"</formula>
    </cfRule>
    <cfRule type="expression" dxfId="8158" priority="5517">
      <formula>$C31="Sales"</formula>
    </cfRule>
    <cfRule type="expression" dxfId="8157" priority="5518">
      <formula>$C31="Expences"</formula>
    </cfRule>
    <cfRule type="expression" dxfId="8156" priority="5519">
      <formula>$C31="Garlic Purchase"</formula>
    </cfRule>
    <cfRule type="expression" dxfId="8155" priority="5520">
      <formula>$C31="Ginger Purchase"</formula>
    </cfRule>
  </conditionalFormatting>
  <conditionalFormatting sqref="B31 B33 B35 B37 B39 B41 B43 B47 B51">
    <cfRule type="expression" dxfId="8154" priority="5521">
      <formula>$C31="Advance"</formula>
    </cfRule>
  </conditionalFormatting>
  <conditionalFormatting sqref="B31 B33 B35 B37 B39 B41 B43 B47 B51">
    <cfRule type="expression" dxfId="8153" priority="5502">
      <formula>$C31="Delivery charge"</formula>
    </cfRule>
    <cfRule type="expression" dxfId="8152" priority="5503">
      <formula>$C31="Staff Salary"</formula>
    </cfRule>
    <cfRule type="expression" dxfId="8151" priority="5504">
      <formula>$C31="Rent"</formula>
    </cfRule>
    <cfRule type="expression" dxfId="8150" priority="5505">
      <formula>$C31="Petrol"</formula>
    </cfRule>
    <cfRule type="expression" dxfId="8149" priority="5506">
      <formula>$C31="Bills"</formula>
    </cfRule>
    <cfRule type="expression" dxfId="8148" priority="5507">
      <formula>$C31="Sales"</formula>
    </cfRule>
    <cfRule type="expression" dxfId="8147" priority="5508">
      <formula>$C31="Expences"</formula>
    </cfRule>
    <cfRule type="expression" dxfId="8146" priority="5509">
      <formula>$C31="Garlic Purchase"</formula>
    </cfRule>
    <cfRule type="expression" dxfId="8145" priority="5510">
      <formula>$C31="Ginger Purchase"</formula>
    </cfRule>
  </conditionalFormatting>
  <conditionalFormatting sqref="B31 B33 B35 B37 B39 B41 B43 B47 B51">
    <cfRule type="expression" dxfId="8144" priority="5511">
      <formula>$C31="Advance"</formula>
    </cfRule>
  </conditionalFormatting>
  <conditionalFormatting sqref="B31 B33 B35 B37 B39 B41 B43 B47 B51">
    <cfRule type="expression" dxfId="8143" priority="5492">
      <formula>$C31="Delivery charge"</formula>
    </cfRule>
    <cfRule type="expression" dxfId="8142" priority="5493">
      <formula>$C31="Staff Salary"</formula>
    </cfRule>
    <cfRule type="expression" dxfId="8141" priority="5494">
      <formula>$C31="Rent"</formula>
    </cfRule>
    <cfRule type="expression" dxfId="8140" priority="5495">
      <formula>$C31="Petrol"</formula>
    </cfRule>
    <cfRule type="expression" dxfId="8139" priority="5496">
      <formula>$C31="Bills"</formula>
    </cfRule>
    <cfRule type="expression" dxfId="8138" priority="5497">
      <formula>$C31="Sales"</formula>
    </cfRule>
    <cfRule type="expression" dxfId="8137" priority="5498">
      <formula>$C31="Expences"</formula>
    </cfRule>
    <cfRule type="expression" dxfId="8136" priority="5499">
      <formula>$C31="Garlic Purchase"</formula>
    </cfRule>
    <cfRule type="expression" dxfId="8135" priority="5500">
      <formula>$C31="Ginger Purchase"</formula>
    </cfRule>
  </conditionalFormatting>
  <conditionalFormatting sqref="B31 B33 B35 B37 B39 B41 B43 B47 B51">
    <cfRule type="expression" dxfId="8134" priority="5501">
      <formula>$C31="Advance"</formula>
    </cfRule>
  </conditionalFormatting>
  <conditionalFormatting sqref="B31 B33 B35 B37 B39 B41 B43 B47 B51">
    <cfRule type="expression" dxfId="8133" priority="5482">
      <formula>$C31="Delivery charge"</formula>
    </cfRule>
    <cfRule type="expression" dxfId="8132" priority="5483">
      <formula>$C31="Staff Salary"</formula>
    </cfRule>
    <cfRule type="expression" dxfId="8131" priority="5484">
      <formula>$C31="Rent"</formula>
    </cfRule>
    <cfRule type="expression" dxfId="8130" priority="5485">
      <formula>$C31="Petrol"</formula>
    </cfRule>
    <cfRule type="expression" dxfId="8129" priority="5486">
      <formula>$C31="Bills"</formula>
    </cfRule>
    <cfRule type="expression" dxfId="8128" priority="5487">
      <formula>$C31="Sales"</formula>
    </cfRule>
    <cfRule type="expression" dxfId="8127" priority="5488">
      <formula>$C31="Expences"</formula>
    </cfRule>
    <cfRule type="expression" dxfId="8126" priority="5489">
      <formula>$C31="Garlic Purchase"</formula>
    </cfRule>
    <cfRule type="expression" dxfId="8125" priority="5490">
      <formula>$C31="Ginger Purchase"</formula>
    </cfRule>
  </conditionalFormatting>
  <conditionalFormatting sqref="B31 B33 B35 B37 B39 B41 B43 B47 B51">
    <cfRule type="expression" dxfId="8124" priority="5491">
      <formula>$C31="Advance"</formula>
    </cfRule>
  </conditionalFormatting>
  <conditionalFormatting sqref="B32 B34 B36 B38 B40 B42">
    <cfRule type="expression" dxfId="8123" priority="5472">
      <formula>$C32="Delivery charge"</formula>
    </cfRule>
    <cfRule type="expression" dxfId="8122" priority="5473">
      <formula>$C32="Staff Salary"</formula>
    </cfRule>
    <cfRule type="expression" dxfId="8121" priority="5474">
      <formula>$C32="Rent"</formula>
    </cfRule>
    <cfRule type="expression" dxfId="8120" priority="5475">
      <formula>$C32="Petrol"</formula>
    </cfRule>
    <cfRule type="expression" dxfId="8119" priority="5476">
      <formula>$C32="Bills"</formula>
    </cfRule>
    <cfRule type="expression" dxfId="8118" priority="5477">
      <formula>$C32="Sales"</formula>
    </cfRule>
    <cfRule type="expression" dxfId="8117" priority="5478">
      <formula>$C32="Expences"</formula>
    </cfRule>
    <cfRule type="expression" dxfId="8116" priority="5479">
      <formula>$C32="Garlic Purchase"</formula>
    </cfRule>
    <cfRule type="expression" dxfId="8115" priority="5480">
      <formula>$C32="Ginger Purchase"</formula>
    </cfRule>
  </conditionalFormatting>
  <conditionalFormatting sqref="B32 B34 B36 B38 B40 B42">
    <cfRule type="expression" dxfId="8114" priority="5481">
      <formula>$C32="Advance"</formula>
    </cfRule>
  </conditionalFormatting>
  <conditionalFormatting sqref="B31 B33 B35 B37 B39 B41 B43 B47 B51">
    <cfRule type="expression" dxfId="8113" priority="5462">
      <formula>$C31="Delivery charge"</formula>
    </cfRule>
    <cfRule type="expression" dxfId="8112" priority="5463">
      <formula>$C31="Staff Salary"</formula>
    </cfRule>
    <cfRule type="expression" dxfId="8111" priority="5464">
      <formula>$C31="Rent"</formula>
    </cfRule>
    <cfRule type="expression" dxfId="8110" priority="5465">
      <formula>$C31="Petrol"</formula>
    </cfRule>
    <cfRule type="expression" dxfId="8109" priority="5466">
      <formula>$C31="Bills"</formula>
    </cfRule>
    <cfRule type="expression" dxfId="8108" priority="5467">
      <formula>$C31="Sales"</formula>
    </cfRule>
    <cfRule type="expression" dxfId="8107" priority="5468">
      <formula>$C31="Expences"</formula>
    </cfRule>
    <cfRule type="expression" dxfId="8106" priority="5469">
      <formula>$C31="Garlic Purchase"</formula>
    </cfRule>
    <cfRule type="expression" dxfId="8105" priority="5470">
      <formula>$C31="Ginger Purchase"</formula>
    </cfRule>
  </conditionalFormatting>
  <conditionalFormatting sqref="B31 B33 B35 B37 B39 B41 B43 B47 B51">
    <cfRule type="expression" dxfId="8104" priority="5471">
      <formula>$C31="Advance"</formula>
    </cfRule>
  </conditionalFormatting>
  <conditionalFormatting sqref="B31 B33 B35 B37 B39 B41 B43 B47 B51">
    <cfRule type="expression" dxfId="8103" priority="5452">
      <formula>$C31="Delivery charge"</formula>
    </cfRule>
    <cfRule type="expression" dxfId="8102" priority="5453">
      <formula>$C31="Staff Salary"</formula>
    </cfRule>
    <cfRule type="expression" dxfId="8101" priority="5454">
      <formula>$C31="Rent"</formula>
    </cfRule>
    <cfRule type="expression" dxfId="8100" priority="5455">
      <formula>$C31="Petrol"</formula>
    </cfRule>
    <cfRule type="expression" dxfId="8099" priority="5456">
      <formula>$C31="Bills"</formula>
    </cfRule>
    <cfRule type="expression" dxfId="8098" priority="5457">
      <formula>$C31="Sales"</formula>
    </cfRule>
    <cfRule type="expression" dxfId="8097" priority="5458">
      <formula>$C31="Expences"</formula>
    </cfRule>
    <cfRule type="expression" dxfId="8096" priority="5459">
      <formula>$C31="Garlic Purchase"</formula>
    </cfRule>
    <cfRule type="expression" dxfId="8095" priority="5460">
      <formula>$C31="Ginger Purchase"</formula>
    </cfRule>
  </conditionalFormatting>
  <conditionalFormatting sqref="B31 B33 B35 B37 B39 B41 B43 B47 B51">
    <cfRule type="expression" dxfId="8094" priority="5461">
      <formula>$C31="Advance"</formula>
    </cfRule>
  </conditionalFormatting>
  <conditionalFormatting sqref="B31 B33 B35 B37 B39 B41 B43 B47 B51">
    <cfRule type="expression" dxfId="8093" priority="5442">
      <formula>$C31="Delivery charge"</formula>
    </cfRule>
    <cfRule type="expression" dxfId="8092" priority="5443">
      <formula>$C31="Staff Salary"</formula>
    </cfRule>
    <cfRule type="expression" dxfId="8091" priority="5444">
      <formula>$C31="Rent"</formula>
    </cfRule>
    <cfRule type="expression" dxfId="8090" priority="5445">
      <formula>$C31="Petrol"</formula>
    </cfRule>
    <cfRule type="expression" dxfId="8089" priority="5446">
      <formula>$C31="Bills"</formula>
    </cfRule>
    <cfRule type="expression" dxfId="8088" priority="5447">
      <formula>$C31="Sales"</formula>
    </cfRule>
    <cfRule type="expression" dxfId="8087" priority="5448">
      <formula>$C31="Expences"</formula>
    </cfRule>
    <cfRule type="expression" dxfId="8086" priority="5449">
      <formula>$C31="Garlic Purchase"</formula>
    </cfRule>
    <cfRule type="expression" dxfId="8085" priority="5450">
      <formula>$C31="Ginger Purchase"</formula>
    </cfRule>
  </conditionalFormatting>
  <conditionalFormatting sqref="B31 B33 B35 B37 B39 B41 B43 B47 B51">
    <cfRule type="expression" dxfId="8084" priority="5451">
      <formula>$C31="Advance"</formula>
    </cfRule>
  </conditionalFormatting>
  <conditionalFormatting sqref="B31 B33 B35 B37 B39 B41 B43 B47 B51">
    <cfRule type="expression" dxfId="8083" priority="5432">
      <formula>$C31="Delivery charge"</formula>
    </cfRule>
    <cfRule type="expression" dxfId="8082" priority="5433">
      <formula>$C31="Staff Salary"</formula>
    </cfRule>
    <cfRule type="expression" dxfId="8081" priority="5434">
      <formula>$C31="Rent"</formula>
    </cfRule>
    <cfRule type="expression" dxfId="8080" priority="5435">
      <formula>$C31="Petrol"</formula>
    </cfRule>
    <cfRule type="expression" dxfId="8079" priority="5436">
      <formula>$C31="Bills"</formula>
    </cfRule>
    <cfRule type="expression" dxfId="8078" priority="5437">
      <formula>$C31="Sales"</formula>
    </cfRule>
    <cfRule type="expression" dxfId="8077" priority="5438">
      <formula>$C31="Expences"</formula>
    </cfRule>
    <cfRule type="expression" dxfId="8076" priority="5439">
      <formula>$C31="Garlic Purchase"</formula>
    </cfRule>
    <cfRule type="expression" dxfId="8075" priority="5440">
      <formula>$C31="Ginger Purchase"</formula>
    </cfRule>
  </conditionalFormatting>
  <conditionalFormatting sqref="B31 B33 B35 B37 B39 B41 B43 B47 B51">
    <cfRule type="expression" dxfId="8074" priority="5441">
      <formula>$C31="Advance"</formula>
    </cfRule>
  </conditionalFormatting>
  <conditionalFormatting sqref="B31 B33 B35 B37 B39 B41 B43 B47 B51">
    <cfRule type="expression" dxfId="8073" priority="5422">
      <formula>$C31="Delivery charge"</formula>
    </cfRule>
    <cfRule type="expression" dxfId="8072" priority="5423">
      <formula>$C31="Staff Salary"</formula>
    </cfRule>
    <cfRule type="expression" dxfId="8071" priority="5424">
      <formula>$C31="Rent"</formula>
    </cfRule>
    <cfRule type="expression" dxfId="8070" priority="5425">
      <formula>$C31="Petrol"</formula>
    </cfRule>
    <cfRule type="expression" dxfId="8069" priority="5426">
      <formula>$C31="Bills"</formula>
    </cfRule>
    <cfRule type="expression" dxfId="8068" priority="5427">
      <formula>$C31="Sales"</formula>
    </cfRule>
    <cfRule type="expression" dxfId="8067" priority="5428">
      <formula>$C31="Expences"</formula>
    </cfRule>
    <cfRule type="expression" dxfId="8066" priority="5429">
      <formula>$C31="Garlic Purchase"</formula>
    </cfRule>
    <cfRule type="expression" dxfId="8065" priority="5430">
      <formula>$C31="Ginger Purchase"</formula>
    </cfRule>
  </conditionalFormatting>
  <conditionalFormatting sqref="B31 B33 B35 B37 B39 B41 B43 B47 B51">
    <cfRule type="expression" dxfId="8064" priority="5431">
      <formula>$C31="Advance"</formula>
    </cfRule>
  </conditionalFormatting>
  <conditionalFormatting sqref="B32 B34 B36 B38 B40 B42">
    <cfRule type="expression" dxfId="8063" priority="5412">
      <formula>$C32="Delivery charge"</formula>
    </cfRule>
    <cfRule type="expression" dxfId="8062" priority="5413">
      <formula>$C32="Staff Salary"</formula>
    </cfRule>
    <cfRule type="expression" dxfId="8061" priority="5414">
      <formula>$C32="Rent"</formula>
    </cfRule>
    <cfRule type="expression" dxfId="8060" priority="5415">
      <formula>$C32="Petrol"</formula>
    </cfRule>
    <cfRule type="expression" dxfId="8059" priority="5416">
      <formula>$C32="Bills"</formula>
    </cfRule>
    <cfRule type="expression" dxfId="8058" priority="5417">
      <formula>$C32="Sales"</formula>
    </cfRule>
    <cfRule type="expression" dxfId="8057" priority="5418">
      <formula>$C32="Expences"</formula>
    </cfRule>
    <cfRule type="expression" dxfId="8056" priority="5419">
      <formula>$C32="Garlic Purchase"</formula>
    </cfRule>
    <cfRule type="expression" dxfId="8055" priority="5420">
      <formula>$C32="Ginger Purchase"</formula>
    </cfRule>
  </conditionalFormatting>
  <conditionalFormatting sqref="B32 B34 B36 B38 B40 B42">
    <cfRule type="expression" dxfId="8054" priority="5421">
      <formula>$C32="Advance"</formula>
    </cfRule>
  </conditionalFormatting>
  <conditionalFormatting sqref="B32 B34 B36 B38 B40 B42">
    <cfRule type="expression" dxfId="8053" priority="5402">
      <formula>$C32="Delivery charge"</formula>
    </cfRule>
    <cfRule type="expression" dxfId="8052" priority="5403">
      <formula>$C32="Staff Salary"</formula>
    </cfRule>
    <cfRule type="expression" dxfId="8051" priority="5404">
      <formula>$C32="Rent"</formula>
    </cfRule>
    <cfRule type="expression" dxfId="8050" priority="5405">
      <formula>$C32="Petrol"</formula>
    </cfRule>
    <cfRule type="expression" dxfId="8049" priority="5406">
      <formula>$C32="Bills"</formula>
    </cfRule>
    <cfRule type="expression" dxfId="8048" priority="5407">
      <formula>$C32="Sales"</formula>
    </cfRule>
    <cfRule type="expression" dxfId="8047" priority="5408">
      <formula>$C32="Expences"</formula>
    </cfRule>
    <cfRule type="expression" dxfId="8046" priority="5409">
      <formula>$C32="Garlic Purchase"</formula>
    </cfRule>
    <cfRule type="expression" dxfId="8045" priority="5410">
      <formula>$C32="Ginger Purchase"</formula>
    </cfRule>
  </conditionalFormatting>
  <conditionalFormatting sqref="B32 B34 B36 B38 B40 B42">
    <cfRule type="expression" dxfId="8044" priority="5411">
      <formula>$C32="Advance"</formula>
    </cfRule>
  </conditionalFormatting>
  <conditionalFormatting sqref="B32 B34 B36 B38 B40 B42">
    <cfRule type="expression" dxfId="8043" priority="5392">
      <formula>$C32="Delivery charge"</formula>
    </cfRule>
    <cfRule type="expression" dxfId="8042" priority="5393">
      <formula>$C32="Staff Salary"</formula>
    </cfRule>
    <cfRule type="expression" dxfId="8041" priority="5394">
      <formula>$C32="Rent"</formula>
    </cfRule>
    <cfRule type="expression" dxfId="8040" priority="5395">
      <formula>$C32="Petrol"</formula>
    </cfRule>
    <cfRule type="expression" dxfId="8039" priority="5396">
      <formula>$C32="Bills"</formula>
    </cfRule>
    <cfRule type="expression" dxfId="8038" priority="5397">
      <formula>$C32="Sales"</formula>
    </cfRule>
    <cfRule type="expression" dxfId="8037" priority="5398">
      <formula>$C32="Expences"</formula>
    </cfRule>
    <cfRule type="expression" dxfId="8036" priority="5399">
      <formula>$C32="Garlic Purchase"</formula>
    </cfRule>
    <cfRule type="expression" dxfId="8035" priority="5400">
      <formula>$C32="Ginger Purchase"</formula>
    </cfRule>
  </conditionalFormatting>
  <conditionalFormatting sqref="B32 B34 B36 B38 B40 B42">
    <cfRule type="expression" dxfId="8034" priority="5401">
      <formula>$C32="Advance"</formula>
    </cfRule>
  </conditionalFormatting>
  <conditionalFormatting sqref="B32 B34 B36 B38 B40 B42">
    <cfRule type="expression" dxfId="8033" priority="5382">
      <formula>$C32="Delivery charge"</formula>
    </cfRule>
    <cfRule type="expression" dxfId="8032" priority="5383">
      <formula>$C32="Staff Salary"</formula>
    </cfRule>
    <cfRule type="expression" dxfId="8031" priority="5384">
      <formula>$C32="Rent"</formula>
    </cfRule>
    <cfRule type="expression" dxfId="8030" priority="5385">
      <formula>$C32="Petrol"</formula>
    </cfRule>
    <cfRule type="expression" dxfId="8029" priority="5386">
      <formula>$C32="Bills"</formula>
    </cfRule>
    <cfRule type="expression" dxfId="8028" priority="5387">
      <formula>$C32="Sales"</formula>
    </cfRule>
    <cfRule type="expression" dxfId="8027" priority="5388">
      <formula>$C32="Expences"</formula>
    </cfRule>
    <cfRule type="expression" dxfId="8026" priority="5389">
      <formula>$C32="Garlic Purchase"</formula>
    </cfRule>
    <cfRule type="expression" dxfId="8025" priority="5390">
      <formula>$C32="Ginger Purchase"</formula>
    </cfRule>
  </conditionalFormatting>
  <conditionalFormatting sqref="B32 B34 B36 B38 B40 B42">
    <cfRule type="expression" dxfId="8024" priority="5391">
      <formula>$C32="Advance"</formula>
    </cfRule>
  </conditionalFormatting>
  <conditionalFormatting sqref="B32 B34 B36 B38 B40 B42">
    <cfRule type="expression" dxfId="8023" priority="5372">
      <formula>$C32="Delivery charge"</formula>
    </cfRule>
    <cfRule type="expression" dxfId="8022" priority="5373">
      <formula>$C32="Staff Salary"</formula>
    </cfRule>
    <cfRule type="expression" dxfId="8021" priority="5374">
      <formula>$C32="Rent"</formula>
    </cfRule>
    <cfRule type="expression" dxfId="8020" priority="5375">
      <formula>$C32="Petrol"</formula>
    </cfRule>
    <cfRule type="expression" dxfId="8019" priority="5376">
      <formula>$C32="Bills"</formula>
    </cfRule>
    <cfRule type="expression" dxfId="8018" priority="5377">
      <formula>$C32="Sales"</formula>
    </cfRule>
    <cfRule type="expression" dxfId="8017" priority="5378">
      <formula>$C32="Expences"</formula>
    </cfRule>
    <cfRule type="expression" dxfId="8016" priority="5379">
      <formula>$C32="Garlic Purchase"</formula>
    </cfRule>
    <cfRule type="expression" dxfId="8015" priority="5380">
      <formula>$C32="Ginger Purchase"</formula>
    </cfRule>
  </conditionalFormatting>
  <conditionalFormatting sqref="B32 B34 B36 B38 B40 B42">
    <cfRule type="expression" dxfId="8014" priority="5381">
      <formula>$C32="Advance"</formula>
    </cfRule>
  </conditionalFormatting>
  <conditionalFormatting sqref="B31 B33 B35 B37 B39 B41 B43 B47 B51">
    <cfRule type="expression" dxfId="8013" priority="5362">
      <formula>$C31="Delivery charge"</formula>
    </cfRule>
    <cfRule type="expression" dxfId="8012" priority="5363">
      <formula>$C31="Staff Salary"</formula>
    </cfRule>
    <cfRule type="expression" dxfId="8011" priority="5364">
      <formula>$C31="Rent"</formula>
    </cfRule>
    <cfRule type="expression" dxfId="8010" priority="5365">
      <formula>$C31="Petrol"</formula>
    </cfRule>
    <cfRule type="expression" dxfId="8009" priority="5366">
      <formula>$C31="Bills"</formula>
    </cfRule>
    <cfRule type="expression" dxfId="8008" priority="5367">
      <formula>$C31="Sales"</formula>
    </cfRule>
    <cfRule type="expression" dxfId="8007" priority="5368">
      <formula>$C31="Expences"</formula>
    </cfRule>
    <cfRule type="expression" dxfId="8006" priority="5369">
      <formula>$C31="Garlic Purchase"</formula>
    </cfRule>
    <cfRule type="expression" dxfId="8005" priority="5370">
      <formula>$C31="Ginger Purchase"</formula>
    </cfRule>
  </conditionalFormatting>
  <conditionalFormatting sqref="B31 B33 B35 B37 B39 B41 B43 B47 B51">
    <cfRule type="expression" dxfId="8004" priority="5371">
      <formula>$C31="Advance"</formula>
    </cfRule>
  </conditionalFormatting>
  <conditionalFormatting sqref="B32 B34 B36 B38 B40 B42">
    <cfRule type="expression" dxfId="8003" priority="5352">
      <formula>$C32="Delivery charge"</formula>
    </cfRule>
    <cfRule type="expression" dxfId="8002" priority="5353">
      <formula>$C32="Staff Salary"</formula>
    </cfRule>
    <cfRule type="expression" dxfId="8001" priority="5354">
      <formula>$C32="Rent"</formula>
    </cfRule>
    <cfRule type="expression" dxfId="8000" priority="5355">
      <formula>$C32="Petrol"</formula>
    </cfRule>
    <cfRule type="expression" dxfId="7999" priority="5356">
      <formula>$C32="Bills"</formula>
    </cfRule>
    <cfRule type="expression" dxfId="7998" priority="5357">
      <formula>$C32="Sales"</formula>
    </cfRule>
    <cfRule type="expression" dxfId="7997" priority="5358">
      <formula>$C32="Expences"</formula>
    </cfRule>
    <cfRule type="expression" dxfId="7996" priority="5359">
      <formula>$C32="Garlic Purchase"</formula>
    </cfRule>
    <cfRule type="expression" dxfId="7995" priority="5360">
      <formula>$C32="Ginger Purchase"</formula>
    </cfRule>
  </conditionalFormatting>
  <conditionalFormatting sqref="B32 B34 B36 B38 B40 B42">
    <cfRule type="expression" dxfId="7994" priority="5361">
      <formula>$C32="Advance"</formula>
    </cfRule>
  </conditionalFormatting>
  <conditionalFormatting sqref="B32 B34 B36 B38 B40 B42">
    <cfRule type="expression" dxfId="7993" priority="5342">
      <formula>$C32="Delivery charge"</formula>
    </cfRule>
    <cfRule type="expression" dxfId="7992" priority="5343">
      <formula>$C32="Staff Salary"</formula>
    </cfRule>
    <cfRule type="expression" dxfId="7991" priority="5344">
      <formula>$C32="Rent"</formula>
    </cfRule>
    <cfRule type="expression" dxfId="7990" priority="5345">
      <formula>$C32="Petrol"</formula>
    </cfRule>
    <cfRule type="expression" dxfId="7989" priority="5346">
      <formula>$C32="Bills"</formula>
    </cfRule>
    <cfRule type="expression" dxfId="7988" priority="5347">
      <formula>$C32="Sales"</formula>
    </cfRule>
    <cfRule type="expression" dxfId="7987" priority="5348">
      <formula>$C32="Expences"</formula>
    </cfRule>
    <cfRule type="expression" dxfId="7986" priority="5349">
      <formula>$C32="Garlic Purchase"</formula>
    </cfRule>
    <cfRule type="expression" dxfId="7985" priority="5350">
      <formula>$C32="Ginger Purchase"</formula>
    </cfRule>
  </conditionalFormatting>
  <conditionalFormatting sqref="B32 B34 B36 B38 B40 B42">
    <cfRule type="expression" dxfId="7984" priority="5351">
      <formula>$C32="Advance"</formula>
    </cfRule>
  </conditionalFormatting>
  <conditionalFormatting sqref="B32 B34 B36 B38 B40 B42">
    <cfRule type="expression" dxfId="7983" priority="5332">
      <formula>$C32="Delivery charge"</formula>
    </cfRule>
    <cfRule type="expression" dxfId="7982" priority="5333">
      <formula>$C32="Staff Salary"</formula>
    </cfRule>
    <cfRule type="expression" dxfId="7981" priority="5334">
      <formula>$C32="Rent"</formula>
    </cfRule>
    <cfRule type="expression" dxfId="7980" priority="5335">
      <formula>$C32="Petrol"</formula>
    </cfRule>
    <cfRule type="expression" dxfId="7979" priority="5336">
      <formula>$C32="Bills"</formula>
    </cfRule>
    <cfRule type="expression" dxfId="7978" priority="5337">
      <formula>$C32="Sales"</formula>
    </cfRule>
    <cfRule type="expression" dxfId="7977" priority="5338">
      <formula>$C32="Expences"</formula>
    </cfRule>
    <cfRule type="expression" dxfId="7976" priority="5339">
      <formula>$C32="Garlic Purchase"</formula>
    </cfRule>
    <cfRule type="expression" dxfId="7975" priority="5340">
      <formula>$C32="Ginger Purchase"</formula>
    </cfRule>
  </conditionalFormatting>
  <conditionalFormatting sqref="B32 B34 B36 B38 B40 B42">
    <cfRule type="expression" dxfId="7974" priority="5341">
      <formula>$C32="Advance"</formula>
    </cfRule>
  </conditionalFormatting>
  <conditionalFormatting sqref="B32 B34 B36 B38 B40 B42">
    <cfRule type="expression" dxfId="7973" priority="5322">
      <formula>$C32="Delivery charge"</formula>
    </cfRule>
    <cfRule type="expression" dxfId="7972" priority="5323">
      <formula>$C32="Staff Salary"</formula>
    </cfRule>
    <cfRule type="expression" dxfId="7971" priority="5324">
      <formula>$C32="Rent"</formula>
    </cfRule>
    <cfRule type="expression" dxfId="7970" priority="5325">
      <formula>$C32="Petrol"</formula>
    </cfRule>
    <cfRule type="expression" dxfId="7969" priority="5326">
      <formula>$C32="Bills"</formula>
    </cfRule>
    <cfRule type="expression" dxfId="7968" priority="5327">
      <formula>$C32="Sales"</formula>
    </cfRule>
    <cfRule type="expression" dxfId="7967" priority="5328">
      <formula>$C32="Expences"</formula>
    </cfRule>
    <cfRule type="expression" dxfId="7966" priority="5329">
      <formula>$C32="Garlic Purchase"</formula>
    </cfRule>
    <cfRule type="expression" dxfId="7965" priority="5330">
      <formula>$C32="Ginger Purchase"</formula>
    </cfRule>
  </conditionalFormatting>
  <conditionalFormatting sqref="B32 B34 B36 B38 B40 B42">
    <cfRule type="expression" dxfId="7964" priority="5331">
      <formula>$C32="Advance"</formula>
    </cfRule>
  </conditionalFormatting>
  <conditionalFormatting sqref="B32 B34 B36 B38 B40 B42">
    <cfRule type="expression" dxfId="7963" priority="5312">
      <formula>$C32="Delivery charge"</formula>
    </cfRule>
    <cfRule type="expression" dxfId="7962" priority="5313">
      <formula>$C32="Staff Salary"</formula>
    </cfRule>
    <cfRule type="expression" dxfId="7961" priority="5314">
      <formula>$C32="Rent"</formula>
    </cfRule>
    <cfRule type="expression" dxfId="7960" priority="5315">
      <formula>$C32="Petrol"</formula>
    </cfRule>
    <cfRule type="expression" dxfId="7959" priority="5316">
      <formula>$C32="Bills"</formula>
    </cfRule>
    <cfRule type="expression" dxfId="7958" priority="5317">
      <formula>$C32="Sales"</formula>
    </cfRule>
    <cfRule type="expression" dxfId="7957" priority="5318">
      <formula>$C32="Expences"</formula>
    </cfRule>
    <cfRule type="expression" dxfId="7956" priority="5319">
      <formula>$C32="Garlic Purchase"</formula>
    </cfRule>
    <cfRule type="expression" dxfId="7955" priority="5320">
      <formula>$C32="Ginger Purchase"</formula>
    </cfRule>
  </conditionalFormatting>
  <conditionalFormatting sqref="B32 B34 B36 B38 B40 B42">
    <cfRule type="expression" dxfId="7954" priority="5321">
      <formula>$C32="Advance"</formula>
    </cfRule>
  </conditionalFormatting>
  <conditionalFormatting sqref="B32 B34 B36 B38 B40 B42">
    <cfRule type="expression" dxfId="7953" priority="5302">
      <formula>$C32="Delivery charge"</formula>
    </cfRule>
    <cfRule type="expression" dxfId="7952" priority="5303">
      <formula>$C32="Staff Salary"</formula>
    </cfRule>
    <cfRule type="expression" dxfId="7951" priority="5304">
      <formula>$C32="Rent"</formula>
    </cfRule>
    <cfRule type="expression" dxfId="7950" priority="5305">
      <formula>$C32="Petrol"</formula>
    </cfRule>
    <cfRule type="expression" dxfId="7949" priority="5306">
      <formula>$C32="Bills"</formula>
    </cfRule>
    <cfRule type="expression" dxfId="7948" priority="5307">
      <formula>$C32="Sales"</formula>
    </cfRule>
    <cfRule type="expression" dxfId="7947" priority="5308">
      <formula>$C32="Expences"</formula>
    </cfRule>
    <cfRule type="expression" dxfId="7946" priority="5309">
      <formula>$C32="Garlic Purchase"</formula>
    </cfRule>
    <cfRule type="expression" dxfId="7945" priority="5310">
      <formula>$C32="Ginger Purchase"</formula>
    </cfRule>
  </conditionalFormatting>
  <conditionalFormatting sqref="B32 B34 B36 B38 B40 B42">
    <cfRule type="expression" dxfId="7944" priority="5311">
      <formula>$C32="Advance"</formula>
    </cfRule>
  </conditionalFormatting>
  <conditionalFormatting sqref="B32 B34 B36 B38 B40 B42">
    <cfRule type="expression" dxfId="7943" priority="5292">
      <formula>$C32="Delivery charge"</formula>
    </cfRule>
    <cfRule type="expression" dxfId="7942" priority="5293">
      <formula>$C32="Staff Salary"</formula>
    </cfRule>
    <cfRule type="expression" dxfId="7941" priority="5294">
      <formula>$C32="Rent"</formula>
    </cfRule>
    <cfRule type="expression" dxfId="7940" priority="5295">
      <formula>$C32="Petrol"</formula>
    </cfRule>
    <cfRule type="expression" dxfId="7939" priority="5296">
      <formula>$C32="Bills"</formula>
    </cfRule>
    <cfRule type="expression" dxfId="7938" priority="5297">
      <formula>$C32="Sales"</formula>
    </cfRule>
    <cfRule type="expression" dxfId="7937" priority="5298">
      <formula>$C32="Expences"</formula>
    </cfRule>
    <cfRule type="expression" dxfId="7936" priority="5299">
      <formula>$C32="Garlic Purchase"</formula>
    </cfRule>
    <cfRule type="expression" dxfId="7935" priority="5300">
      <formula>$C32="Ginger Purchase"</formula>
    </cfRule>
  </conditionalFormatting>
  <conditionalFormatting sqref="B32 B34 B36 B38 B40 B42">
    <cfRule type="expression" dxfId="7934" priority="5301">
      <formula>$C32="Advance"</formula>
    </cfRule>
  </conditionalFormatting>
  <conditionalFormatting sqref="B32 B34 B36 B38 B40 B42">
    <cfRule type="expression" dxfId="7933" priority="5282">
      <formula>$C32="Delivery charge"</formula>
    </cfRule>
    <cfRule type="expression" dxfId="7932" priority="5283">
      <formula>$C32="Staff Salary"</formula>
    </cfRule>
    <cfRule type="expression" dxfId="7931" priority="5284">
      <formula>$C32="Rent"</formula>
    </cfRule>
    <cfRule type="expression" dxfId="7930" priority="5285">
      <formula>$C32="Petrol"</formula>
    </cfRule>
    <cfRule type="expression" dxfId="7929" priority="5286">
      <formula>$C32="Bills"</formula>
    </cfRule>
    <cfRule type="expression" dxfId="7928" priority="5287">
      <formula>$C32="Sales"</formula>
    </cfRule>
    <cfRule type="expression" dxfId="7927" priority="5288">
      <formula>$C32="Expences"</formula>
    </cfRule>
    <cfRule type="expression" dxfId="7926" priority="5289">
      <formula>$C32="Garlic Purchase"</formula>
    </cfRule>
    <cfRule type="expression" dxfId="7925" priority="5290">
      <formula>$C32="Ginger Purchase"</formula>
    </cfRule>
  </conditionalFormatting>
  <conditionalFormatting sqref="B32 B34 B36 B38 B40 B42">
    <cfRule type="expression" dxfId="7924" priority="5291">
      <formula>$C32="Advance"</formula>
    </cfRule>
  </conditionalFormatting>
  <conditionalFormatting sqref="B32 B34 B36 B38 B40 B42">
    <cfRule type="expression" dxfId="7923" priority="5272">
      <formula>$C32="Delivery charge"</formula>
    </cfRule>
    <cfRule type="expression" dxfId="7922" priority="5273">
      <formula>$C32="Staff Salary"</formula>
    </cfRule>
    <cfRule type="expression" dxfId="7921" priority="5274">
      <formula>$C32="Rent"</formula>
    </cfRule>
    <cfRule type="expression" dxfId="7920" priority="5275">
      <formula>$C32="Petrol"</formula>
    </cfRule>
    <cfRule type="expression" dxfId="7919" priority="5276">
      <formula>$C32="Bills"</formula>
    </cfRule>
    <cfRule type="expression" dxfId="7918" priority="5277">
      <formula>$C32="Sales"</formula>
    </cfRule>
    <cfRule type="expression" dxfId="7917" priority="5278">
      <formula>$C32="Expences"</formula>
    </cfRule>
    <cfRule type="expression" dxfId="7916" priority="5279">
      <formula>$C32="Garlic Purchase"</formula>
    </cfRule>
    <cfRule type="expression" dxfId="7915" priority="5280">
      <formula>$C32="Ginger Purchase"</formula>
    </cfRule>
  </conditionalFormatting>
  <conditionalFormatting sqref="B32 B34 B36 B38 B40 B42">
    <cfRule type="expression" dxfId="7914" priority="5281">
      <formula>$C32="Advance"</formula>
    </cfRule>
  </conditionalFormatting>
  <conditionalFormatting sqref="A33:A43">
    <cfRule type="expression" dxfId="7913" priority="5271">
      <formula>$C33="Advance"</formula>
    </cfRule>
  </conditionalFormatting>
  <conditionalFormatting sqref="B44 B46 B48 B52 B50 B54 B56 B60 B58 B62">
    <cfRule type="expression" dxfId="7912" priority="5261">
      <formula>$C44="Delivery charge"</formula>
    </cfRule>
    <cfRule type="expression" dxfId="7911" priority="5262">
      <formula>$C44="Staff Salary"</formula>
    </cfRule>
    <cfRule type="expression" dxfId="7910" priority="5263">
      <formula>$C44="Rent"</formula>
    </cfRule>
    <cfRule type="expression" dxfId="7909" priority="5264">
      <formula>$C44="Petrol"</formula>
    </cfRule>
    <cfRule type="expression" dxfId="7908" priority="5265">
      <formula>$C44="Bills"</formula>
    </cfRule>
    <cfRule type="expression" dxfId="7907" priority="5266">
      <formula>$C44="Sales"</formula>
    </cfRule>
    <cfRule type="expression" dxfId="7906" priority="5267">
      <formula>$C44="Expences"</formula>
    </cfRule>
    <cfRule type="expression" dxfId="7905" priority="5268">
      <formula>$C44="Garlic Purchase"</formula>
    </cfRule>
    <cfRule type="expression" dxfId="7904" priority="5269">
      <formula>$C44="Ginger Purchase"</formula>
    </cfRule>
  </conditionalFormatting>
  <conditionalFormatting sqref="B44 B46 B48 B52 B50 B54 B56 B60 B58 B62">
    <cfRule type="expression" dxfId="7903" priority="5270">
      <formula>$C44="Advance"</formula>
    </cfRule>
  </conditionalFormatting>
  <conditionalFormatting sqref="B44 B46 B48 B52 B50 B54 B56 B60 B58 B62">
    <cfRule type="expression" dxfId="7902" priority="5251">
      <formula>$C44="Delivery charge"</formula>
    </cfRule>
    <cfRule type="expression" dxfId="7901" priority="5252">
      <formula>$C44="Staff Salary"</formula>
    </cfRule>
    <cfRule type="expression" dxfId="7900" priority="5253">
      <formula>$C44="Rent"</formula>
    </cfRule>
    <cfRule type="expression" dxfId="7899" priority="5254">
      <formula>$C44="Petrol"</formula>
    </cfRule>
    <cfRule type="expression" dxfId="7898" priority="5255">
      <formula>$C44="Bills"</formula>
    </cfRule>
    <cfRule type="expression" dxfId="7897" priority="5256">
      <formula>$C44="Sales"</formula>
    </cfRule>
    <cfRule type="expression" dxfId="7896" priority="5257">
      <formula>$C44="Expences"</formula>
    </cfRule>
    <cfRule type="expression" dxfId="7895" priority="5258">
      <formula>$C44="Garlic Purchase"</formula>
    </cfRule>
    <cfRule type="expression" dxfId="7894" priority="5259">
      <formula>$C44="Ginger Purchase"</formula>
    </cfRule>
  </conditionalFormatting>
  <conditionalFormatting sqref="B44 B46 B48 B52 B50 B54 B56 B60 B58 B62">
    <cfRule type="expression" dxfId="7893" priority="5260">
      <formula>$C44="Advance"</formula>
    </cfRule>
  </conditionalFormatting>
  <conditionalFormatting sqref="B44 B46 B48 B52 B50 B54 B56 B60 B58 B62">
    <cfRule type="expression" dxfId="7892" priority="5241">
      <formula>$C44="Delivery charge"</formula>
    </cfRule>
    <cfRule type="expression" dxfId="7891" priority="5242">
      <formula>$C44="Staff Salary"</formula>
    </cfRule>
    <cfRule type="expression" dxfId="7890" priority="5243">
      <formula>$C44="Rent"</formula>
    </cfRule>
    <cfRule type="expression" dxfId="7889" priority="5244">
      <formula>$C44="Petrol"</formula>
    </cfRule>
    <cfRule type="expression" dxfId="7888" priority="5245">
      <formula>$C44="Bills"</formula>
    </cfRule>
    <cfRule type="expression" dxfId="7887" priority="5246">
      <formula>$C44="Sales"</formula>
    </cfRule>
    <cfRule type="expression" dxfId="7886" priority="5247">
      <formula>$C44="Expences"</formula>
    </cfRule>
    <cfRule type="expression" dxfId="7885" priority="5248">
      <formula>$C44="Garlic Purchase"</formula>
    </cfRule>
    <cfRule type="expression" dxfId="7884" priority="5249">
      <formula>$C44="Ginger Purchase"</formula>
    </cfRule>
  </conditionalFormatting>
  <conditionalFormatting sqref="B44 B46 B48 B52 B50 B54 B56 B60 B58 B62">
    <cfRule type="expression" dxfId="7883" priority="5250">
      <formula>$C44="Advance"</formula>
    </cfRule>
  </conditionalFormatting>
  <conditionalFormatting sqref="B44 B46 B48 B52 B50 B54 B56 B60 B58 B62">
    <cfRule type="expression" dxfId="7882" priority="5231">
      <formula>$C44="Delivery charge"</formula>
    </cfRule>
    <cfRule type="expression" dxfId="7881" priority="5232">
      <formula>$C44="Staff Salary"</formula>
    </cfRule>
    <cfRule type="expression" dxfId="7880" priority="5233">
      <formula>$C44="Rent"</formula>
    </cfRule>
    <cfRule type="expression" dxfId="7879" priority="5234">
      <formula>$C44="Petrol"</formula>
    </cfRule>
    <cfRule type="expression" dxfId="7878" priority="5235">
      <formula>$C44="Bills"</formula>
    </cfRule>
    <cfRule type="expression" dxfId="7877" priority="5236">
      <formula>$C44="Sales"</formula>
    </cfRule>
    <cfRule type="expression" dxfId="7876" priority="5237">
      <formula>$C44="Expences"</formula>
    </cfRule>
    <cfRule type="expression" dxfId="7875" priority="5238">
      <formula>$C44="Garlic Purchase"</formula>
    </cfRule>
    <cfRule type="expression" dxfId="7874" priority="5239">
      <formula>$C44="Ginger Purchase"</formula>
    </cfRule>
  </conditionalFormatting>
  <conditionalFormatting sqref="B44 B46 B48 B52 B50 B54 B56 B60 B58 B62">
    <cfRule type="expression" dxfId="7873" priority="5240">
      <formula>$C44="Advance"</formula>
    </cfRule>
  </conditionalFormatting>
  <conditionalFormatting sqref="B44 B46 B48 B52 B50 B54 B56 B60 B58 B62">
    <cfRule type="expression" dxfId="7872" priority="5230">
      <formula>$C44="Advance"</formula>
    </cfRule>
  </conditionalFormatting>
  <conditionalFormatting sqref="B44 B46 B48 B52 B50 B54 B56 B60 B58 B62">
    <cfRule type="expression" dxfId="7871" priority="5221">
      <formula>$C44="Delivery charge"</formula>
    </cfRule>
    <cfRule type="expression" dxfId="7870" priority="5222">
      <formula>$C44="Staff Salary"</formula>
    </cfRule>
    <cfRule type="expression" dxfId="7869" priority="5223">
      <formula>$C44="Rent"</formula>
    </cfRule>
    <cfRule type="expression" dxfId="7868" priority="5224">
      <formula>$C44="Petrol"</formula>
    </cfRule>
    <cfRule type="expression" dxfId="7867" priority="5225">
      <formula>$C44="Bills"</formula>
    </cfRule>
    <cfRule type="expression" dxfId="7866" priority="5226">
      <formula>$C44="Sales"</formula>
    </cfRule>
    <cfRule type="expression" dxfId="7865" priority="5227">
      <formula>$C44="Expences"</formula>
    </cfRule>
    <cfRule type="expression" dxfId="7864" priority="5228">
      <formula>$C44="Garlic Purchase"</formula>
    </cfRule>
    <cfRule type="expression" dxfId="7863" priority="5229">
      <formula>$C44="Ginger Purchase"</formula>
    </cfRule>
  </conditionalFormatting>
  <conditionalFormatting sqref="B44 B46 B48 B52 B50 B54 B56 B60 B58 B62">
    <cfRule type="expression" dxfId="7862" priority="5211">
      <formula>$C44="Delivery charge"</formula>
    </cfRule>
    <cfRule type="expression" dxfId="7861" priority="5212">
      <formula>$C44="Staff Salary"</formula>
    </cfRule>
    <cfRule type="expression" dxfId="7860" priority="5213">
      <formula>$C44="Rent"</formula>
    </cfRule>
    <cfRule type="expression" dxfId="7859" priority="5214">
      <formula>$C44="Petrol"</formula>
    </cfRule>
    <cfRule type="expression" dxfId="7858" priority="5215">
      <formula>$C44="Bills"</formula>
    </cfRule>
    <cfRule type="expression" dxfId="7857" priority="5216">
      <formula>$C44="Sales"</formula>
    </cfRule>
    <cfRule type="expression" dxfId="7856" priority="5217">
      <formula>$C44="Expences"</formula>
    </cfRule>
    <cfRule type="expression" dxfId="7855" priority="5218">
      <formula>$C44="Garlic Purchase"</formula>
    </cfRule>
    <cfRule type="expression" dxfId="7854" priority="5219">
      <formula>$C44="Ginger Purchase"</formula>
    </cfRule>
  </conditionalFormatting>
  <conditionalFormatting sqref="B44 B46 B48 B52 B50 B54 B56 B60 B58 B62">
    <cfRule type="expression" dxfId="7853" priority="5220">
      <formula>$C44="Advance"</formula>
    </cfRule>
  </conditionalFormatting>
  <conditionalFormatting sqref="B44 B46 B48 B52 B50 B54 B56 B60 B58 B62">
    <cfRule type="expression" dxfId="7852" priority="5201">
      <formula>$C44="Delivery charge"</formula>
    </cfRule>
    <cfRule type="expression" dxfId="7851" priority="5202">
      <formula>$C44="Staff Salary"</formula>
    </cfRule>
    <cfRule type="expression" dxfId="7850" priority="5203">
      <formula>$C44="Rent"</formula>
    </cfRule>
    <cfRule type="expression" dxfId="7849" priority="5204">
      <formula>$C44="Petrol"</formula>
    </cfRule>
    <cfRule type="expression" dxfId="7848" priority="5205">
      <formula>$C44="Bills"</formula>
    </cfRule>
    <cfRule type="expression" dxfId="7847" priority="5206">
      <formula>$C44="Sales"</formula>
    </cfRule>
    <cfRule type="expression" dxfId="7846" priority="5207">
      <formula>$C44="Expences"</formula>
    </cfRule>
    <cfRule type="expression" dxfId="7845" priority="5208">
      <formula>$C44="Garlic Purchase"</formula>
    </cfRule>
    <cfRule type="expression" dxfId="7844" priority="5209">
      <formula>$C44="Ginger Purchase"</formula>
    </cfRule>
  </conditionalFormatting>
  <conditionalFormatting sqref="B44 B46 B48 B52 B50 B54 B56 B60 B58 B62">
    <cfRule type="expression" dxfId="7843" priority="5210">
      <formula>$C44="Advance"</formula>
    </cfRule>
  </conditionalFormatting>
  <conditionalFormatting sqref="B44 B46 B48 B52 B50 B54 B56 B60 B58 B62">
    <cfRule type="expression" dxfId="7842" priority="5191">
      <formula>$C44="Delivery charge"</formula>
    </cfRule>
    <cfRule type="expression" dxfId="7841" priority="5192">
      <formula>$C44="Staff Salary"</formula>
    </cfRule>
    <cfRule type="expression" dxfId="7840" priority="5193">
      <formula>$C44="Rent"</formula>
    </cfRule>
    <cfRule type="expression" dxfId="7839" priority="5194">
      <formula>$C44="Petrol"</formula>
    </cfRule>
    <cfRule type="expression" dxfId="7838" priority="5195">
      <formula>$C44="Bills"</formula>
    </cfRule>
    <cfRule type="expression" dxfId="7837" priority="5196">
      <formula>$C44="Sales"</formula>
    </cfRule>
    <cfRule type="expression" dxfId="7836" priority="5197">
      <formula>$C44="Expences"</formula>
    </cfRule>
    <cfRule type="expression" dxfId="7835" priority="5198">
      <formula>$C44="Garlic Purchase"</formula>
    </cfRule>
    <cfRule type="expression" dxfId="7834" priority="5199">
      <formula>$C44="Ginger Purchase"</formula>
    </cfRule>
  </conditionalFormatting>
  <conditionalFormatting sqref="B44 B46 B48 B52 B50 B54 B56 B60 B58 B62">
    <cfRule type="expression" dxfId="7833" priority="5200">
      <formula>$C44="Advance"</formula>
    </cfRule>
  </conditionalFormatting>
  <conditionalFormatting sqref="B44 B46 B48 B52 B50 B54 B56 B60 B58 B62">
    <cfRule type="expression" dxfId="7832" priority="5181">
      <formula>$C44="Delivery charge"</formula>
    </cfRule>
    <cfRule type="expression" dxfId="7831" priority="5182">
      <formula>$C44="Staff Salary"</formula>
    </cfRule>
    <cfRule type="expression" dxfId="7830" priority="5183">
      <formula>$C44="Rent"</formula>
    </cfRule>
    <cfRule type="expression" dxfId="7829" priority="5184">
      <formula>$C44="Petrol"</formula>
    </cfRule>
    <cfRule type="expression" dxfId="7828" priority="5185">
      <formula>$C44="Bills"</formula>
    </cfRule>
    <cfRule type="expression" dxfId="7827" priority="5186">
      <formula>$C44="Sales"</formula>
    </cfRule>
    <cfRule type="expression" dxfId="7826" priority="5187">
      <formula>$C44="Expences"</formula>
    </cfRule>
    <cfRule type="expression" dxfId="7825" priority="5188">
      <formula>$C44="Garlic Purchase"</formula>
    </cfRule>
    <cfRule type="expression" dxfId="7824" priority="5189">
      <formula>$C44="Ginger Purchase"</formula>
    </cfRule>
  </conditionalFormatting>
  <conditionalFormatting sqref="B44 B46 B48 B52 B50 B54 B56 B60 B58 B62">
    <cfRule type="expression" dxfId="7823" priority="5190">
      <formula>$C44="Advance"</formula>
    </cfRule>
  </conditionalFormatting>
  <conditionalFormatting sqref="B44 B46 B48 B52 B50 B54 B56 B60 B58 B62">
    <cfRule type="expression" dxfId="7822" priority="5171">
      <formula>$C44="Delivery charge"</formula>
    </cfRule>
    <cfRule type="expression" dxfId="7821" priority="5172">
      <formula>$C44="Staff Salary"</formula>
    </cfRule>
    <cfRule type="expression" dxfId="7820" priority="5173">
      <formula>$C44="Rent"</formula>
    </cfRule>
    <cfRule type="expression" dxfId="7819" priority="5174">
      <formula>$C44="Petrol"</formula>
    </cfRule>
    <cfRule type="expression" dxfId="7818" priority="5175">
      <formula>$C44="Bills"</formula>
    </cfRule>
    <cfRule type="expression" dxfId="7817" priority="5176">
      <formula>$C44="Sales"</formula>
    </cfRule>
    <cfRule type="expression" dxfId="7816" priority="5177">
      <formula>$C44="Expences"</formula>
    </cfRule>
    <cfRule type="expression" dxfId="7815" priority="5178">
      <formula>$C44="Garlic Purchase"</formula>
    </cfRule>
    <cfRule type="expression" dxfId="7814" priority="5179">
      <formula>$C44="Ginger Purchase"</formula>
    </cfRule>
  </conditionalFormatting>
  <conditionalFormatting sqref="B44 B46 B48 B52 B50 B54 B56 B60 B58 B62">
    <cfRule type="expression" dxfId="7813" priority="5180">
      <formula>$C44="Advance"</formula>
    </cfRule>
  </conditionalFormatting>
  <conditionalFormatting sqref="B44 B46 B48 B52 B50 B54 B56 B60 B58 B62">
    <cfRule type="expression" dxfId="7812" priority="5161">
      <formula>$C44="Delivery charge"</formula>
    </cfRule>
    <cfRule type="expression" dxfId="7811" priority="5162">
      <formula>$C44="Staff Salary"</formula>
    </cfRule>
    <cfRule type="expression" dxfId="7810" priority="5163">
      <formula>$C44="Rent"</formula>
    </cfRule>
    <cfRule type="expression" dxfId="7809" priority="5164">
      <formula>$C44="Petrol"</formula>
    </cfRule>
    <cfRule type="expression" dxfId="7808" priority="5165">
      <formula>$C44="Bills"</formula>
    </cfRule>
    <cfRule type="expression" dxfId="7807" priority="5166">
      <formula>$C44="Sales"</formula>
    </cfRule>
    <cfRule type="expression" dxfId="7806" priority="5167">
      <formula>$C44="Expences"</formula>
    </cfRule>
    <cfRule type="expression" dxfId="7805" priority="5168">
      <formula>$C44="Garlic Purchase"</formula>
    </cfRule>
    <cfRule type="expression" dxfId="7804" priority="5169">
      <formula>$C44="Ginger Purchase"</formula>
    </cfRule>
  </conditionalFormatting>
  <conditionalFormatting sqref="B44 B46 B48 B52 B50 B54 B56 B60 B58 B62">
    <cfRule type="expression" dxfId="7803" priority="5170">
      <formula>$C44="Advance"</formula>
    </cfRule>
  </conditionalFormatting>
  <conditionalFormatting sqref="B44 B46 B48 B52 B50 B54 B56 B60 B58 B62">
    <cfRule type="expression" dxfId="7802" priority="5151">
      <formula>$C44="Delivery charge"</formula>
    </cfRule>
    <cfRule type="expression" dxfId="7801" priority="5152">
      <formula>$C44="Staff Salary"</formula>
    </cfRule>
    <cfRule type="expression" dxfId="7800" priority="5153">
      <formula>$C44="Rent"</formula>
    </cfRule>
    <cfRule type="expression" dxfId="7799" priority="5154">
      <formula>$C44="Petrol"</formula>
    </cfRule>
    <cfRule type="expression" dxfId="7798" priority="5155">
      <formula>$C44="Bills"</formula>
    </cfRule>
    <cfRule type="expression" dxfId="7797" priority="5156">
      <formula>$C44="Sales"</formula>
    </cfRule>
    <cfRule type="expression" dxfId="7796" priority="5157">
      <formula>$C44="Expences"</formula>
    </cfRule>
    <cfRule type="expression" dxfId="7795" priority="5158">
      <formula>$C44="Garlic Purchase"</formula>
    </cfRule>
    <cfRule type="expression" dxfId="7794" priority="5159">
      <formula>$C44="Ginger Purchase"</formula>
    </cfRule>
  </conditionalFormatting>
  <conditionalFormatting sqref="B44 B46 B48 B52 B50 B54 B56 B60 B58 B62">
    <cfRule type="expression" dxfId="7793" priority="5160">
      <formula>$C44="Advance"</formula>
    </cfRule>
  </conditionalFormatting>
  <conditionalFormatting sqref="B44 B46 B48 B52 B50 B54 B56 B60 B58 B62">
    <cfRule type="expression" dxfId="7792" priority="5141">
      <formula>$C44="Delivery charge"</formula>
    </cfRule>
    <cfRule type="expression" dxfId="7791" priority="5142">
      <formula>$C44="Staff Salary"</formula>
    </cfRule>
    <cfRule type="expression" dxfId="7790" priority="5143">
      <formula>$C44="Rent"</formula>
    </cfRule>
    <cfRule type="expression" dxfId="7789" priority="5144">
      <formula>$C44="Petrol"</formula>
    </cfRule>
    <cfRule type="expression" dxfId="7788" priority="5145">
      <formula>$C44="Bills"</formula>
    </cfRule>
    <cfRule type="expression" dxfId="7787" priority="5146">
      <formula>$C44="Sales"</formula>
    </cfRule>
    <cfRule type="expression" dxfId="7786" priority="5147">
      <formula>$C44="Expences"</formula>
    </cfRule>
    <cfRule type="expression" dxfId="7785" priority="5148">
      <formula>$C44="Garlic Purchase"</formula>
    </cfRule>
    <cfRule type="expression" dxfId="7784" priority="5149">
      <formula>$C44="Ginger Purchase"</formula>
    </cfRule>
  </conditionalFormatting>
  <conditionalFormatting sqref="B44 B46 B48 B52 B50 B54 B56 B60 B58 B62">
    <cfRule type="expression" dxfId="7783" priority="5150">
      <formula>$C44="Advance"</formula>
    </cfRule>
  </conditionalFormatting>
  <conditionalFormatting sqref="B44 B46 B48 B52 B50 B54 B56 B60 B58 B62">
    <cfRule type="expression" dxfId="7782" priority="5131">
      <formula>$C44="Delivery charge"</formula>
    </cfRule>
    <cfRule type="expression" dxfId="7781" priority="5132">
      <formula>$C44="Staff Salary"</formula>
    </cfRule>
    <cfRule type="expression" dxfId="7780" priority="5133">
      <formula>$C44="Rent"</formula>
    </cfRule>
    <cfRule type="expression" dxfId="7779" priority="5134">
      <formula>$C44="Petrol"</formula>
    </cfRule>
    <cfRule type="expression" dxfId="7778" priority="5135">
      <formula>$C44="Bills"</formula>
    </cfRule>
    <cfRule type="expression" dxfId="7777" priority="5136">
      <formula>$C44="Sales"</formula>
    </cfRule>
    <cfRule type="expression" dxfId="7776" priority="5137">
      <formula>$C44="Expences"</formula>
    </cfRule>
    <cfRule type="expression" dxfId="7775" priority="5138">
      <formula>$C44="Garlic Purchase"</formula>
    </cfRule>
    <cfRule type="expression" dxfId="7774" priority="5139">
      <formula>$C44="Ginger Purchase"</formula>
    </cfRule>
  </conditionalFormatting>
  <conditionalFormatting sqref="B44 B46 B48 B52 B50 B54 B56 B60 B58 B62">
    <cfRule type="expression" dxfId="7773" priority="5140">
      <formula>$C44="Advance"</formula>
    </cfRule>
  </conditionalFormatting>
  <conditionalFormatting sqref="B44 B46 B48 B52 B50 B54 B56 B60 B58 B62">
    <cfRule type="expression" dxfId="7772" priority="5121">
      <formula>$C44="Delivery charge"</formula>
    </cfRule>
    <cfRule type="expression" dxfId="7771" priority="5122">
      <formula>$C44="Staff Salary"</formula>
    </cfRule>
    <cfRule type="expression" dxfId="7770" priority="5123">
      <formula>$C44="Rent"</formula>
    </cfRule>
    <cfRule type="expression" dxfId="7769" priority="5124">
      <formula>$C44="Petrol"</formula>
    </cfRule>
    <cfRule type="expression" dxfId="7768" priority="5125">
      <formula>$C44="Bills"</formula>
    </cfRule>
    <cfRule type="expression" dxfId="7767" priority="5126">
      <formula>$C44="Sales"</formula>
    </cfRule>
    <cfRule type="expression" dxfId="7766" priority="5127">
      <formula>$C44="Expences"</formula>
    </cfRule>
    <cfRule type="expression" dxfId="7765" priority="5128">
      <formula>$C44="Garlic Purchase"</formula>
    </cfRule>
    <cfRule type="expression" dxfId="7764" priority="5129">
      <formula>$C44="Ginger Purchase"</formula>
    </cfRule>
  </conditionalFormatting>
  <conditionalFormatting sqref="B44 B46 B48 B52 B50 B54 B56 B60 B58 B62">
    <cfRule type="expression" dxfId="7763" priority="5130">
      <formula>$C44="Advance"</formula>
    </cfRule>
  </conditionalFormatting>
  <conditionalFormatting sqref="B44 B46 B48 B52 B50 B54 B56 B60 B58 B62">
    <cfRule type="expression" dxfId="7762" priority="5111">
      <formula>$C44="Delivery charge"</formula>
    </cfRule>
    <cfRule type="expression" dxfId="7761" priority="5112">
      <formula>$C44="Staff Salary"</formula>
    </cfRule>
    <cfRule type="expression" dxfId="7760" priority="5113">
      <formula>$C44="Rent"</formula>
    </cfRule>
    <cfRule type="expression" dxfId="7759" priority="5114">
      <formula>$C44="Petrol"</formula>
    </cfRule>
    <cfRule type="expression" dxfId="7758" priority="5115">
      <formula>$C44="Bills"</formula>
    </cfRule>
    <cfRule type="expression" dxfId="7757" priority="5116">
      <formula>$C44="Sales"</formula>
    </cfRule>
    <cfRule type="expression" dxfId="7756" priority="5117">
      <formula>$C44="Expences"</formula>
    </cfRule>
    <cfRule type="expression" dxfId="7755" priority="5118">
      <formula>$C44="Garlic Purchase"</formula>
    </cfRule>
    <cfRule type="expression" dxfId="7754" priority="5119">
      <formula>$C44="Ginger Purchase"</formula>
    </cfRule>
  </conditionalFormatting>
  <conditionalFormatting sqref="B44 B46 B48 B52 B50 B54 B56 B60 B58 B62">
    <cfRule type="expression" dxfId="7753" priority="5120">
      <formula>$C44="Advance"</formula>
    </cfRule>
  </conditionalFormatting>
  <conditionalFormatting sqref="B44 B46 B48 B52 B50 B54 B56 B60 B58 B62">
    <cfRule type="expression" dxfId="7752" priority="5101">
      <formula>$C44="Delivery charge"</formula>
    </cfRule>
    <cfRule type="expression" dxfId="7751" priority="5102">
      <formula>$C44="Staff Salary"</formula>
    </cfRule>
    <cfRule type="expression" dxfId="7750" priority="5103">
      <formula>$C44="Rent"</formula>
    </cfRule>
    <cfRule type="expression" dxfId="7749" priority="5104">
      <formula>$C44="Petrol"</formula>
    </cfRule>
    <cfRule type="expression" dxfId="7748" priority="5105">
      <formula>$C44="Bills"</formula>
    </cfRule>
    <cfRule type="expression" dxfId="7747" priority="5106">
      <formula>$C44="Sales"</formula>
    </cfRule>
    <cfRule type="expression" dxfId="7746" priority="5107">
      <formula>$C44="Expences"</formula>
    </cfRule>
    <cfRule type="expression" dxfId="7745" priority="5108">
      <formula>$C44="Garlic Purchase"</formula>
    </cfRule>
    <cfRule type="expression" dxfId="7744" priority="5109">
      <formula>$C44="Ginger Purchase"</formula>
    </cfRule>
  </conditionalFormatting>
  <conditionalFormatting sqref="B44 B46 B48 B52 B50 B54 B56 B60 B58 B62">
    <cfRule type="expression" dxfId="7743" priority="5110">
      <formula>$C44="Advance"</formula>
    </cfRule>
  </conditionalFormatting>
  <conditionalFormatting sqref="B44 B46 B48 B52 B50 B54 B56 B60 B58 B62">
    <cfRule type="expression" dxfId="7742" priority="5091">
      <formula>$C44="Delivery charge"</formula>
    </cfRule>
    <cfRule type="expression" dxfId="7741" priority="5092">
      <formula>$C44="Staff Salary"</formula>
    </cfRule>
    <cfRule type="expression" dxfId="7740" priority="5093">
      <formula>$C44="Rent"</formula>
    </cfRule>
    <cfRule type="expression" dxfId="7739" priority="5094">
      <formula>$C44="Petrol"</formula>
    </cfRule>
    <cfRule type="expression" dxfId="7738" priority="5095">
      <formula>$C44="Bills"</formula>
    </cfRule>
    <cfRule type="expression" dxfId="7737" priority="5096">
      <formula>$C44="Sales"</formula>
    </cfRule>
    <cfRule type="expression" dxfId="7736" priority="5097">
      <formula>$C44="Expences"</formula>
    </cfRule>
    <cfRule type="expression" dxfId="7735" priority="5098">
      <formula>$C44="Garlic Purchase"</formula>
    </cfRule>
    <cfRule type="expression" dxfId="7734" priority="5099">
      <formula>$C44="Ginger Purchase"</formula>
    </cfRule>
  </conditionalFormatting>
  <conditionalFormatting sqref="B44 B46 B48 B52 B50 B54 B56 B60 B58 B62">
    <cfRule type="expression" dxfId="7733" priority="5100">
      <formula>$C44="Advance"</formula>
    </cfRule>
  </conditionalFormatting>
  <conditionalFormatting sqref="B44 B46 B48 B52 B50 B54 B56 B60 B58 B62">
    <cfRule type="expression" dxfId="7732" priority="5081">
      <formula>$C44="Delivery charge"</formula>
    </cfRule>
    <cfRule type="expression" dxfId="7731" priority="5082">
      <formula>$C44="Staff Salary"</formula>
    </cfRule>
    <cfRule type="expression" dxfId="7730" priority="5083">
      <formula>$C44="Rent"</formula>
    </cfRule>
    <cfRule type="expression" dxfId="7729" priority="5084">
      <formula>$C44="Petrol"</formula>
    </cfRule>
    <cfRule type="expression" dxfId="7728" priority="5085">
      <formula>$C44="Bills"</formula>
    </cfRule>
    <cfRule type="expression" dxfId="7727" priority="5086">
      <formula>$C44="Sales"</formula>
    </cfRule>
    <cfRule type="expression" dxfId="7726" priority="5087">
      <formula>$C44="Expences"</formula>
    </cfRule>
    <cfRule type="expression" dxfId="7725" priority="5088">
      <formula>$C44="Garlic Purchase"</formula>
    </cfRule>
    <cfRule type="expression" dxfId="7724" priority="5089">
      <formula>$C44="Ginger Purchase"</formula>
    </cfRule>
  </conditionalFormatting>
  <conditionalFormatting sqref="B44 B46 B48 B52 B50 B54 B56 B60 B58 B62">
    <cfRule type="expression" dxfId="7723" priority="5090">
      <formula>$C44="Advance"</formula>
    </cfRule>
  </conditionalFormatting>
  <conditionalFormatting sqref="B44 B46 B48 B52 B50 B54 B56 B60 B58 B62">
    <cfRule type="expression" dxfId="7722" priority="5080">
      <formula>$C44="Advance"</formula>
    </cfRule>
  </conditionalFormatting>
  <conditionalFormatting sqref="B44 B46 B48 B52 B50 B54 B56 B60 B58 B62">
    <cfRule type="expression" dxfId="7721" priority="5071">
      <formula>$C44="Delivery charge"</formula>
    </cfRule>
    <cfRule type="expression" dxfId="7720" priority="5072">
      <formula>$C44="Staff Salary"</formula>
    </cfRule>
    <cfRule type="expression" dxfId="7719" priority="5073">
      <formula>$C44="Rent"</formula>
    </cfRule>
    <cfRule type="expression" dxfId="7718" priority="5074">
      <formula>$C44="Petrol"</formula>
    </cfRule>
    <cfRule type="expression" dxfId="7717" priority="5075">
      <formula>$C44="Bills"</formula>
    </cfRule>
    <cfRule type="expression" dxfId="7716" priority="5076">
      <formula>$C44="Sales"</formula>
    </cfRule>
    <cfRule type="expression" dxfId="7715" priority="5077">
      <formula>$C44="Expences"</formula>
    </cfRule>
    <cfRule type="expression" dxfId="7714" priority="5078">
      <formula>$C44="Garlic Purchase"</formula>
    </cfRule>
    <cfRule type="expression" dxfId="7713" priority="5079">
      <formula>$C44="Ginger Purchase"</formula>
    </cfRule>
  </conditionalFormatting>
  <conditionalFormatting sqref="B43 B47 B51">
    <cfRule type="expression" dxfId="7712" priority="5061">
      <formula>$C43="Delivery charge"</formula>
    </cfRule>
    <cfRule type="expression" dxfId="7711" priority="5062">
      <formula>$C43="Staff Salary"</formula>
    </cfRule>
    <cfRule type="expression" dxfId="7710" priority="5063">
      <formula>$C43="Rent"</formula>
    </cfRule>
    <cfRule type="expression" dxfId="7709" priority="5064">
      <formula>$C43="Petrol"</formula>
    </cfRule>
    <cfRule type="expression" dxfId="7708" priority="5065">
      <formula>$C43="Bills"</formula>
    </cfRule>
    <cfRule type="expression" dxfId="7707" priority="5066">
      <formula>$C43="Sales"</formula>
    </cfRule>
    <cfRule type="expression" dxfId="7706" priority="5067">
      <formula>$C43="Expences"</formula>
    </cfRule>
    <cfRule type="expression" dxfId="7705" priority="5068">
      <formula>$C43="Garlic Purchase"</formula>
    </cfRule>
    <cfRule type="expression" dxfId="7704" priority="5069">
      <formula>$C43="Ginger Purchase"</formula>
    </cfRule>
  </conditionalFormatting>
  <conditionalFormatting sqref="B43 B47 B51">
    <cfRule type="expression" dxfId="7703" priority="5070">
      <formula>$C43="Advance"</formula>
    </cfRule>
  </conditionalFormatting>
  <conditionalFormatting sqref="B43 B47 B51">
    <cfRule type="expression" dxfId="7702" priority="5051">
      <formula>$C43="Delivery charge"</formula>
    </cfRule>
    <cfRule type="expression" dxfId="7701" priority="5052">
      <formula>$C43="Staff Salary"</formula>
    </cfRule>
    <cfRule type="expression" dxfId="7700" priority="5053">
      <formula>$C43="Rent"</formula>
    </cfRule>
    <cfRule type="expression" dxfId="7699" priority="5054">
      <formula>$C43="Petrol"</formula>
    </cfRule>
    <cfRule type="expression" dxfId="7698" priority="5055">
      <formula>$C43="Bills"</formula>
    </cfRule>
    <cfRule type="expression" dxfId="7697" priority="5056">
      <formula>$C43="Sales"</formula>
    </cfRule>
    <cfRule type="expression" dxfId="7696" priority="5057">
      <formula>$C43="Expences"</formula>
    </cfRule>
    <cfRule type="expression" dxfId="7695" priority="5058">
      <formula>$C43="Garlic Purchase"</formula>
    </cfRule>
    <cfRule type="expression" dxfId="7694" priority="5059">
      <formula>$C43="Ginger Purchase"</formula>
    </cfRule>
  </conditionalFormatting>
  <conditionalFormatting sqref="B43 B47 B51">
    <cfRule type="expression" dxfId="7693" priority="5060">
      <formula>$C43="Advance"</formula>
    </cfRule>
  </conditionalFormatting>
  <conditionalFormatting sqref="B43 B47 B51">
    <cfRule type="expression" dxfId="7692" priority="5041">
      <formula>$C43="Delivery charge"</formula>
    </cfRule>
    <cfRule type="expression" dxfId="7691" priority="5042">
      <formula>$C43="Staff Salary"</formula>
    </cfRule>
    <cfRule type="expression" dxfId="7690" priority="5043">
      <formula>$C43="Rent"</formula>
    </cfRule>
    <cfRule type="expression" dxfId="7689" priority="5044">
      <formula>$C43="Petrol"</formula>
    </cfRule>
    <cfRule type="expression" dxfId="7688" priority="5045">
      <formula>$C43="Bills"</formula>
    </cfRule>
    <cfRule type="expression" dxfId="7687" priority="5046">
      <formula>$C43="Sales"</formula>
    </cfRule>
    <cfRule type="expression" dxfId="7686" priority="5047">
      <formula>$C43="Expences"</formula>
    </cfRule>
    <cfRule type="expression" dxfId="7685" priority="5048">
      <formula>$C43="Garlic Purchase"</formula>
    </cfRule>
    <cfRule type="expression" dxfId="7684" priority="5049">
      <formula>$C43="Ginger Purchase"</formula>
    </cfRule>
  </conditionalFormatting>
  <conditionalFormatting sqref="B43 B47 B51">
    <cfRule type="expression" dxfId="7683" priority="5050">
      <formula>$C43="Advance"</formula>
    </cfRule>
  </conditionalFormatting>
  <conditionalFormatting sqref="B43 B47 B51">
    <cfRule type="expression" dxfId="7682" priority="5031">
      <formula>$C43="Delivery charge"</formula>
    </cfRule>
    <cfRule type="expression" dxfId="7681" priority="5032">
      <formula>$C43="Staff Salary"</formula>
    </cfRule>
    <cfRule type="expression" dxfId="7680" priority="5033">
      <formula>$C43="Rent"</formula>
    </cfRule>
    <cfRule type="expression" dxfId="7679" priority="5034">
      <formula>$C43="Petrol"</formula>
    </cfRule>
    <cfRule type="expression" dxfId="7678" priority="5035">
      <formula>$C43="Bills"</formula>
    </cfRule>
    <cfRule type="expression" dxfId="7677" priority="5036">
      <formula>$C43="Sales"</formula>
    </cfRule>
    <cfRule type="expression" dxfId="7676" priority="5037">
      <formula>$C43="Expences"</formula>
    </cfRule>
    <cfRule type="expression" dxfId="7675" priority="5038">
      <formula>$C43="Garlic Purchase"</formula>
    </cfRule>
    <cfRule type="expression" dxfId="7674" priority="5039">
      <formula>$C43="Ginger Purchase"</formula>
    </cfRule>
  </conditionalFormatting>
  <conditionalFormatting sqref="B43 B47 B51">
    <cfRule type="expression" dxfId="7673" priority="5040">
      <formula>$C43="Advance"</formula>
    </cfRule>
  </conditionalFormatting>
  <conditionalFormatting sqref="B43 B47 B51">
    <cfRule type="expression" dxfId="7672" priority="5021">
      <formula>$C43="Delivery charge"</formula>
    </cfRule>
    <cfRule type="expression" dxfId="7671" priority="5022">
      <formula>$C43="Staff Salary"</formula>
    </cfRule>
    <cfRule type="expression" dxfId="7670" priority="5023">
      <formula>$C43="Rent"</formula>
    </cfRule>
    <cfRule type="expression" dxfId="7669" priority="5024">
      <formula>$C43="Petrol"</formula>
    </cfRule>
    <cfRule type="expression" dxfId="7668" priority="5025">
      <formula>$C43="Bills"</formula>
    </cfRule>
    <cfRule type="expression" dxfId="7667" priority="5026">
      <formula>$C43="Sales"</formula>
    </cfRule>
    <cfRule type="expression" dxfId="7666" priority="5027">
      <formula>$C43="Expences"</formula>
    </cfRule>
    <cfRule type="expression" dxfId="7665" priority="5028">
      <formula>$C43="Garlic Purchase"</formula>
    </cfRule>
    <cfRule type="expression" dxfId="7664" priority="5029">
      <formula>$C43="Ginger Purchase"</formula>
    </cfRule>
  </conditionalFormatting>
  <conditionalFormatting sqref="B43 B47 B51">
    <cfRule type="expression" dxfId="7663" priority="5030">
      <formula>$C43="Advance"</formula>
    </cfRule>
  </conditionalFormatting>
  <conditionalFormatting sqref="B43 B47 B51">
    <cfRule type="expression" dxfId="7662" priority="5011">
      <formula>$C43="Delivery charge"</formula>
    </cfRule>
    <cfRule type="expression" dxfId="7661" priority="5012">
      <formula>$C43="Staff Salary"</formula>
    </cfRule>
    <cfRule type="expression" dxfId="7660" priority="5013">
      <formula>$C43="Rent"</formula>
    </cfRule>
    <cfRule type="expression" dxfId="7659" priority="5014">
      <formula>$C43="Petrol"</formula>
    </cfRule>
    <cfRule type="expression" dxfId="7658" priority="5015">
      <formula>$C43="Bills"</formula>
    </cfRule>
    <cfRule type="expression" dxfId="7657" priority="5016">
      <formula>$C43="Sales"</formula>
    </cfRule>
    <cfRule type="expression" dxfId="7656" priority="5017">
      <formula>$C43="Expences"</formula>
    </cfRule>
    <cfRule type="expression" dxfId="7655" priority="5018">
      <formula>$C43="Garlic Purchase"</formula>
    </cfRule>
    <cfRule type="expression" dxfId="7654" priority="5019">
      <formula>$C43="Ginger Purchase"</formula>
    </cfRule>
  </conditionalFormatting>
  <conditionalFormatting sqref="B43 B47 B51">
    <cfRule type="expression" dxfId="7653" priority="5020">
      <formula>$C43="Advance"</formula>
    </cfRule>
  </conditionalFormatting>
  <conditionalFormatting sqref="B43 B47 B51">
    <cfRule type="expression" dxfId="7652" priority="5001">
      <formula>$C43="Delivery charge"</formula>
    </cfRule>
    <cfRule type="expression" dxfId="7651" priority="5002">
      <formula>$C43="Staff Salary"</formula>
    </cfRule>
    <cfRule type="expression" dxfId="7650" priority="5003">
      <formula>$C43="Rent"</formula>
    </cfRule>
    <cfRule type="expression" dxfId="7649" priority="5004">
      <formula>$C43="Petrol"</formula>
    </cfRule>
    <cfRule type="expression" dxfId="7648" priority="5005">
      <formula>$C43="Bills"</formula>
    </cfRule>
    <cfRule type="expression" dxfId="7647" priority="5006">
      <formula>$C43="Sales"</formula>
    </cfRule>
    <cfRule type="expression" dxfId="7646" priority="5007">
      <formula>$C43="Expences"</formula>
    </cfRule>
    <cfRule type="expression" dxfId="7645" priority="5008">
      <formula>$C43="Garlic Purchase"</formula>
    </cfRule>
    <cfRule type="expression" dxfId="7644" priority="5009">
      <formula>$C43="Ginger Purchase"</formula>
    </cfRule>
  </conditionalFormatting>
  <conditionalFormatting sqref="B43 B47 B51">
    <cfRule type="expression" dxfId="7643" priority="5010">
      <formula>$C43="Advance"</formula>
    </cfRule>
  </conditionalFormatting>
  <conditionalFormatting sqref="B43 B47 B51">
    <cfRule type="expression" dxfId="7642" priority="4991">
      <formula>$C43="Delivery charge"</formula>
    </cfRule>
    <cfRule type="expression" dxfId="7641" priority="4992">
      <formula>$C43="Staff Salary"</formula>
    </cfRule>
    <cfRule type="expression" dxfId="7640" priority="4993">
      <formula>$C43="Rent"</formula>
    </cfRule>
    <cfRule type="expression" dxfId="7639" priority="4994">
      <formula>$C43="Petrol"</formula>
    </cfRule>
    <cfRule type="expression" dxfId="7638" priority="4995">
      <formula>$C43="Bills"</formula>
    </cfRule>
    <cfRule type="expression" dxfId="7637" priority="4996">
      <formula>$C43="Sales"</formula>
    </cfRule>
    <cfRule type="expression" dxfId="7636" priority="4997">
      <formula>$C43="Expences"</formula>
    </cfRule>
    <cfRule type="expression" dxfId="7635" priority="4998">
      <formula>$C43="Garlic Purchase"</formula>
    </cfRule>
    <cfRule type="expression" dxfId="7634" priority="4999">
      <formula>$C43="Ginger Purchase"</formula>
    </cfRule>
  </conditionalFormatting>
  <conditionalFormatting sqref="B43 B47 B51">
    <cfRule type="expression" dxfId="7633" priority="5000">
      <formula>$C43="Advance"</formula>
    </cfRule>
  </conditionalFormatting>
  <conditionalFormatting sqref="B43 B47 B51">
    <cfRule type="expression" dxfId="7632" priority="4981">
      <formula>$C43="Delivery charge"</formula>
    </cfRule>
    <cfRule type="expression" dxfId="7631" priority="4982">
      <formula>$C43="Staff Salary"</formula>
    </cfRule>
    <cfRule type="expression" dxfId="7630" priority="4983">
      <formula>$C43="Rent"</formula>
    </cfRule>
    <cfRule type="expression" dxfId="7629" priority="4984">
      <formula>$C43="Petrol"</formula>
    </cfRule>
    <cfRule type="expression" dxfId="7628" priority="4985">
      <formula>$C43="Bills"</formula>
    </cfRule>
    <cfRule type="expression" dxfId="7627" priority="4986">
      <formula>$C43="Sales"</formula>
    </cfRule>
    <cfRule type="expression" dxfId="7626" priority="4987">
      <formula>$C43="Expences"</formula>
    </cfRule>
    <cfRule type="expression" dxfId="7625" priority="4988">
      <formula>$C43="Garlic Purchase"</formula>
    </cfRule>
    <cfRule type="expression" dxfId="7624" priority="4989">
      <formula>$C43="Ginger Purchase"</formula>
    </cfRule>
  </conditionalFormatting>
  <conditionalFormatting sqref="B43 B47 B51">
    <cfRule type="expression" dxfId="7623" priority="4990">
      <formula>$C43="Advance"</formula>
    </cfRule>
  </conditionalFormatting>
  <conditionalFormatting sqref="B43 B47 B51">
    <cfRule type="expression" dxfId="7622" priority="4971">
      <formula>$C43="Delivery charge"</formula>
    </cfRule>
    <cfRule type="expression" dxfId="7621" priority="4972">
      <formula>$C43="Staff Salary"</formula>
    </cfRule>
    <cfRule type="expression" dxfId="7620" priority="4973">
      <formula>$C43="Rent"</formula>
    </cfRule>
    <cfRule type="expression" dxfId="7619" priority="4974">
      <formula>$C43="Petrol"</formula>
    </cfRule>
    <cfRule type="expression" dxfId="7618" priority="4975">
      <formula>$C43="Bills"</formula>
    </cfRule>
    <cfRule type="expression" dxfId="7617" priority="4976">
      <formula>$C43="Sales"</formula>
    </cfRule>
    <cfRule type="expression" dxfId="7616" priority="4977">
      <formula>$C43="Expences"</formula>
    </cfRule>
    <cfRule type="expression" dxfId="7615" priority="4978">
      <formula>$C43="Garlic Purchase"</formula>
    </cfRule>
    <cfRule type="expression" dxfId="7614" priority="4979">
      <formula>$C43="Ginger Purchase"</formula>
    </cfRule>
  </conditionalFormatting>
  <conditionalFormatting sqref="B43 B47 B51">
    <cfRule type="expression" dxfId="7613" priority="4980">
      <formula>$C43="Advance"</formula>
    </cfRule>
  </conditionalFormatting>
  <conditionalFormatting sqref="B43 B47 B51">
    <cfRule type="expression" dxfId="7612" priority="4961">
      <formula>$C43="Delivery charge"</formula>
    </cfRule>
    <cfRule type="expression" dxfId="7611" priority="4962">
      <formula>$C43="Staff Salary"</formula>
    </cfRule>
    <cfRule type="expression" dxfId="7610" priority="4963">
      <formula>$C43="Rent"</formula>
    </cfRule>
    <cfRule type="expression" dxfId="7609" priority="4964">
      <formula>$C43="Petrol"</formula>
    </cfRule>
    <cfRule type="expression" dxfId="7608" priority="4965">
      <formula>$C43="Bills"</formula>
    </cfRule>
    <cfRule type="expression" dxfId="7607" priority="4966">
      <formula>$C43="Sales"</formula>
    </cfRule>
    <cfRule type="expression" dxfId="7606" priority="4967">
      <formula>$C43="Expences"</formula>
    </cfRule>
    <cfRule type="expression" dxfId="7605" priority="4968">
      <formula>$C43="Garlic Purchase"</formula>
    </cfRule>
    <cfRule type="expression" dxfId="7604" priority="4969">
      <formula>$C43="Ginger Purchase"</formula>
    </cfRule>
  </conditionalFormatting>
  <conditionalFormatting sqref="B43 B47 B51">
    <cfRule type="expression" dxfId="7603" priority="4970">
      <formula>$C43="Advance"</formula>
    </cfRule>
  </conditionalFormatting>
  <conditionalFormatting sqref="B43 B47 B51">
    <cfRule type="expression" dxfId="7602" priority="4951">
      <formula>$C43="Delivery charge"</formula>
    </cfRule>
    <cfRule type="expression" dxfId="7601" priority="4952">
      <formula>$C43="Staff Salary"</formula>
    </cfRule>
    <cfRule type="expression" dxfId="7600" priority="4953">
      <formula>$C43="Rent"</formula>
    </cfRule>
    <cfRule type="expression" dxfId="7599" priority="4954">
      <formula>$C43="Petrol"</formula>
    </cfRule>
    <cfRule type="expression" dxfId="7598" priority="4955">
      <formula>$C43="Bills"</formula>
    </cfRule>
    <cfRule type="expression" dxfId="7597" priority="4956">
      <formula>$C43="Sales"</formula>
    </cfRule>
    <cfRule type="expression" dxfId="7596" priority="4957">
      <formula>$C43="Expences"</formula>
    </cfRule>
    <cfRule type="expression" dxfId="7595" priority="4958">
      <formula>$C43="Garlic Purchase"</formula>
    </cfRule>
    <cfRule type="expression" dxfId="7594" priority="4959">
      <formula>$C43="Ginger Purchase"</formula>
    </cfRule>
  </conditionalFormatting>
  <conditionalFormatting sqref="B43 B47 B51">
    <cfRule type="expression" dxfId="7593" priority="4960">
      <formula>$C43="Advance"</formula>
    </cfRule>
  </conditionalFormatting>
  <conditionalFormatting sqref="B43 B47 B51">
    <cfRule type="expression" dxfId="7592" priority="4941">
      <formula>$C43="Delivery charge"</formula>
    </cfRule>
    <cfRule type="expression" dxfId="7591" priority="4942">
      <formula>$C43="Staff Salary"</formula>
    </cfRule>
    <cfRule type="expression" dxfId="7590" priority="4943">
      <formula>$C43="Rent"</formula>
    </cfRule>
    <cfRule type="expression" dxfId="7589" priority="4944">
      <formula>$C43="Petrol"</formula>
    </cfRule>
    <cfRule type="expression" dxfId="7588" priority="4945">
      <formula>$C43="Bills"</formula>
    </cfRule>
    <cfRule type="expression" dxfId="7587" priority="4946">
      <formula>$C43="Sales"</formula>
    </cfRule>
    <cfRule type="expression" dxfId="7586" priority="4947">
      <formula>$C43="Expences"</formula>
    </cfRule>
    <cfRule type="expression" dxfId="7585" priority="4948">
      <formula>$C43="Garlic Purchase"</formula>
    </cfRule>
    <cfRule type="expression" dxfId="7584" priority="4949">
      <formula>$C43="Ginger Purchase"</formula>
    </cfRule>
  </conditionalFormatting>
  <conditionalFormatting sqref="B43 B47 B51">
    <cfRule type="expression" dxfId="7583" priority="4950">
      <formula>$C43="Advance"</formula>
    </cfRule>
  </conditionalFormatting>
  <conditionalFormatting sqref="B43 B47 B51">
    <cfRule type="expression" dxfId="7582" priority="4931">
      <formula>$C43="Delivery charge"</formula>
    </cfRule>
    <cfRule type="expression" dxfId="7581" priority="4932">
      <formula>$C43="Staff Salary"</formula>
    </cfRule>
    <cfRule type="expression" dxfId="7580" priority="4933">
      <formula>$C43="Rent"</formula>
    </cfRule>
    <cfRule type="expression" dxfId="7579" priority="4934">
      <formula>$C43="Petrol"</formula>
    </cfRule>
    <cfRule type="expression" dxfId="7578" priority="4935">
      <formula>$C43="Bills"</formula>
    </cfRule>
    <cfRule type="expression" dxfId="7577" priority="4936">
      <formula>$C43="Sales"</formula>
    </cfRule>
    <cfRule type="expression" dxfId="7576" priority="4937">
      <formula>$C43="Expences"</formula>
    </cfRule>
    <cfRule type="expression" dxfId="7575" priority="4938">
      <formula>$C43="Garlic Purchase"</formula>
    </cfRule>
    <cfRule type="expression" dxfId="7574" priority="4939">
      <formula>$C43="Ginger Purchase"</formula>
    </cfRule>
  </conditionalFormatting>
  <conditionalFormatting sqref="B43 B47 B51">
    <cfRule type="expression" dxfId="7573" priority="4940">
      <formula>$C43="Advance"</formula>
    </cfRule>
  </conditionalFormatting>
  <conditionalFormatting sqref="B43 B47 B51">
    <cfRule type="expression" dxfId="7572" priority="4921">
      <formula>$C43="Delivery charge"</formula>
    </cfRule>
    <cfRule type="expression" dxfId="7571" priority="4922">
      <formula>$C43="Staff Salary"</formula>
    </cfRule>
    <cfRule type="expression" dxfId="7570" priority="4923">
      <formula>$C43="Rent"</formula>
    </cfRule>
    <cfRule type="expression" dxfId="7569" priority="4924">
      <formula>$C43="Petrol"</formula>
    </cfRule>
    <cfRule type="expression" dxfId="7568" priority="4925">
      <formula>$C43="Bills"</formula>
    </cfRule>
    <cfRule type="expression" dxfId="7567" priority="4926">
      <formula>$C43="Sales"</formula>
    </cfRule>
    <cfRule type="expression" dxfId="7566" priority="4927">
      <formula>$C43="Expences"</formula>
    </cfRule>
    <cfRule type="expression" dxfId="7565" priority="4928">
      <formula>$C43="Garlic Purchase"</formula>
    </cfRule>
    <cfRule type="expression" dxfId="7564" priority="4929">
      <formula>$C43="Ginger Purchase"</formula>
    </cfRule>
  </conditionalFormatting>
  <conditionalFormatting sqref="B43 B47 B51">
    <cfRule type="expression" dxfId="7563" priority="4930">
      <formula>$C43="Advance"</formula>
    </cfRule>
  </conditionalFormatting>
  <conditionalFormatting sqref="B43 B47 B51">
    <cfRule type="expression" dxfId="7562" priority="4911">
      <formula>$C43="Delivery charge"</formula>
    </cfRule>
    <cfRule type="expression" dxfId="7561" priority="4912">
      <formula>$C43="Staff Salary"</formula>
    </cfRule>
    <cfRule type="expression" dxfId="7560" priority="4913">
      <formula>$C43="Rent"</formula>
    </cfRule>
    <cfRule type="expression" dxfId="7559" priority="4914">
      <formula>$C43="Petrol"</formula>
    </cfRule>
    <cfRule type="expression" dxfId="7558" priority="4915">
      <formula>$C43="Bills"</formula>
    </cfRule>
    <cfRule type="expression" dxfId="7557" priority="4916">
      <formula>$C43="Sales"</formula>
    </cfRule>
    <cfRule type="expression" dxfId="7556" priority="4917">
      <formula>$C43="Expences"</formula>
    </cfRule>
    <cfRule type="expression" dxfId="7555" priority="4918">
      <formula>$C43="Garlic Purchase"</formula>
    </cfRule>
    <cfRule type="expression" dxfId="7554" priority="4919">
      <formula>$C43="Ginger Purchase"</formula>
    </cfRule>
  </conditionalFormatting>
  <conditionalFormatting sqref="B43 B47 B51">
    <cfRule type="expression" dxfId="7553" priority="4920">
      <formula>$C43="Advance"</formula>
    </cfRule>
  </conditionalFormatting>
  <conditionalFormatting sqref="B43 B47 B51">
    <cfRule type="expression" dxfId="7552" priority="4901">
      <formula>$C43="Delivery charge"</formula>
    </cfRule>
    <cfRule type="expression" dxfId="7551" priority="4902">
      <formula>$C43="Staff Salary"</formula>
    </cfRule>
    <cfRule type="expression" dxfId="7550" priority="4903">
      <formula>$C43="Rent"</formula>
    </cfRule>
    <cfRule type="expression" dxfId="7549" priority="4904">
      <formula>$C43="Petrol"</formula>
    </cfRule>
    <cfRule type="expression" dxfId="7548" priority="4905">
      <formula>$C43="Bills"</formula>
    </cfRule>
    <cfRule type="expression" dxfId="7547" priority="4906">
      <formula>$C43="Sales"</formula>
    </cfRule>
    <cfRule type="expression" dxfId="7546" priority="4907">
      <formula>$C43="Expences"</formula>
    </cfRule>
    <cfRule type="expression" dxfId="7545" priority="4908">
      <formula>$C43="Garlic Purchase"</formula>
    </cfRule>
    <cfRule type="expression" dxfId="7544" priority="4909">
      <formula>$C43="Ginger Purchase"</formula>
    </cfRule>
  </conditionalFormatting>
  <conditionalFormatting sqref="B43 B47 B51">
    <cfRule type="expression" dxfId="7543" priority="4910">
      <formula>$C43="Advance"</formula>
    </cfRule>
  </conditionalFormatting>
  <conditionalFormatting sqref="B43 B47 B51">
    <cfRule type="expression" dxfId="7542" priority="4891">
      <formula>$C43="Delivery charge"</formula>
    </cfRule>
    <cfRule type="expression" dxfId="7541" priority="4892">
      <formula>$C43="Staff Salary"</formula>
    </cfRule>
    <cfRule type="expression" dxfId="7540" priority="4893">
      <formula>$C43="Rent"</formula>
    </cfRule>
    <cfRule type="expression" dxfId="7539" priority="4894">
      <formula>$C43="Petrol"</formula>
    </cfRule>
    <cfRule type="expression" dxfId="7538" priority="4895">
      <formula>$C43="Bills"</formula>
    </cfRule>
    <cfRule type="expression" dxfId="7537" priority="4896">
      <formula>$C43="Sales"</formula>
    </cfRule>
    <cfRule type="expression" dxfId="7536" priority="4897">
      <formula>$C43="Expences"</formula>
    </cfRule>
    <cfRule type="expression" dxfId="7535" priority="4898">
      <formula>$C43="Garlic Purchase"</formula>
    </cfRule>
    <cfRule type="expression" dxfId="7534" priority="4899">
      <formula>$C43="Ginger Purchase"</formula>
    </cfRule>
  </conditionalFormatting>
  <conditionalFormatting sqref="B43 B47 B51">
    <cfRule type="expression" dxfId="7533" priority="4900">
      <formula>$C43="Advance"</formula>
    </cfRule>
  </conditionalFormatting>
  <conditionalFormatting sqref="B43 B47 B51">
    <cfRule type="expression" dxfId="7532" priority="4881">
      <formula>$C43="Delivery charge"</formula>
    </cfRule>
    <cfRule type="expression" dxfId="7531" priority="4882">
      <formula>$C43="Staff Salary"</formula>
    </cfRule>
    <cfRule type="expression" dxfId="7530" priority="4883">
      <formula>$C43="Rent"</formula>
    </cfRule>
    <cfRule type="expression" dxfId="7529" priority="4884">
      <formula>$C43="Petrol"</formula>
    </cfRule>
    <cfRule type="expression" dxfId="7528" priority="4885">
      <formula>$C43="Bills"</formula>
    </cfRule>
    <cfRule type="expression" dxfId="7527" priority="4886">
      <formula>$C43="Sales"</formula>
    </cfRule>
    <cfRule type="expression" dxfId="7526" priority="4887">
      <formula>$C43="Expences"</formula>
    </cfRule>
    <cfRule type="expression" dxfId="7525" priority="4888">
      <formula>$C43="Garlic Purchase"</formula>
    </cfRule>
    <cfRule type="expression" dxfId="7524" priority="4889">
      <formula>$C43="Ginger Purchase"</formula>
    </cfRule>
  </conditionalFormatting>
  <conditionalFormatting sqref="B43 B47 B51">
    <cfRule type="expression" dxfId="7523" priority="4890">
      <formula>$C43="Advance"</formula>
    </cfRule>
  </conditionalFormatting>
  <conditionalFormatting sqref="B43 B47 B51">
    <cfRule type="expression" dxfId="7522" priority="4871">
      <formula>$C43="Delivery charge"</formula>
    </cfRule>
    <cfRule type="expression" dxfId="7521" priority="4872">
      <formula>$C43="Staff Salary"</formula>
    </cfRule>
    <cfRule type="expression" dxfId="7520" priority="4873">
      <formula>$C43="Rent"</formula>
    </cfRule>
    <cfRule type="expression" dxfId="7519" priority="4874">
      <formula>$C43="Petrol"</formula>
    </cfRule>
    <cfRule type="expression" dxfId="7518" priority="4875">
      <formula>$C43="Bills"</formula>
    </cfRule>
    <cfRule type="expression" dxfId="7517" priority="4876">
      <formula>$C43="Sales"</formula>
    </cfRule>
    <cfRule type="expression" dxfId="7516" priority="4877">
      <formula>$C43="Expences"</formula>
    </cfRule>
    <cfRule type="expression" dxfId="7515" priority="4878">
      <formula>$C43="Garlic Purchase"</formula>
    </cfRule>
    <cfRule type="expression" dxfId="7514" priority="4879">
      <formula>$C43="Ginger Purchase"</formula>
    </cfRule>
  </conditionalFormatting>
  <conditionalFormatting sqref="B43 B47 B51">
    <cfRule type="expression" dxfId="7513" priority="4880">
      <formula>$C43="Advance"</formula>
    </cfRule>
  </conditionalFormatting>
  <conditionalFormatting sqref="B43 B47 B51">
    <cfRule type="expression" dxfId="7512" priority="4861">
      <formula>$C43="Delivery charge"</formula>
    </cfRule>
    <cfRule type="expression" dxfId="7511" priority="4862">
      <formula>$C43="Staff Salary"</formula>
    </cfRule>
    <cfRule type="expression" dxfId="7510" priority="4863">
      <formula>$C43="Rent"</formula>
    </cfRule>
    <cfRule type="expression" dxfId="7509" priority="4864">
      <formula>$C43="Petrol"</formula>
    </cfRule>
    <cfRule type="expression" dxfId="7508" priority="4865">
      <formula>$C43="Bills"</formula>
    </cfRule>
    <cfRule type="expression" dxfId="7507" priority="4866">
      <formula>$C43="Sales"</formula>
    </cfRule>
    <cfRule type="expression" dxfId="7506" priority="4867">
      <formula>$C43="Expences"</formula>
    </cfRule>
    <cfRule type="expression" dxfId="7505" priority="4868">
      <formula>$C43="Garlic Purchase"</formula>
    </cfRule>
    <cfRule type="expression" dxfId="7504" priority="4869">
      <formula>$C43="Ginger Purchase"</formula>
    </cfRule>
  </conditionalFormatting>
  <conditionalFormatting sqref="B43 B47 B51">
    <cfRule type="expression" dxfId="7503" priority="4870">
      <formula>$C43="Advance"</formula>
    </cfRule>
  </conditionalFormatting>
  <conditionalFormatting sqref="B43 B47 B51">
    <cfRule type="expression" dxfId="7502" priority="4851">
      <formula>$C43="Delivery charge"</formula>
    </cfRule>
    <cfRule type="expression" dxfId="7501" priority="4852">
      <formula>$C43="Staff Salary"</formula>
    </cfRule>
    <cfRule type="expression" dxfId="7500" priority="4853">
      <formula>$C43="Rent"</formula>
    </cfRule>
    <cfRule type="expression" dxfId="7499" priority="4854">
      <formula>$C43="Petrol"</formula>
    </cfRule>
    <cfRule type="expression" dxfId="7498" priority="4855">
      <formula>$C43="Bills"</formula>
    </cfRule>
    <cfRule type="expression" dxfId="7497" priority="4856">
      <formula>$C43="Sales"</formula>
    </cfRule>
    <cfRule type="expression" dxfId="7496" priority="4857">
      <formula>$C43="Expences"</formula>
    </cfRule>
    <cfRule type="expression" dxfId="7495" priority="4858">
      <formula>$C43="Garlic Purchase"</formula>
    </cfRule>
    <cfRule type="expression" dxfId="7494" priority="4859">
      <formula>$C43="Ginger Purchase"</formula>
    </cfRule>
  </conditionalFormatting>
  <conditionalFormatting sqref="B43 B47 B51">
    <cfRule type="expression" dxfId="7493" priority="4860">
      <formula>$C43="Advance"</formula>
    </cfRule>
  </conditionalFormatting>
  <conditionalFormatting sqref="B43 B47 B51">
    <cfRule type="expression" dxfId="7492" priority="4841">
      <formula>$C43="Delivery charge"</formula>
    </cfRule>
    <cfRule type="expression" dxfId="7491" priority="4842">
      <formula>$C43="Staff Salary"</formula>
    </cfRule>
    <cfRule type="expression" dxfId="7490" priority="4843">
      <formula>$C43="Rent"</formula>
    </cfRule>
    <cfRule type="expression" dxfId="7489" priority="4844">
      <formula>$C43="Petrol"</formula>
    </cfRule>
    <cfRule type="expression" dxfId="7488" priority="4845">
      <formula>$C43="Bills"</formula>
    </cfRule>
    <cfRule type="expression" dxfId="7487" priority="4846">
      <formula>$C43="Sales"</formula>
    </cfRule>
    <cfRule type="expression" dxfId="7486" priority="4847">
      <formula>$C43="Expences"</formula>
    </cfRule>
    <cfRule type="expression" dxfId="7485" priority="4848">
      <formula>$C43="Garlic Purchase"</formula>
    </cfRule>
    <cfRule type="expression" dxfId="7484" priority="4849">
      <formula>$C43="Ginger Purchase"</formula>
    </cfRule>
  </conditionalFormatting>
  <conditionalFormatting sqref="B43 B47 B51">
    <cfRule type="expression" dxfId="7483" priority="4850">
      <formula>$C43="Advance"</formula>
    </cfRule>
  </conditionalFormatting>
  <conditionalFormatting sqref="B43 B47 B51">
    <cfRule type="expression" dxfId="7482" priority="4831">
      <formula>$C43="Delivery charge"</formula>
    </cfRule>
    <cfRule type="expression" dxfId="7481" priority="4832">
      <formula>$C43="Staff Salary"</formula>
    </cfRule>
    <cfRule type="expression" dxfId="7480" priority="4833">
      <formula>$C43="Rent"</formula>
    </cfRule>
    <cfRule type="expression" dxfId="7479" priority="4834">
      <formula>$C43="Petrol"</formula>
    </cfRule>
    <cfRule type="expression" dxfId="7478" priority="4835">
      <formula>$C43="Bills"</formula>
    </cfRule>
    <cfRule type="expression" dxfId="7477" priority="4836">
      <formula>$C43="Sales"</formula>
    </cfRule>
    <cfRule type="expression" dxfId="7476" priority="4837">
      <formula>$C43="Expences"</formula>
    </cfRule>
    <cfRule type="expression" dxfId="7475" priority="4838">
      <formula>$C43="Garlic Purchase"</formula>
    </cfRule>
    <cfRule type="expression" dxfId="7474" priority="4839">
      <formula>$C43="Ginger Purchase"</formula>
    </cfRule>
  </conditionalFormatting>
  <conditionalFormatting sqref="B43 B47 B51">
    <cfRule type="expression" dxfId="7473" priority="4840">
      <formula>$C43="Advance"</formula>
    </cfRule>
  </conditionalFormatting>
  <conditionalFormatting sqref="B43 B47 B51">
    <cfRule type="expression" dxfId="7472" priority="4821">
      <formula>$C43="Delivery charge"</formula>
    </cfRule>
    <cfRule type="expression" dxfId="7471" priority="4822">
      <formula>$C43="Staff Salary"</formula>
    </cfRule>
    <cfRule type="expression" dxfId="7470" priority="4823">
      <formula>$C43="Rent"</formula>
    </cfRule>
    <cfRule type="expression" dxfId="7469" priority="4824">
      <formula>$C43="Petrol"</formula>
    </cfRule>
    <cfRule type="expression" dxfId="7468" priority="4825">
      <formula>$C43="Bills"</formula>
    </cfRule>
    <cfRule type="expression" dxfId="7467" priority="4826">
      <formula>$C43="Sales"</formula>
    </cfRule>
    <cfRule type="expression" dxfId="7466" priority="4827">
      <formula>$C43="Expences"</formula>
    </cfRule>
    <cfRule type="expression" dxfId="7465" priority="4828">
      <formula>$C43="Garlic Purchase"</formula>
    </cfRule>
    <cfRule type="expression" dxfId="7464" priority="4829">
      <formula>$C43="Ginger Purchase"</formula>
    </cfRule>
  </conditionalFormatting>
  <conditionalFormatting sqref="B43 B47 B51">
    <cfRule type="expression" dxfId="7463" priority="4830">
      <formula>$C43="Advance"</formula>
    </cfRule>
  </conditionalFormatting>
  <conditionalFormatting sqref="B43 B47 B51">
    <cfRule type="expression" dxfId="7462" priority="4811">
      <formula>$C43="Delivery charge"</formula>
    </cfRule>
    <cfRule type="expression" dxfId="7461" priority="4812">
      <formula>$C43="Staff Salary"</formula>
    </cfRule>
    <cfRule type="expression" dxfId="7460" priority="4813">
      <formula>$C43="Rent"</formula>
    </cfRule>
    <cfRule type="expression" dxfId="7459" priority="4814">
      <formula>$C43="Petrol"</formula>
    </cfRule>
    <cfRule type="expression" dxfId="7458" priority="4815">
      <formula>$C43="Bills"</formula>
    </cfRule>
    <cfRule type="expression" dxfId="7457" priority="4816">
      <formula>$C43="Sales"</formula>
    </cfRule>
    <cfRule type="expression" dxfId="7456" priority="4817">
      <formula>$C43="Expences"</formula>
    </cfRule>
    <cfRule type="expression" dxfId="7455" priority="4818">
      <formula>$C43="Garlic Purchase"</formula>
    </cfRule>
    <cfRule type="expression" dxfId="7454" priority="4819">
      <formula>$C43="Ginger Purchase"</formula>
    </cfRule>
  </conditionalFormatting>
  <conditionalFormatting sqref="B43 B47 B51">
    <cfRule type="expression" dxfId="7453" priority="4820">
      <formula>$C43="Advance"</formula>
    </cfRule>
  </conditionalFormatting>
  <conditionalFormatting sqref="B43 B47 B51">
    <cfRule type="expression" dxfId="7452" priority="4801">
      <formula>$C43="Delivery charge"</formula>
    </cfRule>
    <cfRule type="expression" dxfId="7451" priority="4802">
      <formula>$C43="Staff Salary"</formula>
    </cfRule>
    <cfRule type="expression" dxfId="7450" priority="4803">
      <formula>$C43="Rent"</formula>
    </cfRule>
    <cfRule type="expression" dxfId="7449" priority="4804">
      <formula>$C43="Petrol"</formula>
    </cfRule>
    <cfRule type="expression" dxfId="7448" priority="4805">
      <formula>$C43="Bills"</formula>
    </cfRule>
    <cfRule type="expression" dxfId="7447" priority="4806">
      <formula>$C43="Sales"</formula>
    </cfRule>
    <cfRule type="expression" dxfId="7446" priority="4807">
      <formula>$C43="Expences"</formula>
    </cfRule>
    <cfRule type="expression" dxfId="7445" priority="4808">
      <formula>$C43="Garlic Purchase"</formula>
    </cfRule>
    <cfRule type="expression" dxfId="7444" priority="4809">
      <formula>$C43="Ginger Purchase"</formula>
    </cfRule>
  </conditionalFormatting>
  <conditionalFormatting sqref="B43 B47 B51">
    <cfRule type="expression" dxfId="7443" priority="4810">
      <formula>$C43="Advance"</formula>
    </cfRule>
  </conditionalFormatting>
  <conditionalFormatting sqref="B43 B47 B51">
    <cfRule type="expression" dxfId="7442" priority="4791">
      <formula>$C43="Delivery charge"</formula>
    </cfRule>
    <cfRule type="expression" dxfId="7441" priority="4792">
      <formula>$C43="Staff Salary"</formula>
    </cfRule>
    <cfRule type="expression" dxfId="7440" priority="4793">
      <formula>$C43="Rent"</formula>
    </cfRule>
    <cfRule type="expression" dxfId="7439" priority="4794">
      <formula>$C43="Petrol"</formula>
    </cfRule>
    <cfRule type="expression" dxfId="7438" priority="4795">
      <formula>$C43="Bills"</formula>
    </cfRule>
    <cfRule type="expression" dxfId="7437" priority="4796">
      <formula>$C43="Sales"</formula>
    </cfRule>
    <cfRule type="expression" dxfId="7436" priority="4797">
      <formula>$C43="Expences"</formula>
    </cfRule>
    <cfRule type="expression" dxfId="7435" priority="4798">
      <formula>$C43="Garlic Purchase"</formula>
    </cfRule>
    <cfRule type="expression" dxfId="7434" priority="4799">
      <formula>$C43="Ginger Purchase"</formula>
    </cfRule>
  </conditionalFormatting>
  <conditionalFormatting sqref="B43 B47 B51">
    <cfRule type="expression" dxfId="7433" priority="4800">
      <formula>$C43="Advance"</formula>
    </cfRule>
  </conditionalFormatting>
  <conditionalFormatting sqref="B43 B47 B51">
    <cfRule type="expression" dxfId="7432" priority="4781">
      <formula>$C43="Delivery charge"</formula>
    </cfRule>
    <cfRule type="expression" dxfId="7431" priority="4782">
      <formula>$C43="Staff Salary"</formula>
    </cfRule>
    <cfRule type="expression" dxfId="7430" priority="4783">
      <formula>$C43="Rent"</formula>
    </cfRule>
    <cfRule type="expression" dxfId="7429" priority="4784">
      <formula>$C43="Petrol"</formula>
    </cfRule>
    <cfRule type="expression" dxfId="7428" priority="4785">
      <formula>$C43="Bills"</formula>
    </cfRule>
    <cfRule type="expression" dxfId="7427" priority="4786">
      <formula>$C43="Sales"</formula>
    </cfRule>
    <cfRule type="expression" dxfId="7426" priority="4787">
      <formula>$C43="Expences"</formula>
    </cfRule>
    <cfRule type="expression" dxfId="7425" priority="4788">
      <formula>$C43="Garlic Purchase"</formula>
    </cfRule>
    <cfRule type="expression" dxfId="7424" priority="4789">
      <formula>$C43="Ginger Purchase"</formula>
    </cfRule>
  </conditionalFormatting>
  <conditionalFormatting sqref="B43 B47 B51">
    <cfRule type="expression" dxfId="7423" priority="4790">
      <formula>$C43="Advance"</formula>
    </cfRule>
  </conditionalFormatting>
  <conditionalFormatting sqref="B43 B47 B51">
    <cfRule type="expression" dxfId="7422" priority="4771">
      <formula>$C43="Delivery charge"</formula>
    </cfRule>
    <cfRule type="expression" dxfId="7421" priority="4772">
      <formula>$C43="Staff Salary"</formula>
    </cfRule>
    <cfRule type="expression" dxfId="7420" priority="4773">
      <formula>$C43="Rent"</formula>
    </cfRule>
    <cfRule type="expression" dxfId="7419" priority="4774">
      <formula>$C43="Petrol"</formula>
    </cfRule>
    <cfRule type="expression" dxfId="7418" priority="4775">
      <formula>$C43="Bills"</formula>
    </cfRule>
    <cfRule type="expression" dxfId="7417" priority="4776">
      <formula>$C43="Sales"</formula>
    </cfRule>
    <cfRule type="expression" dxfId="7416" priority="4777">
      <formula>$C43="Expences"</formula>
    </cfRule>
    <cfRule type="expression" dxfId="7415" priority="4778">
      <formula>$C43="Garlic Purchase"</formula>
    </cfRule>
    <cfRule type="expression" dxfId="7414" priority="4779">
      <formula>$C43="Ginger Purchase"</formula>
    </cfRule>
  </conditionalFormatting>
  <conditionalFormatting sqref="B43 B47 B51">
    <cfRule type="expression" dxfId="7413" priority="4780">
      <formula>$C43="Advance"</formula>
    </cfRule>
  </conditionalFormatting>
  <conditionalFormatting sqref="B43 B45 B47 B51 B49 B53 B57 B61">
    <cfRule type="expression" dxfId="7412" priority="4770">
      <formula>$C43="Advance"</formula>
    </cfRule>
  </conditionalFormatting>
  <conditionalFormatting sqref="B43 B45 B47 B51 B49 B53 B57 B61">
    <cfRule type="expression" dxfId="7411" priority="4761">
      <formula>$C43="Delivery charge"</formula>
    </cfRule>
    <cfRule type="expression" dxfId="7410" priority="4762">
      <formula>$C43="Staff Salary"</formula>
    </cfRule>
    <cfRule type="expression" dxfId="7409" priority="4763">
      <formula>$C43="Rent"</formula>
    </cfRule>
    <cfRule type="expression" dxfId="7408" priority="4764">
      <formula>$C43="Petrol"</formula>
    </cfRule>
    <cfRule type="expression" dxfId="7407" priority="4765">
      <formula>$C43="Bills"</formula>
    </cfRule>
    <cfRule type="expression" dxfId="7406" priority="4766">
      <formula>$C43="Sales"</formula>
    </cfRule>
    <cfRule type="expression" dxfId="7405" priority="4767">
      <formula>$C43="Expences"</formula>
    </cfRule>
    <cfRule type="expression" dxfId="7404" priority="4768">
      <formula>$C43="Garlic Purchase"</formula>
    </cfRule>
    <cfRule type="expression" dxfId="7403" priority="4769">
      <formula>$C43="Ginger Purchase"</formula>
    </cfRule>
  </conditionalFormatting>
  <conditionalFormatting sqref="B43 B45 B47 B51 B49 B53 B57 B61">
    <cfRule type="expression" dxfId="7402" priority="4751">
      <formula>$C43="Delivery charge"</formula>
    </cfRule>
    <cfRule type="expression" dxfId="7401" priority="4752">
      <formula>$C43="Staff Salary"</formula>
    </cfRule>
    <cfRule type="expression" dxfId="7400" priority="4753">
      <formula>$C43="Rent"</formula>
    </cfRule>
    <cfRule type="expression" dxfId="7399" priority="4754">
      <formula>$C43="Petrol"</formula>
    </cfRule>
    <cfRule type="expression" dxfId="7398" priority="4755">
      <formula>$C43="Bills"</formula>
    </cfRule>
    <cfRule type="expression" dxfId="7397" priority="4756">
      <formula>$C43="Sales"</formula>
    </cfRule>
    <cfRule type="expression" dxfId="7396" priority="4757">
      <formula>$C43="Expences"</formula>
    </cfRule>
    <cfRule type="expression" dxfId="7395" priority="4758">
      <formula>$C43="Garlic Purchase"</formula>
    </cfRule>
    <cfRule type="expression" dxfId="7394" priority="4759">
      <formula>$C43="Ginger Purchase"</formula>
    </cfRule>
  </conditionalFormatting>
  <conditionalFormatting sqref="B43 B45 B47 B51 B49 B53 B57 B61">
    <cfRule type="expression" dxfId="7393" priority="4760">
      <formula>$C43="Advance"</formula>
    </cfRule>
  </conditionalFormatting>
  <conditionalFormatting sqref="B43 B45 B47 B51 B49 B53 B57 B61">
    <cfRule type="expression" dxfId="7392" priority="4741">
      <formula>$C43="Delivery charge"</formula>
    </cfRule>
    <cfRule type="expression" dxfId="7391" priority="4742">
      <formula>$C43="Staff Salary"</formula>
    </cfRule>
    <cfRule type="expression" dxfId="7390" priority="4743">
      <formula>$C43="Rent"</formula>
    </cfRule>
    <cfRule type="expression" dxfId="7389" priority="4744">
      <formula>$C43="Petrol"</formula>
    </cfRule>
    <cfRule type="expression" dxfId="7388" priority="4745">
      <formula>$C43="Bills"</formula>
    </cfRule>
    <cfRule type="expression" dxfId="7387" priority="4746">
      <formula>$C43="Sales"</formula>
    </cfRule>
    <cfRule type="expression" dxfId="7386" priority="4747">
      <formula>$C43="Expences"</formula>
    </cfRule>
    <cfRule type="expression" dxfId="7385" priority="4748">
      <formula>$C43="Garlic Purchase"</formula>
    </cfRule>
    <cfRule type="expression" dxfId="7384" priority="4749">
      <formula>$C43="Ginger Purchase"</formula>
    </cfRule>
  </conditionalFormatting>
  <conditionalFormatting sqref="B43 B45 B47 B51 B49 B53 B57 B61">
    <cfRule type="expression" dxfId="7383" priority="4750">
      <formula>$C43="Advance"</formula>
    </cfRule>
  </conditionalFormatting>
  <conditionalFormatting sqref="B43 B45 B47 B51 B49 B53 B57 B61">
    <cfRule type="expression" dxfId="7382" priority="4731">
      <formula>$C43="Delivery charge"</formula>
    </cfRule>
    <cfRule type="expression" dxfId="7381" priority="4732">
      <formula>$C43="Staff Salary"</formula>
    </cfRule>
    <cfRule type="expression" dxfId="7380" priority="4733">
      <formula>$C43="Rent"</formula>
    </cfRule>
    <cfRule type="expression" dxfId="7379" priority="4734">
      <formula>$C43="Petrol"</formula>
    </cfRule>
    <cfRule type="expression" dxfId="7378" priority="4735">
      <formula>$C43="Bills"</formula>
    </cfRule>
    <cfRule type="expression" dxfId="7377" priority="4736">
      <formula>$C43="Sales"</formula>
    </cfRule>
    <cfRule type="expression" dxfId="7376" priority="4737">
      <formula>$C43="Expences"</formula>
    </cfRule>
    <cfRule type="expression" dxfId="7375" priority="4738">
      <formula>$C43="Garlic Purchase"</formula>
    </cfRule>
    <cfRule type="expression" dxfId="7374" priority="4739">
      <formula>$C43="Ginger Purchase"</formula>
    </cfRule>
  </conditionalFormatting>
  <conditionalFormatting sqref="B43 B45 B47 B51 B49 B53 B57 B61">
    <cfRule type="expression" dxfId="7373" priority="4740">
      <formula>$C43="Advance"</formula>
    </cfRule>
  </conditionalFormatting>
  <conditionalFormatting sqref="B43 B45 B47 B51 B49 B53 B57 B61">
    <cfRule type="expression" dxfId="7372" priority="4721">
      <formula>$C43="Delivery charge"</formula>
    </cfRule>
    <cfRule type="expression" dxfId="7371" priority="4722">
      <formula>$C43="Staff Salary"</formula>
    </cfRule>
    <cfRule type="expression" dxfId="7370" priority="4723">
      <formula>$C43="Rent"</formula>
    </cfRule>
    <cfRule type="expression" dxfId="7369" priority="4724">
      <formula>$C43="Petrol"</formula>
    </cfRule>
    <cfRule type="expression" dxfId="7368" priority="4725">
      <formula>$C43="Bills"</formula>
    </cfRule>
    <cfRule type="expression" dxfId="7367" priority="4726">
      <formula>$C43="Sales"</formula>
    </cfRule>
    <cfRule type="expression" dxfId="7366" priority="4727">
      <formula>$C43="Expences"</formula>
    </cfRule>
    <cfRule type="expression" dxfId="7365" priority="4728">
      <formula>$C43="Garlic Purchase"</formula>
    </cfRule>
    <cfRule type="expression" dxfId="7364" priority="4729">
      <formula>$C43="Ginger Purchase"</formula>
    </cfRule>
  </conditionalFormatting>
  <conditionalFormatting sqref="B43 B45 B47 B51 B49 B53 B57 B61">
    <cfRule type="expression" dxfId="7363" priority="4730">
      <formula>$C43="Advance"</formula>
    </cfRule>
  </conditionalFormatting>
  <conditionalFormatting sqref="B43 B45 B47 B51 B49 B53 B57 B61">
    <cfRule type="expression" dxfId="7362" priority="4711">
      <formula>$C43="Delivery charge"</formula>
    </cfRule>
    <cfRule type="expression" dxfId="7361" priority="4712">
      <formula>$C43="Staff Salary"</formula>
    </cfRule>
    <cfRule type="expression" dxfId="7360" priority="4713">
      <formula>$C43="Rent"</formula>
    </cfRule>
    <cfRule type="expression" dxfId="7359" priority="4714">
      <formula>$C43="Petrol"</formula>
    </cfRule>
    <cfRule type="expression" dxfId="7358" priority="4715">
      <formula>$C43="Bills"</formula>
    </cfRule>
    <cfRule type="expression" dxfId="7357" priority="4716">
      <formula>$C43="Sales"</formula>
    </cfRule>
    <cfRule type="expression" dxfId="7356" priority="4717">
      <formula>$C43="Expences"</formula>
    </cfRule>
    <cfRule type="expression" dxfId="7355" priority="4718">
      <formula>$C43="Garlic Purchase"</formula>
    </cfRule>
    <cfRule type="expression" dxfId="7354" priority="4719">
      <formula>$C43="Ginger Purchase"</formula>
    </cfRule>
  </conditionalFormatting>
  <conditionalFormatting sqref="B43 B45 B47 B51 B49 B53 B57 B61">
    <cfRule type="expression" dxfId="7353" priority="4720">
      <formula>$C43="Advance"</formula>
    </cfRule>
  </conditionalFormatting>
  <conditionalFormatting sqref="B43 B45 B47 B51 B49 B53 B57 B61">
    <cfRule type="expression" dxfId="7352" priority="4701">
      <formula>$C43="Delivery charge"</formula>
    </cfRule>
    <cfRule type="expression" dxfId="7351" priority="4702">
      <formula>$C43="Staff Salary"</formula>
    </cfRule>
    <cfRule type="expression" dxfId="7350" priority="4703">
      <formula>$C43="Rent"</formula>
    </cfRule>
    <cfRule type="expression" dxfId="7349" priority="4704">
      <formula>$C43="Petrol"</formula>
    </cfRule>
    <cfRule type="expression" dxfId="7348" priority="4705">
      <formula>$C43="Bills"</formula>
    </cfRule>
    <cfRule type="expression" dxfId="7347" priority="4706">
      <formula>$C43="Sales"</formula>
    </cfRule>
    <cfRule type="expression" dxfId="7346" priority="4707">
      <formula>$C43="Expences"</formula>
    </cfRule>
    <cfRule type="expression" dxfId="7345" priority="4708">
      <formula>$C43="Garlic Purchase"</formula>
    </cfRule>
    <cfRule type="expression" dxfId="7344" priority="4709">
      <formula>$C43="Ginger Purchase"</formula>
    </cfRule>
  </conditionalFormatting>
  <conditionalFormatting sqref="B43 B45 B47 B51 B49 B53 B57 B61">
    <cfRule type="expression" dxfId="7343" priority="4710">
      <formula>$C43="Advance"</formula>
    </cfRule>
  </conditionalFormatting>
  <conditionalFormatting sqref="B43 B45 B47 B51 B49 B53 B57 B61">
    <cfRule type="expression" dxfId="7342" priority="4691">
      <formula>$C43="Delivery charge"</formula>
    </cfRule>
    <cfRule type="expression" dxfId="7341" priority="4692">
      <formula>$C43="Staff Salary"</formula>
    </cfRule>
    <cfRule type="expression" dxfId="7340" priority="4693">
      <formula>$C43="Rent"</formula>
    </cfRule>
    <cfRule type="expression" dxfId="7339" priority="4694">
      <formula>$C43="Petrol"</formula>
    </cfRule>
    <cfRule type="expression" dxfId="7338" priority="4695">
      <formula>$C43="Bills"</formula>
    </cfRule>
    <cfRule type="expression" dxfId="7337" priority="4696">
      <formula>$C43="Sales"</formula>
    </cfRule>
    <cfRule type="expression" dxfId="7336" priority="4697">
      <formula>$C43="Expences"</formula>
    </cfRule>
    <cfRule type="expression" dxfId="7335" priority="4698">
      <formula>$C43="Garlic Purchase"</formula>
    </cfRule>
    <cfRule type="expression" dxfId="7334" priority="4699">
      <formula>$C43="Ginger Purchase"</formula>
    </cfRule>
  </conditionalFormatting>
  <conditionalFormatting sqref="B43 B45 B47 B51 B49 B53 B57 B61">
    <cfRule type="expression" dxfId="7333" priority="4700">
      <formula>$C43="Advance"</formula>
    </cfRule>
  </conditionalFormatting>
  <conditionalFormatting sqref="B43 B45 B47 B51 B49 B53 B57 B61">
    <cfRule type="expression" dxfId="7332" priority="4681">
      <formula>$C43="Delivery charge"</formula>
    </cfRule>
    <cfRule type="expression" dxfId="7331" priority="4682">
      <formula>$C43="Staff Salary"</formula>
    </cfRule>
    <cfRule type="expression" dxfId="7330" priority="4683">
      <formula>$C43="Rent"</formula>
    </cfRule>
    <cfRule type="expression" dxfId="7329" priority="4684">
      <formula>$C43="Petrol"</formula>
    </cfRule>
    <cfRule type="expression" dxfId="7328" priority="4685">
      <formula>$C43="Bills"</formula>
    </cfRule>
    <cfRule type="expression" dxfId="7327" priority="4686">
      <formula>$C43="Sales"</formula>
    </cfRule>
    <cfRule type="expression" dxfId="7326" priority="4687">
      <formula>$C43="Expences"</formula>
    </cfRule>
    <cfRule type="expression" dxfId="7325" priority="4688">
      <formula>$C43="Garlic Purchase"</formula>
    </cfRule>
    <cfRule type="expression" dxfId="7324" priority="4689">
      <formula>$C43="Ginger Purchase"</formula>
    </cfRule>
  </conditionalFormatting>
  <conditionalFormatting sqref="B43 B45 B47 B51 B49 B53 B57 B61">
    <cfRule type="expression" dxfId="7323" priority="4690">
      <formula>$C43="Advance"</formula>
    </cfRule>
  </conditionalFormatting>
  <conditionalFormatting sqref="B43 B45 B47 B51 B49 B53 B57 B61">
    <cfRule type="expression" dxfId="7322" priority="4671">
      <formula>$C43="Delivery charge"</formula>
    </cfRule>
    <cfRule type="expression" dxfId="7321" priority="4672">
      <formula>$C43="Staff Salary"</formula>
    </cfRule>
    <cfRule type="expression" dxfId="7320" priority="4673">
      <formula>$C43="Rent"</formula>
    </cfRule>
    <cfRule type="expression" dxfId="7319" priority="4674">
      <formula>$C43="Petrol"</formula>
    </cfRule>
    <cfRule type="expression" dxfId="7318" priority="4675">
      <formula>$C43="Bills"</formula>
    </cfRule>
    <cfRule type="expression" dxfId="7317" priority="4676">
      <formula>$C43="Sales"</formula>
    </cfRule>
    <cfRule type="expression" dxfId="7316" priority="4677">
      <formula>$C43="Expences"</formula>
    </cfRule>
    <cfRule type="expression" dxfId="7315" priority="4678">
      <formula>$C43="Garlic Purchase"</formula>
    </cfRule>
    <cfRule type="expression" dxfId="7314" priority="4679">
      <formula>$C43="Ginger Purchase"</formula>
    </cfRule>
  </conditionalFormatting>
  <conditionalFormatting sqref="B43 B45 B47 B51 B49 B53 B57 B61">
    <cfRule type="expression" dxfId="7313" priority="4680">
      <formula>$C43="Advance"</formula>
    </cfRule>
  </conditionalFormatting>
  <conditionalFormatting sqref="B43 B45 B47 B51 B49 B53 B57 B61">
    <cfRule type="expression" dxfId="7312" priority="4661">
      <formula>$C43="Delivery charge"</formula>
    </cfRule>
    <cfRule type="expression" dxfId="7311" priority="4662">
      <formula>$C43="Staff Salary"</formula>
    </cfRule>
    <cfRule type="expression" dxfId="7310" priority="4663">
      <formula>$C43="Rent"</formula>
    </cfRule>
    <cfRule type="expression" dxfId="7309" priority="4664">
      <formula>$C43="Petrol"</formula>
    </cfRule>
    <cfRule type="expression" dxfId="7308" priority="4665">
      <formula>$C43="Bills"</formula>
    </cfRule>
    <cfRule type="expression" dxfId="7307" priority="4666">
      <formula>$C43="Sales"</formula>
    </cfRule>
    <cfRule type="expression" dxfId="7306" priority="4667">
      <formula>$C43="Expences"</formula>
    </cfRule>
    <cfRule type="expression" dxfId="7305" priority="4668">
      <formula>$C43="Garlic Purchase"</formula>
    </cfRule>
    <cfRule type="expression" dxfId="7304" priority="4669">
      <formula>$C43="Ginger Purchase"</formula>
    </cfRule>
  </conditionalFormatting>
  <conditionalFormatting sqref="B43 B45 B47 B51 B49 B53 B57 B61">
    <cfRule type="expression" dxfId="7303" priority="4670">
      <formula>$C43="Advance"</formula>
    </cfRule>
  </conditionalFormatting>
  <conditionalFormatting sqref="B43 B45 B47 B51 B49 B53 B57 B61">
    <cfRule type="expression" dxfId="7302" priority="4651">
      <formula>$C43="Delivery charge"</formula>
    </cfRule>
    <cfRule type="expression" dxfId="7301" priority="4652">
      <formula>$C43="Staff Salary"</formula>
    </cfRule>
    <cfRule type="expression" dxfId="7300" priority="4653">
      <formula>$C43="Rent"</formula>
    </cfRule>
    <cfRule type="expression" dxfId="7299" priority="4654">
      <formula>$C43="Petrol"</formula>
    </cfRule>
    <cfRule type="expression" dxfId="7298" priority="4655">
      <formula>$C43="Bills"</formula>
    </cfRule>
    <cfRule type="expression" dxfId="7297" priority="4656">
      <formula>$C43="Sales"</formula>
    </cfRule>
    <cfRule type="expression" dxfId="7296" priority="4657">
      <formula>$C43="Expences"</formula>
    </cfRule>
    <cfRule type="expression" dxfId="7295" priority="4658">
      <formula>$C43="Garlic Purchase"</formula>
    </cfRule>
    <cfRule type="expression" dxfId="7294" priority="4659">
      <formula>$C43="Ginger Purchase"</formula>
    </cfRule>
  </conditionalFormatting>
  <conditionalFormatting sqref="B43 B45 B47 B51 B49 B53 B57 B61">
    <cfRule type="expression" dxfId="7293" priority="4660">
      <formula>$C43="Advance"</formula>
    </cfRule>
  </conditionalFormatting>
  <conditionalFormatting sqref="B44 B46 B48 B52 B50 B54 B56 B60 B58 B62">
    <cfRule type="expression" dxfId="7292" priority="4450">
      <formula>$C44="Advance"</formula>
    </cfRule>
  </conditionalFormatting>
  <conditionalFormatting sqref="B44 B46 B48 B52 B50 B54 B56 B60 B58 B62">
    <cfRule type="expression" dxfId="7291" priority="4641">
      <formula>$C44="Delivery charge"</formula>
    </cfRule>
    <cfRule type="expression" dxfId="7290" priority="4642">
      <formula>$C44="Staff Salary"</formula>
    </cfRule>
    <cfRule type="expression" dxfId="7289" priority="4643">
      <formula>$C44="Rent"</formula>
    </cfRule>
    <cfRule type="expression" dxfId="7288" priority="4644">
      <formula>$C44="Petrol"</formula>
    </cfRule>
    <cfRule type="expression" dxfId="7287" priority="4645">
      <formula>$C44="Bills"</formula>
    </cfRule>
    <cfRule type="expression" dxfId="7286" priority="4646">
      <formula>$C44="Sales"</formula>
    </cfRule>
    <cfRule type="expression" dxfId="7285" priority="4647">
      <formula>$C44="Expences"</formula>
    </cfRule>
    <cfRule type="expression" dxfId="7284" priority="4648">
      <formula>$C44="Garlic Purchase"</formula>
    </cfRule>
    <cfRule type="expression" dxfId="7283" priority="4649">
      <formula>$C44="Ginger Purchase"</formula>
    </cfRule>
  </conditionalFormatting>
  <conditionalFormatting sqref="B44 B46 B48 B52 B50 B54 B56 B60 B58 B62">
    <cfRule type="expression" dxfId="7282" priority="4650">
      <formula>$C44="Advance"</formula>
    </cfRule>
  </conditionalFormatting>
  <conditionalFormatting sqref="B43 B45 B47 B51 B49 B53 B57 B61">
    <cfRule type="expression" dxfId="7281" priority="4631">
      <formula>$C43="Delivery charge"</formula>
    </cfRule>
    <cfRule type="expression" dxfId="7280" priority="4632">
      <formula>$C43="Staff Salary"</formula>
    </cfRule>
    <cfRule type="expression" dxfId="7279" priority="4633">
      <formula>$C43="Rent"</formula>
    </cfRule>
    <cfRule type="expression" dxfId="7278" priority="4634">
      <formula>$C43="Petrol"</formula>
    </cfRule>
    <cfRule type="expression" dxfId="7277" priority="4635">
      <formula>$C43="Bills"</formula>
    </cfRule>
    <cfRule type="expression" dxfId="7276" priority="4636">
      <formula>$C43="Sales"</formula>
    </cfRule>
    <cfRule type="expression" dxfId="7275" priority="4637">
      <formula>$C43="Expences"</formula>
    </cfRule>
    <cfRule type="expression" dxfId="7274" priority="4638">
      <formula>$C43="Garlic Purchase"</formula>
    </cfRule>
    <cfRule type="expression" dxfId="7273" priority="4639">
      <formula>$C43="Ginger Purchase"</formula>
    </cfRule>
  </conditionalFormatting>
  <conditionalFormatting sqref="B43 B45 B47 B51 B49 B53 B57 B61">
    <cfRule type="expression" dxfId="7272" priority="4640">
      <formula>$C43="Advance"</formula>
    </cfRule>
  </conditionalFormatting>
  <conditionalFormatting sqref="B43 B45 B47 B51 B49 B53 B57 B61">
    <cfRule type="expression" dxfId="7271" priority="4621">
      <formula>$C43="Delivery charge"</formula>
    </cfRule>
    <cfRule type="expression" dxfId="7270" priority="4622">
      <formula>$C43="Staff Salary"</formula>
    </cfRule>
    <cfRule type="expression" dxfId="7269" priority="4623">
      <formula>$C43="Rent"</formula>
    </cfRule>
    <cfRule type="expression" dxfId="7268" priority="4624">
      <formula>$C43="Petrol"</formula>
    </cfRule>
    <cfRule type="expression" dxfId="7267" priority="4625">
      <formula>$C43="Bills"</formula>
    </cfRule>
    <cfRule type="expression" dxfId="7266" priority="4626">
      <formula>$C43="Sales"</formula>
    </cfRule>
    <cfRule type="expression" dxfId="7265" priority="4627">
      <formula>$C43="Expences"</formula>
    </cfRule>
    <cfRule type="expression" dxfId="7264" priority="4628">
      <formula>$C43="Garlic Purchase"</formula>
    </cfRule>
    <cfRule type="expression" dxfId="7263" priority="4629">
      <formula>$C43="Ginger Purchase"</formula>
    </cfRule>
  </conditionalFormatting>
  <conditionalFormatting sqref="B43 B45 B47 B51 B49 B53 B57 B61">
    <cfRule type="expression" dxfId="7262" priority="4630">
      <formula>$C43="Advance"</formula>
    </cfRule>
  </conditionalFormatting>
  <conditionalFormatting sqref="B43 B45 B47 B51 B49 B53 B57 B61">
    <cfRule type="expression" dxfId="7261" priority="4611">
      <formula>$C43="Delivery charge"</formula>
    </cfRule>
    <cfRule type="expression" dxfId="7260" priority="4612">
      <formula>$C43="Staff Salary"</formula>
    </cfRule>
    <cfRule type="expression" dxfId="7259" priority="4613">
      <formula>$C43="Rent"</formula>
    </cfRule>
    <cfRule type="expression" dxfId="7258" priority="4614">
      <formula>$C43="Petrol"</formula>
    </cfRule>
    <cfRule type="expression" dxfId="7257" priority="4615">
      <formula>$C43="Bills"</formula>
    </cfRule>
    <cfRule type="expression" dxfId="7256" priority="4616">
      <formula>$C43="Sales"</formula>
    </cfRule>
    <cfRule type="expression" dxfId="7255" priority="4617">
      <formula>$C43="Expences"</formula>
    </cfRule>
    <cfRule type="expression" dxfId="7254" priority="4618">
      <formula>$C43="Garlic Purchase"</formula>
    </cfRule>
    <cfRule type="expression" dxfId="7253" priority="4619">
      <formula>$C43="Ginger Purchase"</formula>
    </cfRule>
  </conditionalFormatting>
  <conditionalFormatting sqref="B43 B45 B47 B51 B49 B53 B57 B61">
    <cfRule type="expression" dxfId="7252" priority="4620">
      <formula>$C43="Advance"</formula>
    </cfRule>
  </conditionalFormatting>
  <conditionalFormatting sqref="B43 B45 B47 B51 B49 B53 B57 B61">
    <cfRule type="expression" dxfId="7251" priority="4601">
      <formula>$C43="Delivery charge"</formula>
    </cfRule>
    <cfRule type="expression" dxfId="7250" priority="4602">
      <formula>$C43="Staff Salary"</formula>
    </cfRule>
    <cfRule type="expression" dxfId="7249" priority="4603">
      <formula>$C43="Rent"</formula>
    </cfRule>
    <cfRule type="expression" dxfId="7248" priority="4604">
      <formula>$C43="Petrol"</formula>
    </cfRule>
    <cfRule type="expression" dxfId="7247" priority="4605">
      <formula>$C43="Bills"</formula>
    </cfRule>
    <cfRule type="expression" dxfId="7246" priority="4606">
      <formula>$C43="Sales"</formula>
    </cfRule>
    <cfRule type="expression" dxfId="7245" priority="4607">
      <formula>$C43="Expences"</formula>
    </cfRule>
    <cfRule type="expression" dxfId="7244" priority="4608">
      <formula>$C43="Garlic Purchase"</formula>
    </cfRule>
    <cfRule type="expression" dxfId="7243" priority="4609">
      <formula>$C43="Ginger Purchase"</formula>
    </cfRule>
  </conditionalFormatting>
  <conditionalFormatting sqref="B43 B45 B47 B51 B49 B53 B57 B61">
    <cfRule type="expression" dxfId="7242" priority="4610">
      <formula>$C43="Advance"</formula>
    </cfRule>
  </conditionalFormatting>
  <conditionalFormatting sqref="B44 B46 B48 B52 B50 B54 B56 B60 B58 B62">
    <cfRule type="expression" dxfId="7241" priority="4591">
      <formula>$C44="Delivery charge"</formula>
    </cfRule>
    <cfRule type="expression" dxfId="7240" priority="4592">
      <formula>$C44="Staff Salary"</formula>
    </cfRule>
    <cfRule type="expression" dxfId="7239" priority="4593">
      <formula>$C44="Rent"</formula>
    </cfRule>
    <cfRule type="expression" dxfId="7238" priority="4594">
      <formula>$C44="Petrol"</formula>
    </cfRule>
    <cfRule type="expression" dxfId="7237" priority="4595">
      <formula>$C44="Bills"</formula>
    </cfRule>
    <cfRule type="expression" dxfId="7236" priority="4596">
      <formula>$C44="Sales"</formula>
    </cfRule>
    <cfRule type="expression" dxfId="7235" priority="4597">
      <formula>$C44="Expences"</formula>
    </cfRule>
    <cfRule type="expression" dxfId="7234" priority="4598">
      <formula>$C44="Garlic Purchase"</formula>
    </cfRule>
    <cfRule type="expression" dxfId="7233" priority="4599">
      <formula>$C44="Ginger Purchase"</formula>
    </cfRule>
  </conditionalFormatting>
  <conditionalFormatting sqref="B44 B46 B48 B52 B50 B54 B56 B60 B58 B62">
    <cfRule type="expression" dxfId="7232" priority="4600">
      <formula>$C44="Advance"</formula>
    </cfRule>
  </conditionalFormatting>
  <conditionalFormatting sqref="B44 B46 B48 B52 B50 B54 B56 B60 B58 B62">
    <cfRule type="expression" dxfId="7231" priority="4581">
      <formula>$C44="Delivery charge"</formula>
    </cfRule>
    <cfRule type="expression" dxfId="7230" priority="4582">
      <formula>$C44="Staff Salary"</formula>
    </cfRule>
    <cfRule type="expression" dxfId="7229" priority="4583">
      <formula>$C44="Rent"</formula>
    </cfRule>
    <cfRule type="expression" dxfId="7228" priority="4584">
      <formula>$C44="Petrol"</formula>
    </cfRule>
    <cfRule type="expression" dxfId="7227" priority="4585">
      <formula>$C44="Bills"</formula>
    </cfRule>
    <cfRule type="expression" dxfId="7226" priority="4586">
      <formula>$C44="Sales"</formula>
    </cfRule>
    <cfRule type="expression" dxfId="7225" priority="4587">
      <formula>$C44="Expences"</formula>
    </cfRule>
    <cfRule type="expression" dxfId="7224" priority="4588">
      <formula>$C44="Garlic Purchase"</formula>
    </cfRule>
    <cfRule type="expression" dxfId="7223" priority="4589">
      <formula>$C44="Ginger Purchase"</formula>
    </cfRule>
  </conditionalFormatting>
  <conditionalFormatting sqref="B44 B46 B48 B52 B50 B54 B56 B60 B58 B62">
    <cfRule type="expression" dxfId="7222" priority="4590">
      <formula>$C44="Advance"</formula>
    </cfRule>
  </conditionalFormatting>
  <conditionalFormatting sqref="B44 B46 B48 B52 B50 B54 B56 B60 B58 B62">
    <cfRule type="expression" dxfId="7221" priority="4571">
      <formula>$C44="Delivery charge"</formula>
    </cfRule>
    <cfRule type="expression" dxfId="7220" priority="4572">
      <formula>$C44="Staff Salary"</formula>
    </cfRule>
    <cfRule type="expression" dxfId="7219" priority="4573">
      <formula>$C44="Rent"</formula>
    </cfRule>
    <cfRule type="expression" dxfId="7218" priority="4574">
      <formula>$C44="Petrol"</formula>
    </cfRule>
    <cfRule type="expression" dxfId="7217" priority="4575">
      <formula>$C44="Bills"</formula>
    </cfRule>
    <cfRule type="expression" dxfId="7216" priority="4576">
      <formula>$C44="Sales"</formula>
    </cfRule>
    <cfRule type="expression" dxfId="7215" priority="4577">
      <formula>$C44="Expences"</formula>
    </cfRule>
    <cfRule type="expression" dxfId="7214" priority="4578">
      <formula>$C44="Garlic Purchase"</formula>
    </cfRule>
    <cfRule type="expression" dxfId="7213" priority="4579">
      <formula>$C44="Ginger Purchase"</formula>
    </cfRule>
  </conditionalFormatting>
  <conditionalFormatting sqref="B44 B46 B48 B52 B50 B54 B56 B60 B58 B62">
    <cfRule type="expression" dxfId="7212" priority="4580">
      <formula>$C44="Advance"</formula>
    </cfRule>
  </conditionalFormatting>
  <conditionalFormatting sqref="B44 B46 B48 B52 B50 B54 B56 B60 B58 B62">
    <cfRule type="expression" dxfId="7211" priority="4561">
      <formula>$C44="Delivery charge"</formula>
    </cfRule>
    <cfRule type="expression" dxfId="7210" priority="4562">
      <formula>$C44="Staff Salary"</formula>
    </cfRule>
    <cfRule type="expression" dxfId="7209" priority="4563">
      <formula>$C44="Rent"</formula>
    </cfRule>
    <cfRule type="expression" dxfId="7208" priority="4564">
      <formula>$C44="Petrol"</formula>
    </cfRule>
    <cfRule type="expression" dxfId="7207" priority="4565">
      <formula>$C44="Bills"</formula>
    </cfRule>
    <cfRule type="expression" dxfId="7206" priority="4566">
      <formula>$C44="Sales"</formula>
    </cfRule>
    <cfRule type="expression" dxfId="7205" priority="4567">
      <formula>$C44="Expences"</formula>
    </cfRule>
    <cfRule type="expression" dxfId="7204" priority="4568">
      <formula>$C44="Garlic Purchase"</formula>
    </cfRule>
    <cfRule type="expression" dxfId="7203" priority="4569">
      <formula>$C44="Ginger Purchase"</formula>
    </cfRule>
  </conditionalFormatting>
  <conditionalFormatting sqref="B44 B46 B48 B52 B50 B54 B56 B60 B58 B62">
    <cfRule type="expression" dxfId="7202" priority="4570">
      <formula>$C44="Advance"</formula>
    </cfRule>
  </conditionalFormatting>
  <conditionalFormatting sqref="B43 B45 B47 B51 B49 B53 B57 B61">
    <cfRule type="expression" dxfId="7201" priority="4560">
      <formula>$C43="Advance"</formula>
    </cfRule>
  </conditionalFormatting>
  <conditionalFormatting sqref="B43 B45 B47 B51 B49 B53 B57 B61">
    <cfRule type="expression" dxfId="7200" priority="4551">
      <formula>$C43="Delivery charge"</formula>
    </cfRule>
    <cfRule type="expression" dxfId="7199" priority="4552">
      <formula>$C43="Staff Salary"</formula>
    </cfRule>
    <cfRule type="expression" dxfId="7198" priority="4553">
      <formula>$C43="Rent"</formula>
    </cfRule>
    <cfRule type="expression" dxfId="7197" priority="4554">
      <formula>$C43="Petrol"</formula>
    </cfRule>
    <cfRule type="expression" dxfId="7196" priority="4555">
      <formula>$C43="Bills"</formula>
    </cfRule>
    <cfRule type="expression" dxfId="7195" priority="4556">
      <formula>$C43="Sales"</formula>
    </cfRule>
    <cfRule type="expression" dxfId="7194" priority="4557">
      <formula>$C43="Expences"</formula>
    </cfRule>
    <cfRule type="expression" dxfId="7193" priority="4558">
      <formula>$C43="Garlic Purchase"</formula>
    </cfRule>
    <cfRule type="expression" dxfId="7192" priority="4559">
      <formula>$C43="Ginger Purchase"</formula>
    </cfRule>
  </conditionalFormatting>
  <conditionalFormatting sqref="B44 B46 B48 B52 B50 B54 B56 B60 B58 B62">
    <cfRule type="expression" dxfId="7191" priority="4541">
      <formula>$C44="Delivery charge"</formula>
    </cfRule>
    <cfRule type="expression" dxfId="7190" priority="4542">
      <formula>$C44="Staff Salary"</formula>
    </cfRule>
    <cfRule type="expression" dxfId="7189" priority="4543">
      <formula>$C44="Rent"</formula>
    </cfRule>
    <cfRule type="expression" dxfId="7188" priority="4544">
      <formula>$C44="Petrol"</formula>
    </cfRule>
    <cfRule type="expression" dxfId="7187" priority="4545">
      <formula>$C44="Bills"</formula>
    </cfRule>
    <cfRule type="expression" dxfId="7186" priority="4546">
      <formula>$C44="Sales"</formula>
    </cfRule>
    <cfRule type="expression" dxfId="7185" priority="4547">
      <formula>$C44="Expences"</formula>
    </cfRule>
    <cfRule type="expression" dxfId="7184" priority="4548">
      <formula>$C44="Garlic Purchase"</formula>
    </cfRule>
    <cfRule type="expression" dxfId="7183" priority="4549">
      <formula>$C44="Ginger Purchase"</formula>
    </cfRule>
  </conditionalFormatting>
  <conditionalFormatting sqref="B44 B46 B48 B52 B50 B54 B56 B60 B58 B62">
    <cfRule type="expression" dxfId="7182" priority="4550">
      <formula>$C44="Advance"</formula>
    </cfRule>
  </conditionalFormatting>
  <conditionalFormatting sqref="B44 B46 B48 B52 B50 B54 B56 B60 B58 B62">
    <cfRule type="expression" dxfId="7181" priority="4531">
      <formula>$C44="Delivery charge"</formula>
    </cfRule>
    <cfRule type="expression" dxfId="7180" priority="4532">
      <formula>$C44="Staff Salary"</formula>
    </cfRule>
    <cfRule type="expression" dxfId="7179" priority="4533">
      <formula>$C44="Rent"</formula>
    </cfRule>
    <cfRule type="expression" dxfId="7178" priority="4534">
      <formula>$C44="Petrol"</formula>
    </cfRule>
    <cfRule type="expression" dxfId="7177" priority="4535">
      <formula>$C44="Bills"</formula>
    </cfRule>
    <cfRule type="expression" dxfId="7176" priority="4536">
      <formula>$C44="Sales"</formula>
    </cfRule>
    <cfRule type="expression" dxfId="7175" priority="4537">
      <formula>$C44="Expences"</formula>
    </cfRule>
    <cfRule type="expression" dxfId="7174" priority="4538">
      <formula>$C44="Garlic Purchase"</formula>
    </cfRule>
    <cfRule type="expression" dxfId="7173" priority="4539">
      <formula>$C44="Ginger Purchase"</formula>
    </cfRule>
  </conditionalFormatting>
  <conditionalFormatting sqref="B44 B46 B48 B52 B50 B54 B56 B60 B58 B62">
    <cfRule type="expression" dxfId="7172" priority="4540">
      <formula>$C44="Advance"</formula>
    </cfRule>
  </conditionalFormatting>
  <conditionalFormatting sqref="B44 B46 B48 B52 B50 B54 B56 B60 B58 B62">
    <cfRule type="expression" dxfId="7171" priority="4521">
      <formula>$C44="Delivery charge"</formula>
    </cfRule>
    <cfRule type="expression" dxfId="7170" priority="4522">
      <formula>$C44="Staff Salary"</formula>
    </cfRule>
    <cfRule type="expression" dxfId="7169" priority="4523">
      <formula>$C44="Rent"</formula>
    </cfRule>
    <cfRule type="expression" dxfId="7168" priority="4524">
      <formula>$C44="Petrol"</formula>
    </cfRule>
    <cfRule type="expression" dxfId="7167" priority="4525">
      <formula>$C44="Bills"</formula>
    </cfRule>
    <cfRule type="expression" dxfId="7166" priority="4526">
      <formula>$C44="Sales"</formula>
    </cfRule>
    <cfRule type="expression" dxfId="7165" priority="4527">
      <formula>$C44="Expences"</formula>
    </cfRule>
    <cfRule type="expression" dxfId="7164" priority="4528">
      <formula>$C44="Garlic Purchase"</formula>
    </cfRule>
    <cfRule type="expression" dxfId="7163" priority="4529">
      <formula>$C44="Ginger Purchase"</formula>
    </cfRule>
  </conditionalFormatting>
  <conditionalFormatting sqref="B44 B46 B48 B52 B50 B54 B56 B60 B58 B62">
    <cfRule type="expression" dxfId="7162" priority="4530">
      <formula>$C44="Advance"</formula>
    </cfRule>
  </conditionalFormatting>
  <conditionalFormatting sqref="B44 B46 B48 B52 B50 B54 B56 B60 B58 B62">
    <cfRule type="expression" dxfId="7161" priority="4511">
      <formula>$C44="Delivery charge"</formula>
    </cfRule>
    <cfRule type="expression" dxfId="7160" priority="4512">
      <formula>$C44="Staff Salary"</formula>
    </cfRule>
    <cfRule type="expression" dxfId="7159" priority="4513">
      <formula>$C44="Rent"</formula>
    </cfRule>
    <cfRule type="expression" dxfId="7158" priority="4514">
      <formula>$C44="Petrol"</formula>
    </cfRule>
    <cfRule type="expression" dxfId="7157" priority="4515">
      <formula>$C44="Bills"</formula>
    </cfRule>
    <cfRule type="expression" dxfId="7156" priority="4516">
      <formula>$C44="Sales"</formula>
    </cfRule>
    <cfRule type="expression" dxfId="7155" priority="4517">
      <formula>$C44="Expences"</formula>
    </cfRule>
    <cfRule type="expression" dxfId="7154" priority="4518">
      <formula>$C44="Garlic Purchase"</formula>
    </cfRule>
    <cfRule type="expression" dxfId="7153" priority="4519">
      <formula>$C44="Ginger Purchase"</formula>
    </cfRule>
  </conditionalFormatting>
  <conditionalFormatting sqref="B44 B46 B48 B52 B50 B54 B56 B60 B58 B62">
    <cfRule type="expression" dxfId="7152" priority="4520">
      <formula>$C44="Advance"</formula>
    </cfRule>
  </conditionalFormatting>
  <conditionalFormatting sqref="B44 B46 B48 B52 B50 B54 B56 B60 B58 B62">
    <cfRule type="expression" dxfId="7151" priority="4501">
      <formula>$C44="Delivery charge"</formula>
    </cfRule>
    <cfRule type="expression" dxfId="7150" priority="4502">
      <formula>$C44="Staff Salary"</formula>
    </cfRule>
    <cfRule type="expression" dxfId="7149" priority="4503">
      <formula>$C44="Rent"</formula>
    </cfRule>
    <cfRule type="expression" dxfId="7148" priority="4504">
      <formula>$C44="Petrol"</formula>
    </cfRule>
    <cfRule type="expression" dxfId="7147" priority="4505">
      <formula>$C44="Bills"</formula>
    </cfRule>
    <cfRule type="expression" dxfId="7146" priority="4506">
      <formula>$C44="Sales"</formula>
    </cfRule>
    <cfRule type="expression" dxfId="7145" priority="4507">
      <formula>$C44="Expences"</formula>
    </cfRule>
    <cfRule type="expression" dxfId="7144" priority="4508">
      <formula>$C44="Garlic Purchase"</formula>
    </cfRule>
    <cfRule type="expression" dxfId="7143" priority="4509">
      <formula>$C44="Ginger Purchase"</formula>
    </cfRule>
  </conditionalFormatting>
  <conditionalFormatting sqref="B44 B46 B48 B52 B50 B54 B56 B60 B58 B62">
    <cfRule type="expression" dxfId="7142" priority="4510">
      <formula>$C44="Advance"</formula>
    </cfRule>
  </conditionalFormatting>
  <conditionalFormatting sqref="B43 B45 B47 B51 B49 B53 B57 B61">
    <cfRule type="expression" dxfId="7141" priority="4491">
      <formula>$C43="Delivery charge"</formula>
    </cfRule>
    <cfRule type="expression" dxfId="7140" priority="4492">
      <formula>$C43="Staff Salary"</formula>
    </cfRule>
    <cfRule type="expression" dxfId="7139" priority="4493">
      <formula>$C43="Rent"</formula>
    </cfRule>
    <cfRule type="expression" dxfId="7138" priority="4494">
      <formula>$C43="Petrol"</formula>
    </cfRule>
    <cfRule type="expression" dxfId="7137" priority="4495">
      <formula>$C43="Bills"</formula>
    </cfRule>
    <cfRule type="expression" dxfId="7136" priority="4496">
      <formula>$C43="Sales"</formula>
    </cfRule>
    <cfRule type="expression" dxfId="7135" priority="4497">
      <formula>$C43="Expences"</formula>
    </cfRule>
    <cfRule type="expression" dxfId="7134" priority="4498">
      <formula>$C43="Garlic Purchase"</formula>
    </cfRule>
    <cfRule type="expression" dxfId="7133" priority="4499">
      <formula>$C43="Ginger Purchase"</formula>
    </cfRule>
  </conditionalFormatting>
  <conditionalFormatting sqref="B43 B45 B47 B51 B49 B53 B57 B61">
    <cfRule type="expression" dxfId="7132" priority="4500">
      <formula>$C43="Advance"</formula>
    </cfRule>
  </conditionalFormatting>
  <conditionalFormatting sqref="B43 B45 B47 B51 B49 B53 B57 B61">
    <cfRule type="expression" dxfId="7131" priority="4481">
      <formula>$C43="Delivery charge"</formula>
    </cfRule>
    <cfRule type="expression" dxfId="7130" priority="4482">
      <formula>$C43="Staff Salary"</formula>
    </cfRule>
    <cfRule type="expression" dxfId="7129" priority="4483">
      <formula>$C43="Rent"</formula>
    </cfRule>
    <cfRule type="expression" dxfId="7128" priority="4484">
      <formula>$C43="Petrol"</formula>
    </cfRule>
    <cfRule type="expression" dxfId="7127" priority="4485">
      <formula>$C43="Bills"</formula>
    </cfRule>
    <cfRule type="expression" dxfId="7126" priority="4486">
      <formula>$C43="Sales"</formula>
    </cfRule>
    <cfRule type="expression" dxfId="7125" priority="4487">
      <formula>$C43="Expences"</formula>
    </cfRule>
    <cfRule type="expression" dxfId="7124" priority="4488">
      <formula>$C43="Garlic Purchase"</formula>
    </cfRule>
    <cfRule type="expression" dxfId="7123" priority="4489">
      <formula>$C43="Ginger Purchase"</formula>
    </cfRule>
  </conditionalFormatting>
  <conditionalFormatting sqref="B43 B45 B47 B51 B49 B53 B57 B61">
    <cfRule type="expression" dxfId="7122" priority="4490">
      <formula>$C43="Advance"</formula>
    </cfRule>
  </conditionalFormatting>
  <conditionalFormatting sqref="B43 B45 B47 B51 B49 B53 B57 B61">
    <cfRule type="expression" dxfId="7121" priority="4471">
      <formula>$C43="Delivery charge"</formula>
    </cfRule>
    <cfRule type="expression" dxfId="7120" priority="4472">
      <formula>$C43="Staff Salary"</formula>
    </cfRule>
    <cfRule type="expression" dxfId="7119" priority="4473">
      <formula>$C43="Rent"</formula>
    </cfRule>
    <cfRule type="expression" dxfId="7118" priority="4474">
      <formula>$C43="Petrol"</formula>
    </cfRule>
    <cfRule type="expression" dxfId="7117" priority="4475">
      <formula>$C43="Bills"</formula>
    </cfRule>
    <cfRule type="expression" dxfId="7116" priority="4476">
      <formula>$C43="Sales"</formula>
    </cfRule>
    <cfRule type="expression" dxfId="7115" priority="4477">
      <formula>$C43="Expences"</formula>
    </cfRule>
    <cfRule type="expression" dxfId="7114" priority="4478">
      <formula>$C43="Garlic Purchase"</formula>
    </cfRule>
    <cfRule type="expression" dxfId="7113" priority="4479">
      <formula>$C43="Ginger Purchase"</formula>
    </cfRule>
  </conditionalFormatting>
  <conditionalFormatting sqref="B43 B45 B47 B51 B49 B53 B57 B61">
    <cfRule type="expression" dxfId="7112" priority="4480">
      <formula>$C43="Advance"</formula>
    </cfRule>
  </conditionalFormatting>
  <conditionalFormatting sqref="B43 B45 B47 B51 B49 B53 B57 B61">
    <cfRule type="expression" dxfId="7111" priority="4461">
      <formula>$C43="Delivery charge"</formula>
    </cfRule>
    <cfRule type="expression" dxfId="7110" priority="4462">
      <formula>$C43="Staff Salary"</formula>
    </cfRule>
    <cfRule type="expression" dxfId="7109" priority="4463">
      <formula>$C43="Rent"</formula>
    </cfRule>
    <cfRule type="expression" dxfId="7108" priority="4464">
      <formula>$C43="Petrol"</formula>
    </cfRule>
    <cfRule type="expression" dxfId="7107" priority="4465">
      <formula>$C43="Bills"</formula>
    </cfRule>
    <cfRule type="expression" dxfId="7106" priority="4466">
      <formula>$C43="Sales"</formula>
    </cfRule>
    <cfRule type="expression" dxfId="7105" priority="4467">
      <formula>$C43="Expences"</formula>
    </cfRule>
    <cfRule type="expression" dxfId="7104" priority="4468">
      <formula>$C43="Garlic Purchase"</formula>
    </cfRule>
    <cfRule type="expression" dxfId="7103" priority="4469">
      <formula>$C43="Ginger Purchase"</formula>
    </cfRule>
  </conditionalFormatting>
  <conditionalFormatting sqref="B43 B45 B47 B51 B49 B53 B57 B61">
    <cfRule type="expression" dxfId="7102" priority="4470">
      <formula>$C43="Advance"</formula>
    </cfRule>
  </conditionalFormatting>
  <conditionalFormatting sqref="B43 B45 B47 B51 B49 B53 B57 B61">
    <cfRule type="expression" dxfId="7101" priority="4451">
      <formula>$C43="Delivery charge"</formula>
    </cfRule>
    <cfRule type="expression" dxfId="7100" priority="4452">
      <formula>$C43="Staff Salary"</formula>
    </cfRule>
    <cfRule type="expression" dxfId="7099" priority="4453">
      <formula>$C43="Rent"</formula>
    </cfRule>
    <cfRule type="expression" dxfId="7098" priority="4454">
      <formula>$C43="Petrol"</formula>
    </cfRule>
    <cfRule type="expression" dxfId="7097" priority="4455">
      <formula>$C43="Bills"</formula>
    </cfRule>
    <cfRule type="expression" dxfId="7096" priority="4456">
      <formula>$C43="Sales"</formula>
    </cfRule>
    <cfRule type="expression" dxfId="7095" priority="4457">
      <formula>$C43="Expences"</formula>
    </cfRule>
    <cfRule type="expression" dxfId="7094" priority="4458">
      <formula>$C43="Garlic Purchase"</formula>
    </cfRule>
    <cfRule type="expression" dxfId="7093" priority="4459">
      <formula>$C43="Ginger Purchase"</formula>
    </cfRule>
  </conditionalFormatting>
  <conditionalFormatting sqref="B43 B45 B47 B51 B49 B53 B57 B61">
    <cfRule type="expression" dxfId="7092" priority="4460">
      <formula>$C43="Advance"</formula>
    </cfRule>
  </conditionalFormatting>
  <conditionalFormatting sqref="B44 B46 B48 B52 B50 B54 B56 B60 B58 B62">
    <cfRule type="expression" dxfId="7091" priority="4441">
      <formula>$C44="Delivery charge"</formula>
    </cfRule>
    <cfRule type="expression" dxfId="7090" priority="4442">
      <formula>$C44="Staff Salary"</formula>
    </cfRule>
    <cfRule type="expression" dxfId="7089" priority="4443">
      <formula>$C44="Rent"</formula>
    </cfRule>
    <cfRule type="expression" dxfId="7088" priority="4444">
      <formula>$C44="Petrol"</formula>
    </cfRule>
    <cfRule type="expression" dxfId="7087" priority="4445">
      <formula>$C44="Bills"</formula>
    </cfRule>
    <cfRule type="expression" dxfId="7086" priority="4446">
      <formula>$C44="Sales"</formula>
    </cfRule>
    <cfRule type="expression" dxfId="7085" priority="4447">
      <formula>$C44="Expences"</formula>
    </cfRule>
    <cfRule type="expression" dxfId="7084" priority="4448">
      <formula>$C44="Garlic Purchase"</formula>
    </cfRule>
    <cfRule type="expression" dxfId="7083" priority="4449">
      <formula>$C44="Ginger Purchase"</formula>
    </cfRule>
  </conditionalFormatting>
  <conditionalFormatting sqref="B44 B46 B48 B52 B50 B54 B56 B60 B58 B62">
    <cfRule type="expression" dxfId="7082" priority="4431">
      <formula>$C44="Delivery charge"</formula>
    </cfRule>
    <cfRule type="expression" dxfId="7081" priority="4432">
      <formula>$C44="Staff Salary"</formula>
    </cfRule>
    <cfRule type="expression" dxfId="7080" priority="4433">
      <formula>$C44="Rent"</formula>
    </cfRule>
    <cfRule type="expression" dxfId="7079" priority="4434">
      <formula>$C44="Petrol"</formula>
    </cfRule>
    <cfRule type="expression" dxfId="7078" priority="4435">
      <formula>$C44="Bills"</formula>
    </cfRule>
    <cfRule type="expression" dxfId="7077" priority="4436">
      <formula>$C44="Sales"</formula>
    </cfRule>
    <cfRule type="expression" dxfId="7076" priority="4437">
      <formula>$C44="Expences"</formula>
    </cfRule>
    <cfRule type="expression" dxfId="7075" priority="4438">
      <formula>$C44="Garlic Purchase"</formula>
    </cfRule>
    <cfRule type="expression" dxfId="7074" priority="4439">
      <formula>$C44="Ginger Purchase"</formula>
    </cfRule>
  </conditionalFormatting>
  <conditionalFormatting sqref="B44 B46 B48 B52 B50 B54 B56 B60 B58 B62">
    <cfRule type="expression" dxfId="7073" priority="4440">
      <formula>$C44="Advance"</formula>
    </cfRule>
  </conditionalFormatting>
  <conditionalFormatting sqref="B44 B46 B48 B52 B50 B54 B56 B60 B58 B62">
    <cfRule type="expression" dxfId="7072" priority="4421">
      <formula>$C44="Delivery charge"</formula>
    </cfRule>
    <cfRule type="expression" dxfId="7071" priority="4422">
      <formula>$C44="Staff Salary"</formula>
    </cfRule>
    <cfRule type="expression" dxfId="7070" priority="4423">
      <formula>$C44="Rent"</formula>
    </cfRule>
    <cfRule type="expression" dxfId="7069" priority="4424">
      <formula>$C44="Petrol"</formula>
    </cfRule>
    <cfRule type="expression" dxfId="7068" priority="4425">
      <formula>$C44="Bills"</formula>
    </cfRule>
    <cfRule type="expression" dxfId="7067" priority="4426">
      <formula>$C44="Sales"</formula>
    </cfRule>
    <cfRule type="expression" dxfId="7066" priority="4427">
      <formula>$C44="Expences"</formula>
    </cfRule>
    <cfRule type="expression" dxfId="7065" priority="4428">
      <formula>$C44="Garlic Purchase"</formula>
    </cfRule>
    <cfRule type="expression" dxfId="7064" priority="4429">
      <formula>$C44="Ginger Purchase"</formula>
    </cfRule>
  </conditionalFormatting>
  <conditionalFormatting sqref="B44 B46 B48 B52 B50 B54 B56 B60 B58 B62">
    <cfRule type="expression" dxfId="7063" priority="4430">
      <formula>$C44="Advance"</formula>
    </cfRule>
  </conditionalFormatting>
  <conditionalFormatting sqref="B44 B46 B48 B52 B50 B54 B56 B60 B58 B62">
    <cfRule type="expression" dxfId="7062" priority="4411">
      <formula>$C44="Delivery charge"</formula>
    </cfRule>
    <cfRule type="expression" dxfId="7061" priority="4412">
      <formula>$C44="Staff Salary"</formula>
    </cfRule>
    <cfRule type="expression" dxfId="7060" priority="4413">
      <formula>$C44="Rent"</formula>
    </cfRule>
    <cfRule type="expression" dxfId="7059" priority="4414">
      <formula>$C44="Petrol"</formula>
    </cfRule>
    <cfRule type="expression" dxfId="7058" priority="4415">
      <formula>$C44="Bills"</formula>
    </cfRule>
    <cfRule type="expression" dxfId="7057" priority="4416">
      <formula>$C44="Sales"</formula>
    </cfRule>
    <cfRule type="expression" dxfId="7056" priority="4417">
      <formula>$C44="Expences"</formula>
    </cfRule>
    <cfRule type="expression" dxfId="7055" priority="4418">
      <formula>$C44="Garlic Purchase"</formula>
    </cfRule>
    <cfRule type="expression" dxfId="7054" priority="4419">
      <formula>$C44="Ginger Purchase"</formula>
    </cfRule>
  </conditionalFormatting>
  <conditionalFormatting sqref="B44 B46 B48 B52 B50 B54 B56 B60 B58 B62">
    <cfRule type="expression" dxfId="7053" priority="4420">
      <formula>$C44="Advance"</formula>
    </cfRule>
  </conditionalFormatting>
  <conditionalFormatting sqref="B44 B46 B48 B52 B50 B54 B56 B60 B58 B62">
    <cfRule type="expression" dxfId="7052" priority="4401">
      <formula>$C44="Delivery charge"</formula>
    </cfRule>
    <cfRule type="expression" dxfId="7051" priority="4402">
      <formula>$C44="Staff Salary"</formula>
    </cfRule>
    <cfRule type="expression" dxfId="7050" priority="4403">
      <formula>$C44="Rent"</formula>
    </cfRule>
    <cfRule type="expression" dxfId="7049" priority="4404">
      <formula>$C44="Petrol"</formula>
    </cfRule>
    <cfRule type="expression" dxfId="7048" priority="4405">
      <formula>$C44="Bills"</formula>
    </cfRule>
    <cfRule type="expression" dxfId="7047" priority="4406">
      <formula>$C44="Sales"</formula>
    </cfRule>
    <cfRule type="expression" dxfId="7046" priority="4407">
      <formula>$C44="Expences"</formula>
    </cfRule>
    <cfRule type="expression" dxfId="7045" priority="4408">
      <formula>$C44="Garlic Purchase"</formula>
    </cfRule>
    <cfRule type="expression" dxfId="7044" priority="4409">
      <formula>$C44="Ginger Purchase"</formula>
    </cfRule>
  </conditionalFormatting>
  <conditionalFormatting sqref="B44 B46 B48 B52 B50 B54 B56 B60 B58 B62">
    <cfRule type="expression" dxfId="7043" priority="4410">
      <formula>$C44="Advance"</formula>
    </cfRule>
  </conditionalFormatting>
  <conditionalFormatting sqref="B43 B45 B47 B51 B49 B53 B57 B61">
    <cfRule type="expression" dxfId="7042" priority="4391">
      <formula>$C43="Delivery charge"</formula>
    </cfRule>
    <cfRule type="expression" dxfId="7041" priority="4392">
      <formula>$C43="Staff Salary"</formula>
    </cfRule>
    <cfRule type="expression" dxfId="7040" priority="4393">
      <formula>$C43="Rent"</formula>
    </cfRule>
    <cfRule type="expression" dxfId="7039" priority="4394">
      <formula>$C43="Petrol"</formula>
    </cfRule>
    <cfRule type="expression" dxfId="7038" priority="4395">
      <formula>$C43="Bills"</formula>
    </cfRule>
    <cfRule type="expression" dxfId="7037" priority="4396">
      <formula>$C43="Sales"</formula>
    </cfRule>
    <cfRule type="expression" dxfId="7036" priority="4397">
      <formula>$C43="Expences"</formula>
    </cfRule>
    <cfRule type="expression" dxfId="7035" priority="4398">
      <formula>$C43="Garlic Purchase"</formula>
    </cfRule>
    <cfRule type="expression" dxfId="7034" priority="4399">
      <formula>$C43="Ginger Purchase"</formula>
    </cfRule>
  </conditionalFormatting>
  <conditionalFormatting sqref="B43 B45 B47 B51 B49 B53 B57 B61">
    <cfRule type="expression" dxfId="7033" priority="4400">
      <formula>$C43="Advance"</formula>
    </cfRule>
  </conditionalFormatting>
  <conditionalFormatting sqref="B43 B45 B47 B51 B49 B53 B57 B61">
    <cfRule type="expression" dxfId="7032" priority="4381">
      <formula>$C43="Delivery charge"</formula>
    </cfRule>
    <cfRule type="expression" dxfId="7031" priority="4382">
      <formula>$C43="Staff Salary"</formula>
    </cfRule>
    <cfRule type="expression" dxfId="7030" priority="4383">
      <formula>$C43="Rent"</formula>
    </cfRule>
    <cfRule type="expression" dxfId="7029" priority="4384">
      <formula>$C43="Petrol"</formula>
    </cfRule>
    <cfRule type="expression" dxfId="7028" priority="4385">
      <formula>$C43="Bills"</formula>
    </cfRule>
    <cfRule type="expression" dxfId="7027" priority="4386">
      <formula>$C43="Sales"</formula>
    </cfRule>
    <cfRule type="expression" dxfId="7026" priority="4387">
      <formula>$C43="Expences"</formula>
    </cfRule>
    <cfRule type="expression" dxfId="7025" priority="4388">
      <formula>$C43="Garlic Purchase"</formula>
    </cfRule>
    <cfRule type="expression" dxfId="7024" priority="4389">
      <formula>$C43="Ginger Purchase"</formula>
    </cfRule>
  </conditionalFormatting>
  <conditionalFormatting sqref="B43 B45 B47 B51 B49 B53 B57 B61">
    <cfRule type="expression" dxfId="7023" priority="4390">
      <formula>$C43="Advance"</formula>
    </cfRule>
  </conditionalFormatting>
  <conditionalFormatting sqref="B43 B45 B47 B51 B49 B53 B57 B61">
    <cfRule type="expression" dxfId="7022" priority="4371">
      <formula>$C43="Delivery charge"</formula>
    </cfRule>
    <cfRule type="expression" dxfId="7021" priority="4372">
      <formula>$C43="Staff Salary"</formula>
    </cfRule>
    <cfRule type="expression" dxfId="7020" priority="4373">
      <formula>$C43="Rent"</formula>
    </cfRule>
    <cfRule type="expression" dxfId="7019" priority="4374">
      <formula>$C43="Petrol"</formula>
    </cfRule>
    <cfRule type="expression" dxfId="7018" priority="4375">
      <formula>$C43="Bills"</formula>
    </cfRule>
    <cfRule type="expression" dxfId="7017" priority="4376">
      <formula>$C43="Sales"</formula>
    </cfRule>
    <cfRule type="expression" dxfId="7016" priority="4377">
      <formula>$C43="Expences"</formula>
    </cfRule>
    <cfRule type="expression" dxfId="7015" priority="4378">
      <formula>$C43="Garlic Purchase"</formula>
    </cfRule>
    <cfRule type="expression" dxfId="7014" priority="4379">
      <formula>$C43="Ginger Purchase"</formula>
    </cfRule>
  </conditionalFormatting>
  <conditionalFormatting sqref="B43 B45 B47 B51 B49 B53 B57 B61">
    <cfRule type="expression" dxfId="7013" priority="4380">
      <formula>$C43="Advance"</formula>
    </cfRule>
  </conditionalFormatting>
  <conditionalFormatting sqref="B43 B45 B47 B51 B49 B53 B57 B61">
    <cfRule type="expression" dxfId="7012" priority="4361">
      <formula>$C43="Delivery charge"</formula>
    </cfRule>
    <cfRule type="expression" dxfId="7011" priority="4362">
      <formula>$C43="Staff Salary"</formula>
    </cfRule>
    <cfRule type="expression" dxfId="7010" priority="4363">
      <formula>$C43="Rent"</formula>
    </cfRule>
    <cfRule type="expression" dxfId="7009" priority="4364">
      <formula>$C43="Petrol"</formula>
    </cfRule>
    <cfRule type="expression" dxfId="7008" priority="4365">
      <formula>$C43="Bills"</formula>
    </cfRule>
    <cfRule type="expression" dxfId="7007" priority="4366">
      <formula>$C43="Sales"</formula>
    </cfRule>
    <cfRule type="expression" dxfId="7006" priority="4367">
      <formula>$C43="Expences"</formula>
    </cfRule>
    <cfRule type="expression" dxfId="7005" priority="4368">
      <formula>$C43="Garlic Purchase"</formula>
    </cfRule>
    <cfRule type="expression" dxfId="7004" priority="4369">
      <formula>$C43="Ginger Purchase"</formula>
    </cfRule>
  </conditionalFormatting>
  <conditionalFormatting sqref="B43 B45 B47 B51 B49 B53 B57 B61">
    <cfRule type="expression" dxfId="7003" priority="4370">
      <formula>$C43="Advance"</formula>
    </cfRule>
  </conditionalFormatting>
  <conditionalFormatting sqref="B44 B46 B48 B52 B50 B54 B56 B60 B58 B62">
    <cfRule type="expression" dxfId="7002" priority="4351">
      <formula>$C44="Delivery charge"</formula>
    </cfRule>
    <cfRule type="expression" dxfId="7001" priority="4352">
      <formula>$C44="Staff Salary"</formula>
    </cfRule>
    <cfRule type="expression" dxfId="7000" priority="4353">
      <formula>$C44="Rent"</formula>
    </cfRule>
    <cfRule type="expression" dxfId="6999" priority="4354">
      <formula>$C44="Petrol"</formula>
    </cfRule>
    <cfRule type="expression" dxfId="6998" priority="4355">
      <formula>$C44="Bills"</formula>
    </cfRule>
    <cfRule type="expression" dxfId="6997" priority="4356">
      <formula>$C44="Sales"</formula>
    </cfRule>
    <cfRule type="expression" dxfId="6996" priority="4357">
      <formula>$C44="Expences"</formula>
    </cfRule>
    <cfRule type="expression" dxfId="6995" priority="4358">
      <formula>$C44="Garlic Purchase"</formula>
    </cfRule>
    <cfRule type="expression" dxfId="6994" priority="4359">
      <formula>$C44="Ginger Purchase"</formula>
    </cfRule>
  </conditionalFormatting>
  <conditionalFormatting sqref="B44 B46 B48 B52 B50 B54 B56 B60 B58 B62">
    <cfRule type="expression" dxfId="6993" priority="4360">
      <formula>$C44="Advance"</formula>
    </cfRule>
  </conditionalFormatting>
  <conditionalFormatting sqref="B43 B45 B47 B51 B49 B53 B57 B61">
    <cfRule type="expression" dxfId="6992" priority="4341">
      <formula>$C43="Delivery charge"</formula>
    </cfRule>
    <cfRule type="expression" dxfId="6991" priority="4342">
      <formula>$C43="Staff Salary"</formula>
    </cfRule>
    <cfRule type="expression" dxfId="6990" priority="4343">
      <formula>$C43="Rent"</formula>
    </cfRule>
    <cfRule type="expression" dxfId="6989" priority="4344">
      <formula>$C43="Petrol"</formula>
    </cfRule>
    <cfRule type="expression" dxfId="6988" priority="4345">
      <formula>$C43="Bills"</formula>
    </cfRule>
    <cfRule type="expression" dxfId="6987" priority="4346">
      <formula>$C43="Sales"</formula>
    </cfRule>
    <cfRule type="expression" dxfId="6986" priority="4347">
      <formula>$C43="Expences"</formula>
    </cfRule>
    <cfRule type="expression" dxfId="6985" priority="4348">
      <formula>$C43="Garlic Purchase"</formula>
    </cfRule>
    <cfRule type="expression" dxfId="6984" priority="4349">
      <formula>$C43="Ginger Purchase"</formula>
    </cfRule>
  </conditionalFormatting>
  <conditionalFormatting sqref="B43 B45 B47 B51 B49 B53 B57 B61">
    <cfRule type="expression" dxfId="6983" priority="4350">
      <formula>$C43="Advance"</formula>
    </cfRule>
  </conditionalFormatting>
  <conditionalFormatting sqref="B43 B45 B47 B51 B49 B53 B57 B61">
    <cfRule type="expression" dxfId="6982" priority="4331">
      <formula>$C43="Delivery charge"</formula>
    </cfRule>
    <cfRule type="expression" dxfId="6981" priority="4332">
      <formula>$C43="Staff Salary"</formula>
    </cfRule>
    <cfRule type="expression" dxfId="6980" priority="4333">
      <formula>$C43="Rent"</formula>
    </cfRule>
    <cfRule type="expression" dxfId="6979" priority="4334">
      <formula>$C43="Petrol"</formula>
    </cfRule>
    <cfRule type="expression" dxfId="6978" priority="4335">
      <formula>$C43="Bills"</formula>
    </cfRule>
    <cfRule type="expression" dxfId="6977" priority="4336">
      <formula>$C43="Sales"</formula>
    </cfRule>
    <cfRule type="expression" dxfId="6976" priority="4337">
      <formula>$C43="Expences"</formula>
    </cfRule>
    <cfRule type="expression" dxfId="6975" priority="4338">
      <formula>$C43="Garlic Purchase"</formula>
    </cfRule>
    <cfRule type="expression" dxfId="6974" priority="4339">
      <formula>$C43="Ginger Purchase"</formula>
    </cfRule>
  </conditionalFormatting>
  <conditionalFormatting sqref="B43 B45 B47 B51 B49 B53 B57 B61">
    <cfRule type="expression" dxfId="6973" priority="4340">
      <formula>$C43="Advance"</formula>
    </cfRule>
  </conditionalFormatting>
  <conditionalFormatting sqref="B43 B45 B47 B51 B49 B53 B57 B61">
    <cfRule type="expression" dxfId="6972" priority="4321">
      <formula>$C43="Delivery charge"</formula>
    </cfRule>
    <cfRule type="expression" dxfId="6971" priority="4322">
      <formula>$C43="Staff Salary"</formula>
    </cfRule>
    <cfRule type="expression" dxfId="6970" priority="4323">
      <formula>$C43="Rent"</formula>
    </cfRule>
    <cfRule type="expression" dxfId="6969" priority="4324">
      <formula>$C43="Petrol"</formula>
    </cfRule>
    <cfRule type="expression" dxfId="6968" priority="4325">
      <formula>$C43="Bills"</formula>
    </cfRule>
    <cfRule type="expression" dxfId="6967" priority="4326">
      <formula>$C43="Sales"</formula>
    </cfRule>
    <cfRule type="expression" dxfId="6966" priority="4327">
      <formula>$C43="Expences"</formula>
    </cfRule>
    <cfRule type="expression" dxfId="6965" priority="4328">
      <formula>$C43="Garlic Purchase"</formula>
    </cfRule>
    <cfRule type="expression" dxfId="6964" priority="4329">
      <formula>$C43="Ginger Purchase"</formula>
    </cfRule>
  </conditionalFormatting>
  <conditionalFormatting sqref="B43 B45 B47 B51 B49 B53 B57 B61">
    <cfRule type="expression" dxfId="6963" priority="4330">
      <formula>$C43="Advance"</formula>
    </cfRule>
  </conditionalFormatting>
  <conditionalFormatting sqref="B43 B45 B47 B51 B49 B53 B57 B61">
    <cfRule type="expression" dxfId="6962" priority="4311">
      <formula>$C43="Delivery charge"</formula>
    </cfRule>
    <cfRule type="expression" dxfId="6961" priority="4312">
      <formula>$C43="Staff Salary"</formula>
    </cfRule>
    <cfRule type="expression" dxfId="6960" priority="4313">
      <formula>$C43="Rent"</formula>
    </cfRule>
    <cfRule type="expression" dxfId="6959" priority="4314">
      <formula>$C43="Petrol"</formula>
    </cfRule>
    <cfRule type="expression" dxfId="6958" priority="4315">
      <formula>$C43="Bills"</formula>
    </cfRule>
    <cfRule type="expression" dxfId="6957" priority="4316">
      <formula>$C43="Sales"</formula>
    </cfRule>
    <cfRule type="expression" dxfId="6956" priority="4317">
      <formula>$C43="Expences"</formula>
    </cfRule>
    <cfRule type="expression" dxfId="6955" priority="4318">
      <formula>$C43="Garlic Purchase"</formula>
    </cfRule>
    <cfRule type="expression" dxfId="6954" priority="4319">
      <formula>$C43="Ginger Purchase"</formula>
    </cfRule>
  </conditionalFormatting>
  <conditionalFormatting sqref="B43 B45 B47 B51 B49 B53 B57 B61">
    <cfRule type="expression" dxfId="6953" priority="4320">
      <formula>$C43="Advance"</formula>
    </cfRule>
  </conditionalFormatting>
  <conditionalFormatting sqref="B43 B45 B47 B51 B49 B53 B57 B61">
    <cfRule type="expression" dxfId="6952" priority="4301">
      <formula>$C43="Delivery charge"</formula>
    </cfRule>
    <cfRule type="expression" dxfId="6951" priority="4302">
      <formula>$C43="Staff Salary"</formula>
    </cfRule>
    <cfRule type="expression" dxfId="6950" priority="4303">
      <formula>$C43="Rent"</formula>
    </cfRule>
    <cfRule type="expression" dxfId="6949" priority="4304">
      <formula>$C43="Petrol"</formula>
    </cfRule>
    <cfRule type="expression" dxfId="6948" priority="4305">
      <formula>$C43="Bills"</formula>
    </cfRule>
    <cfRule type="expression" dxfId="6947" priority="4306">
      <formula>$C43="Sales"</formula>
    </cfRule>
    <cfRule type="expression" dxfId="6946" priority="4307">
      <formula>$C43="Expences"</formula>
    </cfRule>
    <cfRule type="expression" dxfId="6945" priority="4308">
      <formula>$C43="Garlic Purchase"</formula>
    </cfRule>
    <cfRule type="expression" dxfId="6944" priority="4309">
      <formula>$C43="Ginger Purchase"</formula>
    </cfRule>
  </conditionalFormatting>
  <conditionalFormatting sqref="B43 B45 B47 B51 B49 B53 B57 B61">
    <cfRule type="expression" dxfId="6943" priority="4310">
      <formula>$C43="Advance"</formula>
    </cfRule>
  </conditionalFormatting>
  <conditionalFormatting sqref="B44 B46 B48 B52 B50 B54 B56 B60 B58 B62">
    <cfRule type="expression" dxfId="6942" priority="4291">
      <formula>$C44="Delivery charge"</formula>
    </cfRule>
    <cfRule type="expression" dxfId="6941" priority="4292">
      <formula>$C44="Staff Salary"</formula>
    </cfRule>
    <cfRule type="expression" dxfId="6940" priority="4293">
      <formula>$C44="Rent"</formula>
    </cfRule>
    <cfRule type="expression" dxfId="6939" priority="4294">
      <formula>$C44="Petrol"</formula>
    </cfRule>
    <cfRule type="expression" dxfId="6938" priority="4295">
      <formula>$C44="Bills"</formula>
    </cfRule>
    <cfRule type="expression" dxfId="6937" priority="4296">
      <formula>$C44="Sales"</formula>
    </cfRule>
    <cfRule type="expression" dxfId="6936" priority="4297">
      <formula>$C44="Expences"</formula>
    </cfRule>
    <cfRule type="expression" dxfId="6935" priority="4298">
      <formula>$C44="Garlic Purchase"</formula>
    </cfRule>
    <cfRule type="expression" dxfId="6934" priority="4299">
      <formula>$C44="Ginger Purchase"</formula>
    </cfRule>
  </conditionalFormatting>
  <conditionalFormatting sqref="B44 B46 B48 B52 B50 B54 B56 B60 B58 B62">
    <cfRule type="expression" dxfId="6933" priority="4300">
      <formula>$C44="Advance"</formula>
    </cfRule>
  </conditionalFormatting>
  <conditionalFormatting sqref="B44 B46 B48 B52 B50 B54 B56 B60 B58 B62">
    <cfRule type="expression" dxfId="6932" priority="4281">
      <formula>$C44="Delivery charge"</formula>
    </cfRule>
    <cfRule type="expression" dxfId="6931" priority="4282">
      <formula>$C44="Staff Salary"</formula>
    </cfRule>
    <cfRule type="expression" dxfId="6930" priority="4283">
      <formula>$C44="Rent"</formula>
    </cfRule>
    <cfRule type="expression" dxfId="6929" priority="4284">
      <formula>$C44="Petrol"</formula>
    </cfRule>
    <cfRule type="expression" dxfId="6928" priority="4285">
      <formula>$C44="Bills"</formula>
    </cfRule>
    <cfRule type="expression" dxfId="6927" priority="4286">
      <formula>$C44="Sales"</formula>
    </cfRule>
    <cfRule type="expression" dxfId="6926" priority="4287">
      <formula>$C44="Expences"</formula>
    </cfRule>
    <cfRule type="expression" dxfId="6925" priority="4288">
      <formula>$C44="Garlic Purchase"</formula>
    </cfRule>
    <cfRule type="expression" dxfId="6924" priority="4289">
      <formula>$C44="Ginger Purchase"</formula>
    </cfRule>
  </conditionalFormatting>
  <conditionalFormatting sqref="B44 B46 B48 B52 B50 B54 B56 B60 B58 B62">
    <cfRule type="expression" dxfId="6923" priority="4290">
      <formula>$C44="Advance"</formula>
    </cfRule>
  </conditionalFormatting>
  <conditionalFormatting sqref="B44 B46 B48 B52 B50 B54 B56 B60 B58 B62">
    <cfRule type="expression" dxfId="6922" priority="4271">
      <formula>$C44="Delivery charge"</formula>
    </cfRule>
    <cfRule type="expression" dxfId="6921" priority="4272">
      <formula>$C44="Staff Salary"</formula>
    </cfRule>
    <cfRule type="expression" dxfId="6920" priority="4273">
      <formula>$C44="Rent"</formula>
    </cfRule>
    <cfRule type="expression" dxfId="6919" priority="4274">
      <formula>$C44="Petrol"</formula>
    </cfRule>
    <cfRule type="expression" dxfId="6918" priority="4275">
      <formula>$C44="Bills"</formula>
    </cfRule>
    <cfRule type="expression" dxfId="6917" priority="4276">
      <formula>$C44="Sales"</formula>
    </cfRule>
    <cfRule type="expression" dxfId="6916" priority="4277">
      <formula>$C44="Expences"</formula>
    </cfRule>
    <cfRule type="expression" dxfId="6915" priority="4278">
      <formula>$C44="Garlic Purchase"</formula>
    </cfRule>
    <cfRule type="expression" dxfId="6914" priority="4279">
      <formula>$C44="Ginger Purchase"</formula>
    </cfRule>
  </conditionalFormatting>
  <conditionalFormatting sqref="B44 B46 B48 B52 B50 B54 B56 B60 B58 B62">
    <cfRule type="expression" dxfId="6913" priority="4280">
      <formula>$C44="Advance"</formula>
    </cfRule>
  </conditionalFormatting>
  <conditionalFormatting sqref="B44 B46 B48 B52 B50 B54 B56 B60 B58 B62">
    <cfRule type="expression" dxfId="6912" priority="4261">
      <formula>$C44="Delivery charge"</formula>
    </cfRule>
    <cfRule type="expression" dxfId="6911" priority="4262">
      <formula>$C44="Staff Salary"</formula>
    </cfRule>
    <cfRule type="expression" dxfId="6910" priority="4263">
      <formula>$C44="Rent"</formula>
    </cfRule>
    <cfRule type="expression" dxfId="6909" priority="4264">
      <formula>$C44="Petrol"</formula>
    </cfRule>
    <cfRule type="expression" dxfId="6908" priority="4265">
      <formula>$C44="Bills"</formula>
    </cfRule>
    <cfRule type="expression" dxfId="6907" priority="4266">
      <formula>$C44="Sales"</formula>
    </cfRule>
    <cfRule type="expression" dxfId="6906" priority="4267">
      <formula>$C44="Expences"</formula>
    </cfRule>
    <cfRule type="expression" dxfId="6905" priority="4268">
      <formula>$C44="Garlic Purchase"</formula>
    </cfRule>
    <cfRule type="expression" dxfId="6904" priority="4269">
      <formula>$C44="Ginger Purchase"</formula>
    </cfRule>
  </conditionalFormatting>
  <conditionalFormatting sqref="B44 B46 B48 B52 B50 B54 B56 B60 B58 B62">
    <cfRule type="expression" dxfId="6903" priority="4270">
      <formula>$C44="Advance"</formula>
    </cfRule>
  </conditionalFormatting>
  <conditionalFormatting sqref="B43 B45 B47 B51 B49 B53 B57 B61">
    <cfRule type="expression" dxfId="6902" priority="4260">
      <formula>$C43="Advance"</formula>
    </cfRule>
  </conditionalFormatting>
  <conditionalFormatting sqref="B43 B45 B47 B51 B49 B53 B57 B61">
    <cfRule type="expression" dxfId="6901" priority="4251">
      <formula>$C43="Delivery charge"</formula>
    </cfRule>
    <cfRule type="expression" dxfId="6900" priority="4252">
      <formula>$C43="Staff Salary"</formula>
    </cfRule>
    <cfRule type="expression" dxfId="6899" priority="4253">
      <formula>$C43="Rent"</formula>
    </cfRule>
    <cfRule type="expression" dxfId="6898" priority="4254">
      <formula>$C43="Petrol"</formula>
    </cfRule>
    <cfRule type="expression" dxfId="6897" priority="4255">
      <formula>$C43="Bills"</formula>
    </cfRule>
    <cfRule type="expression" dxfId="6896" priority="4256">
      <formula>$C43="Sales"</formula>
    </cfRule>
    <cfRule type="expression" dxfId="6895" priority="4257">
      <formula>$C43="Expences"</formula>
    </cfRule>
    <cfRule type="expression" dxfId="6894" priority="4258">
      <formula>$C43="Garlic Purchase"</formula>
    </cfRule>
    <cfRule type="expression" dxfId="6893" priority="4259">
      <formula>$C43="Ginger Purchase"</formula>
    </cfRule>
  </conditionalFormatting>
  <conditionalFormatting sqref="B44 B46 B48 B52 B50 B54 B56 B60 B58 B62">
    <cfRule type="expression" dxfId="6892" priority="4250">
      <formula>$C44="Advance"</formula>
    </cfRule>
  </conditionalFormatting>
  <conditionalFormatting sqref="B44 B46 B48 B52 B50 B54 B56 B60 B58 B62">
    <cfRule type="expression" dxfId="6891" priority="4241">
      <formula>$C44="Delivery charge"</formula>
    </cfRule>
    <cfRule type="expression" dxfId="6890" priority="4242">
      <formula>$C44="Staff Salary"</formula>
    </cfRule>
    <cfRule type="expression" dxfId="6889" priority="4243">
      <formula>$C44="Rent"</formula>
    </cfRule>
    <cfRule type="expression" dxfId="6888" priority="4244">
      <formula>$C44="Petrol"</formula>
    </cfRule>
    <cfRule type="expression" dxfId="6887" priority="4245">
      <formula>$C44="Bills"</formula>
    </cfRule>
    <cfRule type="expression" dxfId="6886" priority="4246">
      <formula>$C44="Sales"</formula>
    </cfRule>
    <cfRule type="expression" dxfId="6885" priority="4247">
      <formula>$C44="Expences"</formula>
    </cfRule>
    <cfRule type="expression" dxfId="6884" priority="4248">
      <formula>$C44="Garlic Purchase"</formula>
    </cfRule>
    <cfRule type="expression" dxfId="6883" priority="4249">
      <formula>$C44="Ginger Purchase"</formula>
    </cfRule>
  </conditionalFormatting>
  <conditionalFormatting sqref="B44 B46 B48 B52 B50 B54 B56 B60 B58 B62">
    <cfRule type="expression" dxfId="6882" priority="4231">
      <formula>$C44="Delivery charge"</formula>
    </cfRule>
    <cfRule type="expression" dxfId="6881" priority="4232">
      <formula>$C44="Staff Salary"</formula>
    </cfRule>
    <cfRule type="expression" dxfId="6880" priority="4233">
      <formula>$C44="Rent"</formula>
    </cfRule>
    <cfRule type="expression" dxfId="6879" priority="4234">
      <formula>$C44="Petrol"</formula>
    </cfRule>
    <cfRule type="expression" dxfId="6878" priority="4235">
      <formula>$C44="Bills"</formula>
    </cfRule>
    <cfRule type="expression" dxfId="6877" priority="4236">
      <formula>$C44="Sales"</formula>
    </cfRule>
    <cfRule type="expression" dxfId="6876" priority="4237">
      <formula>$C44="Expences"</formula>
    </cfRule>
    <cfRule type="expression" dxfId="6875" priority="4238">
      <formula>$C44="Garlic Purchase"</formula>
    </cfRule>
    <cfRule type="expression" dxfId="6874" priority="4239">
      <formula>$C44="Ginger Purchase"</formula>
    </cfRule>
  </conditionalFormatting>
  <conditionalFormatting sqref="B44 B46 B48 B52 B50 B54 B56 B60 B58 B62">
    <cfRule type="expression" dxfId="6873" priority="4240">
      <formula>$C44="Advance"</formula>
    </cfRule>
  </conditionalFormatting>
  <conditionalFormatting sqref="B44 B46 B48 B52 B50 B54 B56 B60 B58 B62">
    <cfRule type="expression" dxfId="6872" priority="4221">
      <formula>$C44="Delivery charge"</formula>
    </cfRule>
    <cfRule type="expression" dxfId="6871" priority="4222">
      <formula>$C44="Staff Salary"</formula>
    </cfRule>
    <cfRule type="expression" dxfId="6870" priority="4223">
      <formula>$C44="Rent"</formula>
    </cfRule>
    <cfRule type="expression" dxfId="6869" priority="4224">
      <formula>$C44="Petrol"</formula>
    </cfRule>
    <cfRule type="expression" dxfId="6868" priority="4225">
      <formula>$C44="Bills"</formula>
    </cfRule>
    <cfRule type="expression" dxfId="6867" priority="4226">
      <formula>$C44="Sales"</formula>
    </cfRule>
    <cfRule type="expression" dxfId="6866" priority="4227">
      <formula>$C44="Expences"</formula>
    </cfRule>
    <cfRule type="expression" dxfId="6865" priority="4228">
      <formula>$C44="Garlic Purchase"</formula>
    </cfRule>
    <cfRule type="expression" dxfId="6864" priority="4229">
      <formula>$C44="Ginger Purchase"</formula>
    </cfRule>
  </conditionalFormatting>
  <conditionalFormatting sqref="B44 B46 B48 B52 B50 B54 B56 B60 B58 B62">
    <cfRule type="expression" dxfId="6863" priority="4230">
      <formula>$C44="Advance"</formula>
    </cfRule>
  </conditionalFormatting>
  <conditionalFormatting sqref="B44 B46 B48 B52 B50 B54 B56 B60 B58 B62">
    <cfRule type="expression" dxfId="6862" priority="4211">
      <formula>$C44="Delivery charge"</formula>
    </cfRule>
    <cfRule type="expression" dxfId="6861" priority="4212">
      <formula>$C44="Staff Salary"</formula>
    </cfRule>
    <cfRule type="expression" dxfId="6860" priority="4213">
      <formula>$C44="Rent"</formula>
    </cfRule>
    <cfRule type="expression" dxfId="6859" priority="4214">
      <formula>$C44="Petrol"</formula>
    </cfRule>
    <cfRule type="expression" dxfId="6858" priority="4215">
      <formula>$C44="Bills"</formula>
    </cfRule>
    <cfRule type="expression" dxfId="6857" priority="4216">
      <formula>$C44="Sales"</formula>
    </cfRule>
    <cfRule type="expression" dxfId="6856" priority="4217">
      <formula>$C44="Expences"</formula>
    </cfRule>
    <cfRule type="expression" dxfId="6855" priority="4218">
      <formula>$C44="Garlic Purchase"</formula>
    </cfRule>
    <cfRule type="expression" dxfId="6854" priority="4219">
      <formula>$C44="Ginger Purchase"</formula>
    </cfRule>
  </conditionalFormatting>
  <conditionalFormatting sqref="B44 B46 B48 B52 B50 B54 B56 B60 B58 B62">
    <cfRule type="expression" dxfId="6853" priority="4220">
      <formula>$C44="Advance"</formula>
    </cfRule>
  </conditionalFormatting>
  <conditionalFormatting sqref="B44 B46 B48 B52 B50 B54 B56 B60 B58 B62">
    <cfRule type="expression" dxfId="6852" priority="4201">
      <formula>$C44="Delivery charge"</formula>
    </cfRule>
    <cfRule type="expression" dxfId="6851" priority="4202">
      <formula>$C44="Staff Salary"</formula>
    </cfRule>
    <cfRule type="expression" dxfId="6850" priority="4203">
      <formula>$C44="Rent"</formula>
    </cfRule>
    <cfRule type="expression" dxfId="6849" priority="4204">
      <formula>$C44="Petrol"</formula>
    </cfRule>
    <cfRule type="expression" dxfId="6848" priority="4205">
      <formula>$C44="Bills"</formula>
    </cfRule>
    <cfRule type="expression" dxfId="6847" priority="4206">
      <formula>$C44="Sales"</formula>
    </cfRule>
    <cfRule type="expression" dxfId="6846" priority="4207">
      <formula>$C44="Expences"</formula>
    </cfRule>
    <cfRule type="expression" dxfId="6845" priority="4208">
      <formula>$C44="Garlic Purchase"</formula>
    </cfRule>
    <cfRule type="expression" dxfId="6844" priority="4209">
      <formula>$C44="Ginger Purchase"</formula>
    </cfRule>
  </conditionalFormatting>
  <conditionalFormatting sqref="B44 B46 B48 B52 B50 B54 B56 B60 B58 B62">
    <cfRule type="expression" dxfId="6843" priority="4210">
      <formula>$C44="Advance"</formula>
    </cfRule>
  </conditionalFormatting>
  <conditionalFormatting sqref="B44 B46 B48 B52 B50 B54 B56 B60 B58 B62">
    <cfRule type="expression" dxfId="6842" priority="4191">
      <formula>$C44="Delivery charge"</formula>
    </cfRule>
    <cfRule type="expression" dxfId="6841" priority="4192">
      <formula>$C44="Staff Salary"</formula>
    </cfRule>
    <cfRule type="expression" dxfId="6840" priority="4193">
      <formula>$C44="Rent"</formula>
    </cfRule>
    <cfRule type="expression" dxfId="6839" priority="4194">
      <formula>$C44="Petrol"</formula>
    </cfRule>
    <cfRule type="expression" dxfId="6838" priority="4195">
      <formula>$C44="Bills"</formula>
    </cfRule>
    <cfRule type="expression" dxfId="6837" priority="4196">
      <formula>$C44="Sales"</formula>
    </cfRule>
    <cfRule type="expression" dxfId="6836" priority="4197">
      <formula>$C44="Expences"</formula>
    </cfRule>
    <cfRule type="expression" dxfId="6835" priority="4198">
      <formula>$C44="Garlic Purchase"</formula>
    </cfRule>
    <cfRule type="expression" dxfId="6834" priority="4199">
      <formula>$C44="Ginger Purchase"</formula>
    </cfRule>
  </conditionalFormatting>
  <conditionalFormatting sqref="B44 B46 B48 B52 B50 B54 B56 B60 B58 B62">
    <cfRule type="expression" dxfId="6833" priority="4200">
      <formula>$C44="Advance"</formula>
    </cfRule>
  </conditionalFormatting>
  <conditionalFormatting sqref="B44 B46 B48 B52 B50 B54 B56 B60 B58 B62">
    <cfRule type="expression" dxfId="6832" priority="4181">
      <formula>$C44="Delivery charge"</formula>
    </cfRule>
    <cfRule type="expression" dxfId="6831" priority="4182">
      <formula>$C44="Staff Salary"</formula>
    </cfRule>
    <cfRule type="expression" dxfId="6830" priority="4183">
      <formula>$C44="Rent"</formula>
    </cfRule>
    <cfRule type="expression" dxfId="6829" priority="4184">
      <formula>$C44="Petrol"</formula>
    </cfRule>
    <cfRule type="expression" dxfId="6828" priority="4185">
      <formula>$C44="Bills"</formula>
    </cfRule>
    <cfRule type="expression" dxfId="6827" priority="4186">
      <formula>$C44="Sales"</formula>
    </cfRule>
    <cfRule type="expression" dxfId="6826" priority="4187">
      <formula>$C44="Expences"</formula>
    </cfRule>
    <cfRule type="expression" dxfId="6825" priority="4188">
      <formula>$C44="Garlic Purchase"</formula>
    </cfRule>
    <cfRule type="expression" dxfId="6824" priority="4189">
      <formula>$C44="Ginger Purchase"</formula>
    </cfRule>
  </conditionalFormatting>
  <conditionalFormatting sqref="B44 B46 B48 B52 B50 B54 B56 B60 B58 B62">
    <cfRule type="expression" dxfId="6823" priority="4190">
      <formula>$C44="Advance"</formula>
    </cfRule>
  </conditionalFormatting>
  <conditionalFormatting sqref="B44 B46 B48 B52 B50 B54 B56 B60 B58 B62">
    <cfRule type="expression" dxfId="6822" priority="4171">
      <formula>$C44="Delivery charge"</formula>
    </cfRule>
    <cfRule type="expression" dxfId="6821" priority="4172">
      <formula>$C44="Staff Salary"</formula>
    </cfRule>
    <cfRule type="expression" dxfId="6820" priority="4173">
      <formula>$C44="Rent"</formula>
    </cfRule>
    <cfRule type="expression" dxfId="6819" priority="4174">
      <formula>$C44="Petrol"</formula>
    </cfRule>
    <cfRule type="expression" dxfId="6818" priority="4175">
      <formula>$C44="Bills"</formula>
    </cfRule>
    <cfRule type="expression" dxfId="6817" priority="4176">
      <formula>$C44="Sales"</formula>
    </cfRule>
    <cfRule type="expression" dxfId="6816" priority="4177">
      <formula>$C44="Expences"</formula>
    </cfRule>
    <cfRule type="expression" dxfId="6815" priority="4178">
      <formula>$C44="Garlic Purchase"</formula>
    </cfRule>
    <cfRule type="expression" dxfId="6814" priority="4179">
      <formula>$C44="Ginger Purchase"</formula>
    </cfRule>
  </conditionalFormatting>
  <conditionalFormatting sqref="B44 B46 B48 B52 B50 B54 B56 B60 B58 B62">
    <cfRule type="expression" dxfId="6813" priority="4180">
      <formula>$C44="Advance"</formula>
    </cfRule>
  </conditionalFormatting>
  <conditionalFormatting sqref="B44 B46 B48 B52 B50 B54 B56 B60 B58 B62">
    <cfRule type="expression" dxfId="6812" priority="4161">
      <formula>$C44="Delivery charge"</formula>
    </cfRule>
    <cfRule type="expression" dxfId="6811" priority="4162">
      <formula>$C44="Staff Salary"</formula>
    </cfRule>
    <cfRule type="expression" dxfId="6810" priority="4163">
      <formula>$C44="Rent"</formula>
    </cfRule>
    <cfRule type="expression" dxfId="6809" priority="4164">
      <formula>$C44="Petrol"</formula>
    </cfRule>
    <cfRule type="expression" dxfId="6808" priority="4165">
      <formula>$C44="Bills"</formula>
    </cfRule>
    <cfRule type="expression" dxfId="6807" priority="4166">
      <formula>$C44="Sales"</formula>
    </cfRule>
    <cfRule type="expression" dxfId="6806" priority="4167">
      <formula>$C44="Expences"</formula>
    </cfRule>
    <cfRule type="expression" dxfId="6805" priority="4168">
      <formula>$C44="Garlic Purchase"</formula>
    </cfRule>
    <cfRule type="expression" dxfId="6804" priority="4169">
      <formula>$C44="Ginger Purchase"</formula>
    </cfRule>
  </conditionalFormatting>
  <conditionalFormatting sqref="B44 B46 B48 B52 B50 B54 B56 B60 B58 B62">
    <cfRule type="expression" dxfId="6803" priority="4170">
      <formula>$C44="Advance"</formula>
    </cfRule>
  </conditionalFormatting>
  <conditionalFormatting sqref="B44 B46 B48 B52 B50 B54 B56 B60 B58 B62">
    <cfRule type="expression" dxfId="6802" priority="4151">
      <formula>$C44="Delivery charge"</formula>
    </cfRule>
    <cfRule type="expression" dxfId="6801" priority="4152">
      <formula>$C44="Staff Salary"</formula>
    </cfRule>
    <cfRule type="expression" dxfId="6800" priority="4153">
      <formula>$C44="Rent"</formula>
    </cfRule>
    <cfRule type="expression" dxfId="6799" priority="4154">
      <formula>$C44="Petrol"</formula>
    </cfRule>
    <cfRule type="expression" dxfId="6798" priority="4155">
      <formula>$C44="Bills"</formula>
    </cfRule>
    <cfRule type="expression" dxfId="6797" priority="4156">
      <formula>$C44="Sales"</formula>
    </cfRule>
    <cfRule type="expression" dxfId="6796" priority="4157">
      <formula>$C44="Expences"</formula>
    </cfRule>
    <cfRule type="expression" dxfId="6795" priority="4158">
      <formula>$C44="Garlic Purchase"</formula>
    </cfRule>
    <cfRule type="expression" dxfId="6794" priority="4159">
      <formula>$C44="Ginger Purchase"</formula>
    </cfRule>
  </conditionalFormatting>
  <conditionalFormatting sqref="B44 B46 B48 B52 B50 B54 B56 B60 B58 B62">
    <cfRule type="expression" dxfId="6793" priority="4160">
      <formula>$C44="Advance"</formula>
    </cfRule>
  </conditionalFormatting>
  <conditionalFormatting sqref="B44 B46 B48 B52 B50 B54 B56 B60 B58 B62">
    <cfRule type="expression" dxfId="6792" priority="4141">
      <formula>$C44="Delivery charge"</formula>
    </cfRule>
    <cfRule type="expression" dxfId="6791" priority="4142">
      <formula>$C44="Staff Salary"</formula>
    </cfRule>
    <cfRule type="expression" dxfId="6790" priority="4143">
      <formula>$C44="Rent"</formula>
    </cfRule>
    <cfRule type="expression" dxfId="6789" priority="4144">
      <formula>$C44="Petrol"</formula>
    </cfRule>
    <cfRule type="expression" dxfId="6788" priority="4145">
      <formula>$C44="Bills"</formula>
    </cfRule>
    <cfRule type="expression" dxfId="6787" priority="4146">
      <formula>$C44="Sales"</formula>
    </cfRule>
    <cfRule type="expression" dxfId="6786" priority="4147">
      <formula>$C44="Expences"</formula>
    </cfRule>
    <cfRule type="expression" dxfId="6785" priority="4148">
      <formula>$C44="Garlic Purchase"</formula>
    </cfRule>
    <cfRule type="expression" dxfId="6784" priority="4149">
      <formula>$C44="Ginger Purchase"</formula>
    </cfRule>
  </conditionalFormatting>
  <conditionalFormatting sqref="B44 B46 B48 B52 B50 B54 B56 B60 B58 B62">
    <cfRule type="expression" dxfId="6783" priority="4150">
      <formula>$C44="Advance"</formula>
    </cfRule>
  </conditionalFormatting>
  <conditionalFormatting sqref="B44 B46 B48 B52 B50 B54 B56 B60 B58 B62">
    <cfRule type="expression" dxfId="6782" priority="4131">
      <formula>$C44="Delivery charge"</formula>
    </cfRule>
    <cfRule type="expression" dxfId="6781" priority="4132">
      <formula>$C44="Staff Salary"</formula>
    </cfRule>
    <cfRule type="expression" dxfId="6780" priority="4133">
      <formula>$C44="Rent"</formula>
    </cfRule>
    <cfRule type="expression" dxfId="6779" priority="4134">
      <formula>$C44="Petrol"</formula>
    </cfRule>
    <cfRule type="expression" dxfId="6778" priority="4135">
      <formula>$C44="Bills"</formula>
    </cfRule>
    <cfRule type="expression" dxfId="6777" priority="4136">
      <formula>$C44="Sales"</formula>
    </cfRule>
    <cfRule type="expression" dxfId="6776" priority="4137">
      <formula>$C44="Expences"</formula>
    </cfRule>
    <cfRule type="expression" dxfId="6775" priority="4138">
      <formula>$C44="Garlic Purchase"</formula>
    </cfRule>
    <cfRule type="expression" dxfId="6774" priority="4139">
      <formula>$C44="Ginger Purchase"</formula>
    </cfRule>
  </conditionalFormatting>
  <conditionalFormatting sqref="B44 B46 B48 B52 B50 B54 B56 B60 B58 B62">
    <cfRule type="expression" dxfId="6773" priority="4140">
      <formula>$C44="Advance"</formula>
    </cfRule>
  </conditionalFormatting>
  <conditionalFormatting sqref="B44 B46 B48 B52 B50 B54 B56 B60 B58 B62">
    <cfRule type="expression" dxfId="6772" priority="4121">
      <formula>$C44="Delivery charge"</formula>
    </cfRule>
    <cfRule type="expression" dxfId="6771" priority="4122">
      <formula>$C44="Staff Salary"</formula>
    </cfRule>
    <cfRule type="expression" dxfId="6770" priority="4123">
      <formula>$C44="Rent"</formula>
    </cfRule>
    <cfRule type="expression" dxfId="6769" priority="4124">
      <formula>$C44="Petrol"</formula>
    </cfRule>
    <cfRule type="expression" dxfId="6768" priority="4125">
      <formula>$C44="Bills"</formula>
    </cfRule>
    <cfRule type="expression" dxfId="6767" priority="4126">
      <formula>$C44="Sales"</formula>
    </cfRule>
    <cfRule type="expression" dxfId="6766" priority="4127">
      <formula>$C44="Expences"</formula>
    </cfRule>
    <cfRule type="expression" dxfId="6765" priority="4128">
      <formula>$C44="Garlic Purchase"</formula>
    </cfRule>
    <cfRule type="expression" dxfId="6764" priority="4129">
      <formula>$C44="Ginger Purchase"</formula>
    </cfRule>
  </conditionalFormatting>
  <conditionalFormatting sqref="B44 B46 B48 B52 B50 B54 B56 B60 B58 B62">
    <cfRule type="expression" dxfId="6763" priority="4130">
      <formula>$C44="Advance"</formula>
    </cfRule>
  </conditionalFormatting>
  <conditionalFormatting sqref="B44 B46 B48 B52 B50 B54 B56 B60 B58 B62">
    <cfRule type="expression" dxfId="6762" priority="4111">
      <formula>$C44="Delivery charge"</formula>
    </cfRule>
    <cfRule type="expression" dxfId="6761" priority="4112">
      <formula>$C44="Staff Salary"</formula>
    </cfRule>
    <cfRule type="expression" dxfId="6760" priority="4113">
      <formula>$C44="Rent"</formula>
    </cfRule>
    <cfRule type="expression" dxfId="6759" priority="4114">
      <formula>$C44="Petrol"</formula>
    </cfRule>
    <cfRule type="expression" dxfId="6758" priority="4115">
      <formula>$C44="Bills"</formula>
    </cfRule>
    <cfRule type="expression" dxfId="6757" priority="4116">
      <formula>$C44="Sales"</formula>
    </cfRule>
    <cfRule type="expression" dxfId="6756" priority="4117">
      <formula>$C44="Expences"</formula>
    </cfRule>
    <cfRule type="expression" dxfId="6755" priority="4118">
      <formula>$C44="Garlic Purchase"</formula>
    </cfRule>
    <cfRule type="expression" dxfId="6754" priority="4119">
      <formula>$C44="Ginger Purchase"</formula>
    </cfRule>
  </conditionalFormatting>
  <conditionalFormatting sqref="B44 B46 B48 B52 B50 B54 B56 B60 B58 B62">
    <cfRule type="expression" dxfId="6753" priority="4120">
      <formula>$C44="Advance"</formula>
    </cfRule>
  </conditionalFormatting>
  <conditionalFormatting sqref="B44 B46 B48 B52 B50 B54 B56 B60 B58 B62">
    <cfRule type="expression" dxfId="6752" priority="4101">
      <formula>$C44="Delivery charge"</formula>
    </cfRule>
    <cfRule type="expression" dxfId="6751" priority="4102">
      <formula>$C44="Staff Salary"</formula>
    </cfRule>
    <cfRule type="expression" dxfId="6750" priority="4103">
      <formula>$C44="Rent"</formula>
    </cfRule>
    <cfRule type="expression" dxfId="6749" priority="4104">
      <formula>$C44="Petrol"</formula>
    </cfRule>
    <cfRule type="expression" dxfId="6748" priority="4105">
      <formula>$C44="Bills"</formula>
    </cfRule>
    <cfRule type="expression" dxfId="6747" priority="4106">
      <formula>$C44="Sales"</formula>
    </cfRule>
    <cfRule type="expression" dxfId="6746" priority="4107">
      <formula>$C44="Expences"</formula>
    </cfRule>
    <cfRule type="expression" dxfId="6745" priority="4108">
      <formula>$C44="Garlic Purchase"</formula>
    </cfRule>
    <cfRule type="expression" dxfId="6744" priority="4109">
      <formula>$C44="Ginger Purchase"</formula>
    </cfRule>
  </conditionalFormatting>
  <conditionalFormatting sqref="B44 B46 B48 B52 B50 B54 B56 B60 B58 B62">
    <cfRule type="expression" dxfId="6743" priority="4110">
      <formula>$C44="Advance"</formula>
    </cfRule>
  </conditionalFormatting>
  <conditionalFormatting sqref="B44 B46 B48 B52 B50 B54 B56 B60 B58 B62">
    <cfRule type="expression" dxfId="6742" priority="4091">
      <formula>$C44="Delivery charge"</formula>
    </cfRule>
    <cfRule type="expression" dxfId="6741" priority="4092">
      <formula>$C44="Staff Salary"</formula>
    </cfRule>
    <cfRule type="expression" dxfId="6740" priority="4093">
      <formula>$C44="Rent"</formula>
    </cfRule>
    <cfRule type="expression" dxfId="6739" priority="4094">
      <formula>$C44="Petrol"</formula>
    </cfRule>
    <cfRule type="expression" dxfId="6738" priority="4095">
      <formula>$C44="Bills"</formula>
    </cfRule>
    <cfRule type="expression" dxfId="6737" priority="4096">
      <formula>$C44="Sales"</formula>
    </cfRule>
    <cfRule type="expression" dxfId="6736" priority="4097">
      <formula>$C44="Expences"</formula>
    </cfRule>
    <cfRule type="expression" dxfId="6735" priority="4098">
      <formula>$C44="Garlic Purchase"</formula>
    </cfRule>
    <cfRule type="expression" dxfId="6734" priority="4099">
      <formula>$C44="Ginger Purchase"</formula>
    </cfRule>
  </conditionalFormatting>
  <conditionalFormatting sqref="B44 B46 B48 B52 B50 B54 B56 B60 B58 B62">
    <cfRule type="expression" dxfId="6733" priority="4100">
      <formula>$C44="Advance"</formula>
    </cfRule>
  </conditionalFormatting>
  <conditionalFormatting sqref="B44 B46 B48 B52 B50 B54 B56 B60 B58 B62">
    <cfRule type="expression" dxfId="6732" priority="4081">
      <formula>$C44="Delivery charge"</formula>
    </cfRule>
    <cfRule type="expression" dxfId="6731" priority="4082">
      <formula>$C44="Staff Salary"</formula>
    </cfRule>
    <cfRule type="expression" dxfId="6730" priority="4083">
      <formula>$C44="Rent"</formula>
    </cfRule>
    <cfRule type="expression" dxfId="6729" priority="4084">
      <formula>$C44="Petrol"</formula>
    </cfRule>
    <cfRule type="expression" dxfId="6728" priority="4085">
      <formula>$C44="Bills"</formula>
    </cfRule>
    <cfRule type="expression" dxfId="6727" priority="4086">
      <formula>$C44="Sales"</formula>
    </cfRule>
    <cfRule type="expression" dxfId="6726" priority="4087">
      <formula>$C44="Expences"</formula>
    </cfRule>
    <cfRule type="expression" dxfId="6725" priority="4088">
      <formula>$C44="Garlic Purchase"</formula>
    </cfRule>
    <cfRule type="expression" dxfId="6724" priority="4089">
      <formula>$C44="Ginger Purchase"</formula>
    </cfRule>
  </conditionalFormatting>
  <conditionalFormatting sqref="B44 B46 B48 B52 B50 B54 B56 B60 B58 B62">
    <cfRule type="expression" dxfId="6723" priority="4090">
      <formula>$C44="Advance"</formula>
    </cfRule>
  </conditionalFormatting>
  <conditionalFormatting sqref="B44 B46 B48 B52 B50 B54 B56 B60 B58 B62">
    <cfRule type="expression" dxfId="6722" priority="4071">
      <formula>$C44="Delivery charge"</formula>
    </cfRule>
    <cfRule type="expression" dxfId="6721" priority="4072">
      <formula>$C44="Staff Salary"</formula>
    </cfRule>
    <cfRule type="expression" dxfId="6720" priority="4073">
      <formula>$C44="Rent"</formula>
    </cfRule>
    <cfRule type="expression" dxfId="6719" priority="4074">
      <formula>$C44="Petrol"</formula>
    </cfRule>
    <cfRule type="expression" dxfId="6718" priority="4075">
      <formula>$C44="Bills"</formula>
    </cfRule>
    <cfRule type="expression" dxfId="6717" priority="4076">
      <formula>$C44="Sales"</formula>
    </cfRule>
    <cfRule type="expression" dxfId="6716" priority="4077">
      <formula>$C44="Expences"</formula>
    </cfRule>
    <cfRule type="expression" dxfId="6715" priority="4078">
      <formula>$C44="Garlic Purchase"</formula>
    </cfRule>
    <cfRule type="expression" dxfId="6714" priority="4079">
      <formula>$C44="Ginger Purchase"</formula>
    </cfRule>
  </conditionalFormatting>
  <conditionalFormatting sqref="B44 B46 B48 B52 B50 B54 B56 B60 B58 B62">
    <cfRule type="expression" dxfId="6713" priority="4080">
      <formula>$C44="Advance"</formula>
    </cfRule>
  </conditionalFormatting>
  <conditionalFormatting sqref="B44 B46 B48 B52 B50 B54 B56 B60 B58 B62">
    <cfRule type="expression" dxfId="6712" priority="4061">
      <formula>$C44="Delivery charge"</formula>
    </cfRule>
    <cfRule type="expression" dxfId="6711" priority="4062">
      <formula>$C44="Staff Salary"</formula>
    </cfRule>
    <cfRule type="expression" dxfId="6710" priority="4063">
      <formula>$C44="Rent"</formula>
    </cfRule>
    <cfRule type="expression" dxfId="6709" priority="4064">
      <formula>$C44="Petrol"</formula>
    </cfRule>
    <cfRule type="expression" dxfId="6708" priority="4065">
      <formula>$C44="Bills"</formula>
    </cfRule>
    <cfRule type="expression" dxfId="6707" priority="4066">
      <formula>$C44="Sales"</formula>
    </cfRule>
    <cfRule type="expression" dxfId="6706" priority="4067">
      <formula>$C44="Expences"</formula>
    </cfRule>
    <cfRule type="expression" dxfId="6705" priority="4068">
      <formula>$C44="Garlic Purchase"</formula>
    </cfRule>
    <cfRule type="expression" dxfId="6704" priority="4069">
      <formula>$C44="Ginger Purchase"</formula>
    </cfRule>
  </conditionalFormatting>
  <conditionalFormatting sqref="B44 B46 B48 B52 B50 B54 B56 B60 B58 B62">
    <cfRule type="expression" dxfId="6703" priority="4070">
      <formula>$C44="Advance"</formula>
    </cfRule>
  </conditionalFormatting>
  <conditionalFormatting sqref="B44 B46 B48 B52 B50 B54 B56 B60 B58 B62">
    <cfRule type="expression" dxfId="6702" priority="4051">
      <formula>$C44="Delivery charge"</formula>
    </cfRule>
    <cfRule type="expression" dxfId="6701" priority="4052">
      <formula>$C44="Staff Salary"</formula>
    </cfRule>
    <cfRule type="expression" dxfId="6700" priority="4053">
      <formula>$C44="Rent"</formula>
    </cfRule>
    <cfRule type="expression" dxfId="6699" priority="4054">
      <formula>$C44="Petrol"</formula>
    </cfRule>
    <cfRule type="expression" dxfId="6698" priority="4055">
      <formula>$C44="Bills"</formula>
    </cfRule>
    <cfRule type="expression" dxfId="6697" priority="4056">
      <formula>$C44="Sales"</formula>
    </cfRule>
    <cfRule type="expression" dxfId="6696" priority="4057">
      <formula>$C44="Expences"</formula>
    </cfRule>
    <cfRule type="expression" dxfId="6695" priority="4058">
      <formula>$C44="Garlic Purchase"</formula>
    </cfRule>
    <cfRule type="expression" dxfId="6694" priority="4059">
      <formula>$C44="Ginger Purchase"</formula>
    </cfRule>
  </conditionalFormatting>
  <conditionalFormatting sqref="B44 B46 B48 B52 B50 B54 B56 B60 B58 B62">
    <cfRule type="expression" dxfId="6693" priority="4060">
      <formula>$C44="Advance"</formula>
    </cfRule>
  </conditionalFormatting>
  <conditionalFormatting sqref="B44 B46 B48 B52 B50 B54 B56 B60 B58 B62">
    <cfRule type="expression" dxfId="6692" priority="4050">
      <formula>$C44="Advance"</formula>
    </cfRule>
  </conditionalFormatting>
  <conditionalFormatting sqref="B44 B46 B48 B52 B50 B54 B56 B60 B58 B62">
    <cfRule type="expression" dxfId="6691" priority="4041">
      <formula>$C44="Delivery charge"</formula>
    </cfRule>
    <cfRule type="expression" dxfId="6690" priority="4042">
      <formula>$C44="Staff Salary"</formula>
    </cfRule>
    <cfRule type="expression" dxfId="6689" priority="4043">
      <formula>$C44="Rent"</formula>
    </cfRule>
    <cfRule type="expression" dxfId="6688" priority="4044">
      <formula>$C44="Petrol"</formula>
    </cfRule>
    <cfRule type="expression" dxfId="6687" priority="4045">
      <formula>$C44="Bills"</formula>
    </cfRule>
    <cfRule type="expression" dxfId="6686" priority="4046">
      <formula>$C44="Sales"</formula>
    </cfRule>
    <cfRule type="expression" dxfId="6685" priority="4047">
      <formula>$C44="Expences"</formula>
    </cfRule>
    <cfRule type="expression" dxfId="6684" priority="4048">
      <formula>$C44="Garlic Purchase"</formula>
    </cfRule>
    <cfRule type="expression" dxfId="6683" priority="4049">
      <formula>$C44="Ginger Purchase"</formula>
    </cfRule>
  </conditionalFormatting>
  <conditionalFormatting sqref="B43 B45 B47 B51 B49 B53 B57 B61">
    <cfRule type="expression" dxfId="6682" priority="4031">
      <formula>$C43="Delivery charge"</formula>
    </cfRule>
    <cfRule type="expression" dxfId="6681" priority="4032">
      <formula>$C43="Staff Salary"</formula>
    </cfRule>
    <cfRule type="expression" dxfId="6680" priority="4033">
      <formula>$C43="Rent"</formula>
    </cfRule>
    <cfRule type="expression" dxfId="6679" priority="4034">
      <formula>$C43="Petrol"</formula>
    </cfRule>
    <cfRule type="expression" dxfId="6678" priority="4035">
      <formula>$C43="Bills"</formula>
    </cfRule>
    <cfRule type="expression" dxfId="6677" priority="4036">
      <formula>$C43="Sales"</formula>
    </cfRule>
    <cfRule type="expression" dxfId="6676" priority="4037">
      <formula>$C43="Expences"</formula>
    </cfRule>
    <cfRule type="expression" dxfId="6675" priority="4038">
      <formula>$C43="Garlic Purchase"</formula>
    </cfRule>
    <cfRule type="expression" dxfId="6674" priority="4039">
      <formula>$C43="Ginger Purchase"</formula>
    </cfRule>
  </conditionalFormatting>
  <conditionalFormatting sqref="B43 B45 B47 B51 B49 B53 B57 B61">
    <cfRule type="expression" dxfId="6673" priority="4040">
      <formula>$C43="Advance"</formula>
    </cfRule>
  </conditionalFormatting>
  <conditionalFormatting sqref="B43 B45 B47 B51 B49 B53 B57 B61">
    <cfRule type="expression" dxfId="6672" priority="4021">
      <formula>$C43="Delivery charge"</formula>
    </cfRule>
    <cfRule type="expression" dxfId="6671" priority="4022">
      <formula>$C43="Staff Salary"</formula>
    </cfRule>
    <cfRule type="expression" dxfId="6670" priority="4023">
      <formula>$C43="Rent"</formula>
    </cfRule>
    <cfRule type="expression" dxfId="6669" priority="4024">
      <formula>$C43="Petrol"</formula>
    </cfRule>
    <cfRule type="expression" dxfId="6668" priority="4025">
      <formula>$C43="Bills"</formula>
    </cfRule>
    <cfRule type="expression" dxfId="6667" priority="4026">
      <formula>$C43="Sales"</formula>
    </cfRule>
    <cfRule type="expression" dxfId="6666" priority="4027">
      <formula>$C43="Expences"</formula>
    </cfRule>
    <cfRule type="expression" dxfId="6665" priority="4028">
      <formula>$C43="Garlic Purchase"</formula>
    </cfRule>
    <cfRule type="expression" dxfId="6664" priority="4029">
      <formula>$C43="Ginger Purchase"</formula>
    </cfRule>
  </conditionalFormatting>
  <conditionalFormatting sqref="B43 B45 B47 B51 B49 B53 B57 B61">
    <cfRule type="expression" dxfId="6663" priority="4030">
      <formula>$C43="Advance"</formula>
    </cfRule>
  </conditionalFormatting>
  <conditionalFormatting sqref="B43 B45 B47 B51 B49 B53 B57 B61">
    <cfRule type="expression" dxfId="6662" priority="4011">
      <formula>$C43="Delivery charge"</formula>
    </cfRule>
    <cfRule type="expression" dxfId="6661" priority="4012">
      <formula>$C43="Staff Salary"</formula>
    </cfRule>
    <cfRule type="expression" dxfId="6660" priority="4013">
      <formula>$C43="Rent"</formula>
    </cfRule>
    <cfRule type="expression" dxfId="6659" priority="4014">
      <formula>$C43="Petrol"</formula>
    </cfRule>
    <cfRule type="expression" dxfId="6658" priority="4015">
      <formula>$C43="Bills"</formula>
    </cfRule>
    <cfRule type="expression" dxfId="6657" priority="4016">
      <formula>$C43="Sales"</formula>
    </cfRule>
    <cfRule type="expression" dxfId="6656" priority="4017">
      <formula>$C43="Expences"</formula>
    </cfRule>
    <cfRule type="expression" dxfId="6655" priority="4018">
      <formula>$C43="Garlic Purchase"</formula>
    </cfRule>
    <cfRule type="expression" dxfId="6654" priority="4019">
      <formula>$C43="Ginger Purchase"</formula>
    </cfRule>
  </conditionalFormatting>
  <conditionalFormatting sqref="B43 B45 B47 B51 B49 B53 B57 B61">
    <cfRule type="expression" dxfId="6653" priority="4020">
      <formula>$C43="Advance"</formula>
    </cfRule>
  </conditionalFormatting>
  <conditionalFormatting sqref="B43 B45 B47 B51 B49 B53 B57 B61">
    <cfRule type="expression" dxfId="6652" priority="4001">
      <formula>$C43="Delivery charge"</formula>
    </cfRule>
    <cfRule type="expression" dxfId="6651" priority="4002">
      <formula>$C43="Staff Salary"</formula>
    </cfRule>
    <cfRule type="expression" dxfId="6650" priority="4003">
      <formula>$C43="Rent"</formula>
    </cfRule>
    <cfRule type="expression" dxfId="6649" priority="4004">
      <formula>$C43="Petrol"</formula>
    </cfRule>
    <cfRule type="expression" dxfId="6648" priority="4005">
      <formula>$C43="Bills"</formula>
    </cfRule>
    <cfRule type="expression" dxfId="6647" priority="4006">
      <formula>$C43="Sales"</formula>
    </cfRule>
    <cfRule type="expression" dxfId="6646" priority="4007">
      <formula>$C43="Expences"</formula>
    </cfRule>
    <cfRule type="expression" dxfId="6645" priority="4008">
      <formula>$C43="Garlic Purchase"</formula>
    </cfRule>
    <cfRule type="expression" dxfId="6644" priority="4009">
      <formula>$C43="Ginger Purchase"</formula>
    </cfRule>
  </conditionalFormatting>
  <conditionalFormatting sqref="B43 B45 B47 B51 B49 B53 B57 B61">
    <cfRule type="expression" dxfId="6643" priority="4010">
      <formula>$C43="Advance"</formula>
    </cfRule>
  </conditionalFormatting>
  <conditionalFormatting sqref="B43 B45 B47 B51 B49 B53 B57 B61">
    <cfRule type="expression" dxfId="6642" priority="3991">
      <formula>$C43="Delivery charge"</formula>
    </cfRule>
    <cfRule type="expression" dxfId="6641" priority="3992">
      <formula>$C43="Staff Salary"</formula>
    </cfRule>
    <cfRule type="expression" dxfId="6640" priority="3993">
      <formula>$C43="Rent"</formula>
    </cfRule>
    <cfRule type="expression" dxfId="6639" priority="3994">
      <formula>$C43="Petrol"</formula>
    </cfRule>
    <cfRule type="expression" dxfId="6638" priority="3995">
      <formula>$C43="Bills"</formula>
    </cfRule>
    <cfRule type="expression" dxfId="6637" priority="3996">
      <formula>$C43="Sales"</formula>
    </cfRule>
    <cfRule type="expression" dxfId="6636" priority="3997">
      <formula>$C43="Expences"</formula>
    </cfRule>
    <cfRule type="expression" dxfId="6635" priority="3998">
      <formula>$C43="Garlic Purchase"</formula>
    </cfRule>
    <cfRule type="expression" dxfId="6634" priority="3999">
      <formula>$C43="Ginger Purchase"</formula>
    </cfRule>
  </conditionalFormatting>
  <conditionalFormatting sqref="B43 B45 B47 B51 B49 B53 B57 B61">
    <cfRule type="expression" dxfId="6633" priority="4000">
      <formula>$C43="Advance"</formula>
    </cfRule>
  </conditionalFormatting>
  <conditionalFormatting sqref="B43 B45 B47 B51 B49 B53 B57 B61">
    <cfRule type="expression" dxfId="6632" priority="3981">
      <formula>$C43="Delivery charge"</formula>
    </cfRule>
    <cfRule type="expression" dxfId="6631" priority="3982">
      <formula>$C43="Staff Salary"</formula>
    </cfRule>
    <cfRule type="expression" dxfId="6630" priority="3983">
      <formula>$C43="Rent"</formula>
    </cfRule>
    <cfRule type="expression" dxfId="6629" priority="3984">
      <formula>$C43="Petrol"</formula>
    </cfRule>
    <cfRule type="expression" dxfId="6628" priority="3985">
      <formula>$C43="Bills"</formula>
    </cfRule>
    <cfRule type="expression" dxfId="6627" priority="3986">
      <formula>$C43="Sales"</formula>
    </cfRule>
    <cfRule type="expression" dxfId="6626" priority="3987">
      <formula>$C43="Expences"</formula>
    </cfRule>
    <cfRule type="expression" dxfId="6625" priority="3988">
      <formula>$C43="Garlic Purchase"</formula>
    </cfRule>
    <cfRule type="expression" dxfId="6624" priority="3989">
      <formula>$C43="Ginger Purchase"</formula>
    </cfRule>
  </conditionalFormatting>
  <conditionalFormatting sqref="B43 B45 B47 B51 B49 B53 B57 B61">
    <cfRule type="expression" dxfId="6623" priority="3990">
      <formula>$C43="Advance"</formula>
    </cfRule>
  </conditionalFormatting>
  <conditionalFormatting sqref="B43 B45 B47 B51 B49 B53 B57 B61">
    <cfRule type="expression" dxfId="6622" priority="3971">
      <formula>$C43="Delivery charge"</formula>
    </cfRule>
    <cfRule type="expression" dxfId="6621" priority="3972">
      <formula>$C43="Staff Salary"</formula>
    </cfRule>
    <cfRule type="expression" dxfId="6620" priority="3973">
      <formula>$C43="Rent"</formula>
    </cfRule>
    <cfRule type="expression" dxfId="6619" priority="3974">
      <formula>$C43="Petrol"</formula>
    </cfRule>
    <cfRule type="expression" dxfId="6618" priority="3975">
      <formula>$C43="Bills"</formula>
    </cfRule>
    <cfRule type="expression" dxfId="6617" priority="3976">
      <formula>$C43="Sales"</formula>
    </cfRule>
    <cfRule type="expression" dxfId="6616" priority="3977">
      <formula>$C43="Expences"</formula>
    </cfRule>
    <cfRule type="expression" dxfId="6615" priority="3978">
      <formula>$C43="Garlic Purchase"</formula>
    </cfRule>
    <cfRule type="expression" dxfId="6614" priority="3979">
      <formula>$C43="Ginger Purchase"</formula>
    </cfRule>
  </conditionalFormatting>
  <conditionalFormatting sqref="B43 B45 B47 B51 B49 B53 B57 B61">
    <cfRule type="expression" dxfId="6613" priority="3980">
      <formula>$C43="Advance"</formula>
    </cfRule>
  </conditionalFormatting>
  <conditionalFormatting sqref="B43 B45 B47 B51 B49 B53 B57 B61">
    <cfRule type="expression" dxfId="6612" priority="3961">
      <formula>$C43="Delivery charge"</formula>
    </cfRule>
    <cfRule type="expression" dxfId="6611" priority="3962">
      <formula>$C43="Staff Salary"</formula>
    </cfRule>
    <cfRule type="expression" dxfId="6610" priority="3963">
      <formula>$C43="Rent"</formula>
    </cfRule>
    <cfRule type="expression" dxfId="6609" priority="3964">
      <formula>$C43="Petrol"</formula>
    </cfRule>
    <cfRule type="expression" dxfId="6608" priority="3965">
      <formula>$C43="Bills"</formula>
    </cfRule>
    <cfRule type="expression" dxfId="6607" priority="3966">
      <formula>$C43="Sales"</formula>
    </cfRule>
    <cfRule type="expression" dxfId="6606" priority="3967">
      <formula>$C43="Expences"</formula>
    </cfRule>
    <cfRule type="expression" dxfId="6605" priority="3968">
      <formula>$C43="Garlic Purchase"</formula>
    </cfRule>
    <cfRule type="expression" dxfId="6604" priority="3969">
      <formula>$C43="Ginger Purchase"</formula>
    </cfRule>
  </conditionalFormatting>
  <conditionalFormatting sqref="B43 B45 B47 B51 B49 B53 B57 B61">
    <cfRule type="expression" dxfId="6603" priority="3970">
      <formula>$C43="Advance"</formula>
    </cfRule>
  </conditionalFormatting>
  <conditionalFormatting sqref="B43 B45 B47 B51 B49 B53 B57 B61">
    <cfRule type="expression" dxfId="6602" priority="3951">
      <formula>$C43="Delivery charge"</formula>
    </cfRule>
    <cfRule type="expression" dxfId="6601" priority="3952">
      <formula>$C43="Staff Salary"</formula>
    </cfRule>
    <cfRule type="expression" dxfId="6600" priority="3953">
      <formula>$C43="Rent"</formula>
    </cfRule>
    <cfRule type="expression" dxfId="6599" priority="3954">
      <formula>$C43="Petrol"</formula>
    </cfRule>
    <cfRule type="expression" dxfId="6598" priority="3955">
      <formula>$C43="Bills"</formula>
    </cfRule>
    <cfRule type="expression" dxfId="6597" priority="3956">
      <formula>$C43="Sales"</formula>
    </cfRule>
    <cfRule type="expression" dxfId="6596" priority="3957">
      <formula>$C43="Expences"</formula>
    </cfRule>
    <cfRule type="expression" dxfId="6595" priority="3958">
      <formula>$C43="Garlic Purchase"</formula>
    </cfRule>
    <cfRule type="expression" dxfId="6594" priority="3959">
      <formula>$C43="Ginger Purchase"</formula>
    </cfRule>
  </conditionalFormatting>
  <conditionalFormatting sqref="B43 B45 B47 B51 B49 B53 B57 B61">
    <cfRule type="expression" dxfId="6593" priority="3960">
      <formula>$C43="Advance"</formula>
    </cfRule>
  </conditionalFormatting>
  <conditionalFormatting sqref="B43 B45 B47 B51 B49 B53 B57 B61">
    <cfRule type="expression" dxfId="6592" priority="3941">
      <formula>$C43="Delivery charge"</formula>
    </cfRule>
    <cfRule type="expression" dxfId="6591" priority="3942">
      <formula>$C43="Staff Salary"</formula>
    </cfRule>
    <cfRule type="expression" dxfId="6590" priority="3943">
      <formula>$C43="Rent"</formula>
    </cfRule>
    <cfRule type="expression" dxfId="6589" priority="3944">
      <formula>$C43="Petrol"</formula>
    </cfRule>
    <cfRule type="expression" dxfId="6588" priority="3945">
      <formula>$C43="Bills"</formula>
    </cfRule>
    <cfRule type="expression" dxfId="6587" priority="3946">
      <formula>$C43="Sales"</formula>
    </cfRule>
    <cfRule type="expression" dxfId="6586" priority="3947">
      <formula>$C43="Expences"</formula>
    </cfRule>
    <cfRule type="expression" dxfId="6585" priority="3948">
      <formula>$C43="Garlic Purchase"</formula>
    </cfRule>
    <cfRule type="expression" dxfId="6584" priority="3949">
      <formula>$C43="Ginger Purchase"</formula>
    </cfRule>
  </conditionalFormatting>
  <conditionalFormatting sqref="B43 B45 B47 B51 B49 B53 B57 B61">
    <cfRule type="expression" dxfId="6583" priority="3950">
      <formula>$C43="Advance"</formula>
    </cfRule>
  </conditionalFormatting>
  <conditionalFormatting sqref="B43 B45 B47 B51 B49 B53 B57 B61">
    <cfRule type="expression" dxfId="6582" priority="3931">
      <formula>$C43="Delivery charge"</formula>
    </cfRule>
    <cfRule type="expression" dxfId="6581" priority="3932">
      <formula>$C43="Staff Salary"</formula>
    </cfRule>
    <cfRule type="expression" dxfId="6580" priority="3933">
      <formula>$C43="Rent"</formula>
    </cfRule>
    <cfRule type="expression" dxfId="6579" priority="3934">
      <formula>$C43="Petrol"</formula>
    </cfRule>
    <cfRule type="expression" dxfId="6578" priority="3935">
      <formula>$C43="Bills"</formula>
    </cfRule>
    <cfRule type="expression" dxfId="6577" priority="3936">
      <formula>$C43="Sales"</formula>
    </cfRule>
    <cfRule type="expression" dxfId="6576" priority="3937">
      <formula>$C43="Expences"</formula>
    </cfRule>
    <cfRule type="expression" dxfId="6575" priority="3938">
      <formula>$C43="Garlic Purchase"</formula>
    </cfRule>
    <cfRule type="expression" dxfId="6574" priority="3939">
      <formula>$C43="Ginger Purchase"</formula>
    </cfRule>
  </conditionalFormatting>
  <conditionalFormatting sqref="B43 B45 B47 B51 B49 B53 B57 B61">
    <cfRule type="expression" dxfId="6573" priority="3940">
      <formula>$C43="Advance"</formula>
    </cfRule>
  </conditionalFormatting>
  <conditionalFormatting sqref="B44 B46 B48 B52 B50 B54 B56 B60 B58 B62">
    <cfRule type="expression" dxfId="6572" priority="3930">
      <formula>$C44="Advance"</formula>
    </cfRule>
  </conditionalFormatting>
  <conditionalFormatting sqref="B44 B46 B48 B52 B50 B54 B56 B60 B58 B62">
    <cfRule type="expression" dxfId="6571" priority="3921">
      <formula>$C44="Delivery charge"</formula>
    </cfRule>
    <cfRule type="expression" dxfId="6570" priority="3922">
      <formula>$C44="Staff Salary"</formula>
    </cfRule>
    <cfRule type="expression" dxfId="6569" priority="3923">
      <formula>$C44="Rent"</formula>
    </cfRule>
    <cfRule type="expression" dxfId="6568" priority="3924">
      <formula>$C44="Petrol"</formula>
    </cfRule>
    <cfRule type="expression" dxfId="6567" priority="3925">
      <formula>$C44="Bills"</formula>
    </cfRule>
    <cfRule type="expression" dxfId="6566" priority="3926">
      <formula>$C44="Sales"</formula>
    </cfRule>
    <cfRule type="expression" dxfId="6565" priority="3927">
      <formula>$C44="Expences"</formula>
    </cfRule>
    <cfRule type="expression" dxfId="6564" priority="3928">
      <formula>$C44="Garlic Purchase"</formula>
    </cfRule>
    <cfRule type="expression" dxfId="6563" priority="3929">
      <formula>$C44="Ginger Purchase"</formula>
    </cfRule>
  </conditionalFormatting>
  <conditionalFormatting sqref="B44 B46 B48 B52 B50 B54 B56 B60 B58 B62">
    <cfRule type="expression" dxfId="6562" priority="3911">
      <formula>$C44="Delivery charge"</formula>
    </cfRule>
    <cfRule type="expression" dxfId="6561" priority="3912">
      <formula>$C44="Staff Salary"</formula>
    </cfRule>
    <cfRule type="expression" dxfId="6560" priority="3913">
      <formula>$C44="Rent"</formula>
    </cfRule>
    <cfRule type="expression" dxfId="6559" priority="3914">
      <formula>$C44="Petrol"</formula>
    </cfRule>
    <cfRule type="expression" dxfId="6558" priority="3915">
      <formula>$C44="Bills"</formula>
    </cfRule>
    <cfRule type="expression" dxfId="6557" priority="3916">
      <formula>$C44="Sales"</formula>
    </cfRule>
    <cfRule type="expression" dxfId="6556" priority="3917">
      <formula>$C44="Expences"</formula>
    </cfRule>
    <cfRule type="expression" dxfId="6555" priority="3918">
      <formula>$C44="Garlic Purchase"</formula>
    </cfRule>
    <cfRule type="expression" dxfId="6554" priority="3919">
      <formula>$C44="Ginger Purchase"</formula>
    </cfRule>
  </conditionalFormatting>
  <conditionalFormatting sqref="B44 B46 B48 B52 B50 B54 B56 B60 B58 B62">
    <cfRule type="expression" dxfId="6553" priority="3920">
      <formula>$C44="Advance"</formula>
    </cfRule>
  </conditionalFormatting>
  <conditionalFormatting sqref="B43 B45 B47 B51 B49 B53 B57 B61">
    <cfRule type="expression" dxfId="6552" priority="3901">
      <formula>$C43="Delivery charge"</formula>
    </cfRule>
    <cfRule type="expression" dxfId="6551" priority="3902">
      <formula>$C43="Staff Salary"</formula>
    </cfRule>
    <cfRule type="expression" dxfId="6550" priority="3903">
      <formula>$C43="Rent"</formula>
    </cfRule>
    <cfRule type="expression" dxfId="6549" priority="3904">
      <formula>$C43="Petrol"</formula>
    </cfRule>
    <cfRule type="expression" dxfId="6548" priority="3905">
      <formula>$C43="Bills"</formula>
    </cfRule>
    <cfRule type="expression" dxfId="6547" priority="3906">
      <formula>$C43="Sales"</formula>
    </cfRule>
    <cfRule type="expression" dxfId="6546" priority="3907">
      <formula>$C43="Expences"</formula>
    </cfRule>
    <cfRule type="expression" dxfId="6545" priority="3908">
      <formula>$C43="Garlic Purchase"</formula>
    </cfRule>
    <cfRule type="expression" dxfId="6544" priority="3909">
      <formula>$C43="Ginger Purchase"</formula>
    </cfRule>
  </conditionalFormatting>
  <conditionalFormatting sqref="B43 B45 B47 B51 B49 B53 B57 B61">
    <cfRule type="expression" dxfId="6543" priority="3910">
      <formula>$C43="Advance"</formula>
    </cfRule>
  </conditionalFormatting>
  <conditionalFormatting sqref="B43 B45 B47 B51 B49 B53 B57 B61">
    <cfRule type="expression" dxfId="6542" priority="3891">
      <formula>$C43="Delivery charge"</formula>
    </cfRule>
    <cfRule type="expression" dxfId="6541" priority="3892">
      <formula>$C43="Staff Salary"</formula>
    </cfRule>
    <cfRule type="expression" dxfId="6540" priority="3893">
      <formula>$C43="Rent"</formula>
    </cfRule>
    <cfRule type="expression" dxfId="6539" priority="3894">
      <formula>$C43="Petrol"</formula>
    </cfRule>
    <cfRule type="expression" dxfId="6538" priority="3895">
      <formula>$C43="Bills"</formula>
    </cfRule>
    <cfRule type="expression" dxfId="6537" priority="3896">
      <formula>$C43="Sales"</formula>
    </cfRule>
    <cfRule type="expression" dxfId="6536" priority="3897">
      <formula>$C43="Expences"</formula>
    </cfRule>
    <cfRule type="expression" dxfId="6535" priority="3898">
      <formula>$C43="Garlic Purchase"</formula>
    </cfRule>
    <cfRule type="expression" dxfId="6534" priority="3899">
      <formula>$C43="Ginger Purchase"</formula>
    </cfRule>
  </conditionalFormatting>
  <conditionalFormatting sqref="B43 B45 B47 B51 B49 B53 B57 B61">
    <cfRule type="expression" dxfId="6533" priority="3900">
      <formula>$C43="Advance"</formula>
    </cfRule>
  </conditionalFormatting>
  <conditionalFormatting sqref="B43 B45 B47 B51 B49 B53 B57 B61">
    <cfRule type="expression" dxfId="6532" priority="3881">
      <formula>$C43="Delivery charge"</formula>
    </cfRule>
    <cfRule type="expression" dxfId="6531" priority="3882">
      <formula>$C43="Staff Salary"</formula>
    </cfRule>
    <cfRule type="expression" dxfId="6530" priority="3883">
      <formula>$C43="Rent"</formula>
    </cfRule>
    <cfRule type="expression" dxfId="6529" priority="3884">
      <formula>$C43="Petrol"</formula>
    </cfRule>
    <cfRule type="expression" dxfId="6528" priority="3885">
      <formula>$C43="Bills"</formula>
    </cfRule>
    <cfRule type="expression" dxfId="6527" priority="3886">
      <formula>$C43="Sales"</formula>
    </cfRule>
    <cfRule type="expression" dxfId="6526" priority="3887">
      <formula>$C43="Expences"</formula>
    </cfRule>
    <cfRule type="expression" dxfId="6525" priority="3888">
      <formula>$C43="Garlic Purchase"</formula>
    </cfRule>
    <cfRule type="expression" dxfId="6524" priority="3889">
      <formula>$C43="Ginger Purchase"</formula>
    </cfRule>
  </conditionalFormatting>
  <conditionalFormatting sqref="B43 B45 B47 B51 B49 B53 B57 B61">
    <cfRule type="expression" dxfId="6523" priority="3890">
      <formula>$C43="Advance"</formula>
    </cfRule>
  </conditionalFormatting>
  <conditionalFormatting sqref="B43 B45 B47 B51 B49 B53 B57 B61">
    <cfRule type="expression" dxfId="6522" priority="3871">
      <formula>$C43="Delivery charge"</formula>
    </cfRule>
    <cfRule type="expression" dxfId="6521" priority="3872">
      <formula>$C43="Staff Salary"</formula>
    </cfRule>
    <cfRule type="expression" dxfId="6520" priority="3873">
      <formula>$C43="Rent"</formula>
    </cfRule>
    <cfRule type="expression" dxfId="6519" priority="3874">
      <formula>$C43="Petrol"</formula>
    </cfRule>
    <cfRule type="expression" dxfId="6518" priority="3875">
      <formula>$C43="Bills"</formula>
    </cfRule>
    <cfRule type="expression" dxfId="6517" priority="3876">
      <formula>$C43="Sales"</formula>
    </cfRule>
    <cfRule type="expression" dxfId="6516" priority="3877">
      <formula>$C43="Expences"</formula>
    </cfRule>
    <cfRule type="expression" dxfId="6515" priority="3878">
      <formula>$C43="Garlic Purchase"</formula>
    </cfRule>
    <cfRule type="expression" dxfId="6514" priority="3879">
      <formula>$C43="Ginger Purchase"</formula>
    </cfRule>
  </conditionalFormatting>
  <conditionalFormatting sqref="B43 B45 B47 B51 B49 B53 B57 B61">
    <cfRule type="expression" dxfId="6513" priority="3880">
      <formula>$C43="Advance"</formula>
    </cfRule>
  </conditionalFormatting>
  <conditionalFormatting sqref="B44 B46 B48 B52 B50 B54 B56 B60 B58 B62">
    <cfRule type="expression" dxfId="6512" priority="3861">
      <formula>$C44="Delivery charge"</formula>
    </cfRule>
    <cfRule type="expression" dxfId="6511" priority="3862">
      <formula>$C44="Staff Salary"</formula>
    </cfRule>
    <cfRule type="expression" dxfId="6510" priority="3863">
      <formula>$C44="Rent"</formula>
    </cfRule>
    <cfRule type="expression" dxfId="6509" priority="3864">
      <formula>$C44="Petrol"</formula>
    </cfRule>
    <cfRule type="expression" dxfId="6508" priority="3865">
      <formula>$C44="Bills"</formula>
    </cfRule>
    <cfRule type="expression" dxfId="6507" priority="3866">
      <formula>$C44="Sales"</formula>
    </cfRule>
    <cfRule type="expression" dxfId="6506" priority="3867">
      <formula>$C44="Expences"</formula>
    </cfRule>
    <cfRule type="expression" dxfId="6505" priority="3868">
      <formula>$C44="Garlic Purchase"</formula>
    </cfRule>
    <cfRule type="expression" dxfId="6504" priority="3869">
      <formula>$C44="Ginger Purchase"</formula>
    </cfRule>
  </conditionalFormatting>
  <conditionalFormatting sqref="B44 B46 B48 B52 B50 B54 B56 B60 B58 B62">
    <cfRule type="expression" dxfId="6503" priority="3870">
      <formula>$C44="Advance"</formula>
    </cfRule>
  </conditionalFormatting>
  <conditionalFormatting sqref="B44 B46 B48 B52 B50 B54 B56 B60 B58 B62">
    <cfRule type="expression" dxfId="6502" priority="3851">
      <formula>$C44="Delivery charge"</formula>
    </cfRule>
    <cfRule type="expression" dxfId="6501" priority="3852">
      <formula>$C44="Staff Salary"</formula>
    </cfRule>
    <cfRule type="expression" dxfId="6500" priority="3853">
      <formula>$C44="Rent"</formula>
    </cfRule>
    <cfRule type="expression" dxfId="6499" priority="3854">
      <formula>$C44="Petrol"</formula>
    </cfRule>
    <cfRule type="expression" dxfId="6498" priority="3855">
      <formula>$C44="Bills"</formula>
    </cfRule>
    <cfRule type="expression" dxfId="6497" priority="3856">
      <formula>$C44="Sales"</formula>
    </cfRule>
    <cfRule type="expression" dxfId="6496" priority="3857">
      <formula>$C44="Expences"</formula>
    </cfRule>
    <cfRule type="expression" dxfId="6495" priority="3858">
      <formula>$C44="Garlic Purchase"</formula>
    </cfRule>
    <cfRule type="expression" dxfId="6494" priority="3859">
      <formula>$C44="Ginger Purchase"</formula>
    </cfRule>
  </conditionalFormatting>
  <conditionalFormatting sqref="B44 B46 B48 B52 B50 B54 B56 B60 B58 B62">
    <cfRule type="expression" dxfId="6493" priority="3860">
      <formula>$C44="Advance"</formula>
    </cfRule>
  </conditionalFormatting>
  <conditionalFormatting sqref="B44 B46 B48 B52 B50 B54 B56 B60 B58 B62">
    <cfRule type="expression" dxfId="6492" priority="3841">
      <formula>$C44="Delivery charge"</formula>
    </cfRule>
    <cfRule type="expression" dxfId="6491" priority="3842">
      <formula>$C44="Staff Salary"</formula>
    </cfRule>
    <cfRule type="expression" dxfId="6490" priority="3843">
      <formula>$C44="Rent"</formula>
    </cfRule>
    <cfRule type="expression" dxfId="6489" priority="3844">
      <formula>$C44="Petrol"</formula>
    </cfRule>
    <cfRule type="expression" dxfId="6488" priority="3845">
      <formula>$C44="Bills"</formula>
    </cfRule>
    <cfRule type="expression" dxfId="6487" priority="3846">
      <formula>$C44="Sales"</formula>
    </cfRule>
    <cfRule type="expression" dxfId="6486" priority="3847">
      <formula>$C44="Expences"</formula>
    </cfRule>
    <cfRule type="expression" dxfId="6485" priority="3848">
      <formula>$C44="Garlic Purchase"</formula>
    </cfRule>
    <cfRule type="expression" dxfId="6484" priority="3849">
      <formula>$C44="Ginger Purchase"</formula>
    </cfRule>
  </conditionalFormatting>
  <conditionalFormatting sqref="B44 B46 B48 B52 B50 B54 B56 B60 B58 B62">
    <cfRule type="expression" dxfId="6483" priority="3850">
      <formula>$C44="Advance"</formula>
    </cfRule>
  </conditionalFormatting>
  <conditionalFormatting sqref="B44 B46 B48 B52 B50 B54 B56 B60 B58 B62">
    <cfRule type="expression" dxfId="6482" priority="3831">
      <formula>$C44="Delivery charge"</formula>
    </cfRule>
    <cfRule type="expression" dxfId="6481" priority="3832">
      <formula>$C44="Staff Salary"</formula>
    </cfRule>
    <cfRule type="expression" dxfId="6480" priority="3833">
      <formula>$C44="Rent"</formula>
    </cfRule>
    <cfRule type="expression" dxfId="6479" priority="3834">
      <formula>$C44="Petrol"</formula>
    </cfRule>
    <cfRule type="expression" dxfId="6478" priority="3835">
      <formula>$C44="Bills"</formula>
    </cfRule>
    <cfRule type="expression" dxfId="6477" priority="3836">
      <formula>$C44="Sales"</formula>
    </cfRule>
    <cfRule type="expression" dxfId="6476" priority="3837">
      <formula>$C44="Expences"</formula>
    </cfRule>
    <cfRule type="expression" dxfId="6475" priority="3838">
      <formula>$C44="Garlic Purchase"</formula>
    </cfRule>
    <cfRule type="expression" dxfId="6474" priority="3839">
      <formula>$C44="Ginger Purchase"</formula>
    </cfRule>
  </conditionalFormatting>
  <conditionalFormatting sqref="B44 B46 B48 B52 B50 B54 B56 B60 B58 B62">
    <cfRule type="expression" dxfId="6473" priority="3840">
      <formula>$C44="Advance"</formula>
    </cfRule>
  </conditionalFormatting>
  <conditionalFormatting sqref="B43 B45 B47 B51 B49 B53 B57 B61">
    <cfRule type="expression" dxfId="6472" priority="3821">
      <formula>$C43="Delivery charge"</formula>
    </cfRule>
    <cfRule type="expression" dxfId="6471" priority="3822">
      <formula>$C43="Staff Salary"</formula>
    </cfRule>
    <cfRule type="expression" dxfId="6470" priority="3823">
      <formula>$C43="Rent"</formula>
    </cfRule>
    <cfRule type="expression" dxfId="6469" priority="3824">
      <formula>$C43="Petrol"</formula>
    </cfRule>
    <cfRule type="expression" dxfId="6468" priority="3825">
      <formula>$C43="Bills"</formula>
    </cfRule>
    <cfRule type="expression" dxfId="6467" priority="3826">
      <formula>$C43="Sales"</formula>
    </cfRule>
    <cfRule type="expression" dxfId="6466" priority="3827">
      <formula>$C43="Expences"</formula>
    </cfRule>
    <cfRule type="expression" dxfId="6465" priority="3828">
      <formula>$C43="Garlic Purchase"</formula>
    </cfRule>
    <cfRule type="expression" dxfId="6464" priority="3829">
      <formula>$C43="Ginger Purchase"</formula>
    </cfRule>
  </conditionalFormatting>
  <conditionalFormatting sqref="B43 B45 B47 B51 B49 B53 B57 B61">
    <cfRule type="expression" dxfId="6463" priority="3830">
      <formula>$C43="Advance"</formula>
    </cfRule>
  </conditionalFormatting>
  <conditionalFormatting sqref="B44 B46 B48 B52 B50 B54 B56 B60 B58 B62">
    <cfRule type="expression" dxfId="6462" priority="3811">
      <formula>$C44="Delivery charge"</formula>
    </cfRule>
    <cfRule type="expression" dxfId="6461" priority="3812">
      <formula>$C44="Staff Salary"</formula>
    </cfRule>
    <cfRule type="expression" dxfId="6460" priority="3813">
      <formula>$C44="Rent"</formula>
    </cfRule>
    <cfRule type="expression" dxfId="6459" priority="3814">
      <formula>$C44="Petrol"</formula>
    </cfRule>
    <cfRule type="expression" dxfId="6458" priority="3815">
      <formula>$C44="Bills"</formula>
    </cfRule>
    <cfRule type="expression" dxfId="6457" priority="3816">
      <formula>$C44="Sales"</formula>
    </cfRule>
    <cfRule type="expression" dxfId="6456" priority="3817">
      <formula>$C44="Expences"</formula>
    </cfRule>
    <cfRule type="expression" dxfId="6455" priority="3818">
      <formula>$C44="Garlic Purchase"</formula>
    </cfRule>
    <cfRule type="expression" dxfId="6454" priority="3819">
      <formula>$C44="Ginger Purchase"</formula>
    </cfRule>
  </conditionalFormatting>
  <conditionalFormatting sqref="B44 B46 B48 B52 B50 B54 B56 B60 B58 B62">
    <cfRule type="expression" dxfId="6453" priority="3820">
      <formula>$C44="Advance"</formula>
    </cfRule>
  </conditionalFormatting>
  <conditionalFormatting sqref="B44 B46 B48 B52 B50 B54 B56 B60 B58 B62">
    <cfRule type="expression" dxfId="6452" priority="3801">
      <formula>$C44="Delivery charge"</formula>
    </cfRule>
    <cfRule type="expression" dxfId="6451" priority="3802">
      <formula>$C44="Staff Salary"</formula>
    </cfRule>
    <cfRule type="expression" dxfId="6450" priority="3803">
      <formula>$C44="Rent"</formula>
    </cfRule>
    <cfRule type="expression" dxfId="6449" priority="3804">
      <formula>$C44="Petrol"</formula>
    </cfRule>
    <cfRule type="expression" dxfId="6448" priority="3805">
      <formula>$C44="Bills"</formula>
    </cfRule>
    <cfRule type="expression" dxfId="6447" priority="3806">
      <formula>$C44="Sales"</formula>
    </cfRule>
    <cfRule type="expression" dxfId="6446" priority="3807">
      <formula>$C44="Expences"</formula>
    </cfRule>
    <cfRule type="expression" dxfId="6445" priority="3808">
      <formula>$C44="Garlic Purchase"</formula>
    </cfRule>
    <cfRule type="expression" dxfId="6444" priority="3809">
      <formula>$C44="Ginger Purchase"</formula>
    </cfRule>
  </conditionalFormatting>
  <conditionalFormatting sqref="B44 B46 B48 B52 B50 B54 B56 B60 B58 B62">
    <cfRule type="expression" dxfId="6443" priority="3810">
      <formula>$C44="Advance"</formula>
    </cfRule>
  </conditionalFormatting>
  <conditionalFormatting sqref="B44 B46 B48 B52 B50 B54 B56 B60 B58 B62">
    <cfRule type="expression" dxfId="6442" priority="3791">
      <formula>$C44="Delivery charge"</formula>
    </cfRule>
    <cfRule type="expression" dxfId="6441" priority="3792">
      <formula>$C44="Staff Salary"</formula>
    </cfRule>
    <cfRule type="expression" dxfId="6440" priority="3793">
      <formula>$C44="Rent"</formula>
    </cfRule>
    <cfRule type="expression" dxfId="6439" priority="3794">
      <formula>$C44="Petrol"</formula>
    </cfRule>
    <cfRule type="expression" dxfId="6438" priority="3795">
      <formula>$C44="Bills"</formula>
    </cfRule>
    <cfRule type="expression" dxfId="6437" priority="3796">
      <formula>$C44="Sales"</formula>
    </cfRule>
    <cfRule type="expression" dxfId="6436" priority="3797">
      <formula>$C44="Expences"</formula>
    </cfRule>
    <cfRule type="expression" dxfId="6435" priority="3798">
      <formula>$C44="Garlic Purchase"</formula>
    </cfRule>
    <cfRule type="expression" dxfId="6434" priority="3799">
      <formula>$C44="Ginger Purchase"</formula>
    </cfRule>
  </conditionalFormatting>
  <conditionalFormatting sqref="B44 B46 B48 B52 B50 B54 B56 B60 B58 B62">
    <cfRule type="expression" dxfId="6433" priority="3800">
      <formula>$C44="Advance"</formula>
    </cfRule>
  </conditionalFormatting>
  <conditionalFormatting sqref="B44 B46 B48 B52 B50 B54 B56 B60 B58 B62">
    <cfRule type="expression" dxfId="6432" priority="3781">
      <formula>$C44="Delivery charge"</formula>
    </cfRule>
    <cfRule type="expression" dxfId="6431" priority="3782">
      <formula>$C44="Staff Salary"</formula>
    </cfRule>
    <cfRule type="expression" dxfId="6430" priority="3783">
      <formula>$C44="Rent"</formula>
    </cfRule>
    <cfRule type="expression" dxfId="6429" priority="3784">
      <formula>$C44="Petrol"</formula>
    </cfRule>
    <cfRule type="expression" dxfId="6428" priority="3785">
      <formula>$C44="Bills"</formula>
    </cfRule>
    <cfRule type="expression" dxfId="6427" priority="3786">
      <formula>$C44="Sales"</formula>
    </cfRule>
    <cfRule type="expression" dxfId="6426" priority="3787">
      <formula>$C44="Expences"</formula>
    </cfRule>
    <cfRule type="expression" dxfId="6425" priority="3788">
      <formula>$C44="Garlic Purchase"</formula>
    </cfRule>
    <cfRule type="expression" dxfId="6424" priority="3789">
      <formula>$C44="Ginger Purchase"</formula>
    </cfRule>
  </conditionalFormatting>
  <conditionalFormatting sqref="B44 B46 B48 B52 B50 B54 B56 B60 B58 B62">
    <cfRule type="expression" dxfId="6423" priority="3790">
      <formula>$C44="Advance"</formula>
    </cfRule>
  </conditionalFormatting>
  <conditionalFormatting sqref="B44 B46 B48 B52 B50 B54 B56 B60 B58 B62">
    <cfRule type="expression" dxfId="6422" priority="3771">
      <formula>$C44="Delivery charge"</formula>
    </cfRule>
    <cfRule type="expression" dxfId="6421" priority="3772">
      <formula>$C44="Staff Salary"</formula>
    </cfRule>
    <cfRule type="expression" dxfId="6420" priority="3773">
      <formula>$C44="Rent"</formula>
    </cfRule>
    <cfRule type="expression" dxfId="6419" priority="3774">
      <formula>$C44="Petrol"</formula>
    </cfRule>
    <cfRule type="expression" dxfId="6418" priority="3775">
      <formula>$C44="Bills"</formula>
    </cfRule>
    <cfRule type="expression" dxfId="6417" priority="3776">
      <formula>$C44="Sales"</formula>
    </cfRule>
    <cfRule type="expression" dxfId="6416" priority="3777">
      <formula>$C44="Expences"</formula>
    </cfRule>
    <cfRule type="expression" dxfId="6415" priority="3778">
      <formula>$C44="Garlic Purchase"</formula>
    </cfRule>
    <cfRule type="expression" dxfId="6414" priority="3779">
      <formula>$C44="Ginger Purchase"</formula>
    </cfRule>
  </conditionalFormatting>
  <conditionalFormatting sqref="B44 B46 B48 B52 B50 B54 B56 B60 B58 B62">
    <cfRule type="expression" dxfId="6413" priority="3780">
      <formula>$C44="Advance"</formula>
    </cfRule>
  </conditionalFormatting>
  <conditionalFormatting sqref="B43 B45 B47 B51 B49 B53 B57 B61">
    <cfRule type="expression" dxfId="6412" priority="3761">
      <formula>$C43="Delivery charge"</formula>
    </cfRule>
    <cfRule type="expression" dxfId="6411" priority="3762">
      <formula>$C43="Staff Salary"</formula>
    </cfRule>
    <cfRule type="expression" dxfId="6410" priority="3763">
      <formula>$C43="Rent"</formula>
    </cfRule>
    <cfRule type="expression" dxfId="6409" priority="3764">
      <formula>$C43="Petrol"</formula>
    </cfRule>
    <cfRule type="expression" dxfId="6408" priority="3765">
      <formula>$C43="Bills"</formula>
    </cfRule>
    <cfRule type="expression" dxfId="6407" priority="3766">
      <formula>$C43="Sales"</formula>
    </cfRule>
    <cfRule type="expression" dxfId="6406" priority="3767">
      <formula>$C43="Expences"</formula>
    </cfRule>
    <cfRule type="expression" dxfId="6405" priority="3768">
      <formula>$C43="Garlic Purchase"</formula>
    </cfRule>
    <cfRule type="expression" dxfId="6404" priority="3769">
      <formula>$C43="Ginger Purchase"</formula>
    </cfRule>
  </conditionalFormatting>
  <conditionalFormatting sqref="B43 B45 B47 B51 B49 B53 B57 B61">
    <cfRule type="expression" dxfId="6403" priority="3770">
      <formula>$C43="Advance"</formula>
    </cfRule>
  </conditionalFormatting>
  <conditionalFormatting sqref="B43 B45 B47 B51 B49 B53 B57 B61">
    <cfRule type="expression" dxfId="6402" priority="3751">
      <formula>$C43="Delivery charge"</formula>
    </cfRule>
    <cfRule type="expression" dxfId="6401" priority="3752">
      <formula>$C43="Staff Salary"</formula>
    </cfRule>
    <cfRule type="expression" dxfId="6400" priority="3753">
      <formula>$C43="Rent"</formula>
    </cfRule>
    <cfRule type="expression" dxfId="6399" priority="3754">
      <formula>$C43="Petrol"</formula>
    </cfRule>
    <cfRule type="expression" dxfId="6398" priority="3755">
      <formula>$C43="Bills"</formula>
    </cfRule>
    <cfRule type="expression" dxfId="6397" priority="3756">
      <formula>$C43="Sales"</formula>
    </cfRule>
    <cfRule type="expression" dxfId="6396" priority="3757">
      <formula>$C43="Expences"</formula>
    </cfRule>
    <cfRule type="expression" dxfId="6395" priority="3758">
      <formula>$C43="Garlic Purchase"</formula>
    </cfRule>
    <cfRule type="expression" dxfId="6394" priority="3759">
      <formula>$C43="Ginger Purchase"</formula>
    </cfRule>
  </conditionalFormatting>
  <conditionalFormatting sqref="B43 B45 B47 B51 B49 B53 B57 B61">
    <cfRule type="expression" dxfId="6393" priority="3760">
      <formula>$C43="Advance"</formula>
    </cfRule>
  </conditionalFormatting>
  <conditionalFormatting sqref="B43 B45 B47 B51 B49 B53 B57 B61">
    <cfRule type="expression" dxfId="6392" priority="3741">
      <formula>$C43="Delivery charge"</formula>
    </cfRule>
    <cfRule type="expression" dxfId="6391" priority="3742">
      <formula>$C43="Staff Salary"</formula>
    </cfRule>
    <cfRule type="expression" dxfId="6390" priority="3743">
      <formula>$C43="Rent"</formula>
    </cfRule>
    <cfRule type="expression" dxfId="6389" priority="3744">
      <formula>$C43="Petrol"</formula>
    </cfRule>
    <cfRule type="expression" dxfId="6388" priority="3745">
      <formula>$C43="Bills"</formula>
    </cfRule>
    <cfRule type="expression" dxfId="6387" priority="3746">
      <formula>$C43="Sales"</formula>
    </cfRule>
    <cfRule type="expression" dxfId="6386" priority="3747">
      <formula>$C43="Expences"</formula>
    </cfRule>
    <cfRule type="expression" dxfId="6385" priority="3748">
      <formula>$C43="Garlic Purchase"</formula>
    </cfRule>
    <cfRule type="expression" dxfId="6384" priority="3749">
      <formula>$C43="Ginger Purchase"</formula>
    </cfRule>
  </conditionalFormatting>
  <conditionalFormatting sqref="B43 B45 B47 B51 B49 B53 B57 B61">
    <cfRule type="expression" dxfId="6383" priority="3750">
      <formula>$C43="Advance"</formula>
    </cfRule>
  </conditionalFormatting>
  <conditionalFormatting sqref="B43 B45 B47 B51 B49 B53 B57 B61">
    <cfRule type="expression" dxfId="6382" priority="3731">
      <formula>$C43="Delivery charge"</formula>
    </cfRule>
    <cfRule type="expression" dxfId="6381" priority="3732">
      <formula>$C43="Staff Salary"</formula>
    </cfRule>
    <cfRule type="expression" dxfId="6380" priority="3733">
      <formula>$C43="Rent"</formula>
    </cfRule>
    <cfRule type="expression" dxfId="6379" priority="3734">
      <formula>$C43="Petrol"</formula>
    </cfRule>
    <cfRule type="expression" dxfId="6378" priority="3735">
      <formula>$C43="Bills"</formula>
    </cfRule>
    <cfRule type="expression" dxfId="6377" priority="3736">
      <formula>$C43="Sales"</formula>
    </cfRule>
    <cfRule type="expression" dxfId="6376" priority="3737">
      <formula>$C43="Expences"</formula>
    </cfRule>
    <cfRule type="expression" dxfId="6375" priority="3738">
      <formula>$C43="Garlic Purchase"</formula>
    </cfRule>
    <cfRule type="expression" dxfId="6374" priority="3739">
      <formula>$C43="Ginger Purchase"</formula>
    </cfRule>
  </conditionalFormatting>
  <conditionalFormatting sqref="B43 B45 B47 B51 B49 B53 B57 B61">
    <cfRule type="expression" dxfId="6373" priority="3740">
      <formula>$C43="Advance"</formula>
    </cfRule>
  </conditionalFormatting>
  <conditionalFormatting sqref="B43 B45 B47 B51 B49 B53 B57 B61">
    <cfRule type="expression" dxfId="6372" priority="3721">
      <formula>$C43="Delivery charge"</formula>
    </cfRule>
    <cfRule type="expression" dxfId="6371" priority="3722">
      <formula>$C43="Staff Salary"</formula>
    </cfRule>
    <cfRule type="expression" dxfId="6370" priority="3723">
      <formula>$C43="Rent"</formula>
    </cfRule>
    <cfRule type="expression" dxfId="6369" priority="3724">
      <formula>$C43="Petrol"</formula>
    </cfRule>
    <cfRule type="expression" dxfId="6368" priority="3725">
      <formula>$C43="Bills"</formula>
    </cfRule>
    <cfRule type="expression" dxfId="6367" priority="3726">
      <formula>$C43="Sales"</formula>
    </cfRule>
    <cfRule type="expression" dxfId="6366" priority="3727">
      <formula>$C43="Expences"</formula>
    </cfRule>
    <cfRule type="expression" dxfId="6365" priority="3728">
      <formula>$C43="Garlic Purchase"</formula>
    </cfRule>
    <cfRule type="expression" dxfId="6364" priority="3729">
      <formula>$C43="Ginger Purchase"</formula>
    </cfRule>
  </conditionalFormatting>
  <conditionalFormatting sqref="B43 B45 B47 B51 B49 B53 B57 B61">
    <cfRule type="expression" dxfId="6363" priority="3730">
      <formula>$C43="Advance"</formula>
    </cfRule>
  </conditionalFormatting>
  <conditionalFormatting sqref="B44 B46 B48 B52 B50 B54 B56 B60 B58 B62">
    <cfRule type="expression" dxfId="6362" priority="3711">
      <formula>$C44="Delivery charge"</formula>
    </cfRule>
    <cfRule type="expression" dxfId="6361" priority="3712">
      <formula>$C44="Staff Salary"</formula>
    </cfRule>
    <cfRule type="expression" dxfId="6360" priority="3713">
      <formula>$C44="Rent"</formula>
    </cfRule>
    <cfRule type="expression" dxfId="6359" priority="3714">
      <formula>$C44="Petrol"</formula>
    </cfRule>
    <cfRule type="expression" dxfId="6358" priority="3715">
      <formula>$C44="Bills"</formula>
    </cfRule>
    <cfRule type="expression" dxfId="6357" priority="3716">
      <formula>$C44="Sales"</formula>
    </cfRule>
    <cfRule type="expression" dxfId="6356" priority="3717">
      <formula>$C44="Expences"</formula>
    </cfRule>
    <cfRule type="expression" dxfId="6355" priority="3718">
      <formula>$C44="Garlic Purchase"</formula>
    </cfRule>
    <cfRule type="expression" dxfId="6354" priority="3719">
      <formula>$C44="Ginger Purchase"</formula>
    </cfRule>
  </conditionalFormatting>
  <conditionalFormatting sqref="B44 B46 B48 B52 B50 B54 B56 B60 B58 B62">
    <cfRule type="expression" dxfId="6353" priority="3720">
      <formula>$C44="Advance"</formula>
    </cfRule>
  </conditionalFormatting>
  <conditionalFormatting sqref="B43 B45 B47 B51 B49 B53 B57 B61">
    <cfRule type="expression" dxfId="6352" priority="3701">
      <formula>$C43="Delivery charge"</formula>
    </cfRule>
    <cfRule type="expression" dxfId="6351" priority="3702">
      <formula>$C43="Staff Salary"</formula>
    </cfRule>
    <cfRule type="expression" dxfId="6350" priority="3703">
      <formula>$C43="Rent"</formula>
    </cfRule>
    <cfRule type="expression" dxfId="6349" priority="3704">
      <formula>$C43="Petrol"</formula>
    </cfRule>
    <cfRule type="expression" dxfId="6348" priority="3705">
      <formula>$C43="Bills"</formula>
    </cfRule>
    <cfRule type="expression" dxfId="6347" priority="3706">
      <formula>$C43="Sales"</formula>
    </cfRule>
    <cfRule type="expression" dxfId="6346" priority="3707">
      <formula>$C43="Expences"</formula>
    </cfRule>
    <cfRule type="expression" dxfId="6345" priority="3708">
      <formula>$C43="Garlic Purchase"</formula>
    </cfRule>
    <cfRule type="expression" dxfId="6344" priority="3709">
      <formula>$C43="Ginger Purchase"</formula>
    </cfRule>
  </conditionalFormatting>
  <conditionalFormatting sqref="B43 B45 B47 B51 B49 B53 B57 B61">
    <cfRule type="expression" dxfId="6343" priority="3710">
      <formula>$C43="Advance"</formula>
    </cfRule>
  </conditionalFormatting>
  <conditionalFormatting sqref="B43 B45 B47 B51 B49 B53 B57 B61">
    <cfRule type="expression" dxfId="6342" priority="3691">
      <formula>$C43="Delivery charge"</formula>
    </cfRule>
    <cfRule type="expression" dxfId="6341" priority="3692">
      <formula>$C43="Staff Salary"</formula>
    </cfRule>
    <cfRule type="expression" dxfId="6340" priority="3693">
      <formula>$C43="Rent"</formula>
    </cfRule>
    <cfRule type="expression" dxfId="6339" priority="3694">
      <formula>$C43="Petrol"</formula>
    </cfRule>
    <cfRule type="expression" dxfId="6338" priority="3695">
      <formula>$C43="Bills"</formula>
    </cfRule>
    <cfRule type="expression" dxfId="6337" priority="3696">
      <formula>$C43="Sales"</formula>
    </cfRule>
    <cfRule type="expression" dxfId="6336" priority="3697">
      <formula>$C43="Expences"</formula>
    </cfRule>
    <cfRule type="expression" dxfId="6335" priority="3698">
      <formula>$C43="Garlic Purchase"</formula>
    </cfRule>
    <cfRule type="expression" dxfId="6334" priority="3699">
      <formula>$C43="Ginger Purchase"</formula>
    </cfRule>
  </conditionalFormatting>
  <conditionalFormatting sqref="B43 B45 B47 B51 B49 B53 B57 B61">
    <cfRule type="expression" dxfId="6333" priority="3700">
      <formula>$C43="Advance"</formula>
    </cfRule>
  </conditionalFormatting>
  <conditionalFormatting sqref="B43 B45 B47 B51 B49 B53 B57 B61">
    <cfRule type="expression" dxfId="6332" priority="3681">
      <formula>$C43="Delivery charge"</formula>
    </cfRule>
    <cfRule type="expression" dxfId="6331" priority="3682">
      <formula>$C43="Staff Salary"</formula>
    </cfRule>
    <cfRule type="expression" dxfId="6330" priority="3683">
      <formula>$C43="Rent"</formula>
    </cfRule>
    <cfRule type="expression" dxfId="6329" priority="3684">
      <formula>$C43="Petrol"</formula>
    </cfRule>
    <cfRule type="expression" dxfId="6328" priority="3685">
      <formula>$C43="Bills"</formula>
    </cfRule>
    <cfRule type="expression" dxfId="6327" priority="3686">
      <formula>$C43="Sales"</formula>
    </cfRule>
    <cfRule type="expression" dxfId="6326" priority="3687">
      <formula>$C43="Expences"</formula>
    </cfRule>
    <cfRule type="expression" dxfId="6325" priority="3688">
      <formula>$C43="Garlic Purchase"</formula>
    </cfRule>
    <cfRule type="expression" dxfId="6324" priority="3689">
      <formula>$C43="Ginger Purchase"</formula>
    </cfRule>
  </conditionalFormatting>
  <conditionalFormatting sqref="B43 B45 B47 B51 B49 B53 B57 B61">
    <cfRule type="expression" dxfId="6323" priority="3690">
      <formula>$C43="Advance"</formula>
    </cfRule>
  </conditionalFormatting>
  <conditionalFormatting sqref="B43 B45 B47 B51 B49 B53 B57 B61">
    <cfRule type="expression" dxfId="6322" priority="3671">
      <formula>$C43="Delivery charge"</formula>
    </cfRule>
    <cfRule type="expression" dxfId="6321" priority="3672">
      <formula>$C43="Staff Salary"</formula>
    </cfRule>
    <cfRule type="expression" dxfId="6320" priority="3673">
      <formula>$C43="Rent"</formula>
    </cfRule>
    <cfRule type="expression" dxfId="6319" priority="3674">
      <formula>$C43="Petrol"</formula>
    </cfRule>
    <cfRule type="expression" dxfId="6318" priority="3675">
      <formula>$C43="Bills"</formula>
    </cfRule>
    <cfRule type="expression" dxfId="6317" priority="3676">
      <formula>$C43="Sales"</formula>
    </cfRule>
    <cfRule type="expression" dxfId="6316" priority="3677">
      <formula>$C43="Expences"</formula>
    </cfRule>
    <cfRule type="expression" dxfId="6315" priority="3678">
      <formula>$C43="Garlic Purchase"</formula>
    </cfRule>
    <cfRule type="expression" dxfId="6314" priority="3679">
      <formula>$C43="Ginger Purchase"</formula>
    </cfRule>
  </conditionalFormatting>
  <conditionalFormatting sqref="B43 B45 B47 B51 B49 B53 B57 B61">
    <cfRule type="expression" dxfId="6313" priority="3680">
      <formula>$C43="Advance"</formula>
    </cfRule>
  </conditionalFormatting>
  <conditionalFormatting sqref="B43 B45 B47 B51 B49 B53 B57 B61">
    <cfRule type="expression" dxfId="6312" priority="3661">
      <formula>$C43="Delivery charge"</formula>
    </cfRule>
    <cfRule type="expression" dxfId="6311" priority="3662">
      <formula>$C43="Staff Salary"</formula>
    </cfRule>
    <cfRule type="expression" dxfId="6310" priority="3663">
      <formula>$C43="Rent"</formula>
    </cfRule>
    <cfRule type="expression" dxfId="6309" priority="3664">
      <formula>$C43="Petrol"</formula>
    </cfRule>
    <cfRule type="expression" dxfId="6308" priority="3665">
      <formula>$C43="Bills"</formula>
    </cfRule>
    <cfRule type="expression" dxfId="6307" priority="3666">
      <formula>$C43="Sales"</formula>
    </cfRule>
    <cfRule type="expression" dxfId="6306" priority="3667">
      <formula>$C43="Expences"</formula>
    </cfRule>
    <cfRule type="expression" dxfId="6305" priority="3668">
      <formula>$C43="Garlic Purchase"</formula>
    </cfRule>
    <cfRule type="expression" dxfId="6304" priority="3669">
      <formula>$C43="Ginger Purchase"</formula>
    </cfRule>
  </conditionalFormatting>
  <conditionalFormatting sqref="B43 B45 B47 B51 B49 B53 B57 B61">
    <cfRule type="expression" dxfId="6303" priority="3670">
      <formula>$C43="Advance"</formula>
    </cfRule>
  </conditionalFormatting>
  <conditionalFormatting sqref="B43 B45 B47 B51 B49 B53 B57 B61">
    <cfRule type="expression" dxfId="6302" priority="3651">
      <formula>$C43="Delivery charge"</formula>
    </cfRule>
    <cfRule type="expression" dxfId="6301" priority="3652">
      <formula>$C43="Staff Salary"</formula>
    </cfRule>
    <cfRule type="expression" dxfId="6300" priority="3653">
      <formula>$C43="Rent"</formula>
    </cfRule>
    <cfRule type="expression" dxfId="6299" priority="3654">
      <formula>$C43="Petrol"</formula>
    </cfRule>
    <cfRule type="expression" dxfId="6298" priority="3655">
      <formula>$C43="Bills"</formula>
    </cfRule>
    <cfRule type="expression" dxfId="6297" priority="3656">
      <formula>$C43="Sales"</formula>
    </cfRule>
    <cfRule type="expression" dxfId="6296" priority="3657">
      <formula>$C43="Expences"</formula>
    </cfRule>
    <cfRule type="expression" dxfId="6295" priority="3658">
      <formula>$C43="Garlic Purchase"</formula>
    </cfRule>
    <cfRule type="expression" dxfId="6294" priority="3659">
      <formula>$C43="Ginger Purchase"</formula>
    </cfRule>
  </conditionalFormatting>
  <conditionalFormatting sqref="B43 B45 B47 B51 B49 B53 B57 B61">
    <cfRule type="expression" dxfId="6293" priority="3660">
      <formula>$C43="Advance"</formula>
    </cfRule>
  </conditionalFormatting>
  <conditionalFormatting sqref="B43 B45 B47 B51 B49 B53 B57 B61">
    <cfRule type="expression" dxfId="6292" priority="3641">
      <formula>$C43="Delivery charge"</formula>
    </cfRule>
    <cfRule type="expression" dxfId="6291" priority="3642">
      <formula>$C43="Staff Salary"</formula>
    </cfRule>
    <cfRule type="expression" dxfId="6290" priority="3643">
      <formula>$C43="Rent"</formula>
    </cfRule>
    <cfRule type="expression" dxfId="6289" priority="3644">
      <formula>$C43="Petrol"</formula>
    </cfRule>
    <cfRule type="expression" dxfId="6288" priority="3645">
      <formula>$C43="Bills"</formula>
    </cfRule>
    <cfRule type="expression" dxfId="6287" priority="3646">
      <formula>$C43="Sales"</formula>
    </cfRule>
    <cfRule type="expression" dxfId="6286" priority="3647">
      <formula>$C43="Expences"</formula>
    </cfRule>
    <cfRule type="expression" dxfId="6285" priority="3648">
      <formula>$C43="Garlic Purchase"</formula>
    </cfRule>
    <cfRule type="expression" dxfId="6284" priority="3649">
      <formula>$C43="Ginger Purchase"</formula>
    </cfRule>
  </conditionalFormatting>
  <conditionalFormatting sqref="B43 B45 B47 B51 B49 B53 B57 B61">
    <cfRule type="expression" dxfId="6283" priority="3650">
      <formula>$C43="Advance"</formula>
    </cfRule>
  </conditionalFormatting>
  <conditionalFormatting sqref="B43 B45 B47 B51 B49 B53 B57 B61">
    <cfRule type="expression" dxfId="6282" priority="3631">
      <formula>$C43="Delivery charge"</formula>
    </cfRule>
    <cfRule type="expression" dxfId="6281" priority="3632">
      <formula>$C43="Staff Salary"</formula>
    </cfRule>
    <cfRule type="expression" dxfId="6280" priority="3633">
      <formula>$C43="Rent"</formula>
    </cfRule>
    <cfRule type="expression" dxfId="6279" priority="3634">
      <formula>$C43="Petrol"</formula>
    </cfRule>
    <cfRule type="expression" dxfId="6278" priority="3635">
      <formula>$C43="Bills"</formula>
    </cfRule>
    <cfRule type="expression" dxfId="6277" priority="3636">
      <formula>$C43="Sales"</formula>
    </cfRule>
    <cfRule type="expression" dxfId="6276" priority="3637">
      <formula>$C43="Expences"</formula>
    </cfRule>
    <cfRule type="expression" dxfId="6275" priority="3638">
      <formula>$C43="Garlic Purchase"</formula>
    </cfRule>
    <cfRule type="expression" dxfId="6274" priority="3639">
      <formula>$C43="Ginger Purchase"</formula>
    </cfRule>
  </conditionalFormatting>
  <conditionalFormatting sqref="B43 B45 B47 B51 B49 B53 B57 B61">
    <cfRule type="expression" dxfId="6273" priority="3640">
      <formula>$C43="Advance"</formula>
    </cfRule>
  </conditionalFormatting>
  <conditionalFormatting sqref="B43 B45 B47 B51 B49 B53 B57 B61">
    <cfRule type="expression" dxfId="6272" priority="3621">
      <formula>$C43="Delivery charge"</formula>
    </cfRule>
    <cfRule type="expression" dxfId="6271" priority="3622">
      <formula>$C43="Staff Salary"</formula>
    </cfRule>
    <cfRule type="expression" dxfId="6270" priority="3623">
      <formula>$C43="Rent"</formula>
    </cfRule>
    <cfRule type="expression" dxfId="6269" priority="3624">
      <formula>$C43="Petrol"</formula>
    </cfRule>
    <cfRule type="expression" dxfId="6268" priority="3625">
      <formula>$C43="Bills"</formula>
    </cfRule>
    <cfRule type="expression" dxfId="6267" priority="3626">
      <formula>$C43="Sales"</formula>
    </cfRule>
    <cfRule type="expression" dxfId="6266" priority="3627">
      <formula>$C43="Expences"</formula>
    </cfRule>
    <cfRule type="expression" dxfId="6265" priority="3628">
      <formula>$C43="Garlic Purchase"</formula>
    </cfRule>
    <cfRule type="expression" dxfId="6264" priority="3629">
      <formula>$C43="Ginger Purchase"</formula>
    </cfRule>
  </conditionalFormatting>
  <conditionalFormatting sqref="B43 B45 B47 B51 B49 B53 B57 B61">
    <cfRule type="expression" dxfId="6263" priority="3630">
      <formula>$C43="Advance"</formula>
    </cfRule>
  </conditionalFormatting>
  <conditionalFormatting sqref="A44:A52">
    <cfRule type="expression" dxfId="6262" priority="3620">
      <formula>$C44="Advance"</formula>
    </cfRule>
  </conditionalFormatting>
  <conditionalFormatting sqref="B52 B56 B60">
    <cfRule type="expression" dxfId="6261" priority="3610">
      <formula>$C52="Delivery charge"</formula>
    </cfRule>
    <cfRule type="expression" dxfId="6260" priority="3611">
      <formula>$C52="Staff Salary"</formula>
    </cfRule>
    <cfRule type="expression" dxfId="6259" priority="3612">
      <formula>$C52="Rent"</formula>
    </cfRule>
    <cfRule type="expression" dxfId="6258" priority="3613">
      <formula>$C52="Petrol"</formula>
    </cfRule>
    <cfRule type="expression" dxfId="6257" priority="3614">
      <formula>$C52="Bills"</formula>
    </cfRule>
    <cfRule type="expression" dxfId="6256" priority="3615">
      <formula>$C52="Sales"</formula>
    </cfRule>
    <cfRule type="expression" dxfId="6255" priority="3616">
      <formula>$C52="Expences"</formula>
    </cfRule>
    <cfRule type="expression" dxfId="6254" priority="3617">
      <formula>$C52="Garlic Purchase"</formula>
    </cfRule>
    <cfRule type="expression" dxfId="6253" priority="3618">
      <formula>$C52="Ginger Purchase"</formula>
    </cfRule>
  </conditionalFormatting>
  <conditionalFormatting sqref="B52 B56 B60">
    <cfRule type="expression" dxfId="6252" priority="3619">
      <formula>$C52="Advance"</formula>
    </cfRule>
  </conditionalFormatting>
  <conditionalFormatting sqref="B52 B56 B60">
    <cfRule type="expression" dxfId="6251" priority="3600">
      <formula>$C52="Delivery charge"</formula>
    </cfRule>
    <cfRule type="expression" dxfId="6250" priority="3601">
      <formula>$C52="Staff Salary"</formula>
    </cfRule>
    <cfRule type="expression" dxfId="6249" priority="3602">
      <formula>$C52="Rent"</formula>
    </cfRule>
    <cfRule type="expression" dxfId="6248" priority="3603">
      <formula>$C52="Petrol"</formula>
    </cfRule>
    <cfRule type="expression" dxfId="6247" priority="3604">
      <formula>$C52="Bills"</formula>
    </cfRule>
    <cfRule type="expression" dxfId="6246" priority="3605">
      <formula>$C52="Sales"</formula>
    </cfRule>
    <cfRule type="expression" dxfId="6245" priority="3606">
      <formula>$C52="Expences"</formula>
    </cfRule>
    <cfRule type="expression" dxfId="6244" priority="3607">
      <formula>$C52="Garlic Purchase"</formula>
    </cfRule>
    <cfRule type="expression" dxfId="6243" priority="3608">
      <formula>$C52="Ginger Purchase"</formula>
    </cfRule>
  </conditionalFormatting>
  <conditionalFormatting sqref="B52 B56 B60">
    <cfRule type="expression" dxfId="6242" priority="3609">
      <formula>$C52="Advance"</formula>
    </cfRule>
  </conditionalFormatting>
  <conditionalFormatting sqref="B52 B56 B60">
    <cfRule type="expression" dxfId="6241" priority="3590">
      <formula>$C52="Delivery charge"</formula>
    </cfRule>
    <cfRule type="expression" dxfId="6240" priority="3591">
      <formula>$C52="Staff Salary"</formula>
    </cfRule>
    <cfRule type="expression" dxfId="6239" priority="3592">
      <formula>$C52="Rent"</formula>
    </cfRule>
    <cfRule type="expression" dxfId="6238" priority="3593">
      <formula>$C52="Petrol"</formula>
    </cfRule>
    <cfRule type="expression" dxfId="6237" priority="3594">
      <formula>$C52="Bills"</formula>
    </cfRule>
    <cfRule type="expression" dxfId="6236" priority="3595">
      <formula>$C52="Sales"</formula>
    </cfRule>
    <cfRule type="expression" dxfId="6235" priority="3596">
      <formula>$C52="Expences"</formula>
    </cfRule>
    <cfRule type="expression" dxfId="6234" priority="3597">
      <formula>$C52="Garlic Purchase"</formula>
    </cfRule>
    <cfRule type="expression" dxfId="6233" priority="3598">
      <formula>$C52="Ginger Purchase"</formula>
    </cfRule>
  </conditionalFormatting>
  <conditionalFormatting sqref="B52 B56 B60">
    <cfRule type="expression" dxfId="6232" priority="3599">
      <formula>$C52="Advance"</formula>
    </cfRule>
  </conditionalFormatting>
  <conditionalFormatting sqref="B52 B56 B60">
    <cfRule type="expression" dxfId="6231" priority="3580">
      <formula>$C52="Delivery charge"</formula>
    </cfRule>
    <cfRule type="expression" dxfId="6230" priority="3581">
      <formula>$C52="Staff Salary"</formula>
    </cfRule>
    <cfRule type="expression" dxfId="6229" priority="3582">
      <formula>$C52="Rent"</formula>
    </cfRule>
    <cfRule type="expression" dxfId="6228" priority="3583">
      <formula>$C52="Petrol"</formula>
    </cfRule>
    <cfRule type="expression" dxfId="6227" priority="3584">
      <formula>$C52="Bills"</formula>
    </cfRule>
    <cfRule type="expression" dxfId="6226" priority="3585">
      <formula>$C52="Sales"</formula>
    </cfRule>
    <cfRule type="expression" dxfId="6225" priority="3586">
      <formula>$C52="Expences"</formula>
    </cfRule>
    <cfRule type="expression" dxfId="6224" priority="3587">
      <formula>$C52="Garlic Purchase"</formula>
    </cfRule>
    <cfRule type="expression" dxfId="6223" priority="3588">
      <formula>$C52="Ginger Purchase"</formula>
    </cfRule>
  </conditionalFormatting>
  <conditionalFormatting sqref="B52 B56 B60">
    <cfRule type="expression" dxfId="6222" priority="3589">
      <formula>$C52="Advance"</formula>
    </cfRule>
  </conditionalFormatting>
  <conditionalFormatting sqref="B52 B56 B60">
    <cfRule type="expression" dxfId="6221" priority="3579">
      <formula>$C52="Advance"</formula>
    </cfRule>
  </conditionalFormatting>
  <conditionalFormatting sqref="B52 B56 B60">
    <cfRule type="expression" dxfId="6220" priority="3570">
      <formula>$C52="Delivery charge"</formula>
    </cfRule>
    <cfRule type="expression" dxfId="6219" priority="3571">
      <formula>$C52="Staff Salary"</formula>
    </cfRule>
    <cfRule type="expression" dxfId="6218" priority="3572">
      <formula>$C52="Rent"</formula>
    </cfRule>
    <cfRule type="expression" dxfId="6217" priority="3573">
      <formula>$C52="Petrol"</formula>
    </cfRule>
    <cfRule type="expression" dxfId="6216" priority="3574">
      <formula>$C52="Bills"</formula>
    </cfRule>
    <cfRule type="expression" dxfId="6215" priority="3575">
      <formula>$C52="Sales"</formula>
    </cfRule>
    <cfRule type="expression" dxfId="6214" priority="3576">
      <formula>$C52="Expences"</formula>
    </cfRule>
    <cfRule type="expression" dxfId="6213" priority="3577">
      <formula>$C52="Garlic Purchase"</formula>
    </cfRule>
    <cfRule type="expression" dxfId="6212" priority="3578">
      <formula>$C52="Ginger Purchase"</formula>
    </cfRule>
  </conditionalFormatting>
  <conditionalFormatting sqref="B52 B56 B60">
    <cfRule type="expression" dxfId="6211" priority="3560">
      <formula>$C52="Delivery charge"</formula>
    </cfRule>
    <cfRule type="expression" dxfId="6210" priority="3561">
      <formula>$C52="Staff Salary"</formula>
    </cfRule>
    <cfRule type="expression" dxfId="6209" priority="3562">
      <formula>$C52="Rent"</formula>
    </cfRule>
    <cfRule type="expression" dxfId="6208" priority="3563">
      <formula>$C52="Petrol"</formula>
    </cfRule>
    <cfRule type="expression" dxfId="6207" priority="3564">
      <formula>$C52="Bills"</formula>
    </cfRule>
    <cfRule type="expression" dxfId="6206" priority="3565">
      <formula>$C52="Sales"</formula>
    </cfRule>
    <cfRule type="expression" dxfId="6205" priority="3566">
      <formula>$C52="Expences"</formula>
    </cfRule>
    <cfRule type="expression" dxfId="6204" priority="3567">
      <formula>$C52="Garlic Purchase"</formula>
    </cfRule>
    <cfRule type="expression" dxfId="6203" priority="3568">
      <formula>$C52="Ginger Purchase"</formula>
    </cfRule>
  </conditionalFormatting>
  <conditionalFormatting sqref="B52 B56 B60">
    <cfRule type="expression" dxfId="6202" priority="3569">
      <formula>$C52="Advance"</formula>
    </cfRule>
  </conditionalFormatting>
  <conditionalFormatting sqref="B52 B56 B60">
    <cfRule type="expression" dxfId="6201" priority="3550">
      <formula>$C52="Delivery charge"</formula>
    </cfRule>
    <cfRule type="expression" dxfId="6200" priority="3551">
      <formula>$C52="Staff Salary"</formula>
    </cfRule>
    <cfRule type="expression" dxfId="6199" priority="3552">
      <formula>$C52="Rent"</formula>
    </cfRule>
    <cfRule type="expression" dxfId="6198" priority="3553">
      <formula>$C52="Petrol"</formula>
    </cfRule>
    <cfRule type="expression" dxfId="6197" priority="3554">
      <formula>$C52="Bills"</formula>
    </cfRule>
    <cfRule type="expression" dxfId="6196" priority="3555">
      <formula>$C52="Sales"</formula>
    </cfRule>
    <cfRule type="expression" dxfId="6195" priority="3556">
      <formula>$C52="Expences"</formula>
    </cfRule>
    <cfRule type="expression" dxfId="6194" priority="3557">
      <formula>$C52="Garlic Purchase"</formula>
    </cfRule>
    <cfRule type="expression" dxfId="6193" priority="3558">
      <formula>$C52="Ginger Purchase"</formula>
    </cfRule>
  </conditionalFormatting>
  <conditionalFormatting sqref="B52 B56 B60">
    <cfRule type="expression" dxfId="6192" priority="3559">
      <formula>$C52="Advance"</formula>
    </cfRule>
  </conditionalFormatting>
  <conditionalFormatting sqref="B52 B56 B60">
    <cfRule type="expression" dxfId="6191" priority="3540">
      <formula>$C52="Delivery charge"</formula>
    </cfRule>
    <cfRule type="expression" dxfId="6190" priority="3541">
      <formula>$C52="Staff Salary"</formula>
    </cfRule>
    <cfRule type="expression" dxfId="6189" priority="3542">
      <formula>$C52="Rent"</formula>
    </cfRule>
    <cfRule type="expression" dxfId="6188" priority="3543">
      <formula>$C52="Petrol"</formula>
    </cfRule>
    <cfRule type="expression" dxfId="6187" priority="3544">
      <formula>$C52="Bills"</formula>
    </cfRule>
    <cfRule type="expression" dxfId="6186" priority="3545">
      <formula>$C52="Sales"</formula>
    </cfRule>
    <cfRule type="expression" dxfId="6185" priority="3546">
      <formula>$C52="Expences"</formula>
    </cfRule>
    <cfRule type="expression" dxfId="6184" priority="3547">
      <formula>$C52="Garlic Purchase"</formula>
    </cfRule>
    <cfRule type="expression" dxfId="6183" priority="3548">
      <formula>$C52="Ginger Purchase"</formula>
    </cfRule>
  </conditionalFormatting>
  <conditionalFormatting sqref="B52 B56 B60">
    <cfRule type="expression" dxfId="6182" priority="3549">
      <formula>$C52="Advance"</formula>
    </cfRule>
  </conditionalFormatting>
  <conditionalFormatting sqref="B52 B56 B60">
    <cfRule type="expression" dxfId="6181" priority="3530">
      <formula>$C52="Delivery charge"</formula>
    </cfRule>
    <cfRule type="expression" dxfId="6180" priority="3531">
      <formula>$C52="Staff Salary"</formula>
    </cfRule>
    <cfRule type="expression" dxfId="6179" priority="3532">
      <formula>$C52="Rent"</formula>
    </cfRule>
    <cfRule type="expression" dxfId="6178" priority="3533">
      <formula>$C52="Petrol"</formula>
    </cfRule>
    <cfRule type="expression" dxfId="6177" priority="3534">
      <formula>$C52="Bills"</formula>
    </cfRule>
    <cfRule type="expression" dxfId="6176" priority="3535">
      <formula>$C52="Sales"</formula>
    </cfRule>
    <cfRule type="expression" dxfId="6175" priority="3536">
      <formula>$C52="Expences"</formula>
    </cfRule>
    <cfRule type="expression" dxfId="6174" priority="3537">
      <formula>$C52="Garlic Purchase"</formula>
    </cfRule>
    <cfRule type="expression" dxfId="6173" priority="3538">
      <formula>$C52="Ginger Purchase"</formula>
    </cfRule>
  </conditionalFormatting>
  <conditionalFormatting sqref="B52 B56 B60">
    <cfRule type="expression" dxfId="6172" priority="3539">
      <formula>$C52="Advance"</formula>
    </cfRule>
  </conditionalFormatting>
  <conditionalFormatting sqref="B52 B56 B60">
    <cfRule type="expression" dxfId="6171" priority="3520">
      <formula>$C52="Delivery charge"</formula>
    </cfRule>
    <cfRule type="expression" dxfId="6170" priority="3521">
      <formula>$C52="Staff Salary"</formula>
    </cfRule>
    <cfRule type="expression" dxfId="6169" priority="3522">
      <formula>$C52="Rent"</formula>
    </cfRule>
    <cfRule type="expression" dxfId="6168" priority="3523">
      <formula>$C52="Petrol"</formula>
    </cfRule>
    <cfRule type="expression" dxfId="6167" priority="3524">
      <formula>$C52="Bills"</formula>
    </cfRule>
    <cfRule type="expression" dxfId="6166" priority="3525">
      <formula>$C52="Sales"</formula>
    </cfRule>
    <cfRule type="expression" dxfId="6165" priority="3526">
      <formula>$C52="Expences"</formula>
    </cfRule>
    <cfRule type="expression" dxfId="6164" priority="3527">
      <formula>$C52="Garlic Purchase"</formula>
    </cfRule>
    <cfRule type="expression" dxfId="6163" priority="3528">
      <formula>$C52="Ginger Purchase"</formula>
    </cfRule>
  </conditionalFormatting>
  <conditionalFormatting sqref="B52 B56 B60">
    <cfRule type="expression" dxfId="6162" priority="3529">
      <formula>$C52="Advance"</formula>
    </cfRule>
  </conditionalFormatting>
  <conditionalFormatting sqref="B52 B56 B60">
    <cfRule type="expression" dxfId="6161" priority="3510">
      <formula>$C52="Delivery charge"</formula>
    </cfRule>
    <cfRule type="expression" dxfId="6160" priority="3511">
      <formula>$C52="Staff Salary"</formula>
    </cfRule>
    <cfRule type="expression" dxfId="6159" priority="3512">
      <formula>$C52="Rent"</formula>
    </cfRule>
    <cfRule type="expression" dxfId="6158" priority="3513">
      <formula>$C52="Petrol"</formula>
    </cfRule>
    <cfRule type="expression" dxfId="6157" priority="3514">
      <formula>$C52="Bills"</formula>
    </cfRule>
    <cfRule type="expression" dxfId="6156" priority="3515">
      <formula>$C52="Sales"</formula>
    </cfRule>
    <cfRule type="expression" dxfId="6155" priority="3516">
      <formula>$C52="Expences"</formula>
    </cfRule>
    <cfRule type="expression" dxfId="6154" priority="3517">
      <formula>$C52="Garlic Purchase"</formula>
    </cfRule>
    <cfRule type="expression" dxfId="6153" priority="3518">
      <formula>$C52="Ginger Purchase"</formula>
    </cfRule>
  </conditionalFormatting>
  <conditionalFormatting sqref="B52 B56 B60">
    <cfRule type="expression" dxfId="6152" priority="3519">
      <formula>$C52="Advance"</formula>
    </cfRule>
  </conditionalFormatting>
  <conditionalFormatting sqref="B52 B56 B60">
    <cfRule type="expression" dxfId="6151" priority="3500">
      <formula>$C52="Delivery charge"</formula>
    </cfRule>
    <cfRule type="expression" dxfId="6150" priority="3501">
      <formula>$C52="Staff Salary"</formula>
    </cfRule>
    <cfRule type="expression" dxfId="6149" priority="3502">
      <formula>$C52="Rent"</formula>
    </cfRule>
    <cfRule type="expression" dxfId="6148" priority="3503">
      <formula>$C52="Petrol"</formula>
    </cfRule>
    <cfRule type="expression" dxfId="6147" priority="3504">
      <formula>$C52="Bills"</formula>
    </cfRule>
    <cfRule type="expression" dxfId="6146" priority="3505">
      <formula>$C52="Sales"</formula>
    </cfRule>
    <cfRule type="expression" dxfId="6145" priority="3506">
      <formula>$C52="Expences"</formula>
    </cfRule>
    <cfRule type="expression" dxfId="6144" priority="3507">
      <formula>$C52="Garlic Purchase"</formula>
    </cfRule>
    <cfRule type="expression" dxfId="6143" priority="3508">
      <formula>$C52="Ginger Purchase"</formula>
    </cfRule>
  </conditionalFormatting>
  <conditionalFormatting sqref="B52 B56 B60">
    <cfRule type="expression" dxfId="6142" priority="3509">
      <formula>$C52="Advance"</formula>
    </cfRule>
  </conditionalFormatting>
  <conditionalFormatting sqref="B52 B56 B60">
    <cfRule type="expression" dxfId="6141" priority="3490">
      <formula>$C52="Delivery charge"</formula>
    </cfRule>
    <cfRule type="expression" dxfId="6140" priority="3491">
      <formula>$C52="Staff Salary"</formula>
    </cfRule>
    <cfRule type="expression" dxfId="6139" priority="3492">
      <formula>$C52="Rent"</formula>
    </cfRule>
    <cfRule type="expression" dxfId="6138" priority="3493">
      <formula>$C52="Petrol"</formula>
    </cfRule>
    <cfRule type="expression" dxfId="6137" priority="3494">
      <formula>$C52="Bills"</formula>
    </cfRule>
    <cfRule type="expression" dxfId="6136" priority="3495">
      <formula>$C52="Sales"</formula>
    </cfRule>
    <cfRule type="expression" dxfId="6135" priority="3496">
      <formula>$C52="Expences"</formula>
    </cfRule>
    <cfRule type="expression" dxfId="6134" priority="3497">
      <formula>$C52="Garlic Purchase"</formula>
    </cfRule>
    <cfRule type="expression" dxfId="6133" priority="3498">
      <formula>$C52="Ginger Purchase"</formula>
    </cfRule>
  </conditionalFormatting>
  <conditionalFormatting sqref="B52 B56 B60">
    <cfRule type="expression" dxfId="6132" priority="3499">
      <formula>$C52="Advance"</formula>
    </cfRule>
  </conditionalFormatting>
  <conditionalFormatting sqref="B52 B56 B60">
    <cfRule type="expression" dxfId="6131" priority="3480">
      <formula>$C52="Delivery charge"</formula>
    </cfRule>
    <cfRule type="expression" dxfId="6130" priority="3481">
      <formula>$C52="Staff Salary"</formula>
    </cfRule>
    <cfRule type="expression" dxfId="6129" priority="3482">
      <formula>$C52="Rent"</formula>
    </cfRule>
    <cfRule type="expression" dxfId="6128" priority="3483">
      <formula>$C52="Petrol"</formula>
    </cfRule>
    <cfRule type="expression" dxfId="6127" priority="3484">
      <formula>$C52="Bills"</formula>
    </cfRule>
    <cfRule type="expression" dxfId="6126" priority="3485">
      <formula>$C52="Sales"</formula>
    </cfRule>
    <cfRule type="expression" dxfId="6125" priority="3486">
      <formula>$C52="Expences"</formula>
    </cfRule>
    <cfRule type="expression" dxfId="6124" priority="3487">
      <formula>$C52="Garlic Purchase"</formula>
    </cfRule>
    <cfRule type="expression" dxfId="6123" priority="3488">
      <formula>$C52="Ginger Purchase"</formula>
    </cfRule>
  </conditionalFormatting>
  <conditionalFormatting sqref="B52 B56 B60">
    <cfRule type="expression" dxfId="6122" priority="3489">
      <formula>$C52="Advance"</formula>
    </cfRule>
  </conditionalFormatting>
  <conditionalFormatting sqref="B52 B56 B60">
    <cfRule type="expression" dxfId="6121" priority="3470">
      <formula>$C52="Delivery charge"</formula>
    </cfRule>
    <cfRule type="expression" dxfId="6120" priority="3471">
      <formula>$C52="Staff Salary"</formula>
    </cfRule>
    <cfRule type="expression" dxfId="6119" priority="3472">
      <formula>$C52="Rent"</formula>
    </cfRule>
    <cfRule type="expression" dxfId="6118" priority="3473">
      <formula>$C52="Petrol"</formula>
    </cfRule>
    <cfRule type="expression" dxfId="6117" priority="3474">
      <formula>$C52="Bills"</formula>
    </cfRule>
    <cfRule type="expression" dxfId="6116" priority="3475">
      <formula>$C52="Sales"</formula>
    </cfRule>
    <cfRule type="expression" dxfId="6115" priority="3476">
      <formula>$C52="Expences"</formula>
    </cfRule>
    <cfRule type="expression" dxfId="6114" priority="3477">
      <formula>$C52="Garlic Purchase"</formula>
    </cfRule>
    <cfRule type="expression" dxfId="6113" priority="3478">
      <formula>$C52="Ginger Purchase"</formula>
    </cfRule>
  </conditionalFormatting>
  <conditionalFormatting sqref="B52 B56 B60">
    <cfRule type="expression" dxfId="6112" priority="3479">
      <formula>$C52="Advance"</formula>
    </cfRule>
  </conditionalFormatting>
  <conditionalFormatting sqref="B52 B56 B60">
    <cfRule type="expression" dxfId="6111" priority="3460">
      <formula>$C52="Delivery charge"</formula>
    </cfRule>
    <cfRule type="expression" dxfId="6110" priority="3461">
      <formula>$C52="Staff Salary"</formula>
    </cfRule>
    <cfRule type="expression" dxfId="6109" priority="3462">
      <formula>$C52="Rent"</formula>
    </cfRule>
    <cfRule type="expression" dxfId="6108" priority="3463">
      <formula>$C52="Petrol"</formula>
    </cfRule>
    <cfRule type="expression" dxfId="6107" priority="3464">
      <formula>$C52="Bills"</formula>
    </cfRule>
    <cfRule type="expression" dxfId="6106" priority="3465">
      <formula>$C52="Sales"</formula>
    </cfRule>
    <cfRule type="expression" dxfId="6105" priority="3466">
      <formula>$C52="Expences"</formula>
    </cfRule>
    <cfRule type="expression" dxfId="6104" priority="3467">
      <formula>$C52="Garlic Purchase"</formula>
    </cfRule>
    <cfRule type="expression" dxfId="6103" priority="3468">
      <formula>$C52="Ginger Purchase"</formula>
    </cfRule>
  </conditionalFormatting>
  <conditionalFormatting sqref="B52 B56 B60">
    <cfRule type="expression" dxfId="6102" priority="3469">
      <formula>$C52="Advance"</formula>
    </cfRule>
  </conditionalFormatting>
  <conditionalFormatting sqref="B52 B56 B60">
    <cfRule type="expression" dxfId="6101" priority="3450">
      <formula>$C52="Delivery charge"</formula>
    </cfRule>
    <cfRule type="expression" dxfId="6100" priority="3451">
      <formula>$C52="Staff Salary"</formula>
    </cfRule>
    <cfRule type="expression" dxfId="6099" priority="3452">
      <formula>$C52="Rent"</formula>
    </cfRule>
    <cfRule type="expression" dxfId="6098" priority="3453">
      <formula>$C52="Petrol"</formula>
    </cfRule>
    <cfRule type="expression" dxfId="6097" priority="3454">
      <formula>$C52="Bills"</formula>
    </cfRule>
    <cfRule type="expression" dxfId="6096" priority="3455">
      <formula>$C52="Sales"</formula>
    </cfRule>
    <cfRule type="expression" dxfId="6095" priority="3456">
      <formula>$C52="Expences"</formula>
    </cfRule>
    <cfRule type="expression" dxfId="6094" priority="3457">
      <formula>$C52="Garlic Purchase"</formula>
    </cfRule>
    <cfRule type="expression" dxfId="6093" priority="3458">
      <formula>$C52="Ginger Purchase"</formula>
    </cfRule>
  </conditionalFormatting>
  <conditionalFormatting sqref="B52 B56 B60">
    <cfRule type="expression" dxfId="6092" priority="3459">
      <formula>$C52="Advance"</formula>
    </cfRule>
  </conditionalFormatting>
  <conditionalFormatting sqref="B52 B56 B60">
    <cfRule type="expression" dxfId="6091" priority="3440">
      <formula>$C52="Delivery charge"</formula>
    </cfRule>
    <cfRule type="expression" dxfId="6090" priority="3441">
      <formula>$C52="Staff Salary"</formula>
    </cfRule>
    <cfRule type="expression" dxfId="6089" priority="3442">
      <formula>$C52="Rent"</formula>
    </cfRule>
    <cfRule type="expression" dxfId="6088" priority="3443">
      <formula>$C52="Petrol"</formula>
    </cfRule>
    <cfRule type="expression" dxfId="6087" priority="3444">
      <formula>$C52="Bills"</formula>
    </cfRule>
    <cfRule type="expression" dxfId="6086" priority="3445">
      <formula>$C52="Sales"</formula>
    </cfRule>
    <cfRule type="expression" dxfId="6085" priority="3446">
      <formula>$C52="Expences"</formula>
    </cfRule>
    <cfRule type="expression" dxfId="6084" priority="3447">
      <formula>$C52="Garlic Purchase"</formula>
    </cfRule>
    <cfRule type="expression" dxfId="6083" priority="3448">
      <formula>$C52="Ginger Purchase"</formula>
    </cfRule>
  </conditionalFormatting>
  <conditionalFormatting sqref="B52 B56 B60">
    <cfRule type="expression" dxfId="6082" priority="3449">
      <formula>$C52="Advance"</formula>
    </cfRule>
  </conditionalFormatting>
  <conditionalFormatting sqref="B52 B56 B60">
    <cfRule type="expression" dxfId="6081" priority="3430">
      <formula>$C52="Delivery charge"</formula>
    </cfRule>
    <cfRule type="expression" dxfId="6080" priority="3431">
      <formula>$C52="Staff Salary"</formula>
    </cfRule>
    <cfRule type="expression" dxfId="6079" priority="3432">
      <formula>$C52="Rent"</formula>
    </cfRule>
    <cfRule type="expression" dxfId="6078" priority="3433">
      <formula>$C52="Petrol"</formula>
    </cfRule>
    <cfRule type="expression" dxfId="6077" priority="3434">
      <formula>$C52="Bills"</formula>
    </cfRule>
    <cfRule type="expression" dxfId="6076" priority="3435">
      <formula>$C52="Sales"</formula>
    </cfRule>
    <cfRule type="expression" dxfId="6075" priority="3436">
      <formula>$C52="Expences"</formula>
    </cfRule>
    <cfRule type="expression" dxfId="6074" priority="3437">
      <formula>$C52="Garlic Purchase"</formula>
    </cfRule>
    <cfRule type="expression" dxfId="6073" priority="3438">
      <formula>$C52="Ginger Purchase"</formula>
    </cfRule>
  </conditionalFormatting>
  <conditionalFormatting sqref="B52 B56 B60">
    <cfRule type="expression" dxfId="6072" priority="3439">
      <formula>$C52="Advance"</formula>
    </cfRule>
  </conditionalFormatting>
  <conditionalFormatting sqref="B52 B56 B60">
    <cfRule type="expression" dxfId="6071" priority="3429">
      <formula>$C52="Advance"</formula>
    </cfRule>
  </conditionalFormatting>
  <conditionalFormatting sqref="B52 B56 B60">
    <cfRule type="expression" dxfId="6070" priority="3420">
      <formula>$C52="Delivery charge"</formula>
    </cfRule>
    <cfRule type="expression" dxfId="6069" priority="3421">
      <formula>$C52="Staff Salary"</formula>
    </cfRule>
    <cfRule type="expression" dxfId="6068" priority="3422">
      <formula>$C52="Rent"</formula>
    </cfRule>
    <cfRule type="expression" dxfId="6067" priority="3423">
      <formula>$C52="Petrol"</formula>
    </cfRule>
    <cfRule type="expression" dxfId="6066" priority="3424">
      <formula>$C52="Bills"</formula>
    </cfRule>
    <cfRule type="expression" dxfId="6065" priority="3425">
      <formula>$C52="Sales"</formula>
    </cfRule>
    <cfRule type="expression" dxfId="6064" priority="3426">
      <formula>$C52="Expences"</formula>
    </cfRule>
    <cfRule type="expression" dxfId="6063" priority="3427">
      <formula>$C52="Garlic Purchase"</formula>
    </cfRule>
    <cfRule type="expression" dxfId="6062" priority="3428">
      <formula>$C52="Ginger Purchase"</formula>
    </cfRule>
  </conditionalFormatting>
  <conditionalFormatting sqref="B53 B55 B57 B61 B59 B63">
    <cfRule type="expression" dxfId="6061" priority="3419">
      <formula>$C53="Advance"</formula>
    </cfRule>
  </conditionalFormatting>
  <conditionalFormatting sqref="B53 B55 B57 B61 B59 B63">
    <cfRule type="expression" dxfId="6060" priority="3410">
      <formula>$C53="Delivery charge"</formula>
    </cfRule>
    <cfRule type="expression" dxfId="6059" priority="3411">
      <formula>$C53="Staff Salary"</formula>
    </cfRule>
    <cfRule type="expression" dxfId="6058" priority="3412">
      <formula>$C53="Rent"</formula>
    </cfRule>
    <cfRule type="expression" dxfId="6057" priority="3413">
      <formula>$C53="Petrol"</formula>
    </cfRule>
    <cfRule type="expression" dxfId="6056" priority="3414">
      <formula>$C53="Bills"</formula>
    </cfRule>
    <cfRule type="expression" dxfId="6055" priority="3415">
      <formula>$C53="Sales"</formula>
    </cfRule>
    <cfRule type="expression" dxfId="6054" priority="3416">
      <formula>$C53="Expences"</formula>
    </cfRule>
    <cfRule type="expression" dxfId="6053" priority="3417">
      <formula>$C53="Garlic Purchase"</formula>
    </cfRule>
    <cfRule type="expression" dxfId="6052" priority="3418">
      <formula>$C53="Ginger Purchase"</formula>
    </cfRule>
  </conditionalFormatting>
  <conditionalFormatting sqref="B53 B55 B57 B61 B59 B63">
    <cfRule type="expression" dxfId="6051" priority="3400">
      <formula>$C53="Delivery charge"</formula>
    </cfRule>
    <cfRule type="expression" dxfId="6050" priority="3401">
      <formula>$C53="Staff Salary"</formula>
    </cfRule>
    <cfRule type="expression" dxfId="6049" priority="3402">
      <formula>$C53="Rent"</formula>
    </cfRule>
    <cfRule type="expression" dxfId="6048" priority="3403">
      <formula>$C53="Petrol"</formula>
    </cfRule>
    <cfRule type="expression" dxfId="6047" priority="3404">
      <formula>$C53="Bills"</formula>
    </cfRule>
    <cfRule type="expression" dxfId="6046" priority="3405">
      <formula>$C53="Sales"</formula>
    </cfRule>
    <cfRule type="expression" dxfId="6045" priority="3406">
      <formula>$C53="Expences"</formula>
    </cfRule>
    <cfRule type="expression" dxfId="6044" priority="3407">
      <formula>$C53="Garlic Purchase"</formula>
    </cfRule>
    <cfRule type="expression" dxfId="6043" priority="3408">
      <formula>$C53="Ginger Purchase"</formula>
    </cfRule>
  </conditionalFormatting>
  <conditionalFormatting sqref="B53 B55 B57 B61 B59 B63">
    <cfRule type="expression" dxfId="6042" priority="3409">
      <formula>$C53="Advance"</formula>
    </cfRule>
  </conditionalFormatting>
  <conditionalFormatting sqref="B53 B55 B57 B61 B59 B63">
    <cfRule type="expression" dxfId="6041" priority="3390">
      <formula>$C53="Delivery charge"</formula>
    </cfRule>
    <cfRule type="expression" dxfId="6040" priority="3391">
      <formula>$C53="Staff Salary"</formula>
    </cfRule>
    <cfRule type="expression" dxfId="6039" priority="3392">
      <formula>$C53="Rent"</formula>
    </cfRule>
    <cfRule type="expression" dxfId="6038" priority="3393">
      <formula>$C53="Petrol"</formula>
    </cfRule>
    <cfRule type="expression" dxfId="6037" priority="3394">
      <formula>$C53="Bills"</formula>
    </cfRule>
    <cfRule type="expression" dxfId="6036" priority="3395">
      <formula>$C53="Sales"</formula>
    </cfRule>
    <cfRule type="expression" dxfId="6035" priority="3396">
      <formula>$C53="Expences"</formula>
    </cfRule>
    <cfRule type="expression" dxfId="6034" priority="3397">
      <formula>$C53="Garlic Purchase"</formula>
    </cfRule>
    <cfRule type="expression" dxfId="6033" priority="3398">
      <formula>$C53="Ginger Purchase"</formula>
    </cfRule>
  </conditionalFormatting>
  <conditionalFormatting sqref="B53 B55 B57 B61 B59 B63">
    <cfRule type="expression" dxfId="6032" priority="3399">
      <formula>$C53="Advance"</formula>
    </cfRule>
  </conditionalFormatting>
  <conditionalFormatting sqref="B53 B55 B57 B61 B59 B63">
    <cfRule type="expression" dxfId="6031" priority="3380">
      <formula>$C53="Delivery charge"</formula>
    </cfRule>
    <cfRule type="expression" dxfId="6030" priority="3381">
      <formula>$C53="Staff Salary"</formula>
    </cfRule>
    <cfRule type="expression" dxfId="6029" priority="3382">
      <formula>$C53="Rent"</formula>
    </cfRule>
    <cfRule type="expression" dxfId="6028" priority="3383">
      <formula>$C53="Petrol"</formula>
    </cfRule>
    <cfRule type="expression" dxfId="6027" priority="3384">
      <formula>$C53="Bills"</formula>
    </cfRule>
    <cfRule type="expression" dxfId="6026" priority="3385">
      <formula>$C53="Sales"</formula>
    </cfRule>
    <cfRule type="expression" dxfId="6025" priority="3386">
      <formula>$C53="Expences"</formula>
    </cfRule>
    <cfRule type="expression" dxfId="6024" priority="3387">
      <formula>$C53="Garlic Purchase"</formula>
    </cfRule>
    <cfRule type="expression" dxfId="6023" priority="3388">
      <formula>$C53="Ginger Purchase"</formula>
    </cfRule>
  </conditionalFormatting>
  <conditionalFormatting sqref="B53 B55 B57 B61 B59 B63">
    <cfRule type="expression" dxfId="6022" priority="3389">
      <formula>$C53="Advance"</formula>
    </cfRule>
  </conditionalFormatting>
  <conditionalFormatting sqref="B53 B55 B57 B61 B59 B63">
    <cfRule type="expression" dxfId="6021" priority="3370">
      <formula>$C53="Delivery charge"</formula>
    </cfRule>
    <cfRule type="expression" dxfId="6020" priority="3371">
      <formula>$C53="Staff Salary"</formula>
    </cfRule>
    <cfRule type="expression" dxfId="6019" priority="3372">
      <formula>$C53="Rent"</formula>
    </cfRule>
    <cfRule type="expression" dxfId="6018" priority="3373">
      <formula>$C53="Petrol"</formula>
    </cfRule>
    <cfRule type="expression" dxfId="6017" priority="3374">
      <formula>$C53="Bills"</formula>
    </cfRule>
    <cfRule type="expression" dxfId="6016" priority="3375">
      <formula>$C53="Sales"</formula>
    </cfRule>
    <cfRule type="expression" dxfId="6015" priority="3376">
      <formula>$C53="Expences"</formula>
    </cfRule>
    <cfRule type="expression" dxfId="6014" priority="3377">
      <formula>$C53="Garlic Purchase"</formula>
    </cfRule>
    <cfRule type="expression" dxfId="6013" priority="3378">
      <formula>$C53="Ginger Purchase"</formula>
    </cfRule>
  </conditionalFormatting>
  <conditionalFormatting sqref="B53 B55 B57 B61 B59 B63">
    <cfRule type="expression" dxfId="6012" priority="3379">
      <formula>$C53="Advance"</formula>
    </cfRule>
  </conditionalFormatting>
  <conditionalFormatting sqref="B53 B55 B57 B61 B59 B63">
    <cfRule type="expression" dxfId="6011" priority="3360">
      <formula>$C53="Delivery charge"</formula>
    </cfRule>
    <cfRule type="expression" dxfId="6010" priority="3361">
      <formula>$C53="Staff Salary"</formula>
    </cfRule>
    <cfRule type="expression" dxfId="6009" priority="3362">
      <formula>$C53="Rent"</formula>
    </cfRule>
    <cfRule type="expression" dxfId="6008" priority="3363">
      <formula>$C53="Petrol"</formula>
    </cfRule>
    <cfRule type="expression" dxfId="6007" priority="3364">
      <formula>$C53="Bills"</formula>
    </cfRule>
    <cfRule type="expression" dxfId="6006" priority="3365">
      <formula>$C53="Sales"</formula>
    </cfRule>
    <cfRule type="expression" dxfId="6005" priority="3366">
      <formula>$C53="Expences"</formula>
    </cfRule>
    <cfRule type="expression" dxfId="6004" priority="3367">
      <formula>$C53="Garlic Purchase"</formula>
    </cfRule>
    <cfRule type="expression" dxfId="6003" priority="3368">
      <formula>$C53="Ginger Purchase"</formula>
    </cfRule>
  </conditionalFormatting>
  <conditionalFormatting sqref="B53 B55 B57 B61 B59 B63">
    <cfRule type="expression" dxfId="6002" priority="3369">
      <formula>$C53="Advance"</formula>
    </cfRule>
  </conditionalFormatting>
  <conditionalFormatting sqref="B53 B55 B57 B61 B59 B63">
    <cfRule type="expression" dxfId="6001" priority="3350">
      <formula>$C53="Delivery charge"</formula>
    </cfRule>
    <cfRule type="expression" dxfId="6000" priority="3351">
      <formula>$C53="Staff Salary"</formula>
    </cfRule>
    <cfRule type="expression" dxfId="5999" priority="3352">
      <formula>$C53="Rent"</formula>
    </cfRule>
    <cfRule type="expression" dxfId="5998" priority="3353">
      <formula>$C53="Petrol"</formula>
    </cfRule>
    <cfRule type="expression" dxfId="5997" priority="3354">
      <formula>$C53="Bills"</formula>
    </cfRule>
    <cfRule type="expression" dxfId="5996" priority="3355">
      <formula>$C53="Sales"</formula>
    </cfRule>
    <cfRule type="expression" dxfId="5995" priority="3356">
      <formula>$C53="Expences"</formula>
    </cfRule>
    <cfRule type="expression" dxfId="5994" priority="3357">
      <formula>$C53="Garlic Purchase"</formula>
    </cfRule>
    <cfRule type="expression" dxfId="5993" priority="3358">
      <formula>$C53="Ginger Purchase"</formula>
    </cfRule>
  </conditionalFormatting>
  <conditionalFormatting sqref="B53 B55 B57 B61 B59 B63">
    <cfRule type="expression" dxfId="5992" priority="3359">
      <formula>$C53="Advance"</formula>
    </cfRule>
  </conditionalFormatting>
  <conditionalFormatting sqref="B53 B55 B57 B61 B59 B63">
    <cfRule type="expression" dxfId="5991" priority="3340">
      <formula>$C53="Delivery charge"</formula>
    </cfRule>
    <cfRule type="expression" dxfId="5990" priority="3341">
      <formula>$C53="Staff Salary"</formula>
    </cfRule>
    <cfRule type="expression" dxfId="5989" priority="3342">
      <formula>$C53="Rent"</formula>
    </cfRule>
    <cfRule type="expression" dxfId="5988" priority="3343">
      <formula>$C53="Petrol"</formula>
    </cfRule>
    <cfRule type="expression" dxfId="5987" priority="3344">
      <formula>$C53="Bills"</formula>
    </cfRule>
    <cfRule type="expression" dxfId="5986" priority="3345">
      <formula>$C53="Sales"</formula>
    </cfRule>
    <cfRule type="expression" dxfId="5985" priority="3346">
      <formula>$C53="Expences"</formula>
    </cfRule>
    <cfRule type="expression" dxfId="5984" priority="3347">
      <formula>$C53="Garlic Purchase"</formula>
    </cfRule>
    <cfRule type="expression" dxfId="5983" priority="3348">
      <formula>$C53="Ginger Purchase"</formula>
    </cfRule>
  </conditionalFormatting>
  <conditionalFormatting sqref="B53 B55 B57 B61 B59 B63">
    <cfRule type="expression" dxfId="5982" priority="3349">
      <formula>$C53="Advance"</formula>
    </cfRule>
  </conditionalFormatting>
  <conditionalFormatting sqref="B53 B55 B57 B61 B59 B63">
    <cfRule type="expression" dxfId="5981" priority="3330">
      <formula>$C53="Delivery charge"</formula>
    </cfRule>
    <cfRule type="expression" dxfId="5980" priority="3331">
      <formula>$C53="Staff Salary"</formula>
    </cfRule>
    <cfRule type="expression" dxfId="5979" priority="3332">
      <formula>$C53="Rent"</formula>
    </cfRule>
    <cfRule type="expression" dxfId="5978" priority="3333">
      <formula>$C53="Petrol"</formula>
    </cfRule>
    <cfRule type="expression" dxfId="5977" priority="3334">
      <formula>$C53="Bills"</formula>
    </cfRule>
    <cfRule type="expression" dxfId="5976" priority="3335">
      <formula>$C53="Sales"</formula>
    </cfRule>
    <cfRule type="expression" dxfId="5975" priority="3336">
      <formula>$C53="Expences"</formula>
    </cfRule>
    <cfRule type="expression" dxfId="5974" priority="3337">
      <formula>$C53="Garlic Purchase"</formula>
    </cfRule>
    <cfRule type="expression" dxfId="5973" priority="3338">
      <formula>$C53="Ginger Purchase"</formula>
    </cfRule>
  </conditionalFormatting>
  <conditionalFormatting sqref="B53 B55 B57 B61 B59 B63">
    <cfRule type="expression" dxfId="5972" priority="3339">
      <formula>$C53="Advance"</formula>
    </cfRule>
  </conditionalFormatting>
  <conditionalFormatting sqref="B53 B55 B57 B61 B59 B63">
    <cfRule type="expression" dxfId="5971" priority="3320">
      <formula>$C53="Delivery charge"</formula>
    </cfRule>
    <cfRule type="expression" dxfId="5970" priority="3321">
      <formula>$C53="Staff Salary"</formula>
    </cfRule>
    <cfRule type="expression" dxfId="5969" priority="3322">
      <formula>$C53="Rent"</formula>
    </cfRule>
    <cfRule type="expression" dxfId="5968" priority="3323">
      <formula>$C53="Petrol"</formula>
    </cfRule>
    <cfRule type="expression" dxfId="5967" priority="3324">
      <formula>$C53="Bills"</formula>
    </cfRule>
    <cfRule type="expression" dxfId="5966" priority="3325">
      <formula>$C53="Sales"</formula>
    </cfRule>
    <cfRule type="expression" dxfId="5965" priority="3326">
      <formula>$C53="Expences"</formula>
    </cfRule>
    <cfRule type="expression" dxfId="5964" priority="3327">
      <formula>$C53="Garlic Purchase"</formula>
    </cfRule>
    <cfRule type="expression" dxfId="5963" priority="3328">
      <formula>$C53="Ginger Purchase"</formula>
    </cfRule>
  </conditionalFormatting>
  <conditionalFormatting sqref="B53 B55 B57 B61 B59 B63">
    <cfRule type="expression" dxfId="5962" priority="3329">
      <formula>$C53="Advance"</formula>
    </cfRule>
  </conditionalFormatting>
  <conditionalFormatting sqref="B53 B55 B57 B61 B59 B63">
    <cfRule type="expression" dxfId="5961" priority="3310">
      <formula>$C53="Delivery charge"</formula>
    </cfRule>
    <cfRule type="expression" dxfId="5960" priority="3311">
      <formula>$C53="Staff Salary"</formula>
    </cfRule>
    <cfRule type="expression" dxfId="5959" priority="3312">
      <formula>$C53="Rent"</formula>
    </cfRule>
    <cfRule type="expression" dxfId="5958" priority="3313">
      <formula>$C53="Petrol"</formula>
    </cfRule>
    <cfRule type="expression" dxfId="5957" priority="3314">
      <formula>$C53="Bills"</formula>
    </cfRule>
    <cfRule type="expression" dxfId="5956" priority="3315">
      <formula>$C53="Sales"</formula>
    </cfRule>
    <cfRule type="expression" dxfId="5955" priority="3316">
      <formula>$C53="Expences"</formula>
    </cfRule>
    <cfRule type="expression" dxfId="5954" priority="3317">
      <formula>$C53="Garlic Purchase"</formula>
    </cfRule>
    <cfRule type="expression" dxfId="5953" priority="3318">
      <formula>$C53="Ginger Purchase"</formula>
    </cfRule>
  </conditionalFormatting>
  <conditionalFormatting sqref="B53 B55 B57 B61 B59 B63">
    <cfRule type="expression" dxfId="5952" priority="3319">
      <formula>$C53="Advance"</formula>
    </cfRule>
  </conditionalFormatting>
  <conditionalFormatting sqref="B53 B55 B57 B61 B59 B63">
    <cfRule type="expression" dxfId="5951" priority="3300">
      <formula>$C53="Delivery charge"</formula>
    </cfRule>
    <cfRule type="expression" dxfId="5950" priority="3301">
      <formula>$C53="Staff Salary"</formula>
    </cfRule>
    <cfRule type="expression" dxfId="5949" priority="3302">
      <formula>$C53="Rent"</formula>
    </cfRule>
    <cfRule type="expression" dxfId="5948" priority="3303">
      <formula>$C53="Petrol"</formula>
    </cfRule>
    <cfRule type="expression" dxfId="5947" priority="3304">
      <formula>$C53="Bills"</formula>
    </cfRule>
    <cfRule type="expression" dxfId="5946" priority="3305">
      <formula>$C53="Sales"</formula>
    </cfRule>
    <cfRule type="expression" dxfId="5945" priority="3306">
      <formula>$C53="Expences"</formula>
    </cfRule>
    <cfRule type="expression" dxfId="5944" priority="3307">
      <formula>$C53="Garlic Purchase"</formula>
    </cfRule>
    <cfRule type="expression" dxfId="5943" priority="3308">
      <formula>$C53="Ginger Purchase"</formula>
    </cfRule>
  </conditionalFormatting>
  <conditionalFormatting sqref="B53 B55 B57 B61 B59 B63">
    <cfRule type="expression" dxfId="5942" priority="3309">
      <formula>$C53="Advance"</formula>
    </cfRule>
  </conditionalFormatting>
  <conditionalFormatting sqref="B52 B54 B56 B60 B58 B62">
    <cfRule type="expression" dxfId="5941" priority="2219">
      <formula>$C52="Advance"</formula>
    </cfRule>
  </conditionalFormatting>
  <conditionalFormatting sqref="B54 B58 B62">
    <cfRule type="expression" dxfId="5940" priority="3149">
      <formula>$C54="Advance"</formula>
    </cfRule>
  </conditionalFormatting>
  <conditionalFormatting sqref="B54 B58 B62">
    <cfRule type="expression" dxfId="5939" priority="3290">
      <formula>$C54="Delivery charge"</formula>
    </cfRule>
    <cfRule type="expression" dxfId="5938" priority="3291">
      <formula>$C54="Staff Salary"</formula>
    </cfRule>
    <cfRule type="expression" dxfId="5937" priority="3292">
      <formula>$C54="Rent"</formula>
    </cfRule>
    <cfRule type="expression" dxfId="5936" priority="3293">
      <formula>$C54="Petrol"</formula>
    </cfRule>
    <cfRule type="expression" dxfId="5935" priority="3294">
      <formula>$C54="Bills"</formula>
    </cfRule>
    <cfRule type="expression" dxfId="5934" priority="3295">
      <formula>$C54="Sales"</formula>
    </cfRule>
    <cfRule type="expression" dxfId="5933" priority="3296">
      <formula>$C54="Expences"</formula>
    </cfRule>
    <cfRule type="expression" dxfId="5932" priority="3297">
      <formula>$C54="Garlic Purchase"</formula>
    </cfRule>
    <cfRule type="expression" dxfId="5931" priority="3298">
      <formula>$C54="Ginger Purchase"</formula>
    </cfRule>
  </conditionalFormatting>
  <conditionalFormatting sqref="B54 B58 B62">
    <cfRule type="expression" dxfId="5930" priority="3299">
      <formula>$C54="Advance"</formula>
    </cfRule>
  </conditionalFormatting>
  <conditionalFormatting sqref="B54 B58 B62">
    <cfRule type="expression" dxfId="5929" priority="3280">
      <formula>$C54="Delivery charge"</formula>
    </cfRule>
    <cfRule type="expression" dxfId="5928" priority="3281">
      <formula>$C54="Staff Salary"</formula>
    </cfRule>
    <cfRule type="expression" dxfId="5927" priority="3282">
      <formula>$C54="Rent"</formula>
    </cfRule>
    <cfRule type="expression" dxfId="5926" priority="3283">
      <formula>$C54="Petrol"</formula>
    </cfRule>
    <cfRule type="expression" dxfId="5925" priority="3284">
      <formula>$C54="Bills"</formula>
    </cfRule>
    <cfRule type="expression" dxfId="5924" priority="3285">
      <formula>$C54="Sales"</formula>
    </cfRule>
    <cfRule type="expression" dxfId="5923" priority="3286">
      <formula>$C54="Expences"</formula>
    </cfRule>
    <cfRule type="expression" dxfId="5922" priority="3287">
      <formula>$C54="Garlic Purchase"</formula>
    </cfRule>
    <cfRule type="expression" dxfId="5921" priority="3288">
      <formula>$C54="Ginger Purchase"</formula>
    </cfRule>
  </conditionalFormatting>
  <conditionalFormatting sqref="B54 B58 B62">
    <cfRule type="expression" dxfId="5920" priority="3289">
      <formula>$C54="Advance"</formula>
    </cfRule>
  </conditionalFormatting>
  <conditionalFormatting sqref="B54 B58 B62">
    <cfRule type="expression" dxfId="5919" priority="3270">
      <formula>$C54="Delivery charge"</formula>
    </cfRule>
    <cfRule type="expression" dxfId="5918" priority="3271">
      <formula>$C54="Staff Salary"</formula>
    </cfRule>
    <cfRule type="expression" dxfId="5917" priority="3272">
      <formula>$C54="Rent"</formula>
    </cfRule>
    <cfRule type="expression" dxfId="5916" priority="3273">
      <formula>$C54="Petrol"</formula>
    </cfRule>
    <cfRule type="expression" dxfId="5915" priority="3274">
      <formula>$C54="Bills"</formula>
    </cfRule>
    <cfRule type="expression" dxfId="5914" priority="3275">
      <formula>$C54="Sales"</formula>
    </cfRule>
    <cfRule type="expression" dxfId="5913" priority="3276">
      <formula>$C54="Expences"</formula>
    </cfRule>
    <cfRule type="expression" dxfId="5912" priority="3277">
      <formula>$C54="Garlic Purchase"</formula>
    </cfRule>
    <cfRule type="expression" dxfId="5911" priority="3278">
      <formula>$C54="Ginger Purchase"</formula>
    </cfRule>
  </conditionalFormatting>
  <conditionalFormatting sqref="B54 B58 B62">
    <cfRule type="expression" dxfId="5910" priority="3279">
      <formula>$C54="Advance"</formula>
    </cfRule>
  </conditionalFormatting>
  <conditionalFormatting sqref="B54 B58 B62">
    <cfRule type="expression" dxfId="5909" priority="3260">
      <formula>$C54="Delivery charge"</formula>
    </cfRule>
    <cfRule type="expression" dxfId="5908" priority="3261">
      <formula>$C54="Staff Salary"</formula>
    </cfRule>
    <cfRule type="expression" dxfId="5907" priority="3262">
      <formula>$C54="Rent"</formula>
    </cfRule>
    <cfRule type="expression" dxfId="5906" priority="3263">
      <formula>$C54="Petrol"</formula>
    </cfRule>
    <cfRule type="expression" dxfId="5905" priority="3264">
      <formula>$C54="Bills"</formula>
    </cfRule>
    <cfRule type="expression" dxfId="5904" priority="3265">
      <formula>$C54="Sales"</formula>
    </cfRule>
    <cfRule type="expression" dxfId="5903" priority="3266">
      <formula>$C54="Expences"</formula>
    </cfRule>
    <cfRule type="expression" dxfId="5902" priority="3267">
      <formula>$C54="Garlic Purchase"</formula>
    </cfRule>
    <cfRule type="expression" dxfId="5901" priority="3268">
      <formula>$C54="Ginger Purchase"</formula>
    </cfRule>
  </conditionalFormatting>
  <conditionalFormatting sqref="B54 B58 B62">
    <cfRule type="expression" dxfId="5900" priority="3269">
      <formula>$C54="Advance"</formula>
    </cfRule>
  </conditionalFormatting>
  <conditionalFormatting sqref="B54 B58 B62">
    <cfRule type="expression" dxfId="5899" priority="3250">
      <formula>$C54="Delivery charge"</formula>
    </cfRule>
    <cfRule type="expression" dxfId="5898" priority="3251">
      <formula>$C54="Staff Salary"</formula>
    </cfRule>
    <cfRule type="expression" dxfId="5897" priority="3252">
      <formula>$C54="Rent"</formula>
    </cfRule>
    <cfRule type="expression" dxfId="5896" priority="3253">
      <formula>$C54="Petrol"</formula>
    </cfRule>
    <cfRule type="expression" dxfId="5895" priority="3254">
      <formula>$C54="Bills"</formula>
    </cfRule>
    <cfRule type="expression" dxfId="5894" priority="3255">
      <formula>$C54="Sales"</formula>
    </cfRule>
    <cfRule type="expression" dxfId="5893" priority="3256">
      <formula>$C54="Expences"</formula>
    </cfRule>
    <cfRule type="expression" dxfId="5892" priority="3257">
      <formula>$C54="Garlic Purchase"</formula>
    </cfRule>
    <cfRule type="expression" dxfId="5891" priority="3258">
      <formula>$C54="Ginger Purchase"</formula>
    </cfRule>
  </conditionalFormatting>
  <conditionalFormatting sqref="B54 B58 B62">
    <cfRule type="expression" dxfId="5890" priority="3259">
      <formula>$C54="Advance"</formula>
    </cfRule>
  </conditionalFormatting>
  <conditionalFormatting sqref="B54 B58 B62">
    <cfRule type="expression" dxfId="5889" priority="3240">
      <formula>$C54="Delivery charge"</formula>
    </cfRule>
    <cfRule type="expression" dxfId="5888" priority="3241">
      <formula>$C54="Staff Salary"</formula>
    </cfRule>
    <cfRule type="expression" dxfId="5887" priority="3242">
      <formula>$C54="Rent"</formula>
    </cfRule>
    <cfRule type="expression" dxfId="5886" priority="3243">
      <formula>$C54="Petrol"</formula>
    </cfRule>
    <cfRule type="expression" dxfId="5885" priority="3244">
      <formula>$C54="Bills"</formula>
    </cfRule>
    <cfRule type="expression" dxfId="5884" priority="3245">
      <formula>$C54="Sales"</formula>
    </cfRule>
    <cfRule type="expression" dxfId="5883" priority="3246">
      <formula>$C54="Expences"</formula>
    </cfRule>
    <cfRule type="expression" dxfId="5882" priority="3247">
      <formula>$C54="Garlic Purchase"</formula>
    </cfRule>
    <cfRule type="expression" dxfId="5881" priority="3248">
      <formula>$C54="Ginger Purchase"</formula>
    </cfRule>
  </conditionalFormatting>
  <conditionalFormatting sqref="B54 B58 B62">
    <cfRule type="expression" dxfId="5880" priority="3249">
      <formula>$C54="Advance"</formula>
    </cfRule>
  </conditionalFormatting>
  <conditionalFormatting sqref="B54 B58 B62">
    <cfRule type="expression" dxfId="5879" priority="3230">
      <formula>$C54="Delivery charge"</formula>
    </cfRule>
    <cfRule type="expression" dxfId="5878" priority="3231">
      <formula>$C54="Staff Salary"</formula>
    </cfRule>
    <cfRule type="expression" dxfId="5877" priority="3232">
      <formula>$C54="Rent"</formula>
    </cfRule>
    <cfRule type="expression" dxfId="5876" priority="3233">
      <formula>$C54="Petrol"</formula>
    </cfRule>
    <cfRule type="expression" dxfId="5875" priority="3234">
      <formula>$C54="Bills"</formula>
    </cfRule>
    <cfRule type="expression" dxfId="5874" priority="3235">
      <formula>$C54="Sales"</formula>
    </cfRule>
    <cfRule type="expression" dxfId="5873" priority="3236">
      <formula>$C54="Expences"</formula>
    </cfRule>
    <cfRule type="expression" dxfId="5872" priority="3237">
      <formula>$C54="Garlic Purchase"</formula>
    </cfRule>
    <cfRule type="expression" dxfId="5871" priority="3238">
      <formula>$C54="Ginger Purchase"</formula>
    </cfRule>
  </conditionalFormatting>
  <conditionalFormatting sqref="B54 B58 B62">
    <cfRule type="expression" dxfId="5870" priority="3239">
      <formula>$C54="Advance"</formula>
    </cfRule>
  </conditionalFormatting>
  <conditionalFormatting sqref="B54 B58 B62">
    <cfRule type="expression" dxfId="5869" priority="3220">
      <formula>$C54="Delivery charge"</formula>
    </cfRule>
    <cfRule type="expression" dxfId="5868" priority="3221">
      <formula>$C54="Staff Salary"</formula>
    </cfRule>
    <cfRule type="expression" dxfId="5867" priority="3222">
      <formula>$C54="Rent"</formula>
    </cfRule>
    <cfRule type="expression" dxfId="5866" priority="3223">
      <formula>$C54="Petrol"</formula>
    </cfRule>
    <cfRule type="expression" dxfId="5865" priority="3224">
      <formula>$C54="Bills"</formula>
    </cfRule>
    <cfRule type="expression" dxfId="5864" priority="3225">
      <formula>$C54="Sales"</formula>
    </cfRule>
    <cfRule type="expression" dxfId="5863" priority="3226">
      <formula>$C54="Expences"</formula>
    </cfRule>
    <cfRule type="expression" dxfId="5862" priority="3227">
      <formula>$C54="Garlic Purchase"</formula>
    </cfRule>
    <cfRule type="expression" dxfId="5861" priority="3228">
      <formula>$C54="Ginger Purchase"</formula>
    </cfRule>
  </conditionalFormatting>
  <conditionalFormatting sqref="B54 B58 B62">
    <cfRule type="expression" dxfId="5860" priority="3229">
      <formula>$C54="Advance"</formula>
    </cfRule>
  </conditionalFormatting>
  <conditionalFormatting sqref="B54 B58 B62">
    <cfRule type="expression" dxfId="5859" priority="3210">
      <formula>$C54="Delivery charge"</formula>
    </cfRule>
    <cfRule type="expression" dxfId="5858" priority="3211">
      <formula>$C54="Staff Salary"</formula>
    </cfRule>
    <cfRule type="expression" dxfId="5857" priority="3212">
      <formula>$C54="Rent"</formula>
    </cfRule>
    <cfRule type="expression" dxfId="5856" priority="3213">
      <formula>$C54="Petrol"</formula>
    </cfRule>
    <cfRule type="expression" dxfId="5855" priority="3214">
      <formula>$C54="Bills"</formula>
    </cfRule>
    <cfRule type="expression" dxfId="5854" priority="3215">
      <formula>$C54="Sales"</formula>
    </cfRule>
    <cfRule type="expression" dxfId="5853" priority="3216">
      <formula>$C54="Expences"</formula>
    </cfRule>
    <cfRule type="expression" dxfId="5852" priority="3217">
      <formula>$C54="Garlic Purchase"</formula>
    </cfRule>
    <cfRule type="expression" dxfId="5851" priority="3218">
      <formula>$C54="Ginger Purchase"</formula>
    </cfRule>
  </conditionalFormatting>
  <conditionalFormatting sqref="B54 B58 B62">
    <cfRule type="expression" dxfId="5850" priority="3219">
      <formula>$C54="Advance"</formula>
    </cfRule>
  </conditionalFormatting>
  <conditionalFormatting sqref="B54 B58 B62">
    <cfRule type="expression" dxfId="5849" priority="3200">
      <formula>$C54="Delivery charge"</formula>
    </cfRule>
    <cfRule type="expression" dxfId="5848" priority="3201">
      <formula>$C54="Staff Salary"</formula>
    </cfRule>
    <cfRule type="expression" dxfId="5847" priority="3202">
      <formula>$C54="Rent"</formula>
    </cfRule>
    <cfRule type="expression" dxfId="5846" priority="3203">
      <formula>$C54="Petrol"</formula>
    </cfRule>
    <cfRule type="expression" dxfId="5845" priority="3204">
      <formula>$C54="Bills"</formula>
    </cfRule>
    <cfRule type="expression" dxfId="5844" priority="3205">
      <formula>$C54="Sales"</formula>
    </cfRule>
    <cfRule type="expression" dxfId="5843" priority="3206">
      <formula>$C54="Expences"</formula>
    </cfRule>
    <cfRule type="expression" dxfId="5842" priority="3207">
      <formula>$C54="Garlic Purchase"</formula>
    </cfRule>
    <cfRule type="expression" dxfId="5841" priority="3208">
      <formula>$C54="Ginger Purchase"</formula>
    </cfRule>
  </conditionalFormatting>
  <conditionalFormatting sqref="B54 B58 B62">
    <cfRule type="expression" dxfId="5840" priority="3209">
      <formula>$C54="Advance"</formula>
    </cfRule>
  </conditionalFormatting>
  <conditionalFormatting sqref="B54 B58 B62">
    <cfRule type="expression" dxfId="5839" priority="3190">
      <formula>$C54="Delivery charge"</formula>
    </cfRule>
    <cfRule type="expression" dxfId="5838" priority="3191">
      <formula>$C54="Staff Salary"</formula>
    </cfRule>
    <cfRule type="expression" dxfId="5837" priority="3192">
      <formula>$C54="Rent"</formula>
    </cfRule>
    <cfRule type="expression" dxfId="5836" priority="3193">
      <formula>$C54="Petrol"</formula>
    </cfRule>
    <cfRule type="expression" dxfId="5835" priority="3194">
      <formula>$C54="Bills"</formula>
    </cfRule>
    <cfRule type="expression" dxfId="5834" priority="3195">
      <formula>$C54="Sales"</formula>
    </cfRule>
    <cfRule type="expression" dxfId="5833" priority="3196">
      <formula>$C54="Expences"</formula>
    </cfRule>
    <cfRule type="expression" dxfId="5832" priority="3197">
      <formula>$C54="Garlic Purchase"</formula>
    </cfRule>
    <cfRule type="expression" dxfId="5831" priority="3198">
      <formula>$C54="Ginger Purchase"</formula>
    </cfRule>
  </conditionalFormatting>
  <conditionalFormatting sqref="B54 B58 B62">
    <cfRule type="expression" dxfId="5830" priority="3199">
      <formula>$C54="Advance"</formula>
    </cfRule>
  </conditionalFormatting>
  <conditionalFormatting sqref="B54 B58 B62">
    <cfRule type="expression" dxfId="5829" priority="3180">
      <formula>$C54="Delivery charge"</formula>
    </cfRule>
    <cfRule type="expression" dxfId="5828" priority="3181">
      <formula>$C54="Staff Salary"</formula>
    </cfRule>
    <cfRule type="expression" dxfId="5827" priority="3182">
      <formula>$C54="Rent"</formula>
    </cfRule>
    <cfRule type="expression" dxfId="5826" priority="3183">
      <formula>$C54="Petrol"</formula>
    </cfRule>
    <cfRule type="expression" dxfId="5825" priority="3184">
      <formula>$C54="Bills"</formula>
    </cfRule>
    <cfRule type="expression" dxfId="5824" priority="3185">
      <formula>$C54="Sales"</formula>
    </cfRule>
    <cfRule type="expression" dxfId="5823" priority="3186">
      <formula>$C54="Expences"</formula>
    </cfRule>
    <cfRule type="expression" dxfId="5822" priority="3187">
      <formula>$C54="Garlic Purchase"</formula>
    </cfRule>
    <cfRule type="expression" dxfId="5821" priority="3188">
      <formula>$C54="Ginger Purchase"</formula>
    </cfRule>
  </conditionalFormatting>
  <conditionalFormatting sqref="B54 B58 B62">
    <cfRule type="expression" dxfId="5820" priority="3189">
      <formula>$C54="Advance"</formula>
    </cfRule>
  </conditionalFormatting>
  <conditionalFormatting sqref="B54 B58 B62">
    <cfRule type="expression" dxfId="5819" priority="3170">
      <formula>$C54="Delivery charge"</formula>
    </cfRule>
    <cfRule type="expression" dxfId="5818" priority="3171">
      <formula>$C54="Staff Salary"</formula>
    </cfRule>
    <cfRule type="expression" dxfId="5817" priority="3172">
      <formula>$C54="Rent"</formula>
    </cfRule>
    <cfRule type="expression" dxfId="5816" priority="3173">
      <formula>$C54="Petrol"</formula>
    </cfRule>
    <cfRule type="expression" dxfId="5815" priority="3174">
      <formula>$C54="Bills"</formula>
    </cfRule>
    <cfRule type="expression" dxfId="5814" priority="3175">
      <formula>$C54="Sales"</formula>
    </cfRule>
    <cfRule type="expression" dxfId="5813" priority="3176">
      <formula>$C54="Expences"</formula>
    </cfRule>
    <cfRule type="expression" dxfId="5812" priority="3177">
      <formula>$C54="Garlic Purchase"</formula>
    </cfRule>
    <cfRule type="expression" dxfId="5811" priority="3178">
      <formula>$C54="Ginger Purchase"</formula>
    </cfRule>
  </conditionalFormatting>
  <conditionalFormatting sqref="B54 B58 B62">
    <cfRule type="expression" dxfId="5810" priority="3179">
      <formula>$C54="Advance"</formula>
    </cfRule>
  </conditionalFormatting>
  <conditionalFormatting sqref="B54 B58 B62">
    <cfRule type="expression" dxfId="5809" priority="3160">
      <formula>$C54="Delivery charge"</formula>
    </cfRule>
    <cfRule type="expression" dxfId="5808" priority="3161">
      <formula>$C54="Staff Salary"</formula>
    </cfRule>
    <cfRule type="expression" dxfId="5807" priority="3162">
      <formula>$C54="Rent"</formula>
    </cfRule>
    <cfRule type="expression" dxfId="5806" priority="3163">
      <formula>$C54="Petrol"</formula>
    </cfRule>
    <cfRule type="expression" dxfId="5805" priority="3164">
      <formula>$C54="Bills"</formula>
    </cfRule>
    <cfRule type="expression" dxfId="5804" priority="3165">
      <formula>$C54="Sales"</formula>
    </cfRule>
    <cfRule type="expression" dxfId="5803" priority="3166">
      <formula>$C54="Expences"</formula>
    </cfRule>
    <cfRule type="expression" dxfId="5802" priority="3167">
      <formula>$C54="Garlic Purchase"</formula>
    </cfRule>
    <cfRule type="expression" dxfId="5801" priority="3168">
      <formula>$C54="Ginger Purchase"</formula>
    </cfRule>
  </conditionalFormatting>
  <conditionalFormatting sqref="B54 B58 B62">
    <cfRule type="expression" dxfId="5800" priority="3169">
      <formula>$C54="Advance"</formula>
    </cfRule>
  </conditionalFormatting>
  <conditionalFormatting sqref="B54 B58 B62">
    <cfRule type="expression" dxfId="5799" priority="3150">
      <formula>$C54="Delivery charge"</formula>
    </cfRule>
    <cfRule type="expression" dxfId="5798" priority="3151">
      <formula>$C54="Staff Salary"</formula>
    </cfRule>
    <cfRule type="expression" dxfId="5797" priority="3152">
      <formula>$C54="Rent"</formula>
    </cfRule>
    <cfRule type="expression" dxfId="5796" priority="3153">
      <formula>$C54="Petrol"</formula>
    </cfRule>
    <cfRule type="expression" dxfId="5795" priority="3154">
      <formula>$C54="Bills"</formula>
    </cfRule>
    <cfRule type="expression" dxfId="5794" priority="3155">
      <formula>$C54="Sales"</formula>
    </cfRule>
    <cfRule type="expression" dxfId="5793" priority="3156">
      <formula>$C54="Expences"</formula>
    </cfRule>
    <cfRule type="expression" dxfId="5792" priority="3157">
      <formula>$C54="Garlic Purchase"</formula>
    </cfRule>
    <cfRule type="expression" dxfId="5791" priority="3158">
      <formula>$C54="Ginger Purchase"</formula>
    </cfRule>
  </conditionalFormatting>
  <conditionalFormatting sqref="B54 B58 B62">
    <cfRule type="expression" dxfId="5790" priority="3159">
      <formula>$C54="Advance"</formula>
    </cfRule>
  </conditionalFormatting>
  <conditionalFormatting sqref="B54 B58 B62">
    <cfRule type="expression" dxfId="5789" priority="3140">
      <formula>$C54="Delivery charge"</formula>
    </cfRule>
    <cfRule type="expression" dxfId="5788" priority="3141">
      <formula>$C54="Staff Salary"</formula>
    </cfRule>
    <cfRule type="expression" dxfId="5787" priority="3142">
      <formula>$C54="Rent"</formula>
    </cfRule>
    <cfRule type="expression" dxfId="5786" priority="3143">
      <formula>$C54="Petrol"</formula>
    </cfRule>
    <cfRule type="expression" dxfId="5785" priority="3144">
      <formula>$C54="Bills"</formula>
    </cfRule>
    <cfRule type="expression" dxfId="5784" priority="3145">
      <formula>$C54="Sales"</formula>
    </cfRule>
    <cfRule type="expression" dxfId="5783" priority="3146">
      <formula>$C54="Expences"</formula>
    </cfRule>
    <cfRule type="expression" dxfId="5782" priority="3147">
      <formula>$C54="Garlic Purchase"</formula>
    </cfRule>
    <cfRule type="expression" dxfId="5781" priority="3148">
      <formula>$C54="Ginger Purchase"</formula>
    </cfRule>
  </conditionalFormatting>
  <conditionalFormatting sqref="B54 B58 B62">
    <cfRule type="expression" dxfId="5780" priority="3130">
      <formula>$C54="Delivery charge"</formula>
    </cfRule>
    <cfRule type="expression" dxfId="5779" priority="3131">
      <formula>$C54="Staff Salary"</formula>
    </cfRule>
    <cfRule type="expression" dxfId="5778" priority="3132">
      <formula>$C54="Rent"</formula>
    </cfRule>
    <cfRule type="expression" dxfId="5777" priority="3133">
      <formula>$C54="Petrol"</formula>
    </cfRule>
    <cfRule type="expression" dxfId="5776" priority="3134">
      <formula>$C54="Bills"</formula>
    </cfRule>
    <cfRule type="expression" dxfId="5775" priority="3135">
      <formula>$C54="Sales"</formula>
    </cfRule>
    <cfRule type="expression" dxfId="5774" priority="3136">
      <formula>$C54="Expences"</formula>
    </cfRule>
    <cfRule type="expression" dxfId="5773" priority="3137">
      <formula>$C54="Garlic Purchase"</formula>
    </cfRule>
    <cfRule type="expression" dxfId="5772" priority="3138">
      <formula>$C54="Ginger Purchase"</formula>
    </cfRule>
  </conditionalFormatting>
  <conditionalFormatting sqref="B54 B58 B62">
    <cfRule type="expression" dxfId="5771" priority="3139">
      <formula>$C54="Advance"</formula>
    </cfRule>
  </conditionalFormatting>
  <conditionalFormatting sqref="B54 B58 B62">
    <cfRule type="expression" dxfId="5770" priority="3120">
      <formula>$C54="Delivery charge"</formula>
    </cfRule>
    <cfRule type="expression" dxfId="5769" priority="3121">
      <formula>$C54="Staff Salary"</formula>
    </cfRule>
    <cfRule type="expression" dxfId="5768" priority="3122">
      <formula>$C54="Rent"</formula>
    </cfRule>
    <cfRule type="expression" dxfId="5767" priority="3123">
      <formula>$C54="Petrol"</formula>
    </cfRule>
    <cfRule type="expression" dxfId="5766" priority="3124">
      <formula>$C54="Bills"</formula>
    </cfRule>
    <cfRule type="expression" dxfId="5765" priority="3125">
      <formula>$C54="Sales"</formula>
    </cfRule>
    <cfRule type="expression" dxfId="5764" priority="3126">
      <formula>$C54="Expences"</formula>
    </cfRule>
    <cfRule type="expression" dxfId="5763" priority="3127">
      <formula>$C54="Garlic Purchase"</formula>
    </cfRule>
    <cfRule type="expression" dxfId="5762" priority="3128">
      <formula>$C54="Ginger Purchase"</formula>
    </cfRule>
  </conditionalFormatting>
  <conditionalFormatting sqref="B54 B58 B62">
    <cfRule type="expression" dxfId="5761" priority="3129">
      <formula>$C54="Advance"</formula>
    </cfRule>
  </conditionalFormatting>
  <conditionalFormatting sqref="B54 B58 B62">
    <cfRule type="expression" dxfId="5760" priority="3110">
      <formula>$C54="Delivery charge"</formula>
    </cfRule>
    <cfRule type="expression" dxfId="5759" priority="3111">
      <formula>$C54="Staff Salary"</formula>
    </cfRule>
    <cfRule type="expression" dxfId="5758" priority="3112">
      <formula>$C54="Rent"</formula>
    </cfRule>
    <cfRule type="expression" dxfId="5757" priority="3113">
      <formula>$C54="Petrol"</formula>
    </cfRule>
    <cfRule type="expression" dxfId="5756" priority="3114">
      <formula>$C54="Bills"</formula>
    </cfRule>
    <cfRule type="expression" dxfId="5755" priority="3115">
      <formula>$C54="Sales"</formula>
    </cfRule>
    <cfRule type="expression" dxfId="5754" priority="3116">
      <formula>$C54="Expences"</formula>
    </cfRule>
    <cfRule type="expression" dxfId="5753" priority="3117">
      <formula>$C54="Garlic Purchase"</formula>
    </cfRule>
    <cfRule type="expression" dxfId="5752" priority="3118">
      <formula>$C54="Ginger Purchase"</formula>
    </cfRule>
  </conditionalFormatting>
  <conditionalFormatting sqref="B54 B58 B62">
    <cfRule type="expression" dxfId="5751" priority="3119">
      <formula>$C54="Advance"</formula>
    </cfRule>
  </conditionalFormatting>
  <conditionalFormatting sqref="B54 B58 B62">
    <cfRule type="expression" dxfId="5750" priority="3100">
      <formula>$C54="Delivery charge"</formula>
    </cfRule>
    <cfRule type="expression" dxfId="5749" priority="3101">
      <formula>$C54="Staff Salary"</formula>
    </cfRule>
    <cfRule type="expression" dxfId="5748" priority="3102">
      <formula>$C54="Rent"</formula>
    </cfRule>
    <cfRule type="expression" dxfId="5747" priority="3103">
      <formula>$C54="Petrol"</formula>
    </cfRule>
    <cfRule type="expression" dxfId="5746" priority="3104">
      <formula>$C54="Bills"</formula>
    </cfRule>
    <cfRule type="expression" dxfId="5745" priority="3105">
      <formula>$C54="Sales"</formula>
    </cfRule>
    <cfRule type="expression" dxfId="5744" priority="3106">
      <formula>$C54="Expences"</formula>
    </cfRule>
    <cfRule type="expression" dxfId="5743" priority="3107">
      <formula>$C54="Garlic Purchase"</formula>
    </cfRule>
    <cfRule type="expression" dxfId="5742" priority="3108">
      <formula>$C54="Ginger Purchase"</formula>
    </cfRule>
  </conditionalFormatting>
  <conditionalFormatting sqref="B54 B58 B62">
    <cfRule type="expression" dxfId="5741" priority="3109">
      <formula>$C54="Advance"</formula>
    </cfRule>
  </conditionalFormatting>
  <conditionalFormatting sqref="B54 B58 B62">
    <cfRule type="expression" dxfId="5740" priority="3090">
      <formula>$C54="Delivery charge"</formula>
    </cfRule>
    <cfRule type="expression" dxfId="5739" priority="3091">
      <formula>$C54="Staff Salary"</formula>
    </cfRule>
    <cfRule type="expression" dxfId="5738" priority="3092">
      <formula>$C54="Rent"</formula>
    </cfRule>
    <cfRule type="expression" dxfId="5737" priority="3093">
      <formula>$C54="Petrol"</formula>
    </cfRule>
    <cfRule type="expression" dxfId="5736" priority="3094">
      <formula>$C54="Bills"</formula>
    </cfRule>
    <cfRule type="expression" dxfId="5735" priority="3095">
      <formula>$C54="Sales"</formula>
    </cfRule>
    <cfRule type="expression" dxfId="5734" priority="3096">
      <formula>$C54="Expences"</formula>
    </cfRule>
    <cfRule type="expression" dxfId="5733" priority="3097">
      <formula>$C54="Garlic Purchase"</formula>
    </cfRule>
    <cfRule type="expression" dxfId="5732" priority="3098">
      <formula>$C54="Ginger Purchase"</formula>
    </cfRule>
  </conditionalFormatting>
  <conditionalFormatting sqref="B54 B58 B62">
    <cfRule type="expression" dxfId="5731" priority="3099">
      <formula>$C54="Advance"</formula>
    </cfRule>
  </conditionalFormatting>
  <conditionalFormatting sqref="B54 B58 B62">
    <cfRule type="expression" dxfId="5730" priority="3080">
      <formula>$C54="Delivery charge"</formula>
    </cfRule>
    <cfRule type="expression" dxfId="5729" priority="3081">
      <formula>$C54="Staff Salary"</formula>
    </cfRule>
    <cfRule type="expression" dxfId="5728" priority="3082">
      <formula>$C54="Rent"</formula>
    </cfRule>
    <cfRule type="expression" dxfId="5727" priority="3083">
      <formula>$C54="Petrol"</formula>
    </cfRule>
    <cfRule type="expression" dxfId="5726" priority="3084">
      <formula>$C54="Bills"</formula>
    </cfRule>
    <cfRule type="expression" dxfId="5725" priority="3085">
      <formula>$C54="Sales"</formula>
    </cfRule>
    <cfRule type="expression" dxfId="5724" priority="3086">
      <formula>$C54="Expences"</formula>
    </cfRule>
    <cfRule type="expression" dxfId="5723" priority="3087">
      <formula>$C54="Garlic Purchase"</formula>
    </cfRule>
    <cfRule type="expression" dxfId="5722" priority="3088">
      <formula>$C54="Ginger Purchase"</formula>
    </cfRule>
  </conditionalFormatting>
  <conditionalFormatting sqref="B54 B58 B62">
    <cfRule type="expression" dxfId="5721" priority="3089">
      <formula>$C54="Advance"</formula>
    </cfRule>
  </conditionalFormatting>
  <conditionalFormatting sqref="B54 B58 B62">
    <cfRule type="expression" dxfId="5720" priority="3070">
      <formula>$C54="Delivery charge"</formula>
    </cfRule>
    <cfRule type="expression" dxfId="5719" priority="3071">
      <formula>$C54="Staff Salary"</formula>
    </cfRule>
    <cfRule type="expression" dxfId="5718" priority="3072">
      <formula>$C54="Rent"</formula>
    </cfRule>
    <cfRule type="expression" dxfId="5717" priority="3073">
      <formula>$C54="Petrol"</formula>
    </cfRule>
    <cfRule type="expression" dxfId="5716" priority="3074">
      <formula>$C54="Bills"</formula>
    </cfRule>
    <cfRule type="expression" dxfId="5715" priority="3075">
      <formula>$C54="Sales"</formula>
    </cfRule>
    <cfRule type="expression" dxfId="5714" priority="3076">
      <formula>$C54="Expences"</formula>
    </cfRule>
    <cfRule type="expression" dxfId="5713" priority="3077">
      <formula>$C54="Garlic Purchase"</formula>
    </cfRule>
    <cfRule type="expression" dxfId="5712" priority="3078">
      <formula>$C54="Ginger Purchase"</formula>
    </cfRule>
  </conditionalFormatting>
  <conditionalFormatting sqref="B54 B58 B62">
    <cfRule type="expression" dxfId="5711" priority="3079">
      <formula>$C54="Advance"</formula>
    </cfRule>
  </conditionalFormatting>
  <conditionalFormatting sqref="B54 B58 B62">
    <cfRule type="expression" dxfId="5710" priority="3060">
      <formula>$C54="Delivery charge"</formula>
    </cfRule>
    <cfRule type="expression" dxfId="5709" priority="3061">
      <formula>$C54="Staff Salary"</formula>
    </cfRule>
    <cfRule type="expression" dxfId="5708" priority="3062">
      <formula>$C54="Rent"</formula>
    </cfRule>
    <cfRule type="expression" dxfId="5707" priority="3063">
      <formula>$C54="Petrol"</formula>
    </cfRule>
    <cfRule type="expression" dxfId="5706" priority="3064">
      <formula>$C54="Bills"</formula>
    </cfRule>
    <cfRule type="expression" dxfId="5705" priority="3065">
      <formula>$C54="Sales"</formula>
    </cfRule>
    <cfRule type="expression" dxfId="5704" priority="3066">
      <formula>$C54="Expences"</formula>
    </cfRule>
    <cfRule type="expression" dxfId="5703" priority="3067">
      <formula>$C54="Garlic Purchase"</formula>
    </cfRule>
    <cfRule type="expression" dxfId="5702" priority="3068">
      <formula>$C54="Ginger Purchase"</formula>
    </cfRule>
  </conditionalFormatting>
  <conditionalFormatting sqref="B54 B58 B62">
    <cfRule type="expression" dxfId="5701" priority="3069">
      <formula>$C54="Advance"</formula>
    </cfRule>
  </conditionalFormatting>
  <conditionalFormatting sqref="B54 B58 B62">
    <cfRule type="expression" dxfId="5700" priority="3050">
      <formula>$C54="Delivery charge"</formula>
    </cfRule>
    <cfRule type="expression" dxfId="5699" priority="3051">
      <formula>$C54="Staff Salary"</formula>
    </cfRule>
    <cfRule type="expression" dxfId="5698" priority="3052">
      <formula>$C54="Rent"</formula>
    </cfRule>
    <cfRule type="expression" dxfId="5697" priority="3053">
      <formula>$C54="Petrol"</formula>
    </cfRule>
    <cfRule type="expression" dxfId="5696" priority="3054">
      <formula>$C54="Bills"</formula>
    </cfRule>
    <cfRule type="expression" dxfId="5695" priority="3055">
      <formula>$C54="Sales"</formula>
    </cfRule>
    <cfRule type="expression" dxfId="5694" priority="3056">
      <formula>$C54="Expences"</formula>
    </cfRule>
    <cfRule type="expression" dxfId="5693" priority="3057">
      <formula>$C54="Garlic Purchase"</formula>
    </cfRule>
    <cfRule type="expression" dxfId="5692" priority="3058">
      <formula>$C54="Ginger Purchase"</formula>
    </cfRule>
  </conditionalFormatting>
  <conditionalFormatting sqref="B54 B58 B62">
    <cfRule type="expression" dxfId="5691" priority="3059">
      <formula>$C54="Advance"</formula>
    </cfRule>
  </conditionalFormatting>
  <conditionalFormatting sqref="B54 B58 B62">
    <cfRule type="expression" dxfId="5690" priority="3040">
      <formula>$C54="Delivery charge"</formula>
    </cfRule>
    <cfRule type="expression" dxfId="5689" priority="3041">
      <formula>$C54="Staff Salary"</formula>
    </cfRule>
    <cfRule type="expression" dxfId="5688" priority="3042">
      <formula>$C54="Rent"</formula>
    </cfRule>
    <cfRule type="expression" dxfId="5687" priority="3043">
      <formula>$C54="Petrol"</formula>
    </cfRule>
    <cfRule type="expression" dxfId="5686" priority="3044">
      <formula>$C54="Bills"</formula>
    </cfRule>
    <cfRule type="expression" dxfId="5685" priority="3045">
      <formula>$C54="Sales"</formula>
    </cfRule>
    <cfRule type="expression" dxfId="5684" priority="3046">
      <formula>$C54="Expences"</formula>
    </cfRule>
    <cfRule type="expression" dxfId="5683" priority="3047">
      <formula>$C54="Garlic Purchase"</formula>
    </cfRule>
    <cfRule type="expression" dxfId="5682" priority="3048">
      <formula>$C54="Ginger Purchase"</formula>
    </cfRule>
  </conditionalFormatting>
  <conditionalFormatting sqref="B54 B58 B62">
    <cfRule type="expression" dxfId="5681" priority="3049">
      <formula>$C54="Advance"</formula>
    </cfRule>
  </conditionalFormatting>
  <conditionalFormatting sqref="B54 B58 B62">
    <cfRule type="expression" dxfId="5680" priority="3030">
      <formula>$C54="Delivery charge"</formula>
    </cfRule>
    <cfRule type="expression" dxfId="5679" priority="3031">
      <formula>$C54="Staff Salary"</formula>
    </cfRule>
    <cfRule type="expression" dxfId="5678" priority="3032">
      <formula>$C54="Rent"</formula>
    </cfRule>
    <cfRule type="expression" dxfId="5677" priority="3033">
      <formula>$C54="Petrol"</formula>
    </cfRule>
    <cfRule type="expression" dxfId="5676" priority="3034">
      <formula>$C54="Bills"</formula>
    </cfRule>
    <cfRule type="expression" dxfId="5675" priority="3035">
      <formula>$C54="Sales"</formula>
    </cfRule>
    <cfRule type="expression" dxfId="5674" priority="3036">
      <formula>$C54="Expences"</formula>
    </cfRule>
    <cfRule type="expression" dxfId="5673" priority="3037">
      <formula>$C54="Garlic Purchase"</formula>
    </cfRule>
    <cfRule type="expression" dxfId="5672" priority="3038">
      <formula>$C54="Ginger Purchase"</formula>
    </cfRule>
  </conditionalFormatting>
  <conditionalFormatting sqref="B54 B58 B62">
    <cfRule type="expression" dxfId="5671" priority="3039">
      <formula>$C54="Advance"</formula>
    </cfRule>
  </conditionalFormatting>
  <conditionalFormatting sqref="B54 B58 B62">
    <cfRule type="expression" dxfId="5670" priority="3020">
      <formula>$C54="Delivery charge"</formula>
    </cfRule>
    <cfRule type="expression" dxfId="5669" priority="3021">
      <formula>$C54="Staff Salary"</formula>
    </cfRule>
    <cfRule type="expression" dxfId="5668" priority="3022">
      <formula>$C54="Rent"</formula>
    </cfRule>
    <cfRule type="expression" dxfId="5667" priority="3023">
      <formula>$C54="Petrol"</formula>
    </cfRule>
    <cfRule type="expression" dxfId="5666" priority="3024">
      <formula>$C54="Bills"</formula>
    </cfRule>
    <cfRule type="expression" dxfId="5665" priority="3025">
      <formula>$C54="Sales"</formula>
    </cfRule>
    <cfRule type="expression" dxfId="5664" priority="3026">
      <formula>$C54="Expences"</formula>
    </cfRule>
    <cfRule type="expression" dxfId="5663" priority="3027">
      <formula>$C54="Garlic Purchase"</formula>
    </cfRule>
    <cfRule type="expression" dxfId="5662" priority="3028">
      <formula>$C54="Ginger Purchase"</formula>
    </cfRule>
  </conditionalFormatting>
  <conditionalFormatting sqref="B54 B58 B62">
    <cfRule type="expression" dxfId="5661" priority="3029">
      <formula>$C54="Advance"</formula>
    </cfRule>
  </conditionalFormatting>
  <conditionalFormatting sqref="B54 B58 B62">
    <cfRule type="expression" dxfId="5660" priority="3010">
      <formula>$C54="Delivery charge"</formula>
    </cfRule>
    <cfRule type="expression" dxfId="5659" priority="3011">
      <formula>$C54="Staff Salary"</formula>
    </cfRule>
    <cfRule type="expression" dxfId="5658" priority="3012">
      <formula>$C54="Rent"</formula>
    </cfRule>
    <cfRule type="expression" dxfId="5657" priority="3013">
      <formula>$C54="Petrol"</formula>
    </cfRule>
    <cfRule type="expression" dxfId="5656" priority="3014">
      <formula>$C54="Bills"</formula>
    </cfRule>
    <cfRule type="expression" dxfId="5655" priority="3015">
      <formula>$C54="Sales"</formula>
    </cfRule>
    <cfRule type="expression" dxfId="5654" priority="3016">
      <formula>$C54="Expences"</formula>
    </cfRule>
    <cfRule type="expression" dxfId="5653" priority="3017">
      <formula>$C54="Garlic Purchase"</formula>
    </cfRule>
    <cfRule type="expression" dxfId="5652" priority="3018">
      <formula>$C54="Ginger Purchase"</formula>
    </cfRule>
  </conditionalFormatting>
  <conditionalFormatting sqref="B54 B58 B62">
    <cfRule type="expression" dxfId="5651" priority="3019">
      <formula>$C54="Advance"</formula>
    </cfRule>
  </conditionalFormatting>
  <conditionalFormatting sqref="B54 B58 B62">
    <cfRule type="expression" dxfId="5650" priority="3000">
      <formula>$C54="Delivery charge"</formula>
    </cfRule>
    <cfRule type="expression" dxfId="5649" priority="3001">
      <formula>$C54="Staff Salary"</formula>
    </cfRule>
    <cfRule type="expression" dxfId="5648" priority="3002">
      <formula>$C54="Rent"</formula>
    </cfRule>
    <cfRule type="expression" dxfId="5647" priority="3003">
      <formula>$C54="Petrol"</formula>
    </cfRule>
    <cfRule type="expression" dxfId="5646" priority="3004">
      <formula>$C54="Bills"</formula>
    </cfRule>
    <cfRule type="expression" dxfId="5645" priority="3005">
      <formula>$C54="Sales"</formula>
    </cfRule>
    <cfRule type="expression" dxfId="5644" priority="3006">
      <formula>$C54="Expences"</formula>
    </cfRule>
    <cfRule type="expression" dxfId="5643" priority="3007">
      <formula>$C54="Garlic Purchase"</formula>
    </cfRule>
    <cfRule type="expression" dxfId="5642" priority="3008">
      <formula>$C54="Ginger Purchase"</formula>
    </cfRule>
  </conditionalFormatting>
  <conditionalFormatting sqref="B54 B58 B62">
    <cfRule type="expression" dxfId="5641" priority="3009">
      <formula>$C54="Advance"</formula>
    </cfRule>
  </conditionalFormatting>
  <conditionalFormatting sqref="B53 B55 B57 B61 B59 B63">
    <cfRule type="expression" dxfId="5640" priority="2999">
      <formula>$C53="Advance"</formula>
    </cfRule>
  </conditionalFormatting>
  <conditionalFormatting sqref="B53 B55 B57 B61 B59 B63">
    <cfRule type="expression" dxfId="5639" priority="2990">
      <formula>$C53="Delivery charge"</formula>
    </cfRule>
    <cfRule type="expression" dxfId="5638" priority="2991">
      <formula>$C53="Staff Salary"</formula>
    </cfRule>
    <cfRule type="expression" dxfId="5637" priority="2992">
      <formula>$C53="Rent"</formula>
    </cfRule>
    <cfRule type="expression" dxfId="5636" priority="2993">
      <formula>$C53="Petrol"</formula>
    </cfRule>
    <cfRule type="expression" dxfId="5635" priority="2994">
      <formula>$C53="Bills"</formula>
    </cfRule>
    <cfRule type="expression" dxfId="5634" priority="2995">
      <formula>$C53="Sales"</formula>
    </cfRule>
    <cfRule type="expression" dxfId="5633" priority="2996">
      <formula>$C53="Expences"</formula>
    </cfRule>
    <cfRule type="expression" dxfId="5632" priority="2997">
      <formula>$C53="Garlic Purchase"</formula>
    </cfRule>
    <cfRule type="expression" dxfId="5631" priority="2998">
      <formula>$C53="Ginger Purchase"</formula>
    </cfRule>
  </conditionalFormatting>
  <conditionalFormatting sqref="B53 B55 B57 B61 B59 B63">
    <cfRule type="expression" dxfId="5630" priority="2980">
      <formula>$C53="Delivery charge"</formula>
    </cfRule>
    <cfRule type="expression" dxfId="5629" priority="2981">
      <formula>$C53="Staff Salary"</formula>
    </cfRule>
    <cfRule type="expression" dxfId="5628" priority="2982">
      <formula>$C53="Rent"</formula>
    </cfRule>
    <cfRule type="expression" dxfId="5627" priority="2983">
      <formula>$C53="Petrol"</formula>
    </cfRule>
    <cfRule type="expression" dxfId="5626" priority="2984">
      <formula>$C53="Bills"</formula>
    </cfRule>
    <cfRule type="expression" dxfId="5625" priority="2985">
      <formula>$C53="Sales"</formula>
    </cfRule>
    <cfRule type="expression" dxfId="5624" priority="2986">
      <formula>$C53="Expences"</formula>
    </cfRule>
    <cfRule type="expression" dxfId="5623" priority="2987">
      <formula>$C53="Garlic Purchase"</formula>
    </cfRule>
    <cfRule type="expression" dxfId="5622" priority="2988">
      <formula>$C53="Ginger Purchase"</formula>
    </cfRule>
  </conditionalFormatting>
  <conditionalFormatting sqref="B53 B55 B57 B61 B59 B63">
    <cfRule type="expression" dxfId="5621" priority="2989">
      <formula>$C53="Advance"</formula>
    </cfRule>
  </conditionalFormatting>
  <conditionalFormatting sqref="B53 B55 B57 B61 B59 B63">
    <cfRule type="expression" dxfId="5620" priority="2970">
      <formula>$C53="Delivery charge"</formula>
    </cfRule>
    <cfRule type="expression" dxfId="5619" priority="2971">
      <formula>$C53="Staff Salary"</formula>
    </cfRule>
    <cfRule type="expression" dxfId="5618" priority="2972">
      <formula>$C53="Rent"</formula>
    </cfRule>
    <cfRule type="expression" dxfId="5617" priority="2973">
      <formula>$C53="Petrol"</formula>
    </cfRule>
    <cfRule type="expression" dxfId="5616" priority="2974">
      <formula>$C53="Bills"</formula>
    </cfRule>
    <cfRule type="expression" dxfId="5615" priority="2975">
      <formula>$C53="Sales"</formula>
    </cfRule>
    <cfRule type="expression" dxfId="5614" priority="2976">
      <formula>$C53="Expences"</formula>
    </cfRule>
    <cfRule type="expression" dxfId="5613" priority="2977">
      <formula>$C53="Garlic Purchase"</formula>
    </cfRule>
    <cfRule type="expression" dxfId="5612" priority="2978">
      <formula>$C53="Ginger Purchase"</formula>
    </cfRule>
  </conditionalFormatting>
  <conditionalFormatting sqref="B53 B55 B57 B61 B59 B63">
    <cfRule type="expression" dxfId="5611" priority="2979">
      <formula>$C53="Advance"</formula>
    </cfRule>
  </conditionalFormatting>
  <conditionalFormatting sqref="B53 B55 B57 B61 B59 B63">
    <cfRule type="expression" dxfId="5610" priority="2960">
      <formula>$C53="Delivery charge"</formula>
    </cfRule>
    <cfRule type="expression" dxfId="5609" priority="2961">
      <formula>$C53="Staff Salary"</formula>
    </cfRule>
    <cfRule type="expression" dxfId="5608" priority="2962">
      <formula>$C53="Rent"</formula>
    </cfRule>
    <cfRule type="expression" dxfId="5607" priority="2963">
      <formula>$C53="Petrol"</formula>
    </cfRule>
    <cfRule type="expression" dxfId="5606" priority="2964">
      <formula>$C53="Bills"</formula>
    </cfRule>
    <cfRule type="expression" dxfId="5605" priority="2965">
      <formula>$C53="Sales"</formula>
    </cfRule>
    <cfRule type="expression" dxfId="5604" priority="2966">
      <formula>$C53="Expences"</formula>
    </cfRule>
    <cfRule type="expression" dxfId="5603" priority="2967">
      <formula>$C53="Garlic Purchase"</formula>
    </cfRule>
    <cfRule type="expression" dxfId="5602" priority="2968">
      <formula>$C53="Ginger Purchase"</formula>
    </cfRule>
  </conditionalFormatting>
  <conditionalFormatting sqref="B53 B55 B57 B61 B59 B63">
    <cfRule type="expression" dxfId="5601" priority="2969">
      <formula>$C53="Advance"</formula>
    </cfRule>
  </conditionalFormatting>
  <conditionalFormatting sqref="B53 B55 B57 B61 B59 B63">
    <cfRule type="expression" dxfId="5600" priority="2950">
      <formula>$C53="Delivery charge"</formula>
    </cfRule>
    <cfRule type="expression" dxfId="5599" priority="2951">
      <formula>$C53="Staff Salary"</formula>
    </cfRule>
    <cfRule type="expression" dxfId="5598" priority="2952">
      <formula>$C53="Rent"</formula>
    </cfRule>
    <cfRule type="expression" dxfId="5597" priority="2953">
      <formula>$C53="Petrol"</formula>
    </cfRule>
    <cfRule type="expression" dxfId="5596" priority="2954">
      <formula>$C53="Bills"</formula>
    </cfRule>
    <cfRule type="expression" dxfId="5595" priority="2955">
      <formula>$C53="Sales"</formula>
    </cfRule>
    <cfRule type="expression" dxfId="5594" priority="2956">
      <formula>$C53="Expences"</formula>
    </cfRule>
    <cfRule type="expression" dxfId="5593" priority="2957">
      <formula>$C53="Garlic Purchase"</formula>
    </cfRule>
    <cfRule type="expression" dxfId="5592" priority="2958">
      <formula>$C53="Ginger Purchase"</formula>
    </cfRule>
  </conditionalFormatting>
  <conditionalFormatting sqref="B53 B55 B57 B61 B59 B63">
    <cfRule type="expression" dxfId="5591" priority="2959">
      <formula>$C53="Advance"</formula>
    </cfRule>
  </conditionalFormatting>
  <conditionalFormatting sqref="B53 B55 B57 B61 B59 B63">
    <cfRule type="expression" dxfId="5590" priority="2940">
      <formula>$C53="Delivery charge"</formula>
    </cfRule>
    <cfRule type="expression" dxfId="5589" priority="2941">
      <formula>$C53="Staff Salary"</formula>
    </cfRule>
    <cfRule type="expression" dxfId="5588" priority="2942">
      <formula>$C53="Rent"</formula>
    </cfRule>
    <cfRule type="expression" dxfId="5587" priority="2943">
      <formula>$C53="Petrol"</formula>
    </cfRule>
    <cfRule type="expression" dxfId="5586" priority="2944">
      <formula>$C53="Bills"</formula>
    </cfRule>
    <cfRule type="expression" dxfId="5585" priority="2945">
      <formula>$C53="Sales"</formula>
    </cfRule>
    <cfRule type="expression" dxfId="5584" priority="2946">
      <formula>$C53="Expences"</formula>
    </cfRule>
    <cfRule type="expression" dxfId="5583" priority="2947">
      <formula>$C53="Garlic Purchase"</formula>
    </cfRule>
    <cfRule type="expression" dxfId="5582" priority="2948">
      <formula>$C53="Ginger Purchase"</formula>
    </cfRule>
  </conditionalFormatting>
  <conditionalFormatting sqref="B53 B55 B57 B61 B59 B63">
    <cfRule type="expression" dxfId="5581" priority="2949">
      <formula>$C53="Advance"</formula>
    </cfRule>
  </conditionalFormatting>
  <conditionalFormatting sqref="B53 B55 B57 B61 B59 B63">
    <cfRule type="expression" dxfId="5580" priority="2930">
      <formula>$C53="Delivery charge"</formula>
    </cfRule>
    <cfRule type="expression" dxfId="5579" priority="2931">
      <formula>$C53="Staff Salary"</formula>
    </cfRule>
    <cfRule type="expression" dxfId="5578" priority="2932">
      <formula>$C53="Rent"</formula>
    </cfRule>
    <cfRule type="expression" dxfId="5577" priority="2933">
      <formula>$C53="Petrol"</formula>
    </cfRule>
    <cfRule type="expression" dxfId="5576" priority="2934">
      <formula>$C53="Bills"</formula>
    </cfRule>
    <cfRule type="expression" dxfId="5575" priority="2935">
      <formula>$C53="Sales"</formula>
    </cfRule>
    <cfRule type="expression" dxfId="5574" priority="2936">
      <formula>$C53="Expences"</formula>
    </cfRule>
    <cfRule type="expression" dxfId="5573" priority="2937">
      <formula>$C53="Garlic Purchase"</formula>
    </cfRule>
    <cfRule type="expression" dxfId="5572" priority="2938">
      <formula>$C53="Ginger Purchase"</formula>
    </cfRule>
  </conditionalFormatting>
  <conditionalFormatting sqref="B53 B55 B57 B61 B59 B63">
    <cfRule type="expression" dxfId="5571" priority="2939">
      <formula>$C53="Advance"</formula>
    </cfRule>
  </conditionalFormatting>
  <conditionalFormatting sqref="B53 B55 B57 B61 B59 B63">
    <cfRule type="expression" dxfId="5570" priority="2920">
      <formula>$C53="Delivery charge"</formula>
    </cfRule>
    <cfRule type="expression" dxfId="5569" priority="2921">
      <formula>$C53="Staff Salary"</formula>
    </cfRule>
    <cfRule type="expression" dxfId="5568" priority="2922">
      <formula>$C53="Rent"</formula>
    </cfRule>
    <cfRule type="expression" dxfId="5567" priority="2923">
      <formula>$C53="Petrol"</formula>
    </cfRule>
    <cfRule type="expression" dxfId="5566" priority="2924">
      <formula>$C53="Bills"</formula>
    </cfRule>
    <cfRule type="expression" dxfId="5565" priority="2925">
      <formula>$C53="Sales"</formula>
    </cfRule>
    <cfRule type="expression" dxfId="5564" priority="2926">
      <formula>$C53="Expences"</formula>
    </cfRule>
    <cfRule type="expression" dxfId="5563" priority="2927">
      <formula>$C53="Garlic Purchase"</formula>
    </cfRule>
    <cfRule type="expression" dxfId="5562" priority="2928">
      <formula>$C53="Ginger Purchase"</formula>
    </cfRule>
  </conditionalFormatting>
  <conditionalFormatting sqref="B53 B55 B57 B61 B59 B63">
    <cfRule type="expression" dxfId="5561" priority="2929">
      <formula>$C53="Advance"</formula>
    </cfRule>
  </conditionalFormatting>
  <conditionalFormatting sqref="B53 B55 B57 B61 B59 B63">
    <cfRule type="expression" dxfId="5560" priority="2910">
      <formula>$C53="Delivery charge"</formula>
    </cfRule>
    <cfRule type="expression" dxfId="5559" priority="2911">
      <formula>$C53="Staff Salary"</formula>
    </cfRule>
    <cfRule type="expression" dxfId="5558" priority="2912">
      <formula>$C53="Rent"</formula>
    </cfRule>
    <cfRule type="expression" dxfId="5557" priority="2913">
      <formula>$C53="Petrol"</formula>
    </cfRule>
    <cfRule type="expression" dxfId="5556" priority="2914">
      <formula>$C53="Bills"</formula>
    </cfRule>
    <cfRule type="expression" dxfId="5555" priority="2915">
      <formula>$C53="Sales"</formula>
    </cfRule>
    <cfRule type="expression" dxfId="5554" priority="2916">
      <formula>$C53="Expences"</formula>
    </cfRule>
    <cfRule type="expression" dxfId="5553" priority="2917">
      <formula>$C53="Garlic Purchase"</formula>
    </cfRule>
    <cfRule type="expression" dxfId="5552" priority="2918">
      <formula>$C53="Ginger Purchase"</formula>
    </cfRule>
  </conditionalFormatting>
  <conditionalFormatting sqref="B53 B55 B57 B61 B59 B63">
    <cfRule type="expression" dxfId="5551" priority="2919">
      <formula>$C53="Advance"</formula>
    </cfRule>
  </conditionalFormatting>
  <conditionalFormatting sqref="B53 B55 B57 B61 B59 B63">
    <cfRule type="expression" dxfId="5550" priority="2900">
      <formula>$C53="Delivery charge"</formula>
    </cfRule>
    <cfRule type="expression" dxfId="5549" priority="2901">
      <formula>$C53="Staff Salary"</formula>
    </cfRule>
    <cfRule type="expression" dxfId="5548" priority="2902">
      <formula>$C53="Rent"</formula>
    </cfRule>
    <cfRule type="expression" dxfId="5547" priority="2903">
      <formula>$C53="Petrol"</formula>
    </cfRule>
    <cfRule type="expression" dxfId="5546" priority="2904">
      <formula>$C53="Bills"</formula>
    </cfRule>
    <cfRule type="expression" dxfId="5545" priority="2905">
      <formula>$C53="Sales"</formula>
    </cfRule>
    <cfRule type="expression" dxfId="5544" priority="2906">
      <formula>$C53="Expences"</formula>
    </cfRule>
    <cfRule type="expression" dxfId="5543" priority="2907">
      <formula>$C53="Garlic Purchase"</formula>
    </cfRule>
    <cfRule type="expression" dxfId="5542" priority="2908">
      <formula>$C53="Ginger Purchase"</formula>
    </cfRule>
  </conditionalFormatting>
  <conditionalFormatting sqref="B53 B55 B57 B61 B59 B63">
    <cfRule type="expression" dxfId="5541" priority="2909">
      <formula>$C53="Advance"</formula>
    </cfRule>
  </conditionalFormatting>
  <conditionalFormatting sqref="B53 B55 B57 B61 B59 B63">
    <cfRule type="expression" dxfId="5540" priority="2890">
      <formula>$C53="Delivery charge"</formula>
    </cfRule>
    <cfRule type="expression" dxfId="5539" priority="2891">
      <formula>$C53="Staff Salary"</formula>
    </cfRule>
    <cfRule type="expression" dxfId="5538" priority="2892">
      <formula>$C53="Rent"</formula>
    </cfRule>
    <cfRule type="expression" dxfId="5537" priority="2893">
      <formula>$C53="Petrol"</formula>
    </cfRule>
    <cfRule type="expression" dxfId="5536" priority="2894">
      <formula>$C53="Bills"</formula>
    </cfRule>
    <cfRule type="expression" dxfId="5535" priority="2895">
      <formula>$C53="Sales"</formula>
    </cfRule>
    <cfRule type="expression" dxfId="5534" priority="2896">
      <formula>$C53="Expences"</formula>
    </cfRule>
    <cfRule type="expression" dxfId="5533" priority="2897">
      <formula>$C53="Garlic Purchase"</formula>
    </cfRule>
    <cfRule type="expression" dxfId="5532" priority="2898">
      <formula>$C53="Ginger Purchase"</formula>
    </cfRule>
  </conditionalFormatting>
  <conditionalFormatting sqref="B53 B55 B57 B61 B59 B63">
    <cfRule type="expression" dxfId="5531" priority="2899">
      <formula>$C53="Advance"</formula>
    </cfRule>
  </conditionalFormatting>
  <conditionalFormatting sqref="B53 B55 B57 B61 B59 B63">
    <cfRule type="expression" dxfId="5530" priority="2880">
      <formula>$C53="Delivery charge"</formula>
    </cfRule>
    <cfRule type="expression" dxfId="5529" priority="2881">
      <formula>$C53="Staff Salary"</formula>
    </cfRule>
    <cfRule type="expression" dxfId="5528" priority="2882">
      <formula>$C53="Rent"</formula>
    </cfRule>
    <cfRule type="expression" dxfId="5527" priority="2883">
      <formula>$C53="Petrol"</formula>
    </cfRule>
    <cfRule type="expression" dxfId="5526" priority="2884">
      <formula>$C53="Bills"</formula>
    </cfRule>
    <cfRule type="expression" dxfId="5525" priority="2885">
      <formula>$C53="Sales"</formula>
    </cfRule>
    <cfRule type="expression" dxfId="5524" priority="2886">
      <formula>$C53="Expences"</formula>
    </cfRule>
    <cfRule type="expression" dxfId="5523" priority="2887">
      <formula>$C53="Garlic Purchase"</formula>
    </cfRule>
    <cfRule type="expression" dxfId="5522" priority="2888">
      <formula>$C53="Ginger Purchase"</formula>
    </cfRule>
  </conditionalFormatting>
  <conditionalFormatting sqref="B53 B55 B57 B61 B59 B63">
    <cfRule type="expression" dxfId="5521" priority="2889">
      <formula>$C53="Advance"</formula>
    </cfRule>
  </conditionalFormatting>
  <conditionalFormatting sqref="B53 B55 B57 B61 B59 B63">
    <cfRule type="expression" dxfId="5520" priority="2870">
      <formula>$C53="Delivery charge"</formula>
    </cfRule>
    <cfRule type="expression" dxfId="5519" priority="2871">
      <formula>$C53="Staff Salary"</formula>
    </cfRule>
    <cfRule type="expression" dxfId="5518" priority="2872">
      <formula>$C53="Rent"</formula>
    </cfRule>
    <cfRule type="expression" dxfId="5517" priority="2873">
      <formula>$C53="Petrol"</formula>
    </cfRule>
    <cfRule type="expression" dxfId="5516" priority="2874">
      <formula>$C53="Bills"</formula>
    </cfRule>
    <cfRule type="expression" dxfId="5515" priority="2875">
      <formula>$C53="Sales"</formula>
    </cfRule>
    <cfRule type="expression" dxfId="5514" priority="2876">
      <formula>$C53="Expences"</formula>
    </cfRule>
    <cfRule type="expression" dxfId="5513" priority="2877">
      <formula>$C53="Garlic Purchase"</formula>
    </cfRule>
    <cfRule type="expression" dxfId="5512" priority="2878">
      <formula>$C53="Ginger Purchase"</formula>
    </cfRule>
  </conditionalFormatting>
  <conditionalFormatting sqref="B53 B55 B57 B61 B59 B63">
    <cfRule type="expression" dxfId="5511" priority="2879">
      <formula>$C53="Advance"</formula>
    </cfRule>
  </conditionalFormatting>
  <conditionalFormatting sqref="B53 B55 B57 B61 B59 B63">
    <cfRule type="expression" dxfId="5510" priority="2860">
      <formula>$C53="Delivery charge"</formula>
    </cfRule>
    <cfRule type="expression" dxfId="5509" priority="2861">
      <formula>$C53="Staff Salary"</formula>
    </cfRule>
    <cfRule type="expression" dxfId="5508" priority="2862">
      <formula>$C53="Rent"</formula>
    </cfRule>
    <cfRule type="expression" dxfId="5507" priority="2863">
      <formula>$C53="Petrol"</formula>
    </cfRule>
    <cfRule type="expression" dxfId="5506" priority="2864">
      <formula>$C53="Bills"</formula>
    </cfRule>
    <cfRule type="expression" dxfId="5505" priority="2865">
      <formula>$C53="Sales"</formula>
    </cfRule>
    <cfRule type="expression" dxfId="5504" priority="2866">
      <formula>$C53="Expences"</formula>
    </cfRule>
    <cfRule type="expression" dxfId="5503" priority="2867">
      <formula>$C53="Garlic Purchase"</formula>
    </cfRule>
    <cfRule type="expression" dxfId="5502" priority="2868">
      <formula>$C53="Ginger Purchase"</formula>
    </cfRule>
  </conditionalFormatting>
  <conditionalFormatting sqref="B53 B55 B57 B61 B59 B63">
    <cfRule type="expression" dxfId="5501" priority="2869">
      <formula>$C53="Advance"</formula>
    </cfRule>
  </conditionalFormatting>
  <conditionalFormatting sqref="B53 B55 B57 B61 B59 B63">
    <cfRule type="expression" dxfId="5500" priority="2850">
      <formula>$C53="Delivery charge"</formula>
    </cfRule>
    <cfRule type="expression" dxfId="5499" priority="2851">
      <formula>$C53="Staff Salary"</formula>
    </cfRule>
    <cfRule type="expression" dxfId="5498" priority="2852">
      <formula>$C53="Rent"</formula>
    </cfRule>
    <cfRule type="expression" dxfId="5497" priority="2853">
      <formula>$C53="Petrol"</formula>
    </cfRule>
    <cfRule type="expression" dxfId="5496" priority="2854">
      <formula>$C53="Bills"</formula>
    </cfRule>
    <cfRule type="expression" dxfId="5495" priority="2855">
      <formula>$C53="Sales"</formula>
    </cfRule>
    <cfRule type="expression" dxfId="5494" priority="2856">
      <formula>$C53="Expences"</formula>
    </cfRule>
    <cfRule type="expression" dxfId="5493" priority="2857">
      <formula>$C53="Garlic Purchase"</formula>
    </cfRule>
    <cfRule type="expression" dxfId="5492" priority="2858">
      <formula>$C53="Ginger Purchase"</formula>
    </cfRule>
  </conditionalFormatting>
  <conditionalFormatting sqref="B53 B55 B57 B61 B59 B63">
    <cfRule type="expression" dxfId="5491" priority="2859">
      <formula>$C53="Advance"</formula>
    </cfRule>
  </conditionalFormatting>
  <conditionalFormatting sqref="B53 B55 B57 B61 B59 B63">
    <cfRule type="expression" dxfId="5490" priority="2840">
      <formula>$C53="Delivery charge"</formula>
    </cfRule>
    <cfRule type="expression" dxfId="5489" priority="2841">
      <formula>$C53="Staff Salary"</formula>
    </cfRule>
    <cfRule type="expression" dxfId="5488" priority="2842">
      <formula>$C53="Rent"</formula>
    </cfRule>
    <cfRule type="expression" dxfId="5487" priority="2843">
      <formula>$C53="Petrol"</formula>
    </cfRule>
    <cfRule type="expression" dxfId="5486" priority="2844">
      <formula>$C53="Bills"</formula>
    </cfRule>
    <cfRule type="expression" dxfId="5485" priority="2845">
      <formula>$C53="Sales"</formula>
    </cfRule>
    <cfRule type="expression" dxfId="5484" priority="2846">
      <formula>$C53="Expences"</formula>
    </cfRule>
    <cfRule type="expression" dxfId="5483" priority="2847">
      <formula>$C53="Garlic Purchase"</formula>
    </cfRule>
    <cfRule type="expression" dxfId="5482" priority="2848">
      <formula>$C53="Ginger Purchase"</formula>
    </cfRule>
  </conditionalFormatting>
  <conditionalFormatting sqref="B53 B55 B57 B61 B59 B63">
    <cfRule type="expression" dxfId="5481" priority="2849">
      <formula>$C53="Advance"</formula>
    </cfRule>
  </conditionalFormatting>
  <conditionalFormatting sqref="B53 B55 B57 B61 B59 B63">
    <cfRule type="expression" dxfId="5480" priority="2830">
      <formula>$C53="Delivery charge"</formula>
    </cfRule>
    <cfRule type="expression" dxfId="5479" priority="2831">
      <formula>$C53="Staff Salary"</formula>
    </cfRule>
    <cfRule type="expression" dxfId="5478" priority="2832">
      <formula>$C53="Rent"</formula>
    </cfRule>
    <cfRule type="expression" dxfId="5477" priority="2833">
      <formula>$C53="Petrol"</formula>
    </cfRule>
    <cfRule type="expression" dxfId="5476" priority="2834">
      <formula>$C53="Bills"</formula>
    </cfRule>
    <cfRule type="expression" dxfId="5475" priority="2835">
      <formula>$C53="Sales"</formula>
    </cfRule>
    <cfRule type="expression" dxfId="5474" priority="2836">
      <formula>$C53="Expences"</formula>
    </cfRule>
    <cfRule type="expression" dxfId="5473" priority="2837">
      <formula>$C53="Garlic Purchase"</formula>
    </cfRule>
    <cfRule type="expression" dxfId="5472" priority="2838">
      <formula>$C53="Ginger Purchase"</formula>
    </cfRule>
  </conditionalFormatting>
  <conditionalFormatting sqref="B53 B55 B57 B61 B59 B63">
    <cfRule type="expression" dxfId="5471" priority="2839">
      <formula>$C53="Advance"</formula>
    </cfRule>
  </conditionalFormatting>
  <conditionalFormatting sqref="B53 B55 B57 B61 B59 B63">
    <cfRule type="expression" dxfId="5470" priority="2820">
      <formula>$C53="Delivery charge"</formula>
    </cfRule>
    <cfRule type="expression" dxfId="5469" priority="2821">
      <formula>$C53="Staff Salary"</formula>
    </cfRule>
    <cfRule type="expression" dxfId="5468" priority="2822">
      <formula>$C53="Rent"</formula>
    </cfRule>
    <cfRule type="expression" dxfId="5467" priority="2823">
      <formula>$C53="Petrol"</formula>
    </cfRule>
    <cfRule type="expression" dxfId="5466" priority="2824">
      <formula>$C53="Bills"</formula>
    </cfRule>
    <cfRule type="expression" dxfId="5465" priority="2825">
      <formula>$C53="Sales"</formula>
    </cfRule>
    <cfRule type="expression" dxfId="5464" priority="2826">
      <formula>$C53="Expences"</formula>
    </cfRule>
    <cfRule type="expression" dxfId="5463" priority="2827">
      <formula>$C53="Garlic Purchase"</formula>
    </cfRule>
    <cfRule type="expression" dxfId="5462" priority="2828">
      <formula>$C53="Ginger Purchase"</formula>
    </cfRule>
  </conditionalFormatting>
  <conditionalFormatting sqref="B53 B55 B57 B61 B59 B63">
    <cfRule type="expression" dxfId="5461" priority="2829">
      <formula>$C53="Advance"</formula>
    </cfRule>
  </conditionalFormatting>
  <conditionalFormatting sqref="B53 B55 B57 B61 B59 B63">
    <cfRule type="expression" dxfId="5460" priority="2810">
      <formula>$C53="Delivery charge"</formula>
    </cfRule>
    <cfRule type="expression" dxfId="5459" priority="2811">
      <formula>$C53="Staff Salary"</formula>
    </cfRule>
    <cfRule type="expression" dxfId="5458" priority="2812">
      <formula>$C53="Rent"</formula>
    </cfRule>
    <cfRule type="expression" dxfId="5457" priority="2813">
      <formula>$C53="Petrol"</formula>
    </cfRule>
    <cfRule type="expression" dxfId="5456" priority="2814">
      <formula>$C53="Bills"</formula>
    </cfRule>
    <cfRule type="expression" dxfId="5455" priority="2815">
      <formula>$C53="Sales"</formula>
    </cfRule>
    <cfRule type="expression" dxfId="5454" priority="2816">
      <formula>$C53="Expences"</formula>
    </cfRule>
    <cfRule type="expression" dxfId="5453" priority="2817">
      <formula>$C53="Garlic Purchase"</formula>
    </cfRule>
    <cfRule type="expression" dxfId="5452" priority="2818">
      <formula>$C53="Ginger Purchase"</formula>
    </cfRule>
  </conditionalFormatting>
  <conditionalFormatting sqref="B53 B55 B57 B61 B59 B63">
    <cfRule type="expression" dxfId="5451" priority="2819">
      <formula>$C53="Advance"</formula>
    </cfRule>
  </conditionalFormatting>
  <conditionalFormatting sqref="B53 B55 B57 B61 B59 B63">
    <cfRule type="expression" dxfId="5450" priority="2800">
      <formula>$C53="Delivery charge"</formula>
    </cfRule>
    <cfRule type="expression" dxfId="5449" priority="2801">
      <formula>$C53="Staff Salary"</formula>
    </cfRule>
    <cfRule type="expression" dxfId="5448" priority="2802">
      <formula>$C53="Rent"</formula>
    </cfRule>
    <cfRule type="expression" dxfId="5447" priority="2803">
      <formula>$C53="Petrol"</formula>
    </cfRule>
    <cfRule type="expression" dxfId="5446" priority="2804">
      <formula>$C53="Bills"</formula>
    </cfRule>
    <cfRule type="expression" dxfId="5445" priority="2805">
      <formula>$C53="Sales"</formula>
    </cfRule>
    <cfRule type="expression" dxfId="5444" priority="2806">
      <formula>$C53="Expences"</formula>
    </cfRule>
    <cfRule type="expression" dxfId="5443" priority="2807">
      <formula>$C53="Garlic Purchase"</formula>
    </cfRule>
    <cfRule type="expression" dxfId="5442" priority="2808">
      <formula>$C53="Ginger Purchase"</formula>
    </cfRule>
  </conditionalFormatting>
  <conditionalFormatting sqref="B53 B55 B57 B61 B59 B63">
    <cfRule type="expression" dxfId="5441" priority="2809">
      <formula>$C53="Advance"</formula>
    </cfRule>
  </conditionalFormatting>
  <conditionalFormatting sqref="B53 B55 B57 B61 B59 B63">
    <cfRule type="expression" dxfId="5440" priority="2799">
      <formula>$C53="Advance"</formula>
    </cfRule>
  </conditionalFormatting>
  <conditionalFormatting sqref="B53 B55 B57 B61 B59 B63">
    <cfRule type="expression" dxfId="5439" priority="2790">
      <formula>$C53="Delivery charge"</formula>
    </cfRule>
    <cfRule type="expression" dxfId="5438" priority="2791">
      <formula>$C53="Staff Salary"</formula>
    </cfRule>
    <cfRule type="expression" dxfId="5437" priority="2792">
      <formula>$C53="Rent"</formula>
    </cfRule>
    <cfRule type="expression" dxfId="5436" priority="2793">
      <formula>$C53="Petrol"</formula>
    </cfRule>
    <cfRule type="expression" dxfId="5435" priority="2794">
      <formula>$C53="Bills"</formula>
    </cfRule>
    <cfRule type="expression" dxfId="5434" priority="2795">
      <formula>$C53="Sales"</formula>
    </cfRule>
    <cfRule type="expression" dxfId="5433" priority="2796">
      <formula>$C53="Expences"</formula>
    </cfRule>
    <cfRule type="expression" dxfId="5432" priority="2797">
      <formula>$C53="Garlic Purchase"</formula>
    </cfRule>
    <cfRule type="expression" dxfId="5431" priority="2798">
      <formula>$C53="Ginger Purchase"</formula>
    </cfRule>
  </conditionalFormatting>
  <conditionalFormatting sqref="B53 B55 B57 B61 B59 B63">
    <cfRule type="expression" dxfId="5430" priority="2780">
      <formula>$C53="Delivery charge"</formula>
    </cfRule>
    <cfRule type="expression" dxfId="5429" priority="2781">
      <formula>$C53="Staff Salary"</formula>
    </cfRule>
    <cfRule type="expression" dxfId="5428" priority="2782">
      <formula>$C53="Rent"</formula>
    </cfRule>
    <cfRule type="expression" dxfId="5427" priority="2783">
      <formula>$C53="Petrol"</formula>
    </cfRule>
    <cfRule type="expression" dxfId="5426" priority="2784">
      <formula>$C53="Bills"</formula>
    </cfRule>
    <cfRule type="expression" dxfId="5425" priority="2785">
      <formula>$C53="Sales"</formula>
    </cfRule>
    <cfRule type="expression" dxfId="5424" priority="2786">
      <formula>$C53="Expences"</formula>
    </cfRule>
    <cfRule type="expression" dxfId="5423" priority="2787">
      <formula>$C53="Garlic Purchase"</formula>
    </cfRule>
    <cfRule type="expression" dxfId="5422" priority="2788">
      <formula>$C53="Ginger Purchase"</formula>
    </cfRule>
  </conditionalFormatting>
  <conditionalFormatting sqref="B53 B55 B57 B61 B59 B63">
    <cfRule type="expression" dxfId="5421" priority="2789">
      <formula>$C53="Advance"</formula>
    </cfRule>
  </conditionalFormatting>
  <conditionalFormatting sqref="B53 B55 B57 B61 B59 B63">
    <cfRule type="expression" dxfId="5420" priority="2770">
      <formula>$C53="Delivery charge"</formula>
    </cfRule>
    <cfRule type="expression" dxfId="5419" priority="2771">
      <formula>$C53="Staff Salary"</formula>
    </cfRule>
    <cfRule type="expression" dxfId="5418" priority="2772">
      <formula>$C53="Rent"</formula>
    </cfRule>
    <cfRule type="expression" dxfId="5417" priority="2773">
      <formula>$C53="Petrol"</formula>
    </cfRule>
    <cfRule type="expression" dxfId="5416" priority="2774">
      <formula>$C53="Bills"</formula>
    </cfRule>
    <cfRule type="expression" dxfId="5415" priority="2775">
      <formula>$C53="Sales"</formula>
    </cfRule>
    <cfRule type="expression" dxfId="5414" priority="2776">
      <formula>$C53="Expences"</formula>
    </cfRule>
    <cfRule type="expression" dxfId="5413" priority="2777">
      <formula>$C53="Garlic Purchase"</formula>
    </cfRule>
    <cfRule type="expression" dxfId="5412" priority="2778">
      <formula>$C53="Ginger Purchase"</formula>
    </cfRule>
  </conditionalFormatting>
  <conditionalFormatting sqref="B53 B55 B57 B61 B59 B63">
    <cfRule type="expression" dxfId="5411" priority="2779">
      <formula>$C53="Advance"</formula>
    </cfRule>
  </conditionalFormatting>
  <conditionalFormatting sqref="B53 B55 B57 B61 B59 B63">
    <cfRule type="expression" dxfId="5410" priority="2760">
      <formula>$C53="Delivery charge"</formula>
    </cfRule>
    <cfRule type="expression" dxfId="5409" priority="2761">
      <formula>$C53="Staff Salary"</formula>
    </cfRule>
    <cfRule type="expression" dxfId="5408" priority="2762">
      <formula>$C53="Rent"</formula>
    </cfRule>
    <cfRule type="expression" dxfId="5407" priority="2763">
      <formula>$C53="Petrol"</formula>
    </cfRule>
    <cfRule type="expression" dxfId="5406" priority="2764">
      <formula>$C53="Bills"</formula>
    </cfRule>
    <cfRule type="expression" dxfId="5405" priority="2765">
      <formula>$C53="Sales"</formula>
    </cfRule>
    <cfRule type="expression" dxfId="5404" priority="2766">
      <formula>$C53="Expences"</formula>
    </cfRule>
    <cfRule type="expression" dxfId="5403" priority="2767">
      <formula>$C53="Garlic Purchase"</formula>
    </cfRule>
    <cfRule type="expression" dxfId="5402" priority="2768">
      <formula>$C53="Ginger Purchase"</formula>
    </cfRule>
  </conditionalFormatting>
  <conditionalFormatting sqref="B53 B55 B57 B61 B59 B63">
    <cfRule type="expression" dxfId="5401" priority="2769">
      <formula>$C53="Advance"</formula>
    </cfRule>
  </conditionalFormatting>
  <conditionalFormatting sqref="B53 B55 B57 B61 B59 B63">
    <cfRule type="expression" dxfId="5400" priority="2750">
      <formula>$C53="Delivery charge"</formula>
    </cfRule>
    <cfRule type="expression" dxfId="5399" priority="2751">
      <formula>$C53="Staff Salary"</formula>
    </cfRule>
    <cfRule type="expression" dxfId="5398" priority="2752">
      <formula>$C53="Rent"</formula>
    </cfRule>
    <cfRule type="expression" dxfId="5397" priority="2753">
      <formula>$C53="Petrol"</formula>
    </cfRule>
    <cfRule type="expression" dxfId="5396" priority="2754">
      <formula>$C53="Bills"</formula>
    </cfRule>
    <cfRule type="expression" dxfId="5395" priority="2755">
      <formula>$C53="Sales"</formula>
    </cfRule>
    <cfRule type="expression" dxfId="5394" priority="2756">
      <formula>$C53="Expences"</formula>
    </cfRule>
    <cfRule type="expression" dxfId="5393" priority="2757">
      <formula>$C53="Garlic Purchase"</formula>
    </cfRule>
    <cfRule type="expression" dxfId="5392" priority="2758">
      <formula>$C53="Ginger Purchase"</formula>
    </cfRule>
  </conditionalFormatting>
  <conditionalFormatting sqref="B53 B55 B57 B61 B59 B63">
    <cfRule type="expression" dxfId="5391" priority="2759">
      <formula>$C53="Advance"</formula>
    </cfRule>
  </conditionalFormatting>
  <conditionalFormatting sqref="B53 B55 B57 B61 B59 B63">
    <cfRule type="expression" dxfId="5390" priority="2740">
      <formula>$C53="Delivery charge"</formula>
    </cfRule>
    <cfRule type="expression" dxfId="5389" priority="2741">
      <formula>$C53="Staff Salary"</formula>
    </cfRule>
    <cfRule type="expression" dxfId="5388" priority="2742">
      <formula>$C53="Rent"</formula>
    </cfRule>
    <cfRule type="expression" dxfId="5387" priority="2743">
      <formula>$C53="Petrol"</formula>
    </cfRule>
    <cfRule type="expression" dxfId="5386" priority="2744">
      <formula>$C53="Bills"</formula>
    </cfRule>
    <cfRule type="expression" dxfId="5385" priority="2745">
      <formula>$C53="Sales"</formula>
    </cfRule>
    <cfRule type="expression" dxfId="5384" priority="2746">
      <formula>$C53="Expences"</formula>
    </cfRule>
    <cfRule type="expression" dxfId="5383" priority="2747">
      <formula>$C53="Garlic Purchase"</formula>
    </cfRule>
    <cfRule type="expression" dxfId="5382" priority="2748">
      <formula>$C53="Ginger Purchase"</formula>
    </cfRule>
  </conditionalFormatting>
  <conditionalFormatting sqref="B53 B55 B57 B61 B59 B63">
    <cfRule type="expression" dxfId="5381" priority="2749">
      <formula>$C53="Advance"</formula>
    </cfRule>
  </conditionalFormatting>
  <conditionalFormatting sqref="B53 B55 B57 B61 B59 B63">
    <cfRule type="expression" dxfId="5380" priority="2730">
      <formula>$C53="Delivery charge"</formula>
    </cfRule>
    <cfRule type="expression" dxfId="5379" priority="2731">
      <formula>$C53="Staff Salary"</formula>
    </cfRule>
    <cfRule type="expression" dxfId="5378" priority="2732">
      <formula>$C53="Rent"</formula>
    </cfRule>
    <cfRule type="expression" dxfId="5377" priority="2733">
      <formula>$C53="Petrol"</formula>
    </cfRule>
    <cfRule type="expression" dxfId="5376" priority="2734">
      <formula>$C53="Bills"</formula>
    </cfRule>
    <cfRule type="expression" dxfId="5375" priority="2735">
      <formula>$C53="Sales"</formula>
    </cfRule>
    <cfRule type="expression" dxfId="5374" priority="2736">
      <formula>$C53="Expences"</formula>
    </cfRule>
    <cfRule type="expression" dxfId="5373" priority="2737">
      <formula>$C53="Garlic Purchase"</formula>
    </cfRule>
    <cfRule type="expression" dxfId="5372" priority="2738">
      <formula>$C53="Ginger Purchase"</formula>
    </cfRule>
  </conditionalFormatting>
  <conditionalFormatting sqref="B53 B55 B57 B61 B59 B63">
    <cfRule type="expression" dxfId="5371" priority="2739">
      <formula>$C53="Advance"</formula>
    </cfRule>
  </conditionalFormatting>
  <conditionalFormatting sqref="B53 B55 B57 B61 B59 B63">
    <cfRule type="expression" dxfId="5370" priority="2720">
      <formula>$C53="Delivery charge"</formula>
    </cfRule>
    <cfRule type="expression" dxfId="5369" priority="2721">
      <formula>$C53="Staff Salary"</formula>
    </cfRule>
    <cfRule type="expression" dxfId="5368" priority="2722">
      <formula>$C53="Rent"</formula>
    </cfRule>
    <cfRule type="expression" dxfId="5367" priority="2723">
      <formula>$C53="Petrol"</formula>
    </cfRule>
    <cfRule type="expression" dxfId="5366" priority="2724">
      <formula>$C53="Bills"</formula>
    </cfRule>
    <cfRule type="expression" dxfId="5365" priority="2725">
      <formula>$C53="Sales"</formula>
    </cfRule>
    <cfRule type="expression" dxfId="5364" priority="2726">
      <formula>$C53="Expences"</formula>
    </cfRule>
    <cfRule type="expression" dxfId="5363" priority="2727">
      <formula>$C53="Garlic Purchase"</formula>
    </cfRule>
    <cfRule type="expression" dxfId="5362" priority="2728">
      <formula>$C53="Ginger Purchase"</formula>
    </cfRule>
  </conditionalFormatting>
  <conditionalFormatting sqref="B53 B55 B57 B61 B59 B63">
    <cfRule type="expression" dxfId="5361" priority="2729">
      <formula>$C53="Advance"</formula>
    </cfRule>
  </conditionalFormatting>
  <conditionalFormatting sqref="B53 B55 B57 B61 B59 B63">
    <cfRule type="expression" dxfId="5360" priority="2710">
      <formula>$C53="Delivery charge"</formula>
    </cfRule>
    <cfRule type="expression" dxfId="5359" priority="2711">
      <formula>$C53="Staff Salary"</formula>
    </cfRule>
    <cfRule type="expression" dxfId="5358" priority="2712">
      <formula>$C53="Rent"</formula>
    </cfRule>
    <cfRule type="expression" dxfId="5357" priority="2713">
      <formula>$C53="Petrol"</formula>
    </cfRule>
    <cfRule type="expression" dxfId="5356" priority="2714">
      <formula>$C53="Bills"</formula>
    </cfRule>
    <cfRule type="expression" dxfId="5355" priority="2715">
      <formula>$C53="Sales"</formula>
    </cfRule>
    <cfRule type="expression" dxfId="5354" priority="2716">
      <formula>$C53="Expences"</formula>
    </cfRule>
    <cfRule type="expression" dxfId="5353" priority="2717">
      <formula>$C53="Garlic Purchase"</formula>
    </cfRule>
    <cfRule type="expression" dxfId="5352" priority="2718">
      <formula>$C53="Ginger Purchase"</formula>
    </cfRule>
  </conditionalFormatting>
  <conditionalFormatting sqref="B53 B55 B57 B61 B59 B63">
    <cfRule type="expression" dxfId="5351" priority="2719">
      <formula>$C53="Advance"</formula>
    </cfRule>
  </conditionalFormatting>
  <conditionalFormatting sqref="B53 B55 B57 B61 B59 B63">
    <cfRule type="expression" dxfId="5350" priority="2700">
      <formula>$C53="Delivery charge"</formula>
    </cfRule>
    <cfRule type="expression" dxfId="5349" priority="2701">
      <formula>$C53="Staff Salary"</formula>
    </cfRule>
    <cfRule type="expression" dxfId="5348" priority="2702">
      <formula>$C53="Rent"</formula>
    </cfRule>
    <cfRule type="expression" dxfId="5347" priority="2703">
      <formula>$C53="Petrol"</formula>
    </cfRule>
    <cfRule type="expression" dxfId="5346" priority="2704">
      <formula>$C53="Bills"</formula>
    </cfRule>
    <cfRule type="expression" dxfId="5345" priority="2705">
      <formula>$C53="Sales"</formula>
    </cfRule>
    <cfRule type="expression" dxfId="5344" priority="2706">
      <formula>$C53="Expences"</formula>
    </cfRule>
    <cfRule type="expression" dxfId="5343" priority="2707">
      <formula>$C53="Garlic Purchase"</formula>
    </cfRule>
    <cfRule type="expression" dxfId="5342" priority="2708">
      <formula>$C53="Ginger Purchase"</formula>
    </cfRule>
  </conditionalFormatting>
  <conditionalFormatting sqref="B53 B55 B57 B61 B59 B63">
    <cfRule type="expression" dxfId="5341" priority="2709">
      <formula>$C53="Advance"</formula>
    </cfRule>
  </conditionalFormatting>
  <conditionalFormatting sqref="B53 B55 B57 B61 B59 B63">
    <cfRule type="expression" dxfId="5340" priority="2690">
      <formula>$C53="Delivery charge"</formula>
    </cfRule>
    <cfRule type="expression" dxfId="5339" priority="2691">
      <formula>$C53="Staff Salary"</formula>
    </cfRule>
    <cfRule type="expression" dxfId="5338" priority="2692">
      <formula>$C53="Rent"</formula>
    </cfRule>
    <cfRule type="expression" dxfId="5337" priority="2693">
      <formula>$C53="Petrol"</formula>
    </cfRule>
    <cfRule type="expression" dxfId="5336" priority="2694">
      <formula>$C53="Bills"</formula>
    </cfRule>
    <cfRule type="expression" dxfId="5335" priority="2695">
      <formula>$C53="Sales"</formula>
    </cfRule>
    <cfRule type="expression" dxfId="5334" priority="2696">
      <formula>$C53="Expences"</formula>
    </cfRule>
    <cfRule type="expression" dxfId="5333" priority="2697">
      <formula>$C53="Garlic Purchase"</formula>
    </cfRule>
    <cfRule type="expression" dxfId="5332" priority="2698">
      <formula>$C53="Ginger Purchase"</formula>
    </cfRule>
  </conditionalFormatting>
  <conditionalFormatting sqref="B53 B55 B57 B61 B59 B63">
    <cfRule type="expression" dxfId="5331" priority="2699">
      <formula>$C53="Advance"</formula>
    </cfRule>
  </conditionalFormatting>
  <conditionalFormatting sqref="B53 B55 B57 B61 B59 B63">
    <cfRule type="expression" dxfId="5330" priority="2680">
      <formula>$C53="Delivery charge"</formula>
    </cfRule>
    <cfRule type="expression" dxfId="5329" priority="2681">
      <formula>$C53="Staff Salary"</formula>
    </cfRule>
    <cfRule type="expression" dxfId="5328" priority="2682">
      <formula>$C53="Rent"</formula>
    </cfRule>
    <cfRule type="expression" dxfId="5327" priority="2683">
      <formula>$C53="Petrol"</formula>
    </cfRule>
    <cfRule type="expression" dxfId="5326" priority="2684">
      <formula>$C53="Bills"</formula>
    </cfRule>
    <cfRule type="expression" dxfId="5325" priority="2685">
      <formula>$C53="Sales"</formula>
    </cfRule>
    <cfRule type="expression" dxfId="5324" priority="2686">
      <formula>$C53="Expences"</formula>
    </cfRule>
    <cfRule type="expression" dxfId="5323" priority="2687">
      <formula>$C53="Garlic Purchase"</formula>
    </cfRule>
    <cfRule type="expression" dxfId="5322" priority="2688">
      <formula>$C53="Ginger Purchase"</formula>
    </cfRule>
  </conditionalFormatting>
  <conditionalFormatting sqref="B53 B55 B57 B61 B59 B63">
    <cfRule type="expression" dxfId="5321" priority="2689">
      <formula>$C53="Advance"</formula>
    </cfRule>
  </conditionalFormatting>
  <conditionalFormatting sqref="B53 B55 B57 B61 B59 B63">
    <cfRule type="expression" dxfId="5320" priority="2670">
      <formula>$C53="Delivery charge"</formula>
    </cfRule>
    <cfRule type="expression" dxfId="5319" priority="2671">
      <formula>$C53="Staff Salary"</formula>
    </cfRule>
    <cfRule type="expression" dxfId="5318" priority="2672">
      <formula>$C53="Rent"</formula>
    </cfRule>
    <cfRule type="expression" dxfId="5317" priority="2673">
      <formula>$C53="Petrol"</formula>
    </cfRule>
    <cfRule type="expression" dxfId="5316" priority="2674">
      <formula>$C53="Bills"</formula>
    </cfRule>
    <cfRule type="expression" dxfId="5315" priority="2675">
      <formula>$C53="Sales"</formula>
    </cfRule>
    <cfRule type="expression" dxfId="5314" priority="2676">
      <formula>$C53="Expences"</formula>
    </cfRule>
    <cfRule type="expression" dxfId="5313" priority="2677">
      <formula>$C53="Garlic Purchase"</formula>
    </cfRule>
    <cfRule type="expression" dxfId="5312" priority="2678">
      <formula>$C53="Ginger Purchase"</formula>
    </cfRule>
  </conditionalFormatting>
  <conditionalFormatting sqref="B53 B55 B57 B61 B59 B63">
    <cfRule type="expression" dxfId="5311" priority="2679">
      <formula>$C53="Advance"</formula>
    </cfRule>
  </conditionalFormatting>
  <conditionalFormatting sqref="B53 B55 B57 B61 B59 B63">
    <cfRule type="expression" dxfId="5310" priority="2660">
      <formula>$C53="Delivery charge"</formula>
    </cfRule>
    <cfRule type="expression" dxfId="5309" priority="2661">
      <formula>$C53="Staff Salary"</formula>
    </cfRule>
    <cfRule type="expression" dxfId="5308" priority="2662">
      <formula>$C53="Rent"</formula>
    </cfRule>
    <cfRule type="expression" dxfId="5307" priority="2663">
      <formula>$C53="Petrol"</formula>
    </cfRule>
    <cfRule type="expression" dxfId="5306" priority="2664">
      <formula>$C53="Bills"</formula>
    </cfRule>
    <cfRule type="expression" dxfId="5305" priority="2665">
      <formula>$C53="Sales"</formula>
    </cfRule>
    <cfRule type="expression" dxfId="5304" priority="2666">
      <formula>$C53="Expences"</formula>
    </cfRule>
    <cfRule type="expression" dxfId="5303" priority="2667">
      <formula>$C53="Garlic Purchase"</formula>
    </cfRule>
    <cfRule type="expression" dxfId="5302" priority="2668">
      <formula>$C53="Ginger Purchase"</formula>
    </cfRule>
  </conditionalFormatting>
  <conditionalFormatting sqref="B53 B55 B57 B61 B59 B63">
    <cfRule type="expression" dxfId="5301" priority="2669">
      <formula>$C53="Advance"</formula>
    </cfRule>
  </conditionalFormatting>
  <conditionalFormatting sqref="B53 B55 B57 B61 B59 B63">
    <cfRule type="expression" dxfId="5300" priority="2650">
      <formula>$C53="Delivery charge"</formula>
    </cfRule>
    <cfRule type="expression" dxfId="5299" priority="2651">
      <formula>$C53="Staff Salary"</formula>
    </cfRule>
    <cfRule type="expression" dxfId="5298" priority="2652">
      <formula>$C53="Rent"</formula>
    </cfRule>
    <cfRule type="expression" dxfId="5297" priority="2653">
      <formula>$C53="Petrol"</formula>
    </cfRule>
    <cfRule type="expression" dxfId="5296" priority="2654">
      <formula>$C53="Bills"</formula>
    </cfRule>
    <cfRule type="expression" dxfId="5295" priority="2655">
      <formula>$C53="Sales"</formula>
    </cfRule>
    <cfRule type="expression" dxfId="5294" priority="2656">
      <formula>$C53="Expences"</formula>
    </cfRule>
    <cfRule type="expression" dxfId="5293" priority="2657">
      <formula>$C53="Garlic Purchase"</formula>
    </cfRule>
    <cfRule type="expression" dxfId="5292" priority="2658">
      <formula>$C53="Ginger Purchase"</formula>
    </cfRule>
  </conditionalFormatting>
  <conditionalFormatting sqref="B53 B55 B57 B61 B59 B63">
    <cfRule type="expression" dxfId="5291" priority="2659">
      <formula>$C53="Advance"</formula>
    </cfRule>
  </conditionalFormatting>
  <conditionalFormatting sqref="B53 B55 B57 B61 B59 B63">
    <cfRule type="expression" dxfId="5290" priority="2640">
      <formula>$C53="Delivery charge"</formula>
    </cfRule>
    <cfRule type="expression" dxfId="5289" priority="2641">
      <formula>$C53="Staff Salary"</formula>
    </cfRule>
    <cfRule type="expression" dxfId="5288" priority="2642">
      <formula>$C53="Rent"</formula>
    </cfRule>
    <cfRule type="expression" dxfId="5287" priority="2643">
      <formula>$C53="Petrol"</formula>
    </cfRule>
    <cfRule type="expression" dxfId="5286" priority="2644">
      <formula>$C53="Bills"</formula>
    </cfRule>
    <cfRule type="expression" dxfId="5285" priority="2645">
      <formula>$C53="Sales"</formula>
    </cfRule>
    <cfRule type="expression" dxfId="5284" priority="2646">
      <formula>$C53="Expences"</formula>
    </cfRule>
    <cfRule type="expression" dxfId="5283" priority="2647">
      <formula>$C53="Garlic Purchase"</formula>
    </cfRule>
    <cfRule type="expression" dxfId="5282" priority="2648">
      <formula>$C53="Ginger Purchase"</formula>
    </cfRule>
  </conditionalFormatting>
  <conditionalFormatting sqref="B53 B55 B57 B61 B59 B63">
    <cfRule type="expression" dxfId="5281" priority="2649">
      <formula>$C53="Advance"</formula>
    </cfRule>
  </conditionalFormatting>
  <conditionalFormatting sqref="B53 B55 B57 B61 B59 B63">
    <cfRule type="expression" dxfId="5280" priority="2630">
      <formula>$C53="Delivery charge"</formula>
    </cfRule>
    <cfRule type="expression" dxfId="5279" priority="2631">
      <formula>$C53="Staff Salary"</formula>
    </cfRule>
    <cfRule type="expression" dxfId="5278" priority="2632">
      <formula>$C53="Rent"</formula>
    </cfRule>
    <cfRule type="expression" dxfId="5277" priority="2633">
      <formula>$C53="Petrol"</formula>
    </cfRule>
    <cfRule type="expression" dxfId="5276" priority="2634">
      <formula>$C53="Bills"</formula>
    </cfRule>
    <cfRule type="expression" dxfId="5275" priority="2635">
      <formula>$C53="Sales"</formula>
    </cfRule>
    <cfRule type="expression" dxfId="5274" priority="2636">
      <formula>$C53="Expences"</formula>
    </cfRule>
    <cfRule type="expression" dxfId="5273" priority="2637">
      <formula>$C53="Garlic Purchase"</formula>
    </cfRule>
    <cfRule type="expression" dxfId="5272" priority="2638">
      <formula>$C53="Ginger Purchase"</formula>
    </cfRule>
  </conditionalFormatting>
  <conditionalFormatting sqref="B53 B55 B57 B61 B59 B63">
    <cfRule type="expression" dxfId="5271" priority="2639">
      <formula>$C53="Advance"</formula>
    </cfRule>
  </conditionalFormatting>
  <conditionalFormatting sqref="B53 B55 B57 B61 B59 B63">
    <cfRule type="expression" dxfId="5270" priority="2620">
      <formula>$C53="Delivery charge"</formula>
    </cfRule>
    <cfRule type="expression" dxfId="5269" priority="2621">
      <formula>$C53="Staff Salary"</formula>
    </cfRule>
    <cfRule type="expression" dxfId="5268" priority="2622">
      <formula>$C53="Rent"</formula>
    </cfRule>
    <cfRule type="expression" dxfId="5267" priority="2623">
      <formula>$C53="Petrol"</formula>
    </cfRule>
    <cfRule type="expression" dxfId="5266" priority="2624">
      <formula>$C53="Bills"</formula>
    </cfRule>
    <cfRule type="expression" dxfId="5265" priority="2625">
      <formula>$C53="Sales"</formula>
    </cfRule>
    <cfRule type="expression" dxfId="5264" priority="2626">
      <formula>$C53="Expences"</formula>
    </cfRule>
    <cfRule type="expression" dxfId="5263" priority="2627">
      <formula>$C53="Garlic Purchase"</formula>
    </cfRule>
    <cfRule type="expression" dxfId="5262" priority="2628">
      <formula>$C53="Ginger Purchase"</formula>
    </cfRule>
  </conditionalFormatting>
  <conditionalFormatting sqref="B53 B55 B57 B61 B59 B63">
    <cfRule type="expression" dxfId="5261" priority="2629">
      <formula>$C53="Advance"</formula>
    </cfRule>
  </conditionalFormatting>
  <conditionalFormatting sqref="B53 B55 B57 B61 B59 B63">
    <cfRule type="expression" dxfId="5260" priority="2610">
      <formula>$C53="Delivery charge"</formula>
    </cfRule>
    <cfRule type="expression" dxfId="5259" priority="2611">
      <formula>$C53="Staff Salary"</formula>
    </cfRule>
    <cfRule type="expression" dxfId="5258" priority="2612">
      <formula>$C53="Rent"</formula>
    </cfRule>
    <cfRule type="expression" dxfId="5257" priority="2613">
      <formula>$C53="Petrol"</formula>
    </cfRule>
    <cfRule type="expression" dxfId="5256" priority="2614">
      <formula>$C53="Bills"</formula>
    </cfRule>
    <cfRule type="expression" dxfId="5255" priority="2615">
      <formula>$C53="Sales"</formula>
    </cfRule>
    <cfRule type="expression" dxfId="5254" priority="2616">
      <formula>$C53="Expences"</formula>
    </cfRule>
    <cfRule type="expression" dxfId="5253" priority="2617">
      <formula>$C53="Garlic Purchase"</formula>
    </cfRule>
    <cfRule type="expression" dxfId="5252" priority="2618">
      <formula>$C53="Ginger Purchase"</formula>
    </cfRule>
  </conditionalFormatting>
  <conditionalFormatting sqref="B53 B55 B57 B61 B59 B63">
    <cfRule type="expression" dxfId="5251" priority="2619">
      <formula>$C53="Advance"</formula>
    </cfRule>
  </conditionalFormatting>
  <conditionalFormatting sqref="B53 B55 B57 B61 B59 B63">
    <cfRule type="expression" dxfId="5250" priority="2600">
      <formula>$C53="Delivery charge"</formula>
    </cfRule>
    <cfRule type="expression" dxfId="5249" priority="2601">
      <formula>$C53="Staff Salary"</formula>
    </cfRule>
    <cfRule type="expression" dxfId="5248" priority="2602">
      <formula>$C53="Rent"</formula>
    </cfRule>
    <cfRule type="expression" dxfId="5247" priority="2603">
      <formula>$C53="Petrol"</formula>
    </cfRule>
    <cfRule type="expression" dxfId="5246" priority="2604">
      <formula>$C53="Bills"</formula>
    </cfRule>
    <cfRule type="expression" dxfId="5245" priority="2605">
      <formula>$C53="Sales"</formula>
    </cfRule>
    <cfRule type="expression" dxfId="5244" priority="2606">
      <formula>$C53="Expences"</formula>
    </cfRule>
    <cfRule type="expression" dxfId="5243" priority="2607">
      <formula>$C53="Garlic Purchase"</formula>
    </cfRule>
    <cfRule type="expression" dxfId="5242" priority="2608">
      <formula>$C53="Ginger Purchase"</formula>
    </cfRule>
  </conditionalFormatting>
  <conditionalFormatting sqref="B53 B55 B57 B61 B59 B63">
    <cfRule type="expression" dxfId="5241" priority="2609">
      <formula>$C53="Advance"</formula>
    </cfRule>
  </conditionalFormatting>
  <conditionalFormatting sqref="B53 B55 B57 B61 B59 B63">
    <cfRule type="expression" dxfId="5240" priority="2590">
      <formula>$C53="Delivery charge"</formula>
    </cfRule>
    <cfRule type="expression" dxfId="5239" priority="2591">
      <formula>$C53="Staff Salary"</formula>
    </cfRule>
    <cfRule type="expression" dxfId="5238" priority="2592">
      <formula>$C53="Rent"</formula>
    </cfRule>
    <cfRule type="expression" dxfId="5237" priority="2593">
      <formula>$C53="Petrol"</formula>
    </cfRule>
    <cfRule type="expression" dxfId="5236" priority="2594">
      <formula>$C53="Bills"</formula>
    </cfRule>
    <cfRule type="expression" dxfId="5235" priority="2595">
      <formula>$C53="Sales"</formula>
    </cfRule>
    <cfRule type="expression" dxfId="5234" priority="2596">
      <formula>$C53="Expences"</formula>
    </cfRule>
    <cfRule type="expression" dxfId="5233" priority="2597">
      <formula>$C53="Garlic Purchase"</formula>
    </cfRule>
    <cfRule type="expression" dxfId="5232" priority="2598">
      <formula>$C53="Ginger Purchase"</formula>
    </cfRule>
  </conditionalFormatting>
  <conditionalFormatting sqref="B53 B55 B57 B61 B59 B63">
    <cfRule type="expression" dxfId="5231" priority="2599">
      <formula>$C53="Advance"</formula>
    </cfRule>
  </conditionalFormatting>
  <conditionalFormatting sqref="B53 B55 B57 B61 B59 B63">
    <cfRule type="expression" dxfId="5230" priority="2580">
      <formula>$C53="Delivery charge"</formula>
    </cfRule>
    <cfRule type="expression" dxfId="5229" priority="2581">
      <formula>$C53="Staff Salary"</formula>
    </cfRule>
    <cfRule type="expression" dxfId="5228" priority="2582">
      <formula>$C53="Rent"</formula>
    </cfRule>
    <cfRule type="expression" dxfId="5227" priority="2583">
      <formula>$C53="Petrol"</formula>
    </cfRule>
    <cfRule type="expression" dxfId="5226" priority="2584">
      <formula>$C53="Bills"</formula>
    </cfRule>
    <cfRule type="expression" dxfId="5225" priority="2585">
      <formula>$C53="Sales"</formula>
    </cfRule>
    <cfRule type="expression" dxfId="5224" priority="2586">
      <formula>$C53="Expences"</formula>
    </cfRule>
    <cfRule type="expression" dxfId="5223" priority="2587">
      <formula>$C53="Garlic Purchase"</formula>
    </cfRule>
    <cfRule type="expression" dxfId="5222" priority="2588">
      <formula>$C53="Ginger Purchase"</formula>
    </cfRule>
  </conditionalFormatting>
  <conditionalFormatting sqref="B53 B55 B57 B61 B59 B63">
    <cfRule type="expression" dxfId="5221" priority="2589">
      <formula>$C53="Advance"</formula>
    </cfRule>
  </conditionalFormatting>
  <conditionalFormatting sqref="B53 B55 B57 B61 B59 B63">
    <cfRule type="expression" dxfId="5220" priority="2570">
      <formula>$C53="Delivery charge"</formula>
    </cfRule>
    <cfRule type="expression" dxfId="5219" priority="2571">
      <formula>$C53="Staff Salary"</formula>
    </cfRule>
    <cfRule type="expression" dxfId="5218" priority="2572">
      <formula>$C53="Rent"</formula>
    </cfRule>
    <cfRule type="expression" dxfId="5217" priority="2573">
      <formula>$C53="Petrol"</formula>
    </cfRule>
    <cfRule type="expression" dxfId="5216" priority="2574">
      <formula>$C53="Bills"</formula>
    </cfRule>
    <cfRule type="expression" dxfId="5215" priority="2575">
      <formula>$C53="Sales"</formula>
    </cfRule>
    <cfRule type="expression" dxfId="5214" priority="2576">
      <formula>$C53="Expences"</formula>
    </cfRule>
    <cfRule type="expression" dxfId="5213" priority="2577">
      <formula>$C53="Garlic Purchase"</formula>
    </cfRule>
    <cfRule type="expression" dxfId="5212" priority="2578">
      <formula>$C53="Ginger Purchase"</formula>
    </cfRule>
  </conditionalFormatting>
  <conditionalFormatting sqref="B53 B55 B57 B61 B59 B63">
    <cfRule type="expression" dxfId="5211" priority="2579">
      <formula>$C53="Advance"</formula>
    </cfRule>
  </conditionalFormatting>
  <conditionalFormatting sqref="B53 B55 B57 B61 B59 B63">
    <cfRule type="expression" dxfId="5210" priority="2560">
      <formula>$C53="Delivery charge"</formula>
    </cfRule>
    <cfRule type="expression" dxfId="5209" priority="2561">
      <formula>$C53="Staff Salary"</formula>
    </cfRule>
    <cfRule type="expression" dxfId="5208" priority="2562">
      <formula>$C53="Rent"</formula>
    </cfRule>
    <cfRule type="expression" dxfId="5207" priority="2563">
      <formula>$C53="Petrol"</formula>
    </cfRule>
    <cfRule type="expression" dxfId="5206" priority="2564">
      <formula>$C53="Bills"</formula>
    </cfRule>
    <cfRule type="expression" dxfId="5205" priority="2565">
      <formula>$C53="Sales"</formula>
    </cfRule>
    <cfRule type="expression" dxfId="5204" priority="2566">
      <formula>$C53="Expences"</formula>
    </cfRule>
    <cfRule type="expression" dxfId="5203" priority="2567">
      <formula>$C53="Garlic Purchase"</formula>
    </cfRule>
    <cfRule type="expression" dxfId="5202" priority="2568">
      <formula>$C53="Ginger Purchase"</formula>
    </cfRule>
  </conditionalFormatting>
  <conditionalFormatting sqref="B53 B55 B57 B61 B59 B63">
    <cfRule type="expression" dxfId="5201" priority="2569">
      <formula>$C53="Advance"</formula>
    </cfRule>
  </conditionalFormatting>
  <conditionalFormatting sqref="B53 B55 B57 B61 B59 B63">
    <cfRule type="expression" dxfId="5200" priority="2550">
      <formula>$C53="Delivery charge"</formula>
    </cfRule>
    <cfRule type="expression" dxfId="5199" priority="2551">
      <formula>$C53="Staff Salary"</formula>
    </cfRule>
    <cfRule type="expression" dxfId="5198" priority="2552">
      <formula>$C53="Rent"</formula>
    </cfRule>
    <cfRule type="expression" dxfId="5197" priority="2553">
      <formula>$C53="Petrol"</formula>
    </cfRule>
    <cfRule type="expression" dxfId="5196" priority="2554">
      <formula>$C53="Bills"</formula>
    </cfRule>
    <cfRule type="expression" dxfId="5195" priority="2555">
      <formula>$C53="Sales"</formula>
    </cfRule>
    <cfRule type="expression" dxfId="5194" priority="2556">
      <formula>$C53="Expences"</formula>
    </cfRule>
    <cfRule type="expression" dxfId="5193" priority="2557">
      <formula>$C53="Garlic Purchase"</formula>
    </cfRule>
    <cfRule type="expression" dxfId="5192" priority="2558">
      <formula>$C53="Ginger Purchase"</formula>
    </cfRule>
  </conditionalFormatting>
  <conditionalFormatting sqref="B53 B55 B57 B61 B59 B63">
    <cfRule type="expression" dxfId="5191" priority="2559">
      <formula>$C53="Advance"</formula>
    </cfRule>
  </conditionalFormatting>
  <conditionalFormatting sqref="B53 B55 B57 B61 B59 B63">
    <cfRule type="expression" dxfId="5190" priority="2540">
      <formula>$C53="Delivery charge"</formula>
    </cfRule>
    <cfRule type="expression" dxfId="5189" priority="2541">
      <formula>$C53="Staff Salary"</formula>
    </cfRule>
    <cfRule type="expression" dxfId="5188" priority="2542">
      <formula>$C53="Rent"</formula>
    </cfRule>
    <cfRule type="expression" dxfId="5187" priority="2543">
      <formula>$C53="Petrol"</formula>
    </cfRule>
    <cfRule type="expression" dxfId="5186" priority="2544">
      <formula>$C53="Bills"</formula>
    </cfRule>
    <cfRule type="expression" dxfId="5185" priority="2545">
      <formula>$C53="Sales"</formula>
    </cfRule>
    <cfRule type="expression" dxfId="5184" priority="2546">
      <formula>$C53="Expences"</formula>
    </cfRule>
    <cfRule type="expression" dxfId="5183" priority="2547">
      <formula>$C53="Garlic Purchase"</formula>
    </cfRule>
    <cfRule type="expression" dxfId="5182" priority="2548">
      <formula>$C53="Ginger Purchase"</formula>
    </cfRule>
  </conditionalFormatting>
  <conditionalFormatting sqref="B53 B55 B57 B61 B59 B63">
    <cfRule type="expression" dxfId="5181" priority="2549">
      <formula>$C53="Advance"</formula>
    </cfRule>
  </conditionalFormatting>
  <conditionalFormatting sqref="B53 B55 B57 B61 B59 B63">
    <cfRule type="expression" dxfId="5180" priority="2530">
      <formula>$C53="Delivery charge"</formula>
    </cfRule>
    <cfRule type="expression" dxfId="5179" priority="2531">
      <formula>$C53="Staff Salary"</formula>
    </cfRule>
    <cfRule type="expression" dxfId="5178" priority="2532">
      <formula>$C53="Rent"</formula>
    </cfRule>
    <cfRule type="expression" dxfId="5177" priority="2533">
      <formula>$C53="Petrol"</formula>
    </cfRule>
    <cfRule type="expression" dxfId="5176" priority="2534">
      <formula>$C53="Bills"</formula>
    </cfRule>
    <cfRule type="expression" dxfId="5175" priority="2535">
      <formula>$C53="Sales"</formula>
    </cfRule>
    <cfRule type="expression" dxfId="5174" priority="2536">
      <formula>$C53="Expences"</formula>
    </cfRule>
    <cfRule type="expression" dxfId="5173" priority="2537">
      <formula>$C53="Garlic Purchase"</formula>
    </cfRule>
    <cfRule type="expression" dxfId="5172" priority="2538">
      <formula>$C53="Ginger Purchase"</formula>
    </cfRule>
  </conditionalFormatting>
  <conditionalFormatting sqref="B53 B55 B57 B61 B59 B63">
    <cfRule type="expression" dxfId="5171" priority="2539">
      <formula>$C53="Advance"</formula>
    </cfRule>
  </conditionalFormatting>
  <conditionalFormatting sqref="B53 B55 B57 B61 B59 B63">
    <cfRule type="expression" dxfId="5170" priority="2520">
      <formula>$C53="Delivery charge"</formula>
    </cfRule>
    <cfRule type="expression" dxfId="5169" priority="2521">
      <formula>$C53="Staff Salary"</formula>
    </cfRule>
    <cfRule type="expression" dxfId="5168" priority="2522">
      <formula>$C53="Rent"</formula>
    </cfRule>
    <cfRule type="expression" dxfId="5167" priority="2523">
      <formula>$C53="Petrol"</formula>
    </cfRule>
    <cfRule type="expression" dxfId="5166" priority="2524">
      <formula>$C53="Bills"</formula>
    </cfRule>
    <cfRule type="expression" dxfId="5165" priority="2525">
      <formula>$C53="Sales"</formula>
    </cfRule>
    <cfRule type="expression" dxfId="5164" priority="2526">
      <formula>$C53="Expences"</formula>
    </cfRule>
    <cfRule type="expression" dxfId="5163" priority="2527">
      <formula>$C53="Garlic Purchase"</formula>
    </cfRule>
    <cfRule type="expression" dxfId="5162" priority="2528">
      <formula>$C53="Ginger Purchase"</formula>
    </cfRule>
  </conditionalFormatting>
  <conditionalFormatting sqref="B53 B55 B57 B61 B59 B63">
    <cfRule type="expression" dxfId="5161" priority="2529">
      <formula>$C53="Advance"</formula>
    </cfRule>
  </conditionalFormatting>
  <conditionalFormatting sqref="B53 B55 B57 B61 B59 B63">
    <cfRule type="expression" dxfId="5160" priority="2510">
      <formula>$C53="Delivery charge"</formula>
    </cfRule>
    <cfRule type="expression" dxfId="5159" priority="2511">
      <formula>$C53="Staff Salary"</formula>
    </cfRule>
    <cfRule type="expression" dxfId="5158" priority="2512">
      <formula>$C53="Rent"</formula>
    </cfRule>
    <cfRule type="expression" dxfId="5157" priority="2513">
      <formula>$C53="Petrol"</formula>
    </cfRule>
    <cfRule type="expression" dxfId="5156" priority="2514">
      <formula>$C53="Bills"</formula>
    </cfRule>
    <cfRule type="expression" dxfId="5155" priority="2515">
      <formula>$C53="Sales"</formula>
    </cfRule>
    <cfRule type="expression" dxfId="5154" priority="2516">
      <formula>$C53="Expences"</formula>
    </cfRule>
    <cfRule type="expression" dxfId="5153" priority="2517">
      <formula>$C53="Garlic Purchase"</formula>
    </cfRule>
    <cfRule type="expression" dxfId="5152" priority="2518">
      <formula>$C53="Ginger Purchase"</formula>
    </cfRule>
  </conditionalFormatting>
  <conditionalFormatting sqref="B53 B55 B57 B61 B59 B63">
    <cfRule type="expression" dxfId="5151" priority="2519">
      <formula>$C53="Advance"</formula>
    </cfRule>
  </conditionalFormatting>
  <conditionalFormatting sqref="B53 B55 B57 B61 B59 B63">
    <cfRule type="expression" dxfId="5150" priority="2500">
      <formula>$C53="Delivery charge"</formula>
    </cfRule>
    <cfRule type="expression" dxfId="5149" priority="2501">
      <formula>$C53="Staff Salary"</formula>
    </cfRule>
    <cfRule type="expression" dxfId="5148" priority="2502">
      <formula>$C53="Rent"</formula>
    </cfRule>
    <cfRule type="expression" dxfId="5147" priority="2503">
      <formula>$C53="Petrol"</formula>
    </cfRule>
    <cfRule type="expression" dxfId="5146" priority="2504">
      <formula>$C53="Bills"</formula>
    </cfRule>
    <cfRule type="expression" dxfId="5145" priority="2505">
      <formula>$C53="Sales"</formula>
    </cfRule>
    <cfRule type="expression" dxfId="5144" priority="2506">
      <formula>$C53="Expences"</formula>
    </cfRule>
    <cfRule type="expression" dxfId="5143" priority="2507">
      <formula>$C53="Garlic Purchase"</formula>
    </cfRule>
    <cfRule type="expression" dxfId="5142" priority="2508">
      <formula>$C53="Ginger Purchase"</formula>
    </cfRule>
  </conditionalFormatting>
  <conditionalFormatting sqref="B53 B55 B57 B61 B59 B63">
    <cfRule type="expression" dxfId="5141" priority="2509">
      <formula>$C53="Advance"</formula>
    </cfRule>
  </conditionalFormatting>
  <conditionalFormatting sqref="B53 B55 B57 B61 B59 B63">
    <cfRule type="expression" dxfId="5140" priority="2490">
      <formula>$C53="Delivery charge"</formula>
    </cfRule>
    <cfRule type="expression" dxfId="5139" priority="2491">
      <formula>$C53="Staff Salary"</formula>
    </cfRule>
    <cfRule type="expression" dxfId="5138" priority="2492">
      <formula>$C53="Rent"</formula>
    </cfRule>
    <cfRule type="expression" dxfId="5137" priority="2493">
      <formula>$C53="Petrol"</formula>
    </cfRule>
    <cfRule type="expression" dxfId="5136" priority="2494">
      <formula>$C53="Bills"</formula>
    </cfRule>
    <cfRule type="expression" dxfId="5135" priority="2495">
      <formula>$C53="Sales"</formula>
    </cfRule>
    <cfRule type="expression" dxfId="5134" priority="2496">
      <formula>$C53="Expences"</formula>
    </cfRule>
    <cfRule type="expression" dxfId="5133" priority="2497">
      <formula>$C53="Garlic Purchase"</formula>
    </cfRule>
    <cfRule type="expression" dxfId="5132" priority="2498">
      <formula>$C53="Ginger Purchase"</formula>
    </cfRule>
  </conditionalFormatting>
  <conditionalFormatting sqref="B53 B55 B57 B61 B59 B63">
    <cfRule type="expression" dxfId="5131" priority="2499">
      <formula>$C53="Advance"</formula>
    </cfRule>
  </conditionalFormatting>
  <conditionalFormatting sqref="B52 B54 B56 B60 B58 B62">
    <cfRule type="expression" dxfId="5130" priority="2480">
      <formula>$C52="Delivery charge"</formula>
    </cfRule>
    <cfRule type="expression" dxfId="5129" priority="2481">
      <formula>$C52="Staff Salary"</formula>
    </cfRule>
    <cfRule type="expression" dxfId="5128" priority="2482">
      <formula>$C52="Rent"</formula>
    </cfRule>
    <cfRule type="expression" dxfId="5127" priority="2483">
      <formula>$C52="Petrol"</formula>
    </cfRule>
    <cfRule type="expression" dxfId="5126" priority="2484">
      <formula>$C52="Bills"</formula>
    </cfRule>
    <cfRule type="expression" dxfId="5125" priority="2485">
      <formula>$C52="Sales"</formula>
    </cfRule>
    <cfRule type="expression" dxfId="5124" priority="2486">
      <formula>$C52="Expences"</formula>
    </cfRule>
    <cfRule type="expression" dxfId="5123" priority="2487">
      <formula>$C52="Garlic Purchase"</formula>
    </cfRule>
    <cfRule type="expression" dxfId="5122" priority="2488">
      <formula>$C52="Ginger Purchase"</formula>
    </cfRule>
  </conditionalFormatting>
  <conditionalFormatting sqref="B52 B54 B56 B60 B58 B62">
    <cfRule type="expression" dxfId="5121" priority="2489">
      <formula>$C52="Advance"</formula>
    </cfRule>
  </conditionalFormatting>
  <conditionalFormatting sqref="B52 B54 B56 B60 B58 B62">
    <cfRule type="expression" dxfId="5120" priority="2470">
      <formula>$C52="Delivery charge"</formula>
    </cfRule>
    <cfRule type="expression" dxfId="5119" priority="2471">
      <formula>$C52="Staff Salary"</formula>
    </cfRule>
    <cfRule type="expression" dxfId="5118" priority="2472">
      <formula>$C52="Rent"</formula>
    </cfRule>
    <cfRule type="expression" dxfId="5117" priority="2473">
      <formula>$C52="Petrol"</formula>
    </cfRule>
    <cfRule type="expression" dxfId="5116" priority="2474">
      <formula>$C52="Bills"</formula>
    </cfRule>
    <cfRule type="expression" dxfId="5115" priority="2475">
      <formula>$C52="Sales"</formula>
    </cfRule>
    <cfRule type="expression" dxfId="5114" priority="2476">
      <formula>$C52="Expences"</formula>
    </cfRule>
    <cfRule type="expression" dxfId="5113" priority="2477">
      <formula>$C52="Garlic Purchase"</formula>
    </cfRule>
    <cfRule type="expression" dxfId="5112" priority="2478">
      <formula>$C52="Ginger Purchase"</formula>
    </cfRule>
  </conditionalFormatting>
  <conditionalFormatting sqref="B52 B54 B56 B60 B58 B62">
    <cfRule type="expression" dxfId="5111" priority="2479">
      <formula>$C52="Advance"</formula>
    </cfRule>
  </conditionalFormatting>
  <conditionalFormatting sqref="B52 B54 B56 B60 B58 B62">
    <cfRule type="expression" dxfId="5110" priority="2460">
      <formula>$C52="Delivery charge"</formula>
    </cfRule>
    <cfRule type="expression" dxfId="5109" priority="2461">
      <formula>$C52="Staff Salary"</formula>
    </cfRule>
    <cfRule type="expression" dxfId="5108" priority="2462">
      <formula>$C52="Rent"</formula>
    </cfRule>
    <cfRule type="expression" dxfId="5107" priority="2463">
      <formula>$C52="Petrol"</formula>
    </cfRule>
    <cfRule type="expression" dxfId="5106" priority="2464">
      <formula>$C52="Bills"</formula>
    </cfRule>
    <cfRule type="expression" dxfId="5105" priority="2465">
      <formula>$C52="Sales"</formula>
    </cfRule>
    <cfRule type="expression" dxfId="5104" priority="2466">
      <formula>$C52="Expences"</formula>
    </cfRule>
    <cfRule type="expression" dxfId="5103" priority="2467">
      <formula>$C52="Garlic Purchase"</formula>
    </cfRule>
    <cfRule type="expression" dxfId="5102" priority="2468">
      <formula>$C52="Ginger Purchase"</formula>
    </cfRule>
  </conditionalFormatting>
  <conditionalFormatting sqref="B52 B54 B56 B60 B58 B62">
    <cfRule type="expression" dxfId="5101" priority="2469">
      <formula>$C52="Advance"</formula>
    </cfRule>
  </conditionalFormatting>
  <conditionalFormatting sqref="B52 B54 B56 B60 B58 B62">
    <cfRule type="expression" dxfId="5100" priority="2450">
      <formula>$C52="Delivery charge"</formula>
    </cfRule>
    <cfRule type="expression" dxfId="5099" priority="2451">
      <formula>$C52="Staff Salary"</formula>
    </cfRule>
    <cfRule type="expression" dxfId="5098" priority="2452">
      <formula>$C52="Rent"</formula>
    </cfRule>
    <cfRule type="expression" dxfId="5097" priority="2453">
      <formula>$C52="Petrol"</formula>
    </cfRule>
    <cfRule type="expression" dxfId="5096" priority="2454">
      <formula>$C52="Bills"</formula>
    </cfRule>
    <cfRule type="expression" dxfId="5095" priority="2455">
      <formula>$C52="Sales"</formula>
    </cfRule>
    <cfRule type="expression" dxfId="5094" priority="2456">
      <formula>$C52="Expences"</formula>
    </cfRule>
    <cfRule type="expression" dxfId="5093" priority="2457">
      <formula>$C52="Garlic Purchase"</formula>
    </cfRule>
    <cfRule type="expression" dxfId="5092" priority="2458">
      <formula>$C52="Ginger Purchase"</formula>
    </cfRule>
  </conditionalFormatting>
  <conditionalFormatting sqref="B52 B54 B56 B60 B58 B62">
    <cfRule type="expression" dxfId="5091" priority="2459">
      <formula>$C52="Advance"</formula>
    </cfRule>
  </conditionalFormatting>
  <conditionalFormatting sqref="B52 B54 B56 B60 B58 B62">
    <cfRule type="expression" dxfId="5090" priority="2440">
      <formula>$C52="Delivery charge"</formula>
    </cfRule>
    <cfRule type="expression" dxfId="5089" priority="2441">
      <formula>$C52="Staff Salary"</formula>
    </cfRule>
    <cfRule type="expression" dxfId="5088" priority="2442">
      <formula>$C52="Rent"</formula>
    </cfRule>
    <cfRule type="expression" dxfId="5087" priority="2443">
      <formula>$C52="Petrol"</formula>
    </cfRule>
    <cfRule type="expression" dxfId="5086" priority="2444">
      <formula>$C52="Bills"</formula>
    </cfRule>
    <cfRule type="expression" dxfId="5085" priority="2445">
      <formula>$C52="Sales"</formula>
    </cfRule>
    <cfRule type="expression" dxfId="5084" priority="2446">
      <formula>$C52="Expences"</formula>
    </cfRule>
    <cfRule type="expression" dxfId="5083" priority="2447">
      <formula>$C52="Garlic Purchase"</formula>
    </cfRule>
    <cfRule type="expression" dxfId="5082" priority="2448">
      <formula>$C52="Ginger Purchase"</formula>
    </cfRule>
  </conditionalFormatting>
  <conditionalFormatting sqref="B52 B54 B56 B60 B58 B62">
    <cfRule type="expression" dxfId="5081" priority="2449">
      <formula>$C52="Advance"</formula>
    </cfRule>
  </conditionalFormatting>
  <conditionalFormatting sqref="B52 B54 B56 B60 B58 B62">
    <cfRule type="expression" dxfId="5080" priority="2430">
      <formula>$C52="Delivery charge"</formula>
    </cfRule>
    <cfRule type="expression" dxfId="5079" priority="2431">
      <formula>$C52="Staff Salary"</formula>
    </cfRule>
    <cfRule type="expression" dxfId="5078" priority="2432">
      <formula>$C52="Rent"</formula>
    </cfRule>
    <cfRule type="expression" dxfId="5077" priority="2433">
      <formula>$C52="Petrol"</formula>
    </cfRule>
    <cfRule type="expression" dxfId="5076" priority="2434">
      <formula>$C52="Bills"</formula>
    </cfRule>
    <cfRule type="expression" dxfId="5075" priority="2435">
      <formula>$C52="Sales"</formula>
    </cfRule>
    <cfRule type="expression" dxfId="5074" priority="2436">
      <formula>$C52="Expences"</formula>
    </cfRule>
    <cfRule type="expression" dxfId="5073" priority="2437">
      <formula>$C52="Garlic Purchase"</formula>
    </cfRule>
    <cfRule type="expression" dxfId="5072" priority="2438">
      <formula>$C52="Ginger Purchase"</formula>
    </cfRule>
  </conditionalFormatting>
  <conditionalFormatting sqref="B52 B54 B56 B60 B58 B62">
    <cfRule type="expression" dxfId="5071" priority="2439">
      <formula>$C52="Advance"</formula>
    </cfRule>
  </conditionalFormatting>
  <conditionalFormatting sqref="B52 B54 B56 B60 B58 B62">
    <cfRule type="expression" dxfId="5070" priority="2420">
      <formula>$C52="Delivery charge"</formula>
    </cfRule>
    <cfRule type="expression" dxfId="5069" priority="2421">
      <formula>$C52="Staff Salary"</formula>
    </cfRule>
    <cfRule type="expression" dxfId="5068" priority="2422">
      <formula>$C52="Rent"</formula>
    </cfRule>
    <cfRule type="expression" dxfId="5067" priority="2423">
      <formula>$C52="Petrol"</formula>
    </cfRule>
    <cfRule type="expression" dxfId="5066" priority="2424">
      <formula>$C52="Bills"</formula>
    </cfRule>
    <cfRule type="expression" dxfId="5065" priority="2425">
      <formula>$C52="Sales"</formula>
    </cfRule>
    <cfRule type="expression" dxfId="5064" priority="2426">
      <formula>$C52="Expences"</formula>
    </cfRule>
    <cfRule type="expression" dxfId="5063" priority="2427">
      <formula>$C52="Garlic Purchase"</formula>
    </cfRule>
    <cfRule type="expression" dxfId="5062" priority="2428">
      <formula>$C52="Ginger Purchase"</formula>
    </cfRule>
  </conditionalFormatting>
  <conditionalFormatting sqref="B52 B54 B56 B60 B58 B62">
    <cfRule type="expression" dxfId="5061" priority="2429">
      <formula>$C52="Advance"</formula>
    </cfRule>
  </conditionalFormatting>
  <conditionalFormatting sqref="B52 B54 B56 B60 B58 B62">
    <cfRule type="expression" dxfId="5060" priority="2410">
      <formula>$C52="Delivery charge"</formula>
    </cfRule>
    <cfRule type="expression" dxfId="5059" priority="2411">
      <formula>$C52="Staff Salary"</formula>
    </cfRule>
    <cfRule type="expression" dxfId="5058" priority="2412">
      <formula>$C52="Rent"</formula>
    </cfRule>
    <cfRule type="expression" dxfId="5057" priority="2413">
      <formula>$C52="Petrol"</formula>
    </cfRule>
    <cfRule type="expression" dxfId="5056" priority="2414">
      <formula>$C52="Bills"</formula>
    </cfRule>
    <cfRule type="expression" dxfId="5055" priority="2415">
      <formula>$C52="Sales"</formula>
    </cfRule>
    <cfRule type="expression" dxfId="5054" priority="2416">
      <formula>$C52="Expences"</formula>
    </cfRule>
    <cfRule type="expression" dxfId="5053" priority="2417">
      <formula>$C52="Garlic Purchase"</formula>
    </cfRule>
    <cfRule type="expression" dxfId="5052" priority="2418">
      <formula>$C52="Ginger Purchase"</formula>
    </cfRule>
  </conditionalFormatting>
  <conditionalFormatting sqref="B52 B54 B56 B60 B58 B62">
    <cfRule type="expression" dxfId="5051" priority="2419">
      <formula>$C52="Advance"</formula>
    </cfRule>
  </conditionalFormatting>
  <conditionalFormatting sqref="B52 B54 B56 B60 B58 B62">
    <cfRule type="expression" dxfId="5050" priority="2400">
      <formula>$C52="Delivery charge"</formula>
    </cfRule>
    <cfRule type="expression" dxfId="5049" priority="2401">
      <formula>$C52="Staff Salary"</formula>
    </cfRule>
    <cfRule type="expression" dxfId="5048" priority="2402">
      <formula>$C52="Rent"</formula>
    </cfRule>
    <cfRule type="expression" dxfId="5047" priority="2403">
      <formula>$C52="Petrol"</formula>
    </cfRule>
    <cfRule type="expression" dxfId="5046" priority="2404">
      <formula>$C52="Bills"</formula>
    </cfRule>
    <cfRule type="expression" dxfId="5045" priority="2405">
      <formula>$C52="Sales"</formula>
    </cfRule>
    <cfRule type="expression" dxfId="5044" priority="2406">
      <formula>$C52="Expences"</formula>
    </cfRule>
    <cfRule type="expression" dxfId="5043" priority="2407">
      <formula>$C52="Garlic Purchase"</formula>
    </cfRule>
    <cfRule type="expression" dxfId="5042" priority="2408">
      <formula>$C52="Ginger Purchase"</formula>
    </cfRule>
  </conditionalFormatting>
  <conditionalFormatting sqref="B52 B54 B56 B60 B58 B62">
    <cfRule type="expression" dxfId="5041" priority="2409">
      <formula>$C52="Advance"</formula>
    </cfRule>
  </conditionalFormatting>
  <conditionalFormatting sqref="B52 B54 B56 B60 B58 B62">
    <cfRule type="expression" dxfId="5040" priority="2390">
      <formula>$C52="Delivery charge"</formula>
    </cfRule>
    <cfRule type="expression" dxfId="5039" priority="2391">
      <formula>$C52="Staff Salary"</formula>
    </cfRule>
    <cfRule type="expression" dxfId="5038" priority="2392">
      <formula>$C52="Rent"</formula>
    </cfRule>
    <cfRule type="expression" dxfId="5037" priority="2393">
      <formula>$C52="Petrol"</formula>
    </cfRule>
    <cfRule type="expression" dxfId="5036" priority="2394">
      <formula>$C52="Bills"</formula>
    </cfRule>
    <cfRule type="expression" dxfId="5035" priority="2395">
      <formula>$C52="Sales"</formula>
    </cfRule>
    <cfRule type="expression" dxfId="5034" priority="2396">
      <formula>$C52="Expences"</formula>
    </cfRule>
    <cfRule type="expression" dxfId="5033" priority="2397">
      <formula>$C52="Garlic Purchase"</formula>
    </cfRule>
    <cfRule type="expression" dxfId="5032" priority="2398">
      <formula>$C52="Ginger Purchase"</formula>
    </cfRule>
  </conditionalFormatting>
  <conditionalFormatting sqref="B52 B54 B56 B60 B58 B62">
    <cfRule type="expression" dxfId="5031" priority="2399">
      <formula>$C52="Advance"</formula>
    </cfRule>
  </conditionalFormatting>
  <conditionalFormatting sqref="B52 B54 B56 B60 B58 B62">
    <cfRule type="expression" dxfId="5030" priority="2380">
      <formula>$C52="Delivery charge"</formula>
    </cfRule>
    <cfRule type="expression" dxfId="5029" priority="2381">
      <formula>$C52="Staff Salary"</formula>
    </cfRule>
    <cfRule type="expression" dxfId="5028" priority="2382">
      <formula>$C52="Rent"</formula>
    </cfRule>
    <cfRule type="expression" dxfId="5027" priority="2383">
      <formula>$C52="Petrol"</formula>
    </cfRule>
    <cfRule type="expression" dxfId="5026" priority="2384">
      <formula>$C52="Bills"</formula>
    </cfRule>
    <cfRule type="expression" dxfId="5025" priority="2385">
      <formula>$C52="Sales"</formula>
    </cfRule>
    <cfRule type="expression" dxfId="5024" priority="2386">
      <formula>$C52="Expences"</formula>
    </cfRule>
    <cfRule type="expression" dxfId="5023" priority="2387">
      <formula>$C52="Garlic Purchase"</formula>
    </cfRule>
    <cfRule type="expression" dxfId="5022" priority="2388">
      <formula>$C52="Ginger Purchase"</formula>
    </cfRule>
  </conditionalFormatting>
  <conditionalFormatting sqref="B52 B54 B56 B60 B58 B62">
    <cfRule type="expression" dxfId="5021" priority="2389">
      <formula>$C52="Advance"</formula>
    </cfRule>
  </conditionalFormatting>
  <conditionalFormatting sqref="B52 B54 B56 B60 B58 B62">
    <cfRule type="expression" dxfId="5020" priority="2370">
      <formula>$C52="Delivery charge"</formula>
    </cfRule>
    <cfRule type="expression" dxfId="5019" priority="2371">
      <formula>$C52="Staff Salary"</formula>
    </cfRule>
    <cfRule type="expression" dxfId="5018" priority="2372">
      <formula>$C52="Rent"</formula>
    </cfRule>
    <cfRule type="expression" dxfId="5017" priority="2373">
      <formula>$C52="Petrol"</formula>
    </cfRule>
    <cfRule type="expression" dxfId="5016" priority="2374">
      <formula>$C52="Bills"</formula>
    </cfRule>
    <cfRule type="expression" dxfId="5015" priority="2375">
      <formula>$C52="Sales"</formula>
    </cfRule>
    <cfRule type="expression" dxfId="5014" priority="2376">
      <formula>$C52="Expences"</formula>
    </cfRule>
    <cfRule type="expression" dxfId="5013" priority="2377">
      <formula>$C52="Garlic Purchase"</formula>
    </cfRule>
    <cfRule type="expression" dxfId="5012" priority="2378">
      <formula>$C52="Ginger Purchase"</formula>
    </cfRule>
  </conditionalFormatting>
  <conditionalFormatting sqref="B52 B54 B56 B60 B58 B62">
    <cfRule type="expression" dxfId="5011" priority="2379">
      <formula>$C52="Advance"</formula>
    </cfRule>
  </conditionalFormatting>
  <conditionalFormatting sqref="B52 B54 B56 B60 B58 B62">
    <cfRule type="expression" dxfId="5010" priority="2360">
      <formula>$C52="Delivery charge"</formula>
    </cfRule>
    <cfRule type="expression" dxfId="5009" priority="2361">
      <formula>$C52="Staff Salary"</formula>
    </cfRule>
    <cfRule type="expression" dxfId="5008" priority="2362">
      <formula>$C52="Rent"</formula>
    </cfRule>
    <cfRule type="expression" dxfId="5007" priority="2363">
      <formula>$C52="Petrol"</formula>
    </cfRule>
    <cfRule type="expression" dxfId="5006" priority="2364">
      <formula>$C52="Bills"</formula>
    </cfRule>
    <cfRule type="expression" dxfId="5005" priority="2365">
      <formula>$C52="Sales"</formula>
    </cfRule>
    <cfRule type="expression" dxfId="5004" priority="2366">
      <formula>$C52="Expences"</formula>
    </cfRule>
    <cfRule type="expression" dxfId="5003" priority="2367">
      <formula>$C52="Garlic Purchase"</formula>
    </cfRule>
    <cfRule type="expression" dxfId="5002" priority="2368">
      <formula>$C52="Ginger Purchase"</formula>
    </cfRule>
  </conditionalFormatting>
  <conditionalFormatting sqref="B52 B54 B56 B60 B58 B62">
    <cfRule type="expression" dxfId="5001" priority="2369">
      <formula>$C52="Advance"</formula>
    </cfRule>
  </conditionalFormatting>
  <conditionalFormatting sqref="B52 B54 B56 B60 B58 B62">
    <cfRule type="expression" dxfId="5000" priority="2350">
      <formula>$C52="Delivery charge"</formula>
    </cfRule>
    <cfRule type="expression" dxfId="4999" priority="2351">
      <formula>$C52="Staff Salary"</formula>
    </cfRule>
    <cfRule type="expression" dxfId="4998" priority="2352">
      <formula>$C52="Rent"</formula>
    </cfRule>
    <cfRule type="expression" dxfId="4997" priority="2353">
      <formula>$C52="Petrol"</formula>
    </cfRule>
    <cfRule type="expression" dxfId="4996" priority="2354">
      <formula>$C52="Bills"</formula>
    </cfRule>
    <cfRule type="expression" dxfId="4995" priority="2355">
      <formula>$C52="Sales"</formula>
    </cfRule>
    <cfRule type="expression" dxfId="4994" priority="2356">
      <formula>$C52="Expences"</formula>
    </cfRule>
    <cfRule type="expression" dxfId="4993" priority="2357">
      <formula>$C52="Garlic Purchase"</formula>
    </cfRule>
    <cfRule type="expression" dxfId="4992" priority="2358">
      <formula>$C52="Ginger Purchase"</formula>
    </cfRule>
  </conditionalFormatting>
  <conditionalFormatting sqref="B52 B54 B56 B60 B58 B62">
    <cfRule type="expression" dxfId="4991" priority="2359">
      <formula>$C52="Advance"</formula>
    </cfRule>
  </conditionalFormatting>
  <conditionalFormatting sqref="B52 B54 B56 B60 B58 B62">
    <cfRule type="expression" dxfId="4990" priority="2340">
      <formula>$C52="Delivery charge"</formula>
    </cfRule>
    <cfRule type="expression" dxfId="4989" priority="2341">
      <formula>$C52="Staff Salary"</formula>
    </cfRule>
    <cfRule type="expression" dxfId="4988" priority="2342">
      <formula>$C52="Rent"</formula>
    </cfRule>
    <cfRule type="expression" dxfId="4987" priority="2343">
      <formula>$C52="Petrol"</formula>
    </cfRule>
    <cfRule type="expression" dxfId="4986" priority="2344">
      <formula>$C52="Bills"</formula>
    </cfRule>
    <cfRule type="expression" dxfId="4985" priority="2345">
      <formula>$C52="Sales"</formula>
    </cfRule>
    <cfRule type="expression" dxfId="4984" priority="2346">
      <formula>$C52="Expences"</formula>
    </cfRule>
    <cfRule type="expression" dxfId="4983" priority="2347">
      <formula>$C52="Garlic Purchase"</formula>
    </cfRule>
    <cfRule type="expression" dxfId="4982" priority="2348">
      <formula>$C52="Ginger Purchase"</formula>
    </cfRule>
  </conditionalFormatting>
  <conditionalFormatting sqref="B52 B54 B56 B60 B58 B62">
    <cfRule type="expression" dxfId="4981" priority="2349">
      <formula>$C52="Advance"</formula>
    </cfRule>
  </conditionalFormatting>
  <conditionalFormatting sqref="B52 B54 B56 B60 B58 B62">
    <cfRule type="expression" dxfId="4980" priority="2330">
      <formula>$C52="Delivery charge"</formula>
    </cfRule>
    <cfRule type="expression" dxfId="4979" priority="2331">
      <formula>$C52="Staff Salary"</formula>
    </cfRule>
    <cfRule type="expression" dxfId="4978" priority="2332">
      <formula>$C52="Rent"</formula>
    </cfRule>
    <cfRule type="expression" dxfId="4977" priority="2333">
      <formula>$C52="Petrol"</formula>
    </cfRule>
    <cfRule type="expression" dxfId="4976" priority="2334">
      <formula>$C52="Bills"</formula>
    </cfRule>
    <cfRule type="expression" dxfId="4975" priority="2335">
      <formula>$C52="Sales"</formula>
    </cfRule>
    <cfRule type="expression" dxfId="4974" priority="2336">
      <formula>$C52="Expences"</formula>
    </cfRule>
    <cfRule type="expression" dxfId="4973" priority="2337">
      <formula>$C52="Garlic Purchase"</formula>
    </cfRule>
    <cfRule type="expression" dxfId="4972" priority="2338">
      <formula>$C52="Ginger Purchase"</formula>
    </cfRule>
  </conditionalFormatting>
  <conditionalFormatting sqref="B52 B54 B56 B60 B58 B62">
    <cfRule type="expression" dxfId="4971" priority="2339">
      <formula>$C52="Advance"</formula>
    </cfRule>
  </conditionalFormatting>
  <conditionalFormatting sqref="B52 B54 B56 B60 B58 B62">
    <cfRule type="expression" dxfId="4970" priority="2320">
      <formula>$C52="Delivery charge"</formula>
    </cfRule>
    <cfRule type="expression" dxfId="4969" priority="2321">
      <formula>$C52="Staff Salary"</formula>
    </cfRule>
    <cfRule type="expression" dxfId="4968" priority="2322">
      <formula>$C52="Rent"</formula>
    </cfRule>
    <cfRule type="expression" dxfId="4967" priority="2323">
      <formula>$C52="Petrol"</formula>
    </cfRule>
    <cfRule type="expression" dxfId="4966" priority="2324">
      <formula>$C52="Bills"</formula>
    </cfRule>
    <cfRule type="expression" dxfId="4965" priority="2325">
      <formula>$C52="Sales"</formula>
    </cfRule>
    <cfRule type="expression" dxfId="4964" priority="2326">
      <formula>$C52="Expences"</formula>
    </cfRule>
    <cfRule type="expression" dxfId="4963" priority="2327">
      <formula>$C52="Garlic Purchase"</formula>
    </cfRule>
    <cfRule type="expression" dxfId="4962" priority="2328">
      <formula>$C52="Ginger Purchase"</formula>
    </cfRule>
  </conditionalFormatting>
  <conditionalFormatting sqref="B52 B54 B56 B60 B58 B62">
    <cfRule type="expression" dxfId="4961" priority="2329">
      <formula>$C52="Advance"</formula>
    </cfRule>
  </conditionalFormatting>
  <conditionalFormatting sqref="B52 B54 B56 B60 B58 B62">
    <cfRule type="expression" dxfId="4960" priority="2310">
      <formula>$C52="Delivery charge"</formula>
    </cfRule>
    <cfRule type="expression" dxfId="4959" priority="2311">
      <formula>$C52="Staff Salary"</formula>
    </cfRule>
    <cfRule type="expression" dxfId="4958" priority="2312">
      <formula>$C52="Rent"</formula>
    </cfRule>
    <cfRule type="expression" dxfId="4957" priority="2313">
      <formula>$C52="Petrol"</formula>
    </cfRule>
    <cfRule type="expression" dxfId="4956" priority="2314">
      <formula>$C52="Bills"</formula>
    </cfRule>
    <cfRule type="expression" dxfId="4955" priority="2315">
      <formula>$C52="Sales"</formula>
    </cfRule>
    <cfRule type="expression" dxfId="4954" priority="2316">
      <formula>$C52="Expences"</formula>
    </cfRule>
    <cfRule type="expression" dxfId="4953" priority="2317">
      <formula>$C52="Garlic Purchase"</formula>
    </cfRule>
    <cfRule type="expression" dxfId="4952" priority="2318">
      <formula>$C52="Ginger Purchase"</formula>
    </cfRule>
  </conditionalFormatting>
  <conditionalFormatting sqref="B52 B54 B56 B60 B58 B62">
    <cfRule type="expression" dxfId="4951" priority="2319">
      <formula>$C52="Advance"</formula>
    </cfRule>
  </conditionalFormatting>
  <conditionalFormatting sqref="B52 B54 B56 B60 B58 B62">
    <cfRule type="expression" dxfId="4950" priority="2300">
      <formula>$C52="Delivery charge"</formula>
    </cfRule>
    <cfRule type="expression" dxfId="4949" priority="2301">
      <formula>$C52="Staff Salary"</formula>
    </cfRule>
    <cfRule type="expression" dxfId="4948" priority="2302">
      <formula>$C52="Rent"</formula>
    </cfRule>
    <cfRule type="expression" dxfId="4947" priority="2303">
      <formula>$C52="Petrol"</formula>
    </cfRule>
    <cfRule type="expression" dxfId="4946" priority="2304">
      <formula>$C52="Bills"</formula>
    </cfRule>
    <cfRule type="expression" dxfId="4945" priority="2305">
      <formula>$C52="Sales"</formula>
    </cfRule>
    <cfRule type="expression" dxfId="4944" priority="2306">
      <formula>$C52="Expences"</formula>
    </cfRule>
    <cfRule type="expression" dxfId="4943" priority="2307">
      <formula>$C52="Garlic Purchase"</formula>
    </cfRule>
    <cfRule type="expression" dxfId="4942" priority="2308">
      <formula>$C52="Ginger Purchase"</formula>
    </cfRule>
  </conditionalFormatting>
  <conditionalFormatting sqref="B52 B54 B56 B60 B58 B62">
    <cfRule type="expression" dxfId="4941" priority="2309">
      <formula>$C52="Advance"</formula>
    </cfRule>
  </conditionalFormatting>
  <conditionalFormatting sqref="B52 B54 B56 B60 B58 B62">
    <cfRule type="expression" dxfId="4940" priority="2290">
      <formula>$C52="Delivery charge"</formula>
    </cfRule>
    <cfRule type="expression" dxfId="4939" priority="2291">
      <formula>$C52="Staff Salary"</formula>
    </cfRule>
    <cfRule type="expression" dxfId="4938" priority="2292">
      <formula>$C52="Rent"</formula>
    </cfRule>
    <cfRule type="expression" dxfId="4937" priority="2293">
      <formula>$C52="Petrol"</formula>
    </cfRule>
    <cfRule type="expression" dxfId="4936" priority="2294">
      <formula>$C52="Bills"</formula>
    </cfRule>
    <cfRule type="expression" dxfId="4935" priority="2295">
      <formula>$C52="Sales"</formula>
    </cfRule>
    <cfRule type="expression" dxfId="4934" priority="2296">
      <formula>$C52="Expences"</formula>
    </cfRule>
    <cfRule type="expression" dxfId="4933" priority="2297">
      <formula>$C52="Garlic Purchase"</formula>
    </cfRule>
    <cfRule type="expression" dxfId="4932" priority="2298">
      <formula>$C52="Ginger Purchase"</formula>
    </cfRule>
  </conditionalFormatting>
  <conditionalFormatting sqref="B52 B54 B56 B60 B58 B62">
    <cfRule type="expression" dxfId="4931" priority="2299">
      <formula>$C52="Advance"</formula>
    </cfRule>
  </conditionalFormatting>
  <conditionalFormatting sqref="B52 B54 B56 B60 B58 B62">
    <cfRule type="expression" dxfId="4930" priority="2280">
      <formula>$C52="Delivery charge"</formula>
    </cfRule>
    <cfRule type="expression" dxfId="4929" priority="2281">
      <formula>$C52="Staff Salary"</formula>
    </cfRule>
    <cfRule type="expression" dxfId="4928" priority="2282">
      <formula>$C52="Rent"</formula>
    </cfRule>
    <cfRule type="expression" dxfId="4927" priority="2283">
      <formula>$C52="Petrol"</formula>
    </cfRule>
    <cfRule type="expression" dxfId="4926" priority="2284">
      <formula>$C52="Bills"</formula>
    </cfRule>
    <cfRule type="expression" dxfId="4925" priority="2285">
      <formula>$C52="Sales"</formula>
    </cfRule>
    <cfRule type="expression" dxfId="4924" priority="2286">
      <formula>$C52="Expences"</formula>
    </cfRule>
    <cfRule type="expression" dxfId="4923" priority="2287">
      <formula>$C52="Garlic Purchase"</formula>
    </cfRule>
    <cfRule type="expression" dxfId="4922" priority="2288">
      <formula>$C52="Ginger Purchase"</formula>
    </cfRule>
  </conditionalFormatting>
  <conditionalFormatting sqref="B52 B54 B56 B60 B58 B62">
    <cfRule type="expression" dxfId="4921" priority="2289">
      <formula>$C52="Advance"</formula>
    </cfRule>
  </conditionalFormatting>
  <conditionalFormatting sqref="B52 B54 B56 B60 B58 B62">
    <cfRule type="expression" dxfId="4920" priority="2270">
      <formula>$C52="Delivery charge"</formula>
    </cfRule>
    <cfRule type="expression" dxfId="4919" priority="2271">
      <formula>$C52="Staff Salary"</formula>
    </cfRule>
    <cfRule type="expression" dxfId="4918" priority="2272">
      <formula>$C52="Rent"</formula>
    </cfRule>
    <cfRule type="expression" dxfId="4917" priority="2273">
      <formula>$C52="Petrol"</formula>
    </cfRule>
    <cfRule type="expression" dxfId="4916" priority="2274">
      <formula>$C52="Bills"</formula>
    </cfRule>
    <cfRule type="expression" dxfId="4915" priority="2275">
      <formula>$C52="Sales"</formula>
    </cfRule>
    <cfRule type="expression" dxfId="4914" priority="2276">
      <formula>$C52="Expences"</formula>
    </cfRule>
    <cfRule type="expression" dxfId="4913" priority="2277">
      <formula>$C52="Garlic Purchase"</formula>
    </cfRule>
    <cfRule type="expression" dxfId="4912" priority="2278">
      <formula>$C52="Ginger Purchase"</formula>
    </cfRule>
  </conditionalFormatting>
  <conditionalFormatting sqref="B52 B54 B56 B60 B58 B62">
    <cfRule type="expression" dxfId="4911" priority="2279">
      <formula>$C52="Advance"</formula>
    </cfRule>
  </conditionalFormatting>
  <conditionalFormatting sqref="B52 B54 B56 B60 B58 B62">
    <cfRule type="expression" dxfId="4910" priority="2260">
      <formula>$C52="Delivery charge"</formula>
    </cfRule>
    <cfRule type="expression" dxfId="4909" priority="2261">
      <formula>$C52="Staff Salary"</formula>
    </cfRule>
    <cfRule type="expression" dxfId="4908" priority="2262">
      <formula>$C52="Rent"</formula>
    </cfRule>
    <cfRule type="expression" dxfId="4907" priority="2263">
      <formula>$C52="Petrol"</formula>
    </cfRule>
    <cfRule type="expression" dxfId="4906" priority="2264">
      <formula>$C52="Bills"</formula>
    </cfRule>
    <cfRule type="expression" dxfId="4905" priority="2265">
      <formula>$C52="Sales"</formula>
    </cfRule>
    <cfRule type="expression" dxfId="4904" priority="2266">
      <formula>$C52="Expences"</formula>
    </cfRule>
    <cfRule type="expression" dxfId="4903" priority="2267">
      <formula>$C52="Garlic Purchase"</formula>
    </cfRule>
    <cfRule type="expression" dxfId="4902" priority="2268">
      <formula>$C52="Ginger Purchase"</formula>
    </cfRule>
  </conditionalFormatting>
  <conditionalFormatting sqref="B52 B54 B56 B60 B58 B62">
    <cfRule type="expression" dxfId="4901" priority="2269">
      <formula>$C52="Advance"</formula>
    </cfRule>
  </conditionalFormatting>
  <conditionalFormatting sqref="B52 B54 B56 B60 B58 B62">
    <cfRule type="expression" dxfId="4900" priority="2250">
      <formula>$C52="Delivery charge"</formula>
    </cfRule>
    <cfRule type="expression" dxfId="4899" priority="2251">
      <formula>$C52="Staff Salary"</formula>
    </cfRule>
    <cfRule type="expression" dxfId="4898" priority="2252">
      <formula>$C52="Rent"</formula>
    </cfRule>
    <cfRule type="expression" dxfId="4897" priority="2253">
      <formula>$C52="Petrol"</formula>
    </cfRule>
    <cfRule type="expression" dxfId="4896" priority="2254">
      <formula>$C52="Bills"</formula>
    </cfRule>
    <cfRule type="expression" dxfId="4895" priority="2255">
      <formula>$C52="Sales"</formula>
    </cfRule>
    <cfRule type="expression" dxfId="4894" priority="2256">
      <formula>$C52="Expences"</formula>
    </cfRule>
    <cfRule type="expression" dxfId="4893" priority="2257">
      <formula>$C52="Garlic Purchase"</formula>
    </cfRule>
    <cfRule type="expression" dxfId="4892" priority="2258">
      <formula>$C52="Ginger Purchase"</formula>
    </cfRule>
  </conditionalFormatting>
  <conditionalFormatting sqref="B52 B54 B56 B60 B58 B62">
    <cfRule type="expression" dxfId="4891" priority="2259">
      <formula>$C52="Advance"</formula>
    </cfRule>
  </conditionalFormatting>
  <conditionalFormatting sqref="B52 B54 B56 B60 B58 B62">
    <cfRule type="expression" dxfId="4890" priority="2240">
      <formula>$C52="Delivery charge"</formula>
    </cfRule>
    <cfRule type="expression" dxfId="4889" priority="2241">
      <formula>$C52="Staff Salary"</formula>
    </cfRule>
    <cfRule type="expression" dxfId="4888" priority="2242">
      <formula>$C52="Rent"</formula>
    </cfRule>
    <cfRule type="expression" dxfId="4887" priority="2243">
      <formula>$C52="Petrol"</formula>
    </cfRule>
    <cfRule type="expression" dxfId="4886" priority="2244">
      <formula>$C52="Bills"</formula>
    </cfRule>
    <cfRule type="expression" dxfId="4885" priority="2245">
      <formula>$C52="Sales"</formula>
    </cfRule>
    <cfRule type="expression" dxfId="4884" priority="2246">
      <formula>$C52="Expences"</formula>
    </cfRule>
    <cfRule type="expression" dxfId="4883" priority="2247">
      <formula>$C52="Garlic Purchase"</formula>
    </cfRule>
    <cfRule type="expression" dxfId="4882" priority="2248">
      <formula>$C52="Ginger Purchase"</formula>
    </cfRule>
  </conditionalFormatting>
  <conditionalFormatting sqref="B52 B54 B56 B60 B58 B62">
    <cfRule type="expression" dxfId="4881" priority="2249">
      <formula>$C52="Advance"</formula>
    </cfRule>
  </conditionalFormatting>
  <conditionalFormatting sqref="B52 B54 B56 B60 B58 B62">
    <cfRule type="expression" dxfId="4880" priority="2230">
      <formula>$C52="Delivery charge"</formula>
    </cfRule>
    <cfRule type="expression" dxfId="4879" priority="2231">
      <formula>$C52="Staff Salary"</formula>
    </cfRule>
    <cfRule type="expression" dxfId="4878" priority="2232">
      <formula>$C52="Rent"</formula>
    </cfRule>
    <cfRule type="expression" dxfId="4877" priority="2233">
      <formula>$C52="Petrol"</formula>
    </cfRule>
    <cfRule type="expression" dxfId="4876" priority="2234">
      <formula>$C52="Bills"</formula>
    </cfRule>
    <cfRule type="expression" dxfId="4875" priority="2235">
      <formula>$C52="Sales"</formula>
    </cfRule>
    <cfRule type="expression" dxfId="4874" priority="2236">
      <formula>$C52="Expences"</formula>
    </cfRule>
    <cfRule type="expression" dxfId="4873" priority="2237">
      <formula>$C52="Garlic Purchase"</formula>
    </cfRule>
    <cfRule type="expression" dxfId="4872" priority="2238">
      <formula>$C52="Ginger Purchase"</formula>
    </cfRule>
  </conditionalFormatting>
  <conditionalFormatting sqref="B52 B54 B56 B60 B58 B62">
    <cfRule type="expression" dxfId="4871" priority="2239">
      <formula>$C52="Advance"</formula>
    </cfRule>
  </conditionalFormatting>
  <conditionalFormatting sqref="B52 B54 B56 B60 B58 B62">
    <cfRule type="expression" dxfId="4870" priority="2220">
      <formula>$C52="Delivery charge"</formula>
    </cfRule>
    <cfRule type="expression" dxfId="4869" priority="2221">
      <formula>$C52="Staff Salary"</formula>
    </cfRule>
    <cfRule type="expression" dxfId="4868" priority="2222">
      <formula>$C52="Rent"</formula>
    </cfRule>
    <cfRule type="expression" dxfId="4867" priority="2223">
      <formula>$C52="Petrol"</formula>
    </cfRule>
    <cfRule type="expression" dxfId="4866" priority="2224">
      <formula>$C52="Bills"</formula>
    </cfRule>
    <cfRule type="expression" dxfId="4865" priority="2225">
      <formula>$C52="Sales"</formula>
    </cfRule>
    <cfRule type="expression" dxfId="4864" priority="2226">
      <formula>$C52="Expences"</formula>
    </cfRule>
    <cfRule type="expression" dxfId="4863" priority="2227">
      <formula>$C52="Garlic Purchase"</formula>
    </cfRule>
    <cfRule type="expression" dxfId="4862" priority="2228">
      <formula>$C52="Ginger Purchase"</formula>
    </cfRule>
  </conditionalFormatting>
  <conditionalFormatting sqref="B52 B54 B56 B60 B58 B62">
    <cfRule type="expression" dxfId="4861" priority="2229">
      <formula>$C52="Advance"</formula>
    </cfRule>
  </conditionalFormatting>
  <conditionalFormatting sqref="B52 B54 B56 B60 B58 B62">
    <cfRule type="expression" dxfId="4860" priority="2210">
      <formula>$C52="Delivery charge"</formula>
    </cfRule>
    <cfRule type="expression" dxfId="4859" priority="2211">
      <formula>$C52="Staff Salary"</formula>
    </cfRule>
    <cfRule type="expression" dxfId="4858" priority="2212">
      <formula>$C52="Rent"</formula>
    </cfRule>
    <cfRule type="expression" dxfId="4857" priority="2213">
      <formula>$C52="Petrol"</formula>
    </cfRule>
    <cfRule type="expression" dxfId="4856" priority="2214">
      <formula>$C52="Bills"</formula>
    </cfRule>
    <cfRule type="expression" dxfId="4855" priority="2215">
      <formula>$C52="Sales"</formula>
    </cfRule>
    <cfRule type="expression" dxfId="4854" priority="2216">
      <formula>$C52="Expences"</formula>
    </cfRule>
    <cfRule type="expression" dxfId="4853" priority="2217">
      <formula>$C52="Garlic Purchase"</formula>
    </cfRule>
    <cfRule type="expression" dxfId="4852" priority="2218">
      <formula>$C52="Ginger Purchase"</formula>
    </cfRule>
  </conditionalFormatting>
  <conditionalFormatting sqref="B52 B54 B56 B60 B58 B62">
    <cfRule type="expression" dxfId="4851" priority="2200">
      <formula>$C52="Delivery charge"</formula>
    </cfRule>
    <cfRule type="expression" dxfId="4850" priority="2201">
      <formula>$C52="Staff Salary"</formula>
    </cfRule>
    <cfRule type="expression" dxfId="4849" priority="2202">
      <formula>$C52="Rent"</formula>
    </cfRule>
    <cfRule type="expression" dxfId="4848" priority="2203">
      <formula>$C52="Petrol"</formula>
    </cfRule>
    <cfRule type="expression" dxfId="4847" priority="2204">
      <formula>$C52="Bills"</formula>
    </cfRule>
    <cfRule type="expression" dxfId="4846" priority="2205">
      <formula>$C52="Sales"</formula>
    </cfRule>
    <cfRule type="expression" dxfId="4845" priority="2206">
      <formula>$C52="Expences"</formula>
    </cfRule>
    <cfRule type="expression" dxfId="4844" priority="2207">
      <formula>$C52="Garlic Purchase"</formula>
    </cfRule>
    <cfRule type="expression" dxfId="4843" priority="2208">
      <formula>$C52="Ginger Purchase"</formula>
    </cfRule>
  </conditionalFormatting>
  <conditionalFormatting sqref="B52 B54 B56 B60 B58 B62">
    <cfRule type="expression" dxfId="4842" priority="2209">
      <formula>$C52="Advance"</formula>
    </cfRule>
  </conditionalFormatting>
  <conditionalFormatting sqref="B52 B54 B56 B60 B58 B62">
    <cfRule type="expression" dxfId="4841" priority="2190">
      <formula>$C52="Delivery charge"</formula>
    </cfRule>
    <cfRule type="expression" dxfId="4840" priority="2191">
      <formula>$C52="Staff Salary"</formula>
    </cfRule>
    <cfRule type="expression" dxfId="4839" priority="2192">
      <formula>$C52="Rent"</formula>
    </cfRule>
    <cfRule type="expression" dxfId="4838" priority="2193">
      <formula>$C52="Petrol"</formula>
    </cfRule>
    <cfRule type="expression" dxfId="4837" priority="2194">
      <formula>$C52="Bills"</formula>
    </cfRule>
    <cfRule type="expression" dxfId="4836" priority="2195">
      <formula>$C52="Sales"</formula>
    </cfRule>
    <cfRule type="expression" dxfId="4835" priority="2196">
      <formula>$C52="Expences"</formula>
    </cfRule>
    <cfRule type="expression" dxfId="4834" priority="2197">
      <formula>$C52="Garlic Purchase"</formula>
    </cfRule>
    <cfRule type="expression" dxfId="4833" priority="2198">
      <formula>$C52="Ginger Purchase"</formula>
    </cfRule>
  </conditionalFormatting>
  <conditionalFormatting sqref="B52 B54 B56 B60 B58 B62">
    <cfRule type="expression" dxfId="4832" priority="2199">
      <formula>$C52="Advance"</formula>
    </cfRule>
  </conditionalFormatting>
  <conditionalFormatting sqref="B52 B56 B60">
    <cfRule type="expression" dxfId="4831" priority="2089">
      <formula>$C52="Advance"</formula>
    </cfRule>
  </conditionalFormatting>
  <conditionalFormatting sqref="B52 B56 B60">
    <cfRule type="expression" dxfId="4830" priority="2180">
      <formula>$C52="Delivery charge"</formula>
    </cfRule>
    <cfRule type="expression" dxfId="4829" priority="2181">
      <formula>$C52="Staff Salary"</formula>
    </cfRule>
    <cfRule type="expression" dxfId="4828" priority="2182">
      <formula>$C52="Rent"</formula>
    </cfRule>
    <cfRule type="expression" dxfId="4827" priority="2183">
      <formula>$C52="Petrol"</formula>
    </cfRule>
    <cfRule type="expression" dxfId="4826" priority="2184">
      <formula>$C52="Bills"</formula>
    </cfRule>
    <cfRule type="expression" dxfId="4825" priority="2185">
      <formula>$C52="Sales"</formula>
    </cfRule>
    <cfRule type="expression" dxfId="4824" priority="2186">
      <formula>$C52="Expences"</formula>
    </cfRule>
    <cfRule type="expression" dxfId="4823" priority="2187">
      <formula>$C52="Garlic Purchase"</formula>
    </cfRule>
    <cfRule type="expression" dxfId="4822" priority="2188">
      <formula>$C52="Ginger Purchase"</formula>
    </cfRule>
  </conditionalFormatting>
  <conditionalFormatting sqref="B52 B56 B60">
    <cfRule type="expression" dxfId="4821" priority="2189">
      <formula>$C52="Advance"</formula>
    </cfRule>
  </conditionalFormatting>
  <conditionalFormatting sqref="B52 B56 B60">
    <cfRule type="expression" dxfId="4820" priority="2170">
      <formula>$C52="Delivery charge"</formula>
    </cfRule>
    <cfRule type="expression" dxfId="4819" priority="2171">
      <formula>$C52="Staff Salary"</formula>
    </cfRule>
    <cfRule type="expression" dxfId="4818" priority="2172">
      <formula>$C52="Rent"</formula>
    </cfRule>
    <cfRule type="expression" dxfId="4817" priority="2173">
      <formula>$C52="Petrol"</formula>
    </cfRule>
    <cfRule type="expression" dxfId="4816" priority="2174">
      <formula>$C52="Bills"</formula>
    </cfRule>
    <cfRule type="expression" dxfId="4815" priority="2175">
      <formula>$C52="Sales"</formula>
    </cfRule>
    <cfRule type="expression" dxfId="4814" priority="2176">
      <formula>$C52="Expences"</formula>
    </cfRule>
    <cfRule type="expression" dxfId="4813" priority="2177">
      <formula>$C52="Garlic Purchase"</formula>
    </cfRule>
    <cfRule type="expression" dxfId="4812" priority="2178">
      <formula>$C52="Ginger Purchase"</formula>
    </cfRule>
  </conditionalFormatting>
  <conditionalFormatting sqref="B52 B56 B60">
    <cfRule type="expression" dxfId="4811" priority="2179">
      <formula>$C52="Advance"</formula>
    </cfRule>
  </conditionalFormatting>
  <conditionalFormatting sqref="B52 B56 B60">
    <cfRule type="expression" dxfId="4810" priority="2160">
      <formula>$C52="Delivery charge"</formula>
    </cfRule>
    <cfRule type="expression" dxfId="4809" priority="2161">
      <formula>$C52="Staff Salary"</formula>
    </cfRule>
    <cfRule type="expression" dxfId="4808" priority="2162">
      <formula>$C52="Rent"</formula>
    </cfRule>
    <cfRule type="expression" dxfId="4807" priority="2163">
      <formula>$C52="Petrol"</formula>
    </cfRule>
    <cfRule type="expression" dxfId="4806" priority="2164">
      <formula>$C52="Bills"</formula>
    </cfRule>
    <cfRule type="expression" dxfId="4805" priority="2165">
      <formula>$C52="Sales"</formula>
    </cfRule>
    <cfRule type="expression" dxfId="4804" priority="2166">
      <formula>$C52="Expences"</formula>
    </cfRule>
    <cfRule type="expression" dxfId="4803" priority="2167">
      <formula>$C52="Garlic Purchase"</formula>
    </cfRule>
    <cfRule type="expression" dxfId="4802" priority="2168">
      <formula>$C52="Ginger Purchase"</formula>
    </cfRule>
  </conditionalFormatting>
  <conditionalFormatting sqref="B52 B56 B60">
    <cfRule type="expression" dxfId="4801" priority="2169">
      <formula>$C52="Advance"</formula>
    </cfRule>
  </conditionalFormatting>
  <conditionalFormatting sqref="B52 B56 B60">
    <cfRule type="expression" dxfId="4800" priority="2150">
      <formula>$C52="Delivery charge"</formula>
    </cfRule>
    <cfRule type="expression" dxfId="4799" priority="2151">
      <formula>$C52="Staff Salary"</formula>
    </cfRule>
    <cfRule type="expression" dxfId="4798" priority="2152">
      <formula>$C52="Rent"</formula>
    </cfRule>
    <cfRule type="expression" dxfId="4797" priority="2153">
      <formula>$C52="Petrol"</formula>
    </cfRule>
    <cfRule type="expression" dxfId="4796" priority="2154">
      <formula>$C52="Bills"</formula>
    </cfRule>
    <cfRule type="expression" dxfId="4795" priority="2155">
      <formula>$C52="Sales"</formula>
    </cfRule>
    <cfRule type="expression" dxfId="4794" priority="2156">
      <formula>$C52="Expences"</formula>
    </cfRule>
    <cfRule type="expression" dxfId="4793" priority="2157">
      <formula>$C52="Garlic Purchase"</formula>
    </cfRule>
    <cfRule type="expression" dxfId="4792" priority="2158">
      <formula>$C52="Ginger Purchase"</formula>
    </cfRule>
  </conditionalFormatting>
  <conditionalFormatting sqref="B52 B56 B60">
    <cfRule type="expression" dxfId="4791" priority="2159">
      <formula>$C52="Advance"</formula>
    </cfRule>
  </conditionalFormatting>
  <conditionalFormatting sqref="B52 B56 B60">
    <cfRule type="expression" dxfId="4790" priority="2140">
      <formula>$C52="Delivery charge"</formula>
    </cfRule>
    <cfRule type="expression" dxfId="4789" priority="2141">
      <formula>$C52="Staff Salary"</formula>
    </cfRule>
    <cfRule type="expression" dxfId="4788" priority="2142">
      <formula>$C52="Rent"</formula>
    </cfRule>
    <cfRule type="expression" dxfId="4787" priority="2143">
      <formula>$C52="Petrol"</formula>
    </cfRule>
    <cfRule type="expression" dxfId="4786" priority="2144">
      <formula>$C52="Bills"</formula>
    </cfRule>
    <cfRule type="expression" dxfId="4785" priority="2145">
      <formula>$C52="Sales"</formula>
    </cfRule>
    <cfRule type="expression" dxfId="4784" priority="2146">
      <formula>$C52="Expences"</formula>
    </cfRule>
    <cfRule type="expression" dxfId="4783" priority="2147">
      <formula>$C52="Garlic Purchase"</formula>
    </cfRule>
    <cfRule type="expression" dxfId="4782" priority="2148">
      <formula>$C52="Ginger Purchase"</formula>
    </cfRule>
  </conditionalFormatting>
  <conditionalFormatting sqref="B52 B56 B60">
    <cfRule type="expression" dxfId="4781" priority="2149">
      <formula>$C52="Advance"</formula>
    </cfRule>
  </conditionalFormatting>
  <conditionalFormatting sqref="B52 B56 B60">
    <cfRule type="expression" dxfId="4780" priority="2130">
      <formula>$C52="Delivery charge"</formula>
    </cfRule>
    <cfRule type="expression" dxfId="4779" priority="2131">
      <formula>$C52="Staff Salary"</formula>
    </cfRule>
    <cfRule type="expression" dxfId="4778" priority="2132">
      <formula>$C52="Rent"</formula>
    </cfRule>
    <cfRule type="expression" dxfId="4777" priority="2133">
      <formula>$C52="Petrol"</formula>
    </cfRule>
    <cfRule type="expression" dxfId="4776" priority="2134">
      <formula>$C52="Bills"</formula>
    </cfRule>
    <cfRule type="expression" dxfId="4775" priority="2135">
      <formula>$C52="Sales"</formula>
    </cfRule>
    <cfRule type="expression" dxfId="4774" priority="2136">
      <formula>$C52="Expences"</formula>
    </cfRule>
    <cfRule type="expression" dxfId="4773" priority="2137">
      <formula>$C52="Garlic Purchase"</formula>
    </cfRule>
    <cfRule type="expression" dxfId="4772" priority="2138">
      <formula>$C52="Ginger Purchase"</formula>
    </cfRule>
  </conditionalFormatting>
  <conditionalFormatting sqref="B52 B56 B60">
    <cfRule type="expression" dxfId="4771" priority="2139">
      <formula>$C52="Advance"</formula>
    </cfRule>
  </conditionalFormatting>
  <conditionalFormatting sqref="B52 B56 B60">
    <cfRule type="expression" dxfId="4770" priority="2120">
      <formula>$C52="Delivery charge"</formula>
    </cfRule>
    <cfRule type="expression" dxfId="4769" priority="2121">
      <formula>$C52="Staff Salary"</formula>
    </cfRule>
    <cfRule type="expression" dxfId="4768" priority="2122">
      <formula>$C52="Rent"</formula>
    </cfRule>
    <cfRule type="expression" dxfId="4767" priority="2123">
      <formula>$C52="Petrol"</formula>
    </cfRule>
    <cfRule type="expression" dxfId="4766" priority="2124">
      <formula>$C52="Bills"</formula>
    </cfRule>
    <cfRule type="expression" dxfId="4765" priority="2125">
      <formula>$C52="Sales"</formula>
    </cfRule>
    <cfRule type="expression" dxfId="4764" priority="2126">
      <formula>$C52="Expences"</formula>
    </cfRule>
    <cfRule type="expression" dxfId="4763" priority="2127">
      <formula>$C52="Garlic Purchase"</formula>
    </cfRule>
    <cfRule type="expression" dxfId="4762" priority="2128">
      <formula>$C52="Ginger Purchase"</formula>
    </cfRule>
  </conditionalFormatting>
  <conditionalFormatting sqref="B52 B56 B60">
    <cfRule type="expression" dxfId="4761" priority="2129">
      <formula>$C52="Advance"</formula>
    </cfRule>
  </conditionalFormatting>
  <conditionalFormatting sqref="B52 B56 B60">
    <cfRule type="expression" dxfId="4760" priority="2110">
      <formula>$C52="Delivery charge"</formula>
    </cfRule>
    <cfRule type="expression" dxfId="4759" priority="2111">
      <formula>$C52="Staff Salary"</formula>
    </cfRule>
    <cfRule type="expression" dxfId="4758" priority="2112">
      <formula>$C52="Rent"</formula>
    </cfRule>
    <cfRule type="expression" dxfId="4757" priority="2113">
      <formula>$C52="Petrol"</formula>
    </cfRule>
    <cfRule type="expression" dxfId="4756" priority="2114">
      <formula>$C52="Bills"</formula>
    </cfRule>
    <cfRule type="expression" dxfId="4755" priority="2115">
      <formula>$C52="Sales"</formula>
    </cfRule>
    <cfRule type="expression" dxfId="4754" priority="2116">
      <formula>$C52="Expences"</formula>
    </cfRule>
    <cfRule type="expression" dxfId="4753" priority="2117">
      <formula>$C52="Garlic Purchase"</formula>
    </cfRule>
    <cfRule type="expression" dxfId="4752" priority="2118">
      <formula>$C52="Ginger Purchase"</formula>
    </cfRule>
  </conditionalFormatting>
  <conditionalFormatting sqref="B52 B56 B60">
    <cfRule type="expression" dxfId="4751" priority="2119">
      <formula>$C52="Advance"</formula>
    </cfRule>
  </conditionalFormatting>
  <conditionalFormatting sqref="B52 B56 B60">
    <cfRule type="expression" dxfId="4750" priority="2100">
      <formula>$C52="Delivery charge"</formula>
    </cfRule>
    <cfRule type="expression" dxfId="4749" priority="2101">
      <formula>$C52="Staff Salary"</formula>
    </cfRule>
    <cfRule type="expression" dxfId="4748" priority="2102">
      <formula>$C52="Rent"</formula>
    </cfRule>
    <cfRule type="expression" dxfId="4747" priority="2103">
      <formula>$C52="Petrol"</formula>
    </cfRule>
    <cfRule type="expression" dxfId="4746" priority="2104">
      <formula>$C52="Bills"</formula>
    </cfRule>
    <cfRule type="expression" dxfId="4745" priority="2105">
      <formula>$C52="Sales"</formula>
    </cfRule>
    <cfRule type="expression" dxfId="4744" priority="2106">
      <formula>$C52="Expences"</formula>
    </cfRule>
    <cfRule type="expression" dxfId="4743" priority="2107">
      <formula>$C52="Garlic Purchase"</formula>
    </cfRule>
    <cfRule type="expression" dxfId="4742" priority="2108">
      <formula>$C52="Ginger Purchase"</formula>
    </cfRule>
  </conditionalFormatting>
  <conditionalFormatting sqref="B52 B56 B60">
    <cfRule type="expression" dxfId="4741" priority="2109">
      <formula>$C52="Advance"</formula>
    </cfRule>
  </conditionalFormatting>
  <conditionalFormatting sqref="B52 B56 B60">
    <cfRule type="expression" dxfId="4740" priority="2090">
      <formula>$C52="Delivery charge"</formula>
    </cfRule>
    <cfRule type="expression" dxfId="4739" priority="2091">
      <formula>$C52="Staff Salary"</formula>
    </cfRule>
    <cfRule type="expression" dxfId="4738" priority="2092">
      <formula>$C52="Rent"</formula>
    </cfRule>
    <cfRule type="expression" dxfId="4737" priority="2093">
      <formula>$C52="Petrol"</formula>
    </cfRule>
    <cfRule type="expression" dxfId="4736" priority="2094">
      <formula>$C52="Bills"</formula>
    </cfRule>
    <cfRule type="expression" dxfId="4735" priority="2095">
      <formula>$C52="Sales"</formula>
    </cfRule>
    <cfRule type="expression" dxfId="4734" priority="2096">
      <formula>$C52="Expences"</formula>
    </cfRule>
    <cfRule type="expression" dxfId="4733" priority="2097">
      <formula>$C52="Garlic Purchase"</formula>
    </cfRule>
    <cfRule type="expression" dxfId="4732" priority="2098">
      <formula>$C52="Ginger Purchase"</formula>
    </cfRule>
  </conditionalFormatting>
  <conditionalFormatting sqref="B52 B56 B60">
    <cfRule type="expression" dxfId="4731" priority="2099">
      <formula>$C52="Advance"</formula>
    </cfRule>
  </conditionalFormatting>
  <conditionalFormatting sqref="B52 B56 B60">
    <cfRule type="expression" dxfId="4730" priority="2080">
      <formula>$C52="Delivery charge"</formula>
    </cfRule>
    <cfRule type="expression" dxfId="4729" priority="2081">
      <formula>$C52="Staff Salary"</formula>
    </cfRule>
    <cfRule type="expression" dxfId="4728" priority="2082">
      <formula>$C52="Rent"</formula>
    </cfRule>
    <cfRule type="expression" dxfId="4727" priority="2083">
      <formula>$C52="Petrol"</formula>
    </cfRule>
    <cfRule type="expression" dxfId="4726" priority="2084">
      <formula>$C52="Bills"</formula>
    </cfRule>
    <cfRule type="expression" dxfId="4725" priority="2085">
      <formula>$C52="Sales"</formula>
    </cfRule>
    <cfRule type="expression" dxfId="4724" priority="2086">
      <formula>$C52="Expences"</formula>
    </cfRule>
    <cfRule type="expression" dxfId="4723" priority="2087">
      <formula>$C52="Garlic Purchase"</formula>
    </cfRule>
    <cfRule type="expression" dxfId="4722" priority="2088">
      <formula>$C52="Ginger Purchase"</formula>
    </cfRule>
  </conditionalFormatting>
  <conditionalFormatting sqref="B52 B56 B60">
    <cfRule type="expression" dxfId="4721" priority="2070">
      <formula>$C52="Delivery charge"</formula>
    </cfRule>
    <cfRule type="expression" dxfId="4720" priority="2071">
      <formula>$C52="Staff Salary"</formula>
    </cfRule>
    <cfRule type="expression" dxfId="4719" priority="2072">
      <formula>$C52="Rent"</formula>
    </cfRule>
    <cfRule type="expression" dxfId="4718" priority="2073">
      <formula>$C52="Petrol"</formula>
    </cfRule>
    <cfRule type="expression" dxfId="4717" priority="2074">
      <formula>$C52="Bills"</formula>
    </cfRule>
    <cfRule type="expression" dxfId="4716" priority="2075">
      <formula>$C52="Sales"</formula>
    </cfRule>
    <cfRule type="expression" dxfId="4715" priority="2076">
      <formula>$C52="Expences"</formula>
    </cfRule>
    <cfRule type="expression" dxfId="4714" priority="2077">
      <formula>$C52="Garlic Purchase"</formula>
    </cfRule>
    <cfRule type="expression" dxfId="4713" priority="2078">
      <formula>$C52="Ginger Purchase"</formula>
    </cfRule>
  </conditionalFormatting>
  <conditionalFormatting sqref="B52 B56 B60">
    <cfRule type="expression" dxfId="4712" priority="2079">
      <formula>$C52="Advance"</formula>
    </cfRule>
  </conditionalFormatting>
  <conditionalFormatting sqref="B52 B56 B60">
    <cfRule type="expression" dxfId="4711" priority="2060">
      <formula>$C52="Delivery charge"</formula>
    </cfRule>
    <cfRule type="expression" dxfId="4710" priority="2061">
      <formula>$C52="Staff Salary"</formula>
    </cfRule>
    <cfRule type="expression" dxfId="4709" priority="2062">
      <formula>$C52="Rent"</formula>
    </cfRule>
    <cfRule type="expression" dxfId="4708" priority="2063">
      <formula>$C52="Petrol"</formula>
    </cfRule>
    <cfRule type="expression" dxfId="4707" priority="2064">
      <formula>$C52="Bills"</formula>
    </cfRule>
    <cfRule type="expression" dxfId="4706" priority="2065">
      <formula>$C52="Sales"</formula>
    </cfRule>
    <cfRule type="expression" dxfId="4705" priority="2066">
      <formula>$C52="Expences"</formula>
    </cfRule>
    <cfRule type="expression" dxfId="4704" priority="2067">
      <formula>$C52="Garlic Purchase"</formula>
    </cfRule>
    <cfRule type="expression" dxfId="4703" priority="2068">
      <formula>$C52="Ginger Purchase"</formula>
    </cfRule>
  </conditionalFormatting>
  <conditionalFormatting sqref="B52 B56 B60">
    <cfRule type="expression" dxfId="4702" priority="2069">
      <formula>$C52="Advance"</formula>
    </cfRule>
  </conditionalFormatting>
  <conditionalFormatting sqref="B52 B56 B60">
    <cfRule type="expression" dxfId="4701" priority="2050">
      <formula>$C52="Delivery charge"</formula>
    </cfRule>
    <cfRule type="expression" dxfId="4700" priority="2051">
      <formula>$C52="Staff Salary"</formula>
    </cfRule>
    <cfRule type="expression" dxfId="4699" priority="2052">
      <formula>$C52="Rent"</formula>
    </cfRule>
    <cfRule type="expression" dxfId="4698" priority="2053">
      <formula>$C52="Petrol"</formula>
    </cfRule>
    <cfRule type="expression" dxfId="4697" priority="2054">
      <formula>$C52="Bills"</formula>
    </cfRule>
    <cfRule type="expression" dxfId="4696" priority="2055">
      <formula>$C52="Sales"</formula>
    </cfRule>
    <cfRule type="expression" dxfId="4695" priority="2056">
      <formula>$C52="Expences"</formula>
    </cfRule>
    <cfRule type="expression" dxfId="4694" priority="2057">
      <formula>$C52="Garlic Purchase"</formula>
    </cfRule>
    <cfRule type="expression" dxfId="4693" priority="2058">
      <formula>$C52="Ginger Purchase"</formula>
    </cfRule>
  </conditionalFormatting>
  <conditionalFormatting sqref="B52 B56 B60">
    <cfRule type="expression" dxfId="4692" priority="2059">
      <formula>$C52="Advance"</formula>
    </cfRule>
  </conditionalFormatting>
  <conditionalFormatting sqref="B52 B56 B60">
    <cfRule type="expression" dxfId="4691" priority="2040">
      <formula>$C52="Delivery charge"</formula>
    </cfRule>
    <cfRule type="expression" dxfId="4690" priority="2041">
      <formula>$C52="Staff Salary"</formula>
    </cfRule>
    <cfRule type="expression" dxfId="4689" priority="2042">
      <formula>$C52="Rent"</formula>
    </cfRule>
    <cfRule type="expression" dxfId="4688" priority="2043">
      <formula>$C52="Petrol"</formula>
    </cfRule>
    <cfRule type="expression" dxfId="4687" priority="2044">
      <formula>$C52="Bills"</formula>
    </cfRule>
    <cfRule type="expression" dxfId="4686" priority="2045">
      <formula>$C52="Sales"</formula>
    </cfRule>
    <cfRule type="expression" dxfId="4685" priority="2046">
      <formula>$C52="Expences"</formula>
    </cfRule>
    <cfRule type="expression" dxfId="4684" priority="2047">
      <formula>$C52="Garlic Purchase"</formula>
    </cfRule>
    <cfRule type="expression" dxfId="4683" priority="2048">
      <formula>$C52="Ginger Purchase"</formula>
    </cfRule>
  </conditionalFormatting>
  <conditionalFormatting sqref="B52 B56 B60">
    <cfRule type="expression" dxfId="4682" priority="2049">
      <formula>$C52="Advance"</formula>
    </cfRule>
  </conditionalFormatting>
  <conditionalFormatting sqref="B52 B56 B60">
    <cfRule type="expression" dxfId="4681" priority="2030">
      <formula>$C52="Delivery charge"</formula>
    </cfRule>
    <cfRule type="expression" dxfId="4680" priority="2031">
      <formula>$C52="Staff Salary"</formula>
    </cfRule>
    <cfRule type="expression" dxfId="4679" priority="2032">
      <formula>$C52="Rent"</formula>
    </cfRule>
    <cfRule type="expression" dxfId="4678" priority="2033">
      <formula>$C52="Petrol"</formula>
    </cfRule>
    <cfRule type="expression" dxfId="4677" priority="2034">
      <formula>$C52="Bills"</formula>
    </cfRule>
    <cfRule type="expression" dxfId="4676" priority="2035">
      <formula>$C52="Sales"</formula>
    </cfRule>
    <cfRule type="expression" dxfId="4675" priority="2036">
      <formula>$C52="Expences"</formula>
    </cfRule>
    <cfRule type="expression" dxfId="4674" priority="2037">
      <formula>$C52="Garlic Purchase"</formula>
    </cfRule>
    <cfRule type="expression" dxfId="4673" priority="2038">
      <formula>$C52="Ginger Purchase"</formula>
    </cfRule>
  </conditionalFormatting>
  <conditionalFormatting sqref="B52 B56 B60">
    <cfRule type="expression" dxfId="4672" priority="2039">
      <formula>$C52="Advance"</formula>
    </cfRule>
  </conditionalFormatting>
  <conditionalFormatting sqref="B52 B56 B60">
    <cfRule type="expression" dxfId="4671" priority="2020">
      <formula>$C52="Delivery charge"</formula>
    </cfRule>
    <cfRule type="expression" dxfId="4670" priority="2021">
      <formula>$C52="Staff Salary"</formula>
    </cfRule>
    <cfRule type="expression" dxfId="4669" priority="2022">
      <formula>$C52="Rent"</formula>
    </cfRule>
    <cfRule type="expression" dxfId="4668" priority="2023">
      <formula>$C52="Petrol"</formula>
    </cfRule>
    <cfRule type="expression" dxfId="4667" priority="2024">
      <formula>$C52="Bills"</formula>
    </cfRule>
    <cfRule type="expression" dxfId="4666" priority="2025">
      <formula>$C52="Sales"</formula>
    </cfRule>
    <cfRule type="expression" dxfId="4665" priority="2026">
      <formula>$C52="Expences"</formula>
    </cfRule>
    <cfRule type="expression" dxfId="4664" priority="2027">
      <formula>$C52="Garlic Purchase"</formula>
    </cfRule>
    <cfRule type="expression" dxfId="4663" priority="2028">
      <formula>$C52="Ginger Purchase"</formula>
    </cfRule>
  </conditionalFormatting>
  <conditionalFormatting sqref="B52 B56 B60">
    <cfRule type="expression" dxfId="4662" priority="2029">
      <formula>$C52="Advance"</formula>
    </cfRule>
  </conditionalFormatting>
  <conditionalFormatting sqref="B52 B56 B60">
    <cfRule type="expression" dxfId="4661" priority="2010">
      <formula>$C52="Delivery charge"</formula>
    </cfRule>
    <cfRule type="expression" dxfId="4660" priority="2011">
      <formula>$C52="Staff Salary"</formula>
    </cfRule>
    <cfRule type="expression" dxfId="4659" priority="2012">
      <formula>$C52="Rent"</formula>
    </cfRule>
    <cfRule type="expression" dxfId="4658" priority="2013">
      <formula>$C52="Petrol"</formula>
    </cfRule>
    <cfRule type="expression" dxfId="4657" priority="2014">
      <formula>$C52="Bills"</formula>
    </cfRule>
    <cfRule type="expression" dxfId="4656" priority="2015">
      <formula>$C52="Sales"</formula>
    </cfRule>
    <cfRule type="expression" dxfId="4655" priority="2016">
      <formula>$C52="Expences"</formula>
    </cfRule>
    <cfRule type="expression" dxfId="4654" priority="2017">
      <formula>$C52="Garlic Purchase"</formula>
    </cfRule>
    <cfRule type="expression" dxfId="4653" priority="2018">
      <formula>$C52="Ginger Purchase"</formula>
    </cfRule>
  </conditionalFormatting>
  <conditionalFormatting sqref="B52 B56 B60">
    <cfRule type="expression" dxfId="4652" priority="2019">
      <formula>$C52="Advance"</formula>
    </cfRule>
  </conditionalFormatting>
  <conditionalFormatting sqref="B52 B56 B60">
    <cfRule type="expression" dxfId="4651" priority="2000">
      <formula>$C52="Delivery charge"</formula>
    </cfRule>
    <cfRule type="expression" dxfId="4650" priority="2001">
      <formula>$C52="Staff Salary"</formula>
    </cfRule>
    <cfRule type="expression" dxfId="4649" priority="2002">
      <formula>$C52="Rent"</formula>
    </cfRule>
    <cfRule type="expression" dxfId="4648" priority="2003">
      <formula>$C52="Petrol"</formula>
    </cfRule>
    <cfRule type="expression" dxfId="4647" priority="2004">
      <formula>$C52="Bills"</formula>
    </cfRule>
    <cfRule type="expression" dxfId="4646" priority="2005">
      <formula>$C52="Sales"</formula>
    </cfRule>
    <cfRule type="expression" dxfId="4645" priority="2006">
      <formula>$C52="Expences"</formula>
    </cfRule>
    <cfRule type="expression" dxfId="4644" priority="2007">
      <formula>$C52="Garlic Purchase"</formula>
    </cfRule>
    <cfRule type="expression" dxfId="4643" priority="2008">
      <formula>$C52="Ginger Purchase"</formula>
    </cfRule>
  </conditionalFormatting>
  <conditionalFormatting sqref="B52 B56 B60">
    <cfRule type="expression" dxfId="4642" priority="2009">
      <formula>$C52="Advance"</formula>
    </cfRule>
  </conditionalFormatting>
  <conditionalFormatting sqref="B52 B56 B60">
    <cfRule type="expression" dxfId="4641" priority="1990">
      <formula>$C52="Delivery charge"</formula>
    </cfRule>
    <cfRule type="expression" dxfId="4640" priority="1991">
      <formula>$C52="Staff Salary"</formula>
    </cfRule>
    <cfRule type="expression" dxfId="4639" priority="1992">
      <formula>$C52="Rent"</formula>
    </cfRule>
    <cfRule type="expression" dxfId="4638" priority="1993">
      <formula>$C52="Petrol"</formula>
    </cfRule>
    <cfRule type="expression" dxfId="4637" priority="1994">
      <formula>$C52="Bills"</formula>
    </cfRule>
    <cfRule type="expression" dxfId="4636" priority="1995">
      <formula>$C52="Sales"</formula>
    </cfRule>
    <cfRule type="expression" dxfId="4635" priority="1996">
      <formula>$C52="Expences"</formula>
    </cfRule>
    <cfRule type="expression" dxfId="4634" priority="1997">
      <formula>$C52="Garlic Purchase"</formula>
    </cfRule>
    <cfRule type="expression" dxfId="4633" priority="1998">
      <formula>$C52="Ginger Purchase"</formula>
    </cfRule>
  </conditionalFormatting>
  <conditionalFormatting sqref="B52 B56 B60">
    <cfRule type="expression" dxfId="4632" priority="1999">
      <formula>$C52="Advance"</formula>
    </cfRule>
  </conditionalFormatting>
  <conditionalFormatting sqref="B52 B56 B60">
    <cfRule type="expression" dxfId="4631" priority="1989">
      <formula>$C52="Advance"</formula>
    </cfRule>
  </conditionalFormatting>
  <conditionalFormatting sqref="B52 B56 B60">
    <cfRule type="expression" dxfId="4630" priority="1980">
      <formula>$C52="Delivery charge"</formula>
    </cfRule>
    <cfRule type="expression" dxfId="4629" priority="1981">
      <formula>$C52="Staff Salary"</formula>
    </cfRule>
    <cfRule type="expression" dxfId="4628" priority="1982">
      <formula>$C52="Rent"</formula>
    </cfRule>
    <cfRule type="expression" dxfId="4627" priority="1983">
      <formula>$C52="Petrol"</formula>
    </cfRule>
    <cfRule type="expression" dxfId="4626" priority="1984">
      <formula>$C52="Bills"</formula>
    </cfRule>
    <cfRule type="expression" dxfId="4625" priority="1985">
      <formula>$C52="Sales"</formula>
    </cfRule>
    <cfRule type="expression" dxfId="4624" priority="1986">
      <formula>$C52="Expences"</formula>
    </cfRule>
    <cfRule type="expression" dxfId="4623" priority="1987">
      <formula>$C52="Garlic Purchase"</formula>
    </cfRule>
    <cfRule type="expression" dxfId="4622" priority="1988">
      <formula>$C52="Ginger Purchase"</formula>
    </cfRule>
  </conditionalFormatting>
  <conditionalFormatting sqref="B52 B56 B60">
    <cfRule type="expression" dxfId="4621" priority="1970">
      <formula>$C52="Delivery charge"</formula>
    </cfRule>
    <cfRule type="expression" dxfId="4620" priority="1971">
      <formula>$C52="Staff Salary"</formula>
    </cfRule>
    <cfRule type="expression" dxfId="4619" priority="1972">
      <formula>$C52="Rent"</formula>
    </cfRule>
    <cfRule type="expression" dxfId="4618" priority="1973">
      <formula>$C52="Petrol"</formula>
    </cfRule>
    <cfRule type="expression" dxfId="4617" priority="1974">
      <formula>$C52="Bills"</formula>
    </cfRule>
    <cfRule type="expression" dxfId="4616" priority="1975">
      <formula>$C52="Sales"</formula>
    </cfRule>
    <cfRule type="expression" dxfId="4615" priority="1976">
      <formula>$C52="Expences"</formula>
    </cfRule>
    <cfRule type="expression" dxfId="4614" priority="1977">
      <formula>$C52="Garlic Purchase"</formula>
    </cfRule>
    <cfRule type="expression" dxfId="4613" priority="1978">
      <formula>$C52="Ginger Purchase"</formula>
    </cfRule>
  </conditionalFormatting>
  <conditionalFormatting sqref="B52 B56 B60">
    <cfRule type="expression" dxfId="4612" priority="1979">
      <formula>$C52="Advance"</formula>
    </cfRule>
  </conditionalFormatting>
  <conditionalFormatting sqref="B52 B56 B60">
    <cfRule type="expression" dxfId="4611" priority="1960">
      <formula>$C52="Delivery charge"</formula>
    </cfRule>
    <cfRule type="expression" dxfId="4610" priority="1961">
      <formula>$C52="Staff Salary"</formula>
    </cfRule>
    <cfRule type="expression" dxfId="4609" priority="1962">
      <formula>$C52="Rent"</formula>
    </cfRule>
    <cfRule type="expression" dxfId="4608" priority="1963">
      <formula>$C52="Petrol"</formula>
    </cfRule>
    <cfRule type="expression" dxfId="4607" priority="1964">
      <formula>$C52="Bills"</formula>
    </cfRule>
    <cfRule type="expression" dxfId="4606" priority="1965">
      <formula>$C52="Sales"</formula>
    </cfRule>
    <cfRule type="expression" dxfId="4605" priority="1966">
      <formula>$C52="Expences"</formula>
    </cfRule>
    <cfRule type="expression" dxfId="4604" priority="1967">
      <formula>$C52="Garlic Purchase"</formula>
    </cfRule>
    <cfRule type="expression" dxfId="4603" priority="1968">
      <formula>$C52="Ginger Purchase"</formula>
    </cfRule>
  </conditionalFormatting>
  <conditionalFormatting sqref="B52 B56 B60">
    <cfRule type="expression" dxfId="4602" priority="1969">
      <formula>$C52="Advance"</formula>
    </cfRule>
  </conditionalFormatting>
  <conditionalFormatting sqref="B52 B56 B60">
    <cfRule type="expression" dxfId="4601" priority="1950">
      <formula>$C52="Delivery charge"</formula>
    </cfRule>
    <cfRule type="expression" dxfId="4600" priority="1951">
      <formula>$C52="Staff Salary"</formula>
    </cfRule>
    <cfRule type="expression" dxfId="4599" priority="1952">
      <formula>$C52="Rent"</formula>
    </cfRule>
    <cfRule type="expression" dxfId="4598" priority="1953">
      <formula>$C52="Petrol"</formula>
    </cfRule>
    <cfRule type="expression" dxfId="4597" priority="1954">
      <formula>$C52="Bills"</formula>
    </cfRule>
    <cfRule type="expression" dxfId="4596" priority="1955">
      <formula>$C52="Sales"</formula>
    </cfRule>
    <cfRule type="expression" dxfId="4595" priority="1956">
      <formula>$C52="Expences"</formula>
    </cfRule>
    <cfRule type="expression" dxfId="4594" priority="1957">
      <formula>$C52="Garlic Purchase"</formula>
    </cfRule>
    <cfRule type="expression" dxfId="4593" priority="1958">
      <formula>$C52="Ginger Purchase"</formula>
    </cfRule>
  </conditionalFormatting>
  <conditionalFormatting sqref="B52 B56 B60">
    <cfRule type="expression" dxfId="4592" priority="1959">
      <formula>$C52="Advance"</formula>
    </cfRule>
  </conditionalFormatting>
  <conditionalFormatting sqref="B52 B56 B60">
    <cfRule type="expression" dxfId="4591" priority="1940">
      <formula>$C52="Delivery charge"</formula>
    </cfRule>
    <cfRule type="expression" dxfId="4590" priority="1941">
      <formula>$C52="Staff Salary"</formula>
    </cfRule>
    <cfRule type="expression" dxfId="4589" priority="1942">
      <formula>$C52="Rent"</formula>
    </cfRule>
    <cfRule type="expression" dxfId="4588" priority="1943">
      <formula>$C52="Petrol"</formula>
    </cfRule>
    <cfRule type="expression" dxfId="4587" priority="1944">
      <formula>$C52="Bills"</formula>
    </cfRule>
    <cfRule type="expression" dxfId="4586" priority="1945">
      <formula>$C52="Sales"</formula>
    </cfRule>
    <cfRule type="expression" dxfId="4585" priority="1946">
      <formula>$C52="Expences"</formula>
    </cfRule>
    <cfRule type="expression" dxfId="4584" priority="1947">
      <formula>$C52="Garlic Purchase"</formula>
    </cfRule>
    <cfRule type="expression" dxfId="4583" priority="1948">
      <formula>$C52="Ginger Purchase"</formula>
    </cfRule>
  </conditionalFormatting>
  <conditionalFormatting sqref="B52 B56 B60">
    <cfRule type="expression" dxfId="4582" priority="1949">
      <formula>$C52="Advance"</formula>
    </cfRule>
  </conditionalFormatting>
  <conditionalFormatting sqref="B52 B56 B60">
    <cfRule type="expression" dxfId="4581" priority="1930">
      <formula>$C52="Delivery charge"</formula>
    </cfRule>
    <cfRule type="expression" dxfId="4580" priority="1931">
      <formula>$C52="Staff Salary"</formula>
    </cfRule>
    <cfRule type="expression" dxfId="4579" priority="1932">
      <formula>$C52="Rent"</formula>
    </cfRule>
    <cfRule type="expression" dxfId="4578" priority="1933">
      <formula>$C52="Petrol"</formula>
    </cfRule>
    <cfRule type="expression" dxfId="4577" priority="1934">
      <formula>$C52="Bills"</formula>
    </cfRule>
    <cfRule type="expression" dxfId="4576" priority="1935">
      <formula>$C52="Sales"</formula>
    </cfRule>
    <cfRule type="expression" dxfId="4575" priority="1936">
      <formula>$C52="Expences"</formula>
    </cfRule>
    <cfRule type="expression" dxfId="4574" priority="1937">
      <formula>$C52="Garlic Purchase"</formula>
    </cfRule>
    <cfRule type="expression" dxfId="4573" priority="1938">
      <formula>$C52="Ginger Purchase"</formula>
    </cfRule>
  </conditionalFormatting>
  <conditionalFormatting sqref="B52 B56 B60">
    <cfRule type="expression" dxfId="4572" priority="1939">
      <formula>$C52="Advance"</formula>
    </cfRule>
  </conditionalFormatting>
  <conditionalFormatting sqref="B52 B56 B60">
    <cfRule type="expression" dxfId="4571" priority="1920">
      <formula>$C52="Delivery charge"</formula>
    </cfRule>
    <cfRule type="expression" dxfId="4570" priority="1921">
      <formula>$C52="Staff Salary"</formula>
    </cfRule>
    <cfRule type="expression" dxfId="4569" priority="1922">
      <formula>$C52="Rent"</formula>
    </cfRule>
    <cfRule type="expression" dxfId="4568" priority="1923">
      <formula>$C52="Petrol"</formula>
    </cfRule>
    <cfRule type="expression" dxfId="4567" priority="1924">
      <formula>$C52="Bills"</formula>
    </cfRule>
    <cfRule type="expression" dxfId="4566" priority="1925">
      <formula>$C52="Sales"</formula>
    </cfRule>
    <cfRule type="expression" dxfId="4565" priority="1926">
      <formula>$C52="Expences"</formula>
    </cfRule>
    <cfRule type="expression" dxfId="4564" priority="1927">
      <formula>$C52="Garlic Purchase"</formula>
    </cfRule>
    <cfRule type="expression" dxfId="4563" priority="1928">
      <formula>$C52="Ginger Purchase"</formula>
    </cfRule>
  </conditionalFormatting>
  <conditionalFormatting sqref="B52 B56 B60">
    <cfRule type="expression" dxfId="4562" priority="1929">
      <formula>$C52="Advance"</formula>
    </cfRule>
  </conditionalFormatting>
  <conditionalFormatting sqref="B52 B56 B60">
    <cfRule type="expression" dxfId="4561" priority="1910">
      <formula>$C52="Delivery charge"</formula>
    </cfRule>
    <cfRule type="expression" dxfId="4560" priority="1911">
      <formula>$C52="Staff Salary"</formula>
    </cfRule>
    <cfRule type="expression" dxfId="4559" priority="1912">
      <formula>$C52="Rent"</formula>
    </cfRule>
    <cfRule type="expression" dxfId="4558" priority="1913">
      <formula>$C52="Petrol"</formula>
    </cfRule>
    <cfRule type="expression" dxfId="4557" priority="1914">
      <formula>$C52="Bills"</formula>
    </cfRule>
    <cfRule type="expression" dxfId="4556" priority="1915">
      <formula>$C52="Sales"</formula>
    </cfRule>
    <cfRule type="expression" dxfId="4555" priority="1916">
      <formula>$C52="Expences"</formula>
    </cfRule>
    <cfRule type="expression" dxfId="4554" priority="1917">
      <formula>$C52="Garlic Purchase"</formula>
    </cfRule>
    <cfRule type="expression" dxfId="4553" priority="1918">
      <formula>$C52="Ginger Purchase"</formula>
    </cfRule>
  </conditionalFormatting>
  <conditionalFormatting sqref="B52 B56 B60">
    <cfRule type="expression" dxfId="4552" priority="1919">
      <formula>$C52="Advance"</formula>
    </cfRule>
  </conditionalFormatting>
  <conditionalFormatting sqref="B52 B56 B60">
    <cfRule type="expression" dxfId="4551" priority="1900">
      <formula>$C52="Delivery charge"</formula>
    </cfRule>
    <cfRule type="expression" dxfId="4550" priority="1901">
      <formula>$C52="Staff Salary"</formula>
    </cfRule>
    <cfRule type="expression" dxfId="4549" priority="1902">
      <formula>$C52="Rent"</formula>
    </cfRule>
    <cfRule type="expression" dxfId="4548" priority="1903">
      <formula>$C52="Petrol"</formula>
    </cfRule>
    <cfRule type="expression" dxfId="4547" priority="1904">
      <formula>$C52="Bills"</formula>
    </cfRule>
    <cfRule type="expression" dxfId="4546" priority="1905">
      <formula>$C52="Sales"</formula>
    </cfRule>
    <cfRule type="expression" dxfId="4545" priority="1906">
      <formula>$C52="Expences"</formula>
    </cfRule>
    <cfRule type="expression" dxfId="4544" priority="1907">
      <formula>$C52="Garlic Purchase"</formula>
    </cfRule>
    <cfRule type="expression" dxfId="4543" priority="1908">
      <formula>$C52="Ginger Purchase"</formula>
    </cfRule>
  </conditionalFormatting>
  <conditionalFormatting sqref="B52 B56 B60">
    <cfRule type="expression" dxfId="4542" priority="1909">
      <formula>$C52="Advance"</formula>
    </cfRule>
  </conditionalFormatting>
  <conditionalFormatting sqref="B52 B56 B60">
    <cfRule type="expression" dxfId="4541" priority="1890">
      <formula>$C52="Delivery charge"</formula>
    </cfRule>
    <cfRule type="expression" dxfId="4540" priority="1891">
      <formula>$C52="Staff Salary"</formula>
    </cfRule>
    <cfRule type="expression" dxfId="4539" priority="1892">
      <formula>$C52="Rent"</formula>
    </cfRule>
    <cfRule type="expression" dxfId="4538" priority="1893">
      <formula>$C52="Petrol"</formula>
    </cfRule>
    <cfRule type="expression" dxfId="4537" priority="1894">
      <formula>$C52="Bills"</formula>
    </cfRule>
    <cfRule type="expression" dxfId="4536" priority="1895">
      <formula>$C52="Sales"</formula>
    </cfRule>
    <cfRule type="expression" dxfId="4535" priority="1896">
      <formula>$C52="Expences"</formula>
    </cfRule>
    <cfRule type="expression" dxfId="4534" priority="1897">
      <formula>$C52="Garlic Purchase"</formula>
    </cfRule>
    <cfRule type="expression" dxfId="4533" priority="1898">
      <formula>$C52="Ginger Purchase"</formula>
    </cfRule>
  </conditionalFormatting>
  <conditionalFormatting sqref="B52 B56 B60">
    <cfRule type="expression" dxfId="4532" priority="1899">
      <formula>$C52="Advance"</formula>
    </cfRule>
  </conditionalFormatting>
  <conditionalFormatting sqref="B52 B56 B60">
    <cfRule type="expression" dxfId="4531" priority="1880">
      <formula>$C52="Delivery charge"</formula>
    </cfRule>
    <cfRule type="expression" dxfId="4530" priority="1881">
      <formula>$C52="Staff Salary"</formula>
    </cfRule>
    <cfRule type="expression" dxfId="4529" priority="1882">
      <formula>$C52="Rent"</formula>
    </cfRule>
    <cfRule type="expression" dxfId="4528" priority="1883">
      <formula>$C52="Petrol"</formula>
    </cfRule>
    <cfRule type="expression" dxfId="4527" priority="1884">
      <formula>$C52="Bills"</formula>
    </cfRule>
    <cfRule type="expression" dxfId="4526" priority="1885">
      <formula>$C52="Sales"</formula>
    </cfRule>
    <cfRule type="expression" dxfId="4525" priority="1886">
      <formula>$C52="Expences"</formula>
    </cfRule>
    <cfRule type="expression" dxfId="4524" priority="1887">
      <formula>$C52="Garlic Purchase"</formula>
    </cfRule>
    <cfRule type="expression" dxfId="4523" priority="1888">
      <formula>$C52="Ginger Purchase"</formula>
    </cfRule>
  </conditionalFormatting>
  <conditionalFormatting sqref="B52 B56 B60">
    <cfRule type="expression" dxfId="4522" priority="1889">
      <formula>$C52="Advance"</formula>
    </cfRule>
  </conditionalFormatting>
  <conditionalFormatting sqref="B52 B56 B60">
    <cfRule type="expression" dxfId="4521" priority="1870">
      <formula>$C52="Delivery charge"</formula>
    </cfRule>
    <cfRule type="expression" dxfId="4520" priority="1871">
      <formula>$C52="Staff Salary"</formula>
    </cfRule>
    <cfRule type="expression" dxfId="4519" priority="1872">
      <formula>$C52="Rent"</formula>
    </cfRule>
    <cfRule type="expression" dxfId="4518" priority="1873">
      <formula>$C52="Petrol"</formula>
    </cfRule>
    <cfRule type="expression" dxfId="4517" priority="1874">
      <formula>$C52="Bills"</formula>
    </cfRule>
    <cfRule type="expression" dxfId="4516" priority="1875">
      <formula>$C52="Sales"</formula>
    </cfRule>
    <cfRule type="expression" dxfId="4515" priority="1876">
      <formula>$C52="Expences"</formula>
    </cfRule>
    <cfRule type="expression" dxfId="4514" priority="1877">
      <formula>$C52="Garlic Purchase"</formula>
    </cfRule>
    <cfRule type="expression" dxfId="4513" priority="1878">
      <formula>$C52="Ginger Purchase"</formula>
    </cfRule>
  </conditionalFormatting>
  <conditionalFormatting sqref="B52 B56 B60">
    <cfRule type="expression" dxfId="4512" priority="1879">
      <formula>$C52="Advance"</formula>
    </cfRule>
  </conditionalFormatting>
  <conditionalFormatting sqref="B52 B56 B60">
    <cfRule type="expression" dxfId="4511" priority="1860">
      <formula>$C52="Delivery charge"</formula>
    </cfRule>
    <cfRule type="expression" dxfId="4510" priority="1861">
      <formula>$C52="Staff Salary"</formula>
    </cfRule>
    <cfRule type="expression" dxfId="4509" priority="1862">
      <formula>$C52="Rent"</formula>
    </cfRule>
    <cfRule type="expression" dxfId="4508" priority="1863">
      <formula>$C52="Petrol"</formula>
    </cfRule>
    <cfRule type="expression" dxfId="4507" priority="1864">
      <formula>$C52="Bills"</formula>
    </cfRule>
    <cfRule type="expression" dxfId="4506" priority="1865">
      <formula>$C52="Sales"</formula>
    </cfRule>
    <cfRule type="expression" dxfId="4505" priority="1866">
      <formula>$C52="Expences"</formula>
    </cfRule>
    <cfRule type="expression" dxfId="4504" priority="1867">
      <formula>$C52="Garlic Purchase"</formula>
    </cfRule>
    <cfRule type="expression" dxfId="4503" priority="1868">
      <formula>$C52="Ginger Purchase"</formula>
    </cfRule>
  </conditionalFormatting>
  <conditionalFormatting sqref="B52 B56 B60">
    <cfRule type="expression" dxfId="4502" priority="1869">
      <formula>$C52="Advance"</formula>
    </cfRule>
  </conditionalFormatting>
  <conditionalFormatting sqref="B52 B56 B60">
    <cfRule type="expression" dxfId="4501" priority="1850">
      <formula>$C52="Delivery charge"</formula>
    </cfRule>
    <cfRule type="expression" dxfId="4500" priority="1851">
      <formula>$C52="Staff Salary"</formula>
    </cfRule>
    <cfRule type="expression" dxfId="4499" priority="1852">
      <formula>$C52="Rent"</formula>
    </cfRule>
    <cfRule type="expression" dxfId="4498" priority="1853">
      <formula>$C52="Petrol"</formula>
    </cfRule>
    <cfRule type="expression" dxfId="4497" priority="1854">
      <formula>$C52="Bills"</formula>
    </cfRule>
    <cfRule type="expression" dxfId="4496" priority="1855">
      <formula>$C52="Sales"</formula>
    </cfRule>
    <cfRule type="expression" dxfId="4495" priority="1856">
      <formula>$C52="Expences"</formula>
    </cfRule>
    <cfRule type="expression" dxfId="4494" priority="1857">
      <formula>$C52="Garlic Purchase"</formula>
    </cfRule>
    <cfRule type="expression" dxfId="4493" priority="1858">
      <formula>$C52="Ginger Purchase"</formula>
    </cfRule>
  </conditionalFormatting>
  <conditionalFormatting sqref="B52 B56 B60">
    <cfRule type="expression" dxfId="4492" priority="1859">
      <formula>$C52="Advance"</formula>
    </cfRule>
  </conditionalFormatting>
  <conditionalFormatting sqref="B52 B56 B60">
    <cfRule type="expression" dxfId="4491" priority="1840">
      <formula>$C52="Delivery charge"</formula>
    </cfRule>
    <cfRule type="expression" dxfId="4490" priority="1841">
      <formula>$C52="Staff Salary"</formula>
    </cfRule>
    <cfRule type="expression" dxfId="4489" priority="1842">
      <formula>$C52="Rent"</formula>
    </cfRule>
    <cfRule type="expression" dxfId="4488" priority="1843">
      <formula>$C52="Petrol"</formula>
    </cfRule>
    <cfRule type="expression" dxfId="4487" priority="1844">
      <formula>$C52="Bills"</formula>
    </cfRule>
    <cfRule type="expression" dxfId="4486" priority="1845">
      <formula>$C52="Sales"</formula>
    </cfRule>
    <cfRule type="expression" dxfId="4485" priority="1846">
      <formula>$C52="Expences"</formula>
    </cfRule>
    <cfRule type="expression" dxfId="4484" priority="1847">
      <formula>$C52="Garlic Purchase"</formula>
    </cfRule>
    <cfRule type="expression" dxfId="4483" priority="1848">
      <formula>$C52="Ginger Purchase"</formula>
    </cfRule>
  </conditionalFormatting>
  <conditionalFormatting sqref="B52 B56 B60">
    <cfRule type="expression" dxfId="4482" priority="1849">
      <formula>$C52="Advance"</formula>
    </cfRule>
  </conditionalFormatting>
  <conditionalFormatting sqref="B52 B56 B60">
    <cfRule type="expression" dxfId="4481" priority="1830">
      <formula>$C52="Delivery charge"</formula>
    </cfRule>
    <cfRule type="expression" dxfId="4480" priority="1831">
      <formula>$C52="Staff Salary"</formula>
    </cfRule>
    <cfRule type="expression" dxfId="4479" priority="1832">
      <formula>$C52="Rent"</formula>
    </cfRule>
    <cfRule type="expression" dxfId="4478" priority="1833">
      <formula>$C52="Petrol"</formula>
    </cfRule>
    <cfRule type="expression" dxfId="4477" priority="1834">
      <formula>$C52="Bills"</formula>
    </cfRule>
    <cfRule type="expression" dxfId="4476" priority="1835">
      <formula>$C52="Sales"</formula>
    </cfRule>
    <cfRule type="expression" dxfId="4475" priority="1836">
      <formula>$C52="Expences"</formula>
    </cfRule>
    <cfRule type="expression" dxfId="4474" priority="1837">
      <formula>$C52="Garlic Purchase"</formula>
    </cfRule>
    <cfRule type="expression" dxfId="4473" priority="1838">
      <formula>$C52="Ginger Purchase"</formula>
    </cfRule>
  </conditionalFormatting>
  <conditionalFormatting sqref="B52 B56 B60">
    <cfRule type="expression" dxfId="4472" priority="1839">
      <formula>$C52="Advance"</formula>
    </cfRule>
  </conditionalFormatting>
  <conditionalFormatting sqref="B52 B56 B60">
    <cfRule type="expression" dxfId="4471" priority="1820">
      <formula>$C52="Delivery charge"</formula>
    </cfRule>
    <cfRule type="expression" dxfId="4470" priority="1821">
      <formula>$C52="Staff Salary"</formula>
    </cfRule>
    <cfRule type="expression" dxfId="4469" priority="1822">
      <formula>$C52="Rent"</formula>
    </cfRule>
    <cfRule type="expression" dxfId="4468" priority="1823">
      <formula>$C52="Petrol"</formula>
    </cfRule>
    <cfRule type="expression" dxfId="4467" priority="1824">
      <formula>$C52="Bills"</formula>
    </cfRule>
    <cfRule type="expression" dxfId="4466" priority="1825">
      <formula>$C52="Sales"</formula>
    </cfRule>
    <cfRule type="expression" dxfId="4465" priority="1826">
      <formula>$C52="Expences"</formula>
    </cfRule>
    <cfRule type="expression" dxfId="4464" priority="1827">
      <formula>$C52="Garlic Purchase"</formula>
    </cfRule>
    <cfRule type="expression" dxfId="4463" priority="1828">
      <formula>$C52="Ginger Purchase"</formula>
    </cfRule>
  </conditionalFormatting>
  <conditionalFormatting sqref="B52 B56 B60">
    <cfRule type="expression" dxfId="4462" priority="1829">
      <formula>$C52="Advance"</formula>
    </cfRule>
  </conditionalFormatting>
  <conditionalFormatting sqref="B52 B56 B60">
    <cfRule type="expression" dxfId="4461" priority="1810">
      <formula>$C52="Delivery charge"</formula>
    </cfRule>
    <cfRule type="expression" dxfId="4460" priority="1811">
      <formula>$C52="Staff Salary"</formula>
    </cfRule>
    <cfRule type="expression" dxfId="4459" priority="1812">
      <formula>$C52="Rent"</formula>
    </cfRule>
    <cfRule type="expression" dxfId="4458" priority="1813">
      <formula>$C52="Petrol"</formula>
    </cfRule>
    <cfRule type="expression" dxfId="4457" priority="1814">
      <formula>$C52="Bills"</formula>
    </cfRule>
    <cfRule type="expression" dxfId="4456" priority="1815">
      <formula>$C52="Sales"</formula>
    </cfRule>
    <cfRule type="expression" dxfId="4455" priority="1816">
      <formula>$C52="Expences"</formula>
    </cfRule>
    <cfRule type="expression" dxfId="4454" priority="1817">
      <formula>$C52="Garlic Purchase"</formula>
    </cfRule>
    <cfRule type="expression" dxfId="4453" priority="1818">
      <formula>$C52="Ginger Purchase"</formula>
    </cfRule>
  </conditionalFormatting>
  <conditionalFormatting sqref="B52 B56 B60">
    <cfRule type="expression" dxfId="4452" priority="1819">
      <formula>$C52="Advance"</formula>
    </cfRule>
  </conditionalFormatting>
  <conditionalFormatting sqref="B52 B56 B60">
    <cfRule type="expression" dxfId="4451" priority="1800">
      <formula>$C52="Delivery charge"</formula>
    </cfRule>
    <cfRule type="expression" dxfId="4450" priority="1801">
      <formula>$C52="Staff Salary"</formula>
    </cfRule>
    <cfRule type="expression" dxfId="4449" priority="1802">
      <formula>$C52="Rent"</formula>
    </cfRule>
    <cfRule type="expression" dxfId="4448" priority="1803">
      <formula>$C52="Petrol"</formula>
    </cfRule>
    <cfRule type="expression" dxfId="4447" priority="1804">
      <formula>$C52="Bills"</formula>
    </cfRule>
    <cfRule type="expression" dxfId="4446" priority="1805">
      <formula>$C52="Sales"</formula>
    </cfRule>
    <cfRule type="expression" dxfId="4445" priority="1806">
      <formula>$C52="Expences"</formula>
    </cfRule>
    <cfRule type="expression" dxfId="4444" priority="1807">
      <formula>$C52="Garlic Purchase"</formula>
    </cfRule>
    <cfRule type="expression" dxfId="4443" priority="1808">
      <formula>$C52="Ginger Purchase"</formula>
    </cfRule>
  </conditionalFormatting>
  <conditionalFormatting sqref="B52 B56 B60">
    <cfRule type="expression" dxfId="4442" priority="1809">
      <formula>$C52="Advance"</formula>
    </cfRule>
  </conditionalFormatting>
  <conditionalFormatting sqref="B52 B56 B60">
    <cfRule type="expression" dxfId="4441" priority="1790">
      <formula>$C52="Delivery charge"</formula>
    </cfRule>
    <cfRule type="expression" dxfId="4440" priority="1791">
      <formula>$C52="Staff Salary"</formula>
    </cfRule>
    <cfRule type="expression" dxfId="4439" priority="1792">
      <formula>$C52="Rent"</formula>
    </cfRule>
    <cfRule type="expression" dxfId="4438" priority="1793">
      <formula>$C52="Petrol"</formula>
    </cfRule>
    <cfRule type="expression" dxfId="4437" priority="1794">
      <formula>$C52="Bills"</formula>
    </cfRule>
    <cfRule type="expression" dxfId="4436" priority="1795">
      <formula>$C52="Sales"</formula>
    </cfRule>
    <cfRule type="expression" dxfId="4435" priority="1796">
      <formula>$C52="Expences"</formula>
    </cfRule>
    <cfRule type="expression" dxfId="4434" priority="1797">
      <formula>$C52="Garlic Purchase"</formula>
    </cfRule>
    <cfRule type="expression" dxfId="4433" priority="1798">
      <formula>$C52="Ginger Purchase"</formula>
    </cfRule>
  </conditionalFormatting>
  <conditionalFormatting sqref="B52 B56 B60">
    <cfRule type="expression" dxfId="4432" priority="1799">
      <formula>$C52="Advance"</formula>
    </cfRule>
  </conditionalFormatting>
  <conditionalFormatting sqref="B52 B56 B60">
    <cfRule type="expression" dxfId="4431" priority="1789">
      <formula>$C52="Advance"</formula>
    </cfRule>
  </conditionalFormatting>
  <conditionalFormatting sqref="B52 B56 B60">
    <cfRule type="expression" dxfId="4430" priority="1780">
      <formula>$C52="Delivery charge"</formula>
    </cfRule>
    <cfRule type="expression" dxfId="4429" priority="1781">
      <formula>$C52="Staff Salary"</formula>
    </cfRule>
    <cfRule type="expression" dxfId="4428" priority="1782">
      <formula>$C52="Rent"</formula>
    </cfRule>
    <cfRule type="expression" dxfId="4427" priority="1783">
      <formula>$C52="Petrol"</formula>
    </cfRule>
    <cfRule type="expression" dxfId="4426" priority="1784">
      <formula>$C52="Bills"</formula>
    </cfRule>
    <cfRule type="expression" dxfId="4425" priority="1785">
      <formula>$C52="Sales"</formula>
    </cfRule>
    <cfRule type="expression" dxfId="4424" priority="1786">
      <formula>$C52="Expences"</formula>
    </cfRule>
    <cfRule type="expression" dxfId="4423" priority="1787">
      <formula>$C52="Garlic Purchase"</formula>
    </cfRule>
    <cfRule type="expression" dxfId="4422" priority="1788">
      <formula>$C52="Ginger Purchase"</formula>
    </cfRule>
  </conditionalFormatting>
  <conditionalFormatting sqref="B52 B56 B60">
    <cfRule type="expression" dxfId="4421" priority="1779">
      <formula>$C52="Advance"</formula>
    </cfRule>
  </conditionalFormatting>
  <conditionalFormatting sqref="B52 B56 B60">
    <cfRule type="expression" dxfId="4420" priority="1770">
      <formula>$C52="Delivery charge"</formula>
    </cfRule>
    <cfRule type="expression" dxfId="4419" priority="1771">
      <formula>$C52="Staff Salary"</formula>
    </cfRule>
    <cfRule type="expression" dxfId="4418" priority="1772">
      <formula>$C52="Rent"</formula>
    </cfRule>
    <cfRule type="expression" dxfId="4417" priority="1773">
      <formula>$C52="Petrol"</formula>
    </cfRule>
    <cfRule type="expression" dxfId="4416" priority="1774">
      <formula>$C52="Bills"</formula>
    </cfRule>
    <cfRule type="expression" dxfId="4415" priority="1775">
      <formula>$C52="Sales"</formula>
    </cfRule>
    <cfRule type="expression" dxfId="4414" priority="1776">
      <formula>$C52="Expences"</formula>
    </cfRule>
    <cfRule type="expression" dxfId="4413" priority="1777">
      <formula>$C52="Garlic Purchase"</formula>
    </cfRule>
    <cfRule type="expression" dxfId="4412" priority="1778">
      <formula>$C52="Ginger Purchase"</formula>
    </cfRule>
  </conditionalFormatting>
  <conditionalFormatting sqref="B52 B56 B60">
    <cfRule type="expression" dxfId="4411" priority="1760">
      <formula>$C52="Delivery charge"</formula>
    </cfRule>
    <cfRule type="expression" dxfId="4410" priority="1761">
      <formula>$C52="Staff Salary"</formula>
    </cfRule>
    <cfRule type="expression" dxfId="4409" priority="1762">
      <formula>$C52="Rent"</formula>
    </cfRule>
    <cfRule type="expression" dxfId="4408" priority="1763">
      <formula>$C52="Petrol"</formula>
    </cfRule>
    <cfRule type="expression" dxfId="4407" priority="1764">
      <formula>$C52="Bills"</formula>
    </cfRule>
    <cfRule type="expression" dxfId="4406" priority="1765">
      <formula>$C52="Sales"</formula>
    </cfRule>
    <cfRule type="expression" dxfId="4405" priority="1766">
      <formula>$C52="Expences"</formula>
    </cfRule>
    <cfRule type="expression" dxfId="4404" priority="1767">
      <formula>$C52="Garlic Purchase"</formula>
    </cfRule>
    <cfRule type="expression" dxfId="4403" priority="1768">
      <formula>$C52="Ginger Purchase"</formula>
    </cfRule>
  </conditionalFormatting>
  <conditionalFormatting sqref="B52 B56 B60">
    <cfRule type="expression" dxfId="4402" priority="1769">
      <formula>$C52="Advance"</formula>
    </cfRule>
  </conditionalFormatting>
  <conditionalFormatting sqref="B52 B56 B60">
    <cfRule type="expression" dxfId="4401" priority="1750">
      <formula>$C52="Delivery charge"</formula>
    </cfRule>
    <cfRule type="expression" dxfId="4400" priority="1751">
      <formula>$C52="Staff Salary"</formula>
    </cfRule>
    <cfRule type="expression" dxfId="4399" priority="1752">
      <formula>$C52="Rent"</formula>
    </cfRule>
    <cfRule type="expression" dxfId="4398" priority="1753">
      <formula>$C52="Petrol"</formula>
    </cfRule>
    <cfRule type="expression" dxfId="4397" priority="1754">
      <formula>$C52="Bills"</formula>
    </cfRule>
    <cfRule type="expression" dxfId="4396" priority="1755">
      <formula>$C52="Sales"</formula>
    </cfRule>
    <cfRule type="expression" dxfId="4395" priority="1756">
      <formula>$C52="Expences"</formula>
    </cfRule>
    <cfRule type="expression" dxfId="4394" priority="1757">
      <formula>$C52="Garlic Purchase"</formula>
    </cfRule>
    <cfRule type="expression" dxfId="4393" priority="1758">
      <formula>$C52="Ginger Purchase"</formula>
    </cfRule>
  </conditionalFormatting>
  <conditionalFormatting sqref="B52 B56 B60">
    <cfRule type="expression" dxfId="4392" priority="1759">
      <formula>$C52="Advance"</formula>
    </cfRule>
  </conditionalFormatting>
  <conditionalFormatting sqref="B52 B56 B60">
    <cfRule type="expression" dxfId="4391" priority="1740">
      <formula>$C52="Delivery charge"</formula>
    </cfRule>
    <cfRule type="expression" dxfId="4390" priority="1741">
      <formula>$C52="Staff Salary"</formula>
    </cfRule>
    <cfRule type="expression" dxfId="4389" priority="1742">
      <formula>$C52="Rent"</formula>
    </cfRule>
    <cfRule type="expression" dxfId="4388" priority="1743">
      <formula>$C52="Petrol"</formula>
    </cfRule>
    <cfRule type="expression" dxfId="4387" priority="1744">
      <formula>$C52="Bills"</formula>
    </cfRule>
    <cfRule type="expression" dxfId="4386" priority="1745">
      <formula>$C52="Sales"</formula>
    </cfRule>
    <cfRule type="expression" dxfId="4385" priority="1746">
      <formula>$C52="Expences"</formula>
    </cfRule>
    <cfRule type="expression" dxfId="4384" priority="1747">
      <formula>$C52="Garlic Purchase"</formula>
    </cfRule>
    <cfRule type="expression" dxfId="4383" priority="1748">
      <formula>$C52="Ginger Purchase"</formula>
    </cfRule>
  </conditionalFormatting>
  <conditionalFormatting sqref="B52 B56 B60">
    <cfRule type="expression" dxfId="4382" priority="1749">
      <formula>$C52="Advance"</formula>
    </cfRule>
  </conditionalFormatting>
  <conditionalFormatting sqref="B52 B56 B60">
    <cfRule type="expression" dxfId="4381" priority="1730">
      <formula>$C52="Delivery charge"</formula>
    </cfRule>
    <cfRule type="expression" dxfId="4380" priority="1731">
      <formula>$C52="Staff Salary"</formula>
    </cfRule>
    <cfRule type="expression" dxfId="4379" priority="1732">
      <formula>$C52="Rent"</formula>
    </cfRule>
    <cfRule type="expression" dxfId="4378" priority="1733">
      <formula>$C52="Petrol"</formula>
    </cfRule>
    <cfRule type="expression" dxfId="4377" priority="1734">
      <formula>$C52="Bills"</formula>
    </cfRule>
    <cfRule type="expression" dxfId="4376" priority="1735">
      <formula>$C52="Sales"</formula>
    </cfRule>
    <cfRule type="expression" dxfId="4375" priority="1736">
      <formula>$C52="Expences"</formula>
    </cfRule>
    <cfRule type="expression" dxfId="4374" priority="1737">
      <formula>$C52="Garlic Purchase"</formula>
    </cfRule>
    <cfRule type="expression" dxfId="4373" priority="1738">
      <formula>$C52="Ginger Purchase"</formula>
    </cfRule>
  </conditionalFormatting>
  <conditionalFormatting sqref="B52 B56 B60">
    <cfRule type="expression" dxfId="4372" priority="1739">
      <formula>$C52="Advance"</formula>
    </cfRule>
  </conditionalFormatting>
  <conditionalFormatting sqref="B52 B56 B60">
    <cfRule type="expression" dxfId="4371" priority="1720">
      <formula>$C52="Delivery charge"</formula>
    </cfRule>
    <cfRule type="expression" dxfId="4370" priority="1721">
      <formula>$C52="Staff Salary"</formula>
    </cfRule>
    <cfRule type="expression" dxfId="4369" priority="1722">
      <formula>$C52="Rent"</formula>
    </cfRule>
    <cfRule type="expression" dxfId="4368" priority="1723">
      <formula>$C52="Petrol"</formula>
    </cfRule>
    <cfRule type="expression" dxfId="4367" priority="1724">
      <formula>$C52="Bills"</formula>
    </cfRule>
    <cfRule type="expression" dxfId="4366" priority="1725">
      <formula>$C52="Sales"</formula>
    </cfRule>
    <cfRule type="expression" dxfId="4365" priority="1726">
      <formula>$C52="Expences"</formula>
    </cfRule>
    <cfRule type="expression" dxfId="4364" priority="1727">
      <formula>$C52="Garlic Purchase"</formula>
    </cfRule>
    <cfRule type="expression" dxfId="4363" priority="1728">
      <formula>$C52="Ginger Purchase"</formula>
    </cfRule>
  </conditionalFormatting>
  <conditionalFormatting sqref="B52 B56 B60">
    <cfRule type="expression" dxfId="4362" priority="1729">
      <formula>$C52="Advance"</formula>
    </cfRule>
  </conditionalFormatting>
  <conditionalFormatting sqref="B52 B56 B60">
    <cfRule type="expression" dxfId="4361" priority="1710">
      <formula>$C52="Delivery charge"</formula>
    </cfRule>
    <cfRule type="expression" dxfId="4360" priority="1711">
      <formula>$C52="Staff Salary"</formula>
    </cfRule>
    <cfRule type="expression" dxfId="4359" priority="1712">
      <formula>$C52="Rent"</formula>
    </cfRule>
    <cfRule type="expression" dxfId="4358" priority="1713">
      <formula>$C52="Petrol"</formula>
    </cfRule>
    <cfRule type="expression" dxfId="4357" priority="1714">
      <formula>$C52="Bills"</formula>
    </cfRule>
    <cfRule type="expression" dxfId="4356" priority="1715">
      <formula>$C52="Sales"</formula>
    </cfRule>
    <cfRule type="expression" dxfId="4355" priority="1716">
      <formula>$C52="Expences"</formula>
    </cfRule>
    <cfRule type="expression" dxfId="4354" priority="1717">
      <formula>$C52="Garlic Purchase"</formula>
    </cfRule>
    <cfRule type="expression" dxfId="4353" priority="1718">
      <formula>$C52="Ginger Purchase"</formula>
    </cfRule>
  </conditionalFormatting>
  <conditionalFormatting sqref="B52 B56 B60">
    <cfRule type="expression" dxfId="4352" priority="1719">
      <formula>$C52="Advance"</formula>
    </cfRule>
  </conditionalFormatting>
  <conditionalFormatting sqref="B52 B56 B60">
    <cfRule type="expression" dxfId="4351" priority="1700">
      <formula>$C52="Delivery charge"</formula>
    </cfRule>
    <cfRule type="expression" dxfId="4350" priority="1701">
      <formula>$C52="Staff Salary"</formula>
    </cfRule>
    <cfRule type="expression" dxfId="4349" priority="1702">
      <formula>$C52="Rent"</formula>
    </cfRule>
    <cfRule type="expression" dxfId="4348" priority="1703">
      <formula>$C52="Petrol"</formula>
    </cfRule>
    <cfRule type="expression" dxfId="4347" priority="1704">
      <formula>$C52="Bills"</formula>
    </cfRule>
    <cfRule type="expression" dxfId="4346" priority="1705">
      <formula>$C52="Sales"</formula>
    </cfRule>
    <cfRule type="expression" dxfId="4345" priority="1706">
      <formula>$C52="Expences"</formula>
    </cfRule>
    <cfRule type="expression" dxfId="4344" priority="1707">
      <formula>$C52="Garlic Purchase"</formula>
    </cfRule>
    <cfRule type="expression" dxfId="4343" priority="1708">
      <formula>$C52="Ginger Purchase"</formula>
    </cfRule>
  </conditionalFormatting>
  <conditionalFormatting sqref="B52 B56 B60">
    <cfRule type="expression" dxfId="4342" priority="1709">
      <formula>$C52="Advance"</formula>
    </cfRule>
  </conditionalFormatting>
  <conditionalFormatting sqref="B52 B56 B60">
    <cfRule type="expression" dxfId="4341" priority="1690">
      <formula>$C52="Delivery charge"</formula>
    </cfRule>
    <cfRule type="expression" dxfId="4340" priority="1691">
      <formula>$C52="Staff Salary"</formula>
    </cfRule>
    <cfRule type="expression" dxfId="4339" priority="1692">
      <formula>$C52="Rent"</formula>
    </cfRule>
    <cfRule type="expression" dxfId="4338" priority="1693">
      <formula>$C52="Petrol"</formula>
    </cfRule>
    <cfRule type="expression" dxfId="4337" priority="1694">
      <formula>$C52="Bills"</formula>
    </cfRule>
    <cfRule type="expression" dxfId="4336" priority="1695">
      <formula>$C52="Sales"</formula>
    </cfRule>
    <cfRule type="expression" dxfId="4335" priority="1696">
      <formula>$C52="Expences"</formula>
    </cfRule>
    <cfRule type="expression" dxfId="4334" priority="1697">
      <formula>$C52="Garlic Purchase"</formula>
    </cfRule>
    <cfRule type="expression" dxfId="4333" priority="1698">
      <formula>$C52="Ginger Purchase"</formula>
    </cfRule>
  </conditionalFormatting>
  <conditionalFormatting sqref="B52 B56 B60">
    <cfRule type="expression" dxfId="4332" priority="1699">
      <formula>$C52="Advance"</formula>
    </cfRule>
  </conditionalFormatting>
  <conditionalFormatting sqref="B52 B56 B60">
    <cfRule type="expression" dxfId="4331" priority="1680">
      <formula>$C52="Delivery charge"</formula>
    </cfRule>
    <cfRule type="expression" dxfId="4330" priority="1681">
      <formula>$C52="Staff Salary"</formula>
    </cfRule>
    <cfRule type="expression" dxfId="4329" priority="1682">
      <formula>$C52="Rent"</formula>
    </cfRule>
    <cfRule type="expression" dxfId="4328" priority="1683">
      <formula>$C52="Petrol"</formula>
    </cfRule>
    <cfRule type="expression" dxfId="4327" priority="1684">
      <formula>$C52="Bills"</formula>
    </cfRule>
    <cfRule type="expression" dxfId="4326" priority="1685">
      <formula>$C52="Sales"</formula>
    </cfRule>
    <cfRule type="expression" dxfId="4325" priority="1686">
      <formula>$C52="Expences"</formula>
    </cfRule>
    <cfRule type="expression" dxfId="4324" priority="1687">
      <formula>$C52="Garlic Purchase"</formula>
    </cfRule>
    <cfRule type="expression" dxfId="4323" priority="1688">
      <formula>$C52="Ginger Purchase"</formula>
    </cfRule>
  </conditionalFormatting>
  <conditionalFormatting sqref="B52 B56 B60">
    <cfRule type="expression" dxfId="4322" priority="1689">
      <formula>$C52="Advance"</formula>
    </cfRule>
  </conditionalFormatting>
  <conditionalFormatting sqref="B52 B56 B60">
    <cfRule type="expression" dxfId="4321" priority="1670">
      <formula>$C52="Delivery charge"</formula>
    </cfRule>
    <cfRule type="expression" dxfId="4320" priority="1671">
      <formula>$C52="Staff Salary"</formula>
    </cfRule>
    <cfRule type="expression" dxfId="4319" priority="1672">
      <formula>$C52="Rent"</formula>
    </cfRule>
    <cfRule type="expression" dxfId="4318" priority="1673">
      <formula>$C52="Petrol"</formula>
    </cfRule>
    <cfRule type="expression" dxfId="4317" priority="1674">
      <formula>$C52="Bills"</formula>
    </cfRule>
    <cfRule type="expression" dxfId="4316" priority="1675">
      <formula>$C52="Sales"</formula>
    </cfRule>
    <cfRule type="expression" dxfId="4315" priority="1676">
      <formula>$C52="Expences"</formula>
    </cfRule>
    <cfRule type="expression" dxfId="4314" priority="1677">
      <formula>$C52="Garlic Purchase"</formula>
    </cfRule>
    <cfRule type="expression" dxfId="4313" priority="1678">
      <formula>$C52="Ginger Purchase"</formula>
    </cfRule>
  </conditionalFormatting>
  <conditionalFormatting sqref="B52 B56 B60">
    <cfRule type="expression" dxfId="4312" priority="1679">
      <formula>$C52="Advance"</formula>
    </cfRule>
  </conditionalFormatting>
  <conditionalFormatting sqref="B52 B56 B60">
    <cfRule type="expression" dxfId="4311" priority="1660">
      <formula>$C52="Delivery charge"</formula>
    </cfRule>
    <cfRule type="expression" dxfId="4310" priority="1661">
      <formula>$C52="Staff Salary"</formula>
    </cfRule>
    <cfRule type="expression" dxfId="4309" priority="1662">
      <formula>$C52="Rent"</formula>
    </cfRule>
    <cfRule type="expression" dxfId="4308" priority="1663">
      <formula>$C52="Petrol"</formula>
    </cfRule>
    <cfRule type="expression" dxfId="4307" priority="1664">
      <formula>$C52="Bills"</formula>
    </cfRule>
    <cfRule type="expression" dxfId="4306" priority="1665">
      <formula>$C52="Sales"</formula>
    </cfRule>
    <cfRule type="expression" dxfId="4305" priority="1666">
      <formula>$C52="Expences"</formula>
    </cfRule>
    <cfRule type="expression" dxfId="4304" priority="1667">
      <formula>$C52="Garlic Purchase"</formula>
    </cfRule>
    <cfRule type="expression" dxfId="4303" priority="1668">
      <formula>$C52="Ginger Purchase"</formula>
    </cfRule>
  </conditionalFormatting>
  <conditionalFormatting sqref="B52 B56 B60">
    <cfRule type="expression" dxfId="4302" priority="1669">
      <formula>$C52="Advance"</formula>
    </cfRule>
  </conditionalFormatting>
  <conditionalFormatting sqref="B53 B55 B57 B61 B59 B63">
    <cfRule type="expression" dxfId="4301" priority="1650">
      <formula>$C53="Delivery charge"</formula>
    </cfRule>
    <cfRule type="expression" dxfId="4300" priority="1651">
      <formula>$C53="Staff Salary"</formula>
    </cfRule>
    <cfRule type="expression" dxfId="4299" priority="1652">
      <formula>$C53="Rent"</formula>
    </cfRule>
    <cfRule type="expression" dxfId="4298" priority="1653">
      <formula>$C53="Petrol"</formula>
    </cfRule>
    <cfRule type="expression" dxfId="4297" priority="1654">
      <formula>$C53="Bills"</formula>
    </cfRule>
    <cfRule type="expression" dxfId="4296" priority="1655">
      <formula>$C53="Sales"</formula>
    </cfRule>
    <cfRule type="expression" dxfId="4295" priority="1656">
      <formula>$C53="Expences"</formula>
    </cfRule>
    <cfRule type="expression" dxfId="4294" priority="1657">
      <formula>$C53="Garlic Purchase"</formula>
    </cfRule>
    <cfRule type="expression" dxfId="4293" priority="1658">
      <formula>$C53="Ginger Purchase"</formula>
    </cfRule>
  </conditionalFormatting>
  <conditionalFormatting sqref="B53 B55 B57 B61 B59 B63">
    <cfRule type="expression" dxfId="4292" priority="1659">
      <formula>$C53="Advance"</formula>
    </cfRule>
  </conditionalFormatting>
  <conditionalFormatting sqref="B53 B55 B57 B61 B59 B63">
    <cfRule type="expression" dxfId="4291" priority="1640">
      <formula>$C53="Delivery charge"</formula>
    </cfRule>
    <cfRule type="expression" dxfId="4290" priority="1641">
      <formula>$C53="Staff Salary"</formula>
    </cfRule>
    <cfRule type="expression" dxfId="4289" priority="1642">
      <formula>$C53="Rent"</formula>
    </cfRule>
    <cfRule type="expression" dxfId="4288" priority="1643">
      <formula>$C53="Petrol"</formula>
    </cfRule>
    <cfRule type="expression" dxfId="4287" priority="1644">
      <formula>$C53="Bills"</formula>
    </cfRule>
    <cfRule type="expression" dxfId="4286" priority="1645">
      <formula>$C53="Sales"</formula>
    </cfRule>
    <cfRule type="expression" dxfId="4285" priority="1646">
      <formula>$C53="Expences"</formula>
    </cfRule>
    <cfRule type="expression" dxfId="4284" priority="1647">
      <formula>$C53="Garlic Purchase"</formula>
    </cfRule>
    <cfRule type="expression" dxfId="4283" priority="1648">
      <formula>$C53="Ginger Purchase"</formula>
    </cfRule>
  </conditionalFormatting>
  <conditionalFormatting sqref="B53 B55 B57 B61 B59 B63">
    <cfRule type="expression" dxfId="4282" priority="1649">
      <formula>$C53="Advance"</formula>
    </cfRule>
  </conditionalFormatting>
  <conditionalFormatting sqref="B53 B55 B57 B61 B59 B63">
    <cfRule type="expression" dxfId="4281" priority="1630">
      <formula>$C53="Delivery charge"</formula>
    </cfRule>
    <cfRule type="expression" dxfId="4280" priority="1631">
      <formula>$C53="Staff Salary"</formula>
    </cfRule>
    <cfRule type="expression" dxfId="4279" priority="1632">
      <formula>$C53="Rent"</formula>
    </cfRule>
    <cfRule type="expression" dxfId="4278" priority="1633">
      <formula>$C53="Petrol"</formula>
    </cfRule>
    <cfRule type="expression" dxfId="4277" priority="1634">
      <formula>$C53="Bills"</formula>
    </cfRule>
    <cfRule type="expression" dxfId="4276" priority="1635">
      <formula>$C53="Sales"</formula>
    </cfRule>
    <cfRule type="expression" dxfId="4275" priority="1636">
      <formula>$C53="Expences"</formula>
    </cfRule>
    <cfRule type="expression" dxfId="4274" priority="1637">
      <formula>$C53="Garlic Purchase"</formula>
    </cfRule>
    <cfRule type="expression" dxfId="4273" priority="1638">
      <formula>$C53="Ginger Purchase"</formula>
    </cfRule>
  </conditionalFormatting>
  <conditionalFormatting sqref="B53 B55 B57 B61 B59 B63">
    <cfRule type="expression" dxfId="4272" priority="1639">
      <formula>$C53="Advance"</formula>
    </cfRule>
  </conditionalFormatting>
  <conditionalFormatting sqref="B53 B55 B57 B61 B59 B63">
    <cfRule type="expression" dxfId="4271" priority="1620">
      <formula>$C53="Delivery charge"</formula>
    </cfRule>
    <cfRule type="expression" dxfId="4270" priority="1621">
      <formula>$C53="Staff Salary"</formula>
    </cfRule>
    <cfRule type="expression" dxfId="4269" priority="1622">
      <formula>$C53="Rent"</formula>
    </cfRule>
    <cfRule type="expression" dxfId="4268" priority="1623">
      <formula>$C53="Petrol"</formula>
    </cfRule>
    <cfRule type="expression" dxfId="4267" priority="1624">
      <formula>$C53="Bills"</formula>
    </cfRule>
    <cfRule type="expression" dxfId="4266" priority="1625">
      <formula>$C53="Sales"</formula>
    </cfRule>
    <cfRule type="expression" dxfId="4265" priority="1626">
      <formula>$C53="Expences"</formula>
    </cfRule>
    <cfRule type="expression" dxfId="4264" priority="1627">
      <formula>$C53="Garlic Purchase"</formula>
    </cfRule>
    <cfRule type="expression" dxfId="4263" priority="1628">
      <formula>$C53="Ginger Purchase"</formula>
    </cfRule>
  </conditionalFormatting>
  <conditionalFormatting sqref="B53 B55 B57 B61 B59 B63">
    <cfRule type="expression" dxfId="4262" priority="1629">
      <formula>$C53="Advance"</formula>
    </cfRule>
  </conditionalFormatting>
  <conditionalFormatting sqref="B53 B55 B57 B61 B59 B63">
    <cfRule type="expression" dxfId="4261" priority="1619">
      <formula>$C53="Advance"</formula>
    </cfRule>
  </conditionalFormatting>
  <conditionalFormatting sqref="B53 B55 B57 B61 B59 B63">
    <cfRule type="expression" dxfId="4260" priority="1610">
      <formula>$C53="Delivery charge"</formula>
    </cfRule>
    <cfRule type="expression" dxfId="4259" priority="1611">
      <formula>$C53="Staff Salary"</formula>
    </cfRule>
    <cfRule type="expression" dxfId="4258" priority="1612">
      <formula>$C53="Rent"</formula>
    </cfRule>
    <cfRule type="expression" dxfId="4257" priority="1613">
      <formula>$C53="Petrol"</formula>
    </cfRule>
    <cfRule type="expression" dxfId="4256" priority="1614">
      <formula>$C53="Bills"</formula>
    </cfRule>
    <cfRule type="expression" dxfId="4255" priority="1615">
      <formula>$C53="Sales"</formula>
    </cfRule>
    <cfRule type="expression" dxfId="4254" priority="1616">
      <formula>$C53="Expences"</formula>
    </cfRule>
    <cfRule type="expression" dxfId="4253" priority="1617">
      <formula>$C53="Garlic Purchase"</formula>
    </cfRule>
    <cfRule type="expression" dxfId="4252" priority="1618">
      <formula>$C53="Ginger Purchase"</formula>
    </cfRule>
  </conditionalFormatting>
  <conditionalFormatting sqref="B53 B55 B57 B61 B59 B63">
    <cfRule type="expression" dxfId="4251" priority="1600">
      <formula>$C53="Delivery charge"</formula>
    </cfRule>
    <cfRule type="expression" dxfId="4250" priority="1601">
      <formula>$C53="Staff Salary"</formula>
    </cfRule>
    <cfRule type="expression" dxfId="4249" priority="1602">
      <formula>$C53="Rent"</formula>
    </cfRule>
    <cfRule type="expression" dxfId="4248" priority="1603">
      <formula>$C53="Petrol"</formula>
    </cfRule>
    <cfRule type="expression" dxfId="4247" priority="1604">
      <formula>$C53="Bills"</formula>
    </cfRule>
    <cfRule type="expression" dxfId="4246" priority="1605">
      <formula>$C53="Sales"</formula>
    </cfRule>
    <cfRule type="expression" dxfId="4245" priority="1606">
      <formula>$C53="Expences"</formula>
    </cfRule>
    <cfRule type="expression" dxfId="4244" priority="1607">
      <formula>$C53="Garlic Purchase"</formula>
    </cfRule>
    <cfRule type="expression" dxfId="4243" priority="1608">
      <formula>$C53="Ginger Purchase"</formula>
    </cfRule>
  </conditionalFormatting>
  <conditionalFormatting sqref="B53 B55 B57 B61 B59 B63">
    <cfRule type="expression" dxfId="4242" priority="1609">
      <formula>$C53="Advance"</formula>
    </cfRule>
  </conditionalFormatting>
  <conditionalFormatting sqref="B53 B55 B57 B61 B59 B63">
    <cfRule type="expression" dxfId="4241" priority="1590">
      <formula>$C53="Delivery charge"</formula>
    </cfRule>
    <cfRule type="expression" dxfId="4240" priority="1591">
      <formula>$C53="Staff Salary"</formula>
    </cfRule>
    <cfRule type="expression" dxfId="4239" priority="1592">
      <formula>$C53="Rent"</formula>
    </cfRule>
    <cfRule type="expression" dxfId="4238" priority="1593">
      <formula>$C53="Petrol"</formula>
    </cfRule>
    <cfRule type="expression" dxfId="4237" priority="1594">
      <formula>$C53="Bills"</formula>
    </cfRule>
    <cfRule type="expression" dxfId="4236" priority="1595">
      <formula>$C53="Sales"</formula>
    </cfRule>
    <cfRule type="expression" dxfId="4235" priority="1596">
      <formula>$C53="Expences"</formula>
    </cfRule>
    <cfRule type="expression" dxfId="4234" priority="1597">
      <formula>$C53="Garlic Purchase"</formula>
    </cfRule>
    <cfRule type="expression" dxfId="4233" priority="1598">
      <formula>$C53="Ginger Purchase"</formula>
    </cfRule>
  </conditionalFormatting>
  <conditionalFormatting sqref="B53 B55 B57 B61 B59 B63">
    <cfRule type="expression" dxfId="4232" priority="1599">
      <formula>$C53="Advance"</formula>
    </cfRule>
  </conditionalFormatting>
  <conditionalFormatting sqref="B53 B55 B57 B61 B59 B63">
    <cfRule type="expression" dxfId="4231" priority="1580">
      <formula>$C53="Delivery charge"</formula>
    </cfRule>
    <cfRule type="expression" dxfId="4230" priority="1581">
      <formula>$C53="Staff Salary"</formula>
    </cfRule>
    <cfRule type="expression" dxfId="4229" priority="1582">
      <formula>$C53="Rent"</formula>
    </cfRule>
    <cfRule type="expression" dxfId="4228" priority="1583">
      <formula>$C53="Petrol"</formula>
    </cfRule>
    <cfRule type="expression" dxfId="4227" priority="1584">
      <formula>$C53="Bills"</formula>
    </cfRule>
    <cfRule type="expression" dxfId="4226" priority="1585">
      <formula>$C53="Sales"</formula>
    </cfRule>
    <cfRule type="expression" dxfId="4225" priority="1586">
      <formula>$C53="Expences"</formula>
    </cfRule>
    <cfRule type="expression" dxfId="4224" priority="1587">
      <formula>$C53="Garlic Purchase"</formula>
    </cfRule>
    <cfRule type="expression" dxfId="4223" priority="1588">
      <formula>$C53="Ginger Purchase"</formula>
    </cfRule>
  </conditionalFormatting>
  <conditionalFormatting sqref="B53 B55 B57 B61 B59 B63">
    <cfRule type="expression" dxfId="4222" priority="1589">
      <formula>$C53="Advance"</formula>
    </cfRule>
  </conditionalFormatting>
  <conditionalFormatting sqref="B53 B55 B57 B61 B59 B63">
    <cfRule type="expression" dxfId="4221" priority="1570">
      <formula>$C53="Delivery charge"</formula>
    </cfRule>
    <cfRule type="expression" dxfId="4220" priority="1571">
      <formula>$C53="Staff Salary"</formula>
    </cfRule>
    <cfRule type="expression" dxfId="4219" priority="1572">
      <formula>$C53="Rent"</formula>
    </cfRule>
    <cfRule type="expression" dxfId="4218" priority="1573">
      <formula>$C53="Petrol"</formula>
    </cfRule>
    <cfRule type="expression" dxfId="4217" priority="1574">
      <formula>$C53="Bills"</formula>
    </cfRule>
    <cfRule type="expression" dxfId="4216" priority="1575">
      <formula>$C53="Sales"</formula>
    </cfRule>
    <cfRule type="expression" dxfId="4215" priority="1576">
      <formula>$C53="Expences"</formula>
    </cfRule>
    <cfRule type="expression" dxfId="4214" priority="1577">
      <formula>$C53="Garlic Purchase"</formula>
    </cfRule>
    <cfRule type="expression" dxfId="4213" priority="1578">
      <formula>$C53="Ginger Purchase"</formula>
    </cfRule>
  </conditionalFormatting>
  <conditionalFormatting sqref="B53 B55 B57 B61 B59 B63">
    <cfRule type="expression" dxfId="4212" priority="1579">
      <formula>$C53="Advance"</formula>
    </cfRule>
  </conditionalFormatting>
  <conditionalFormatting sqref="B53 B55 B57 B61 B59 B63">
    <cfRule type="expression" dxfId="4211" priority="1560">
      <formula>$C53="Delivery charge"</formula>
    </cfRule>
    <cfRule type="expression" dxfId="4210" priority="1561">
      <formula>$C53="Staff Salary"</formula>
    </cfRule>
    <cfRule type="expression" dxfId="4209" priority="1562">
      <formula>$C53="Rent"</formula>
    </cfRule>
    <cfRule type="expression" dxfId="4208" priority="1563">
      <formula>$C53="Petrol"</formula>
    </cfRule>
    <cfRule type="expression" dxfId="4207" priority="1564">
      <formula>$C53="Bills"</formula>
    </cfRule>
    <cfRule type="expression" dxfId="4206" priority="1565">
      <formula>$C53="Sales"</formula>
    </cfRule>
    <cfRule type="expression" dxfId="4205" priority="1566">
      <formula>$C53="Expences"</formula>
    </cfRule>
    <cfRule type="expression" dxfId="4204" priority="1567">
      <formula>$C53="Garlic Purchase"</formula>
    </cfRule>
    <cfRule type="expression" dxfId="4203" priority="1568">
      <formula>$C53="Ginger Purchase"</formula>
    </cfRule>
  </conditionalFormatting>
  <conditionalFormatting sqref="B53 B55 B57 B61 B59 B63">
    <cfRule type="expression" dxfId="4202" priority="1569">
      <formula>$C53="Advance"</formula>
    </cfRule>
  </conditionalFormatting>
  <conditionalFormatting sqref="B53 B55 B57 B61 B59 B63">
    <cfRule type="expression" dxfId="4201" priority="1550">
      <formula>$C53="Delivery charge"</formula>
    </cfRule>
    <cfRule type="expression" dxfId="4200" priority="1551">
      <formula>$C53="Staff Salary"</formula>
    </cfRule>
    <cfRule type="expression" dxfId="4199" priority="1552">
      <formula>$C53="Rent"</formula>
    </cfRule>
    <cfRule type="expression" dxfId="4198" priority="1553">
      <formula>$C53="Petrol"</formula>
    </cfRule>
    <cfRule type="expression" dxfId="4197" priority="1554">
      <formula>$C53="Bills"</formula>
    </cfRule>
    <cfRule type="expression" dxfId="4196" priority="1555">
      <formula>$C53="Sales"</formula>
    </cfRule>
    <cfRule type="expression" dxfId="4195" priority="1556">
      <formula>$C53="Expences"</formula>
    </cfRule>
    <cfRule type="expression" dxfId="4194" priority="1557">
      <formula>$C53="Garlic Purchase"</formula>
    </cfRule>
    <cfRule type="expression" dxfId="4193" priority="1558">
      <formula>$C53="Ginger Purchase"</formula>
    </cfRule>
  </conditionalFormatting>
  <conditionalFormatting sqref="B53 B55 B57 B61 B59 B63">
    <cfRule type="expression" dxfId="4192" priority="1559">
      <formula>$C53="Advance"</formula>
    </cfRule>
  </conditionalFormatting>
  <conditionalFormatting sqref="B53 B55 B57 B61 B59 B63">
    <cfRule type="expression" dxfId="4191" priority="1540">
      <formula>$C53="Delivery charge"</formula>
    </cfRule>
    <cfRule type="expression" dxfId="4190" priority="1541">
      <formula>$C53="Staff Salary"</formula>
    </cfRule>
    <cfRule type="expression" dxfId="4189" priority="1542">
      <formula>$C53="Rent"</formula>
    </cfRule>
    <cfRule type="expression" dxfId="4188" priority="1543">
      <formula>$C53="Petrol"</formula>
    </cfRule>
    <cfRule type="expression" dxfId="4187" priority="1544">
      <formula>$C53="Bills"</formula>
    </cfRule>
    <cfRule type="expression" dxfId="4186" priority="1545">
      <formula>$C53="Sales"</formula>
    </cfRule>
    <cfRule type="expression" dxfId="4185" priority="1546">
      <formula>$C53="Expences"</formula>
    </cfRule>
    <cfRule type="expression" dxfId="4184" priority="1547">
      <formula>$C53="Garlic Purchase"</formula>
    </cfRule>
    <cfRule type="expression" dxfId="4183" priority="1548">
      <formula>$C53="Ginger Purchase"</formula>
    </cfRule>
  </conditionalFormatting>
  <conditionalFormatting sqref="B53 B55 B57 B61 B59 B63">
    <cfRule type="expression" dxfId="4182" priority="1549">
      <formula>$C53="Advance"</formula>
    </cfRule>
  </conditionalFormatting>
  <conditionalFormatting sqref="B53 B55 B57 B61 B59 B63">
    <cfRule type="expression" dxfId="4181" priority="1530">
      <formula>$C53="Delivery charge"</formula>
    </cfRule>
    <cfRule type="expression" dxfId="4180" priority="1531">
      <formula>$C53="Staff Salary"</formula>
    </cfRule>
    <cfRule type="expression" dxfId="4179" priority="1532">
      <formula>$C53="Rent"</formula>
    </cfRule>
    <cfRule type="expression" dxfId="4178" priority="1533">
      <formula>$C53="Petrol"</formula>
    </cfRule>
    <cfRule type="expression" dxfId="4177" priority="1534">
      <formula>$C53="Bills"</formula>
    </cfRule>
    <cfRule type="expression" dxfId="4176" priority="1535">
      <formula>$C53="Sales"</formula>
    </cfRule>
    <cfRule type="expression" dxfId="4175" priority="1536">
      <formula>$C53="Expences"</formula>
    </cfRule>
    <cfRule type="expression" dxfId="4174" priority="1537">
      <formula>$C53="Garlic Purchase"</formula>
    </cfRule>
    <cfRule type="expression" dxfId="4173" priority="1538">
      <formula>$C53="Ginger Purchase"</formula>
    </cfRule>
  </conditionalFormatting>
  <conditionalFormatting sqref="B53 B55 B57 B61 B59 B63">
    <cfRule type="expression" dxfId="4172" priority="1539">
      <formula>$C53="Advance"</formula>
    </cfRule>
  </conditionalFormatting>
  <conditionalFormatting sqref="B53 B55 B57 B61 B59 B63">
    <cfRule type="expression" dxfId="4171" priority="1520">
      <formula>$C53="Delivery charge"</formula>
    </cfRule>
    <cfRule type="expression" dxfId="4170" priority="1521">
      <formula>$C53="Staff Salary"</formula>
    </cfRule>
    <cfRule type="expression" dxfId="4169" priority="1522">
      <formula>$C53="Rent"</formula>
    </cfRule>
    <cfRule type="expression" dxfId="4168" priority="1523">
      <formula>$C53="Petrol"</formula>
    </cfRule>
    <cfRule type="expression" dxfId="4167" priority="1524">
      <formula>$C53="Bills"</formula>
    </cfRule>
    <cfRule type="expression" dxfId="4166" priority="1525">
      <formula>$C53="Sales"</formula>
    </cfRule>
    <cfRule type="expression" dxfId="4165" priority="1526">
      <formula>$C53="Expences"</formula>
    </cfRule>
    <cfRule type="expression" dxfId="4164" priority="1527">
      <formula>$C53="Garlic Purchase"</formula>
    </cfRule>
    <cfRule type="expression" dxfId="4163" priority="1528">
      <formula>$C53="Ginger Purchase"</formula>
    </cfRule>
  </conditionalFormatting>
  <conditionalFormatting sqref="B53 B55 B57 B61 B59 B63">
    <cfRule type="expression" dxfId="4162" priority="1529">
      <formula>$C53="Advance"</formula>
    </cfRule>
  </conditionalFormatting>
  <conditionalFormatting sqref="B53 B55 B57 B61 B59 B63">
    <cfRule type="expression" dxfId="4161" priority="1510">
      <formula>$C53="Delivery charge"</formula>
    </cfRule>
    <cfRule type="expression" dxfId="4160" priority="1511">
      <formula>$C53="Staff Salary"</formula>
    </cfRule>
    <cfRule type="expression" dxfId="4159" priority="1512">
      <formula>$C53="Rent"</formula>
    </cfRule>
    <cfRule type="expression" dxfId="4158" priority="1513">
      <formula>$C53="Petrol"</formula>
    </cfRule>
    <cfRule type="expression" dxfId="4157" priority="1514">
      <formula>$C53="Bills"</formula>
    </cfRule>
    <cfRule type="expression" dxfId="4156" priority="1515">
      <formula>$C53="Sales"</formula>
    </cfRule>
    <cfRule type="expression" dxfId="4155" priority="1516">
      <formula>$C53="Expences"</formula>
    </cfRule>
    <cfRule type="expression" dxfId="4154" priority="1517">
      <formula>$C53="Garlic Purchase"</formula>
    </cfRule>
    <cfRule type="expression" dxfId="4153" priority="1518">
      <formula>$C53="Ginger Purchase"</formula>
    </cfRule>
  </conditionalFormatting>
  <conditionalFormatting sqref="B53 B55 B57 B61 B59 B63">
    <cfRule type="expression" dxfId="4152" priority="1519">
      <formula>$C53="Advance"</formula>
    </cfRule>
  </conditionalFormatting>
  <conditionalFormatting sqref="B53 B55 B57 B61 B59 B63">
    <cfRule type="expression" dxfId="4151" priority="1500">
      <formula>$C53="Delivery charge"</formula>
    </cfRule>
    <cfRule type="expression" dxfId="4150" priority="1501">
      <formula>$C53="Staff Salary"</formula>
    </cfRule>
    <cfRule type="expression" dxfId="4149" priority="1502">
      <formula>$C53="Rent"</formula>
    </cfRule>
    <cfRule type="expression" dxfId="4148" priority="1503">
      <formula>$C53="Petrol"</formula>
    </cfRule>
    <cfRule type="expression" dxfId="4147" priority="1504">
      <formula>$C53="Bills"</formula>
    </cfRule>
    <cfRule type="expression" dxfId="4146" priority="1505">
      <formula>$C53="Sales"</formula>
    </cfRule>
    <cfRule type="expression" dxfId="4145" priority="1506">
      <formula>$C53="Expences"</formula>
    </cfRule>
    <cfRule type="expression" dxfId="4144" priority="1507">
      <formula>$C53="Garlic Purchase"</formula>
    </cfRule>
    <cfRule type="expression" dxfId="4143" priority="1508">
      <formula>$C53="Ginger Purchase"</formula>
    </cfRule>
  </conditionalFormatting>
  <conditionalFormatting sqref="B53 B55 B57 B61 B59 B63">
    <cfRule type="expression" dxfId="4142" priority="1509">
      <formula>$C53="Advance"</formula>
    </cfRule>
  </conditionalFormatting>
  <conditionalFormatting sqref="B53 B55 B57 B61 B59 B63">
    <cfRule type="expression" dxfId="4141" priority="1490">
      <formula>$C53="Delivery charge"</formula>
    </cfRule>
    <cfRule type="expression" dxfId="4140" priority="1491">
      <formula>$C53="Staff Salary"</formula>
    </cfRule>
    <cfRule type="expression" dxfId="4139" priority="1492">
      <formula>$C53="Rent"</formula>
    </cfRule>
    <cfRule type="expression" dxfId="4138" priority="1493">
      <formula>$C53="Petrol"</formula>
    </cfRule>
    <cfRule type="expression" dxfId="4137" priority="1494">
      <formula>$C53="Bills"</formula>
    </cfRule>
    <cfRule type="expression" dxfId="4136" priority="1495">
      <formula>$C53="Sales"</formula>
    </cfRule>
    <cfRule type="expression" dxfId="4135" priority="1496">
      <formula>$C53="Expences"</formula>
    </cfRule>
    <cfRule type="expression" dxfId="4134" priority="1497">
      <formula>$C53="Garlic Purchase"</formula>
    </cfRule>
    <cfRule type="expression" dxfId="4133" priority="1498">
      <formula>$C53="Ginger Purchase"</formula>
    </cfRule>
  </conditionalFormatting>
  <conditionalFormatting sqref="B53 B55 B57 B61 B59 B63">
    <cfRule type="expression" dxfId="4132" priority="1499">
      <formula>$C53="Advance"</formula>
    </cfRule>
  </conditionalFormatting>
  <conditionalFormatting sqref="B53 B55 B57 B61 B59 B63">
    <cfRule type="expression" dxfId="4131" priority="1480">
      <formula>$C53="Delivery charge"</formula>
    </cfRule>
    <cfRule type="expression" dxfId="4130" priority="1481">
      <formula>$C53="Staff Salary"</formula>
    </cfRule>
    <cfRule type="expression" dxfId="4129" priority="1482">
      <formula>$C53="Rent"</formula>
    </cfRule>
    <cfRule type="expression" dxfId="4128" priority="1483">
      <formula>$C53="Petrol"</formula>
    </cfRule>
    <cfRule type="expression" dxfId="4127" priority="1484">
      <formula>$C53="Bills"</formula>
    </cfRule>
    <cfRule type="expression" dxfId="4126" priority="1485">
      <formula>$C53="Sales"</formula>
    </cfRule>
    <cfRule type="expression" dxfId="4125" priority="1486">
      <formula>$C53="Expences"</formula>
    </cfRule>
    <cfRule type="expression" dxfId="4124" priority="1487">
      <formula>$C53="Garlic Purchase"</formula>
    </cfRule>
    <cfRule type="expression" dxfId="4123" priority="1488">
      <formula>$C53="Ginger Purchase"</formula>
    </cfRule>
  </conditionalFormatting>
  <conditionalFormatting sqref="B53 B55 B57 B61 B59 B63">
    <cfRule type="expression" dxfId="4122" priority="1489">
      <formula>$C53="Advance"</formula>
    </cfRule>
  </conditionalFormatting>
  <conditionalFormatting sqref="B53 B55 B57 B61 B59 B63">
    <cfRule type="expression" dxfId="4121" priority="1470">
      <formula>$C53="Delivery charge"</formula>
    </cfRule>
    <cfRule type="expression" dxfId="4120" priority="1471">
      <formula>$C53="Staff Salary"</formula>
    </cfRule>
    <cfRule type="expression" dxfId="4119" priority="1472">
      <formula>$C53="Rent"</formula>
    </cfRule>
    <cfRule type="expression" dxfId="4118" priority="1473">
      <formula>$C53="Petrol"</formula>
    </cfRule>
    <cfRule type="expression" dxfId="4117" priority="1474">
      <formula>$C53="Bills"</formula>
    </cfRule>
    <cfRule type="expression" dxfId="4116" priority="1475">
      <formula>$C53="Sales"</formula>
    </cfRule>
    <cfRule type="expression" dxfId="4115" priority="1476">
      <formula>$C53="Expences"</formula>
    </cfRule>
    <cfRule type="expression" dxfId="4114" priority="1477">
      <formula>$C53="Garlic Purchase"</formula>
    </cfRule>
    <cfRule type="expression" dxfId="4113" priority="1478">
      <formula>$C53="Ginger Purchase"</formula>
    </cfRule>
  </conditionalFormatting>
  <conditionalFormatting sqref="B53 B55 B57 B61 B59 B63">
    <cfRule type="expression" dxfId="4112" priority="1479">
      <formula>$C53="Advance"</formula>
    </cfRule>
  </conditionalFormatting>
  <conditionalFormatting sqref="B53 B55 B57 B61 B59 B63">
    <cfRule type="expression" dxfId="4111" priority="1469">
      <formula>$C53="Advance"</formula>
    </cfRule>
  </conditionalFormatting>
  <conditionalFormatting sqref="B53 B55 B57 B61 B59 B63">
    <cfRule type="expression" dxfId="4110" priority="1460">
      <formula>$C53="Delivery charge"</formula>
    </cfRule>
    <cfRule type="expression" dxfId="4109" priority="1461">
      <formula>$C53="Staff Salary"</formula>
    </cfRule>
    <cfRule type="expression" dxfId="4108" priority="1462">
      <formula>$C53="Rent"</formula>
    </cfRule>
    <cfRule type="expression" dxfId="4107" priority="1463">
      <formula>$C53="Petrol"</formula>
    </cfRule>
    <cfRule type="expression" dxfId="4106" priority="1464">
      <formula>$C53="Bills"</formula>
    </cfRule>
    <cfRule type="expression" dxfId="4105" priority="1465">
      <formula>$C53="Sales"</formula>
    </cfRule>
    <cfRule type="expression" dxfId="4104" priority="1466">
      <formula>$C53="Expences"</formula>
    </cfRule>
    <cfRule type="expression" dxfId="4103" priority="1467">
      <formula>$C53="Garlic Purchase"</formula>
    </cfRule>
    <cfRule type="expression" dxfId="4102" priority="1468">
      <formula>$C53="Ginger Purchase"</formula>
    </cfRule>
  </conditionalFormatting>
  <conditionalFormatting sqref="B52 B56 B60">
    <cfRule type="expression" dxfId="4101" priority="1450">
      <formula>$C52="Delivery charge"</formula>
    </cfRule>
    <cfRule type="expression" dxfId="4100" priority="1451">
      <formula>$C52="Staff Salary"</formula>
    </cfRule>
    <cfRule type="expression" dxfId="4099" priority="1452">
      <formula>$C52="Rent"</formula>
    </cfRule>
    <cfRule type="expression" dxfId="4098" priority="1453">
      <formula>$C52="Petrol"</formula>
    </cfRule>
    <cfRule type="expression" dxfId="4097" priority="1454">
      <formula>$C52="Bills"</formula>
    </cfRule>
    <cfRule type="expression" dxfId="4096" priority="1455">
      <formula>$C52="Sales"</formula>
    </cfRule>
    <cfRule type="expression" dxfId="4095" priority="1456">
      <formula>$C52="Expences"</formula>
    </cfRule>
    <cfRule type="expression" dxfId="4094" priority="1457">
      <formula>$C52="Garlic Purchase"</formula>
    </cfRule>
    <cfRule type="expression" dxfId="4093" priority="1458">
      <formula>$C52="Ginger Purchase"</formula>
    </cfRule>
  </conditionalFormatting>
  <conditionalFormatting sqref="B52 B56 B60">
    <cfRule type="expression" dxfId="4092" priority="1459">
      <formula>$C52="Advance"</formula>
    </cfRule>
  </conditionalFormatting>
  <conditionalFormatting sqref="B52 B56 B60">
    <cfRule type="expression" dxfId="4091" priority="1440">
      <formula>$C52="Delivery charge"</formula>
    </cfRule>
    <cfRule type="expression" dxfId="4090" priority="1441">
      <formula>$C52="Staff Salary"</formula>
    </cfRule>
    <cfRule type="expression" dxfId="4089" priority="1442">
      <formula>$C52="Rent"</formula>
    </cfRule>
    <cfRule type="expression" dxfId="4088" priority="1443">
      <formula>$C52="Petrol"</formula>
    </cfRule>
    <cfRule type="expression" dxfId="4087" priority="1444">
      <formula>$C52="Bills"</formula>
    </cfRule>
    <cfRule type="expression" dxfId="4086" priority="1445">
      <formula>$C52="Sales"</formula>
    </cfRule>
    <cfRule type="expression" dxfId="4085" priority="1446">
      <formula>$C52="Expences"</formula>
    </cfRule>
    <cfRule type="expression" dxfId="4084" priority="1447">
      <formula>$C52="Garlic Purchase"</formula>
    </cfRule>
    <cfRule type="expression" dxfId="4083" priority="1448">
      <formula>$C52="Ginger Purchase"</formula>
    </cfRule>
  </conditionalFormatting>
  <conditionalFormatting sqref="B52 B56 B60">
    <cfRule type="expression" dxfId="4082" priority="1449">
      <formula>$C52="Advance"</formula>
    </cfRule>
  </conditionalFormatting>
  <conditionalFormatting sqref="B52 B56 B60">
    <cfRule type="expression" dxfId="4081" priority="1430">
      <formula>$C52="Delivery charge"</formula>
    </cfRule>
    <cfRule type="expression" dxfId="4080" priority="1431">
      <formula>$C52="Staff Salary"</formula>
    </cfRule>
    <cfRule type="expression" dxfId="4079" priority="1432">
      <formula>$C52="Rent"</formula>
    </cfRule>
    <cfRule type="expression" dxfId="4078" priority="1433">
      <formula>$C52="Petrol"</formula>
    </cfRule>
    <cfRule type="expression" dxfId="4077" priority="1434">
      <formula>$C52="Bills"</formula>
    </cfRule>
    <cfRule type="expression" dxfId="4076" priority="1435">
      <formula>$C52="Sales"</formula>
    </cfRule>
    <cfRule type="expression" dxfId="4075" priority="1436">
      <formula>$C52="Expences"</formula>
    </cfRule>
    <cfRule type="expression" dxfId="4074" priority="1437">
      <formula>$C52="Garlic Purchase"</formula>
    </cfRule>
    <cfRule type="expression" dxfId="4073" priority="1438">
      <formula>$C52="Ginger Purchase"</formula>
    </cfRule>
  </conditionalFormatting>
  <conditionalFormatting sqref="B52 B56 B60">
    <cfRule type="expression" dxfId="4072" priority="1439">
      <formula>$C52="Advance"</formula>
    </cfRule>
  </conditionalFormatting>
  <conditionalFormatting sqref="B52 B56 B60">
    <cfRule type="expression" dxfId="4071" priority="1420">
      <formula>$C52="Delivery charge"</formula>
    </cfRule>
    <cfRule type="expression" dxfId="4070" priority="1421">
      <formula>$C52="Staff Salary"</formula>
    </cfRule>
    <cfRule type="expression" dxfId="4069" priority="1422">
      <formula>$C52="Rent"</formula>
    </cfRule>
    <cfRule type="expression" dxfId="4068" priority="1423">
      <formula>$C52="Petrol"</formula>
    </cfRule>
    <cfRule type="expression" dxfId="4067" priority="1424">
      <formula>$C52="Bills"</formula>
    </cfRule>
    <cfRule type="expression" dxfId="4066" priority="1425">
      <formula>$C52="Sales"</formula>
    </cfRule>
    <cfRule type="expression" dxfId="4065" priority="1426">
      <formula>$C52="Expences"</formula>
    </cfRule>
    <cfRule type="expression" dxfId="4064" priority="1427">
      <formula>$C52="Garlic Purchase"</formula>
    </cfRule>
    <cfRule type="expression" dxfId="4063" priority="1428">
      <formula>$C52="Ginger Purchase"</formula>
    </cfRule>
  </conditionalFormatting>
  <conditionalFormatting sqref="B52 B56 B60">
    <cfRule type="expression" dxfId="4062" priority="1429">
      <formula>$C52="Advance"</formula>
    </cfRule>
  </conditionalFormatting>
  <conditionalFormatting sqref="B52 B56 B60">
    <cfRule type="expression" dxfId="4061" priority="1410">
      <formula>$C52="Delivery charge"</formula>
    </cfRule>
    <cfRule type="expression" dxfId="4060" priority="1411">
      <formula>$C52="Staff Salary"</formula>
    </cfRule>
    <cfRule type="expression" dxfId="4059" priority="1412">
      <formula>$C52="Rent"</formula>
    </cfRule>
    <cfRule type="expression" dxfId="4058" priority="1413">
      <formula>$C52="Petrol"</formula>
    </cfRule>
    <cfRule type="expression" dxfId="4057" priority="1414">
      <formula>$C52="Bills"</formula>
    </cfRule>
    <cfRule type="expression" dxfId="4056" priority="1415">
      <formula>$C52="Sales"</formula>
    </cfRule>
    <cfRule type="expression" dxfId="4055" priority="1416">
      <formula>$C52="Expences"</formula>
    </cfRule>
    <cfRule type="expression" dxfId="4054" priority="1417">
      <formula>$C52="Garlic Purchase"</formula>
    </cfRule>
    <cfRule type="expression" dxfId="4053" priority="1418">
      <formula>$C52="Ginger Purchase"</formula>
    </cfRule>
  </conditionalFormatting>
  <conditionalFormatting sqref="B52 B56 B60">
    <cfRule type="expression" dxfId="4052" priority="1419">
      <formula>$C52="Advance"</formula>
    </cfRule>
  </conditionalFormatting>
  <conditionalFormatting sqref="B52 B56 B60">
    <cfRule type="expression" dxfId="4051" priority="1400">
      <formula>$C52="Delivery charge"</formula>
    </cfRule>
    <cfRule type="expression" dxfId="4050" priority="1401">
      <formula>$C52="Staff Salary"</formula>
    </cfRule>
    <cfRule type="expression" dxfId="4049" priority="1402">
      <formula>$C52="Rent"</formula>
    </cfRule>
    <cfRule type="expression" dxfId="4048" priority="1403">
      <formula>$C52="Petrol"</formula>
    </cfRule>
    <cfRule type="expression" dxfId="4047" priority="1404">
      <formula>$C52="Bills"</formula>
    </cfRule>
    <cfRule type="expression" dxfId="4046" priority="1405">
      <formula>$C52="Sales"</formula>
    </cfRule>
    <cfRule type="expression" dxfId="4045" priority="1406">
      <formula>$C52="Expences"</formula>
    </cfRule>
    <cfRule type="expression" dxfId="4044" priority="1407">
      <formula>$C52="Garlic Purchase"</formula>
    </cfRule>
    <cfRule type="expression" dxfId="4043" priority="1408">
      <formula>$C52="Ginger Purchase"</formula>
    </cfRule>
  </conditionalFormatting>
  <conditionalFormatting sqref="B52 B56 B60">
    <cfRule type="expression" dxfId="4042" priority="1409">
      <formula>$C52="Advance"</formula>
    </cfRule>
  </conditionalFormatting>
  <conditionalFormatting sqref="B52 B56 B60">
    <cfRule type="expression" dxfId="4041" priority="1390">
      <formula>$C52="Delivery charge"</formula>
    </cfRule>
    <cfRule type="expression" dxfId="4040" priority="1391">
      <formula>$C52="Staff Salary"</formula>
    </cfRule>
    <cfRule type="expression" dxfId="4039" priority="1392">
      <formula>$C52="Rent"</formula>
    </cfRule>
    <cfRule type="expression" dxfId="4038" priority="1393">
      <formula>$C52="Petrol"</formula>
    </cfRule>
    <cfRule type="expression" dxfId="4037" priority="1394">
      <formula>$C52="Bills"</formula>
    </cfRule>
    <cfRule type="expression" dxfId="4036" priority="1395">
      <formula>$C52="Sales"</formula>
    </cfRule>
    <cfRule type="expression" dxfId="4035" priority="1396">
      <formula>$C52="Expences"</formula>
    </cfRule>
    <cfRule type="expression" dxfId="4034" priority="1397">
      <formula>$C52="Garlic Purchase"</formula>
    </cfRule>
    <cfRule type="expression" dxfId="4033" priority="1398">
      <formula>$C52="Ginger Purchase"</formula>
    </cfRule>
  </conditionalFormatting>
  <conditionalFormatting sqref="B52 B56 B60">
    <cfRule type="expression" dxfId="4032" priority="1399">
      <formula>$C52="Advance"</formula>
    </cfRule>
  </conditionalFormatting>
  <conditionalFormatting sqref="B52 B56 B60">
    <cfRule type="expression" dxfId="4031" priority="1380">
      <formula>$C52="Delivery charge"</formula>
    </cfRule>
    <cfRule type="expression" dxfId="4030" priority="1381">
      <formula>$C52="Staff Salary"</formula>
    </cfRule>
    <cfRule type="expression" dxfId="4029" priority="1382">
      <formula>$C52="Rent"</formula>
    </cfRule>
    <cfRule type="expression" dxfId="4028" priority="1383">
      <formula>$C52="Petrol"</formula>
    </cfRule>
    <cfRule type="expression" dxfId="4027" priority="1384">
      <formula>$C52="Bills"</formula>
    </cfRule>
    <cfRule type="expression" dxfId="4026" priority="1385">
      <formula>$C52="Sales"</formula>
    </cfRule>
    <cfRule type="expression" dxfId="4025" priority="1386">
      <formula>$C52="Expences"</formula>
    </cfRule>
    <cfRule type="expression" dxfId="4024" priority="1387">
      <formula>$C52="Garlic Purchase"</formula>
    </cfRule>
    <cfRule type="expression" dxfId="4023" priority="1388">
      <formula>$C52="Ginger Purchase"</formula>
    </cfRule>
  </conditionalFormatting>
  <conditionalFormatting sqref="B52 B56 B60">
    <cfRule type="expression" dxfId="4022" priority="1389">
      <formula>$C52="Advance"</formula>
    </cfRule>
  </conditionalFormatting>
  <conditionalFormatting sqref="B52 B56 B60">
    <cfRule type="expression" dxfId="4021" priority="1370">
      <formula>$C52="Delivery charge"</formula>
    </cfRule>
    <cfRule type="expression" dxfId="4020" priority="1371">
      <formula>$C52="Staff Salary"</formula>
    </cfRule>
    <cfRule type="expression" dxfId="4019" priority="1372">
      <formula>$C52="Rent"</formula>
    </cfRule>
    <cfRule type="expression" dxfId="4018" priority="1373">
      <formula>$C52="Petrol"</formula>
    </cfRule>
    <cfRule type="expression" dxfId="4017" priority="1374">
      <formula>$C52="Bills"</formula>
    </cfRule>
    <cfRule type="expression" dxfId="4016" priority="1375">
      <formula>$C52="Sales"</formula>
    </cfRule>
    <cfRule type="expression" dxfId="4015" priority="1376">
      <formula>$C52="Expences"</formula>
    </cfRule>
    <cfRule type="expression" dxfId="4014" priority="1377">
      <formula>$C52="Garlic Purchase"</formula>
    </cfRule>
    <cfRule type="expression" dxfId="4013" priority="1378">
      <formula>$C52="Ginger Purchase"</formula>
    </cfRule>
  </conditionalFormatting>
  <conditionalFormatting sqref="B52 B56 B60">
    <cfRule type="expression" dxfId="4012" priority="1379">
      <formula>$C52="Advance"</formula>
    </cfRule>
  </conditionalFormatting>
  <conditionalFormatting sqref="B52 B56 B60">
    <cfRule type="expression" dxfId="4011" priority="1360">
      <formula>$C52="Delivery charge"</formula>
    </cfRule>
    <cfRule type="expression" dxfId="4010" priority="1361">
      <formula>$C52="Staff Salary"</formula>
    </cfRule>
    <cfRule type="expression" dxfId="4009" priority="1362">
      <formula>$C52="Rent"</formula>
    </cfRule>
    <cfRule type="expression" dxfId="4008" priority="1363">
      <formula>$C52="Petrol"</formula>
    </cfRule>
    <cfRule type="expression" dxfId="4007" priority="1364">
      <formula>$C52="Bills"</formula>
    </cfRule>
    <cfRule type="expression" dxfId="4006" priority="1365">
      <formula>$C52="Sales"</formula>
    </cfRule>
    <cfRule type="expression" dxfId="4005" priority="1366">
      <formula>$C52="Expences"</formula>
    </cfRule>
    <cfRule type="expression" dxfId="4004" priority="1367">
      <formula>$C52="Garlic Purchase"</formula>
    </cfRule>
    <cfRule type="expression" dxfId="4003" priority="1368">
      <formula>$C52="Ginger Purchase"</formula>
    </cfRule>
  </conditionalFormatting>
  <conditionalFormatting sqref="B52 B56 B60">
    <cfRule type="expression" dxfId="4002" priority="1369">
      <formula>$C52="Advance"</formula>
    </cfRule>
  </conditionalFormatting>
  <conditionalFormatting sqref="B52 B56 B60">
    <cfRule type="expression" dxfId="4001" priority="1350">
      <formula>$C52="Delivery charge"</formula>
    </cfRule>
    <cfRule type="expression" dxfId="4000" priority="1351">
      <formula>$C52="Staff Salary"</formula>
    </cfRule>
    <cfRule type="expression" dxfId="3999" priority="1352">
      <formula>$C52="Rent"</formula>
    </cfRule>
    <cfRule type="expression" dxfId="3998" priority="1353">
      <formula>$C52="Petrol"</formula>
    </cfRule>
    <cfRule type="expression" dxfId="3997" priority="1354">
      <formula>$C52="Bills"</formula>
    </cfRule>
    <cfRule type="expression" dxfId="3996" priority="1355">
      <formula>$C52="Sales"</formula>
    </cfRule>
    <cfRule type="expression" dxfId="3995" priority="1356">
      <formula>$C52="Expences"</formula>
    </cfRule>
    <cfRule type="expression" dxfId="3994" priority="1357">
      <formula>$C52="Garlic Purchase"</formula>
    </cfRule>
    <cfRule type="expression" dxfId="3993" priority="1358">
      <formula>$C52="Ginger Purchase"</formula>
    </cfRule>
  </conditionalFormatting>
  <conditionalFormatting sqref="B52 B56 B60">
    <cfRule type="expression" dxfId="3992" priority="1359">
      <formula>$C52="Advance"</formula>
    </cfRule>
  </conditionalFormatting>
  <conditionalFormatting sqref="B52 B56 B60">
    <cfRule type="expression" dxfId="3991" priority="1340">
      <formula>$C52="Delivery charge"</formula>
    </cfRule>
    <cfRule type="expression" dxfId="3990" priority="1341">
      <formula>$C52="Staff Salary"</formula>
    </cfRule>
    <cfRule type="expression" dxfId="3989" priority="1342">
      <formula>$C52="Rent"</formula>
    </cfRule>
    <cfRule type="expression" dxfId="3988" priority="1343">
      <formula>$C52="Petrol"</formula>
    </cfRule>
    <cfRule type="expression" dxfId="3987" priority="1344">
      <formula>$C52="Bills"</formula>
    </cfRule>
    <cfRule type="expression" dxfId="3986" priority="1345">
      <formula>$C52="Sales"</formula>
    </cfRule>
    <cfRule type="expression" dxfId="3985" priority="1346">
      <formula>$C52="Expences"</formula>
    </cfRule>
    <cfRule type="expression" dxfId="3984" priority="1347">
      <formula>$C52="Garlic Purchase"</formula>
    </cfRule>
    <cfRule type="expression" dxfId="3983" priority="1348">
      <formula>$C52="Ginger Purchase"</formula>
    </cfRule>
  </conditionalFormatting>
  <conditionalFormatting sqref="B52 B56 B60">
    <cfRule type="expression" dxfId="3982" priority="1349">
      <formula>$C52="Advance"</formula>
    </cfRule>
  </conditionalFormatting>
  <conditionalFormatting sqref="B52 B56 B60">
    <cfRule type="expression" dxfId="3981" priority="1330">
      <formula>$C52="Delivery charge"</formula>
    </cfRule>
    <cfRule type="expression" dxfId="3980" priority="1331">
      <formula>$C52="Staff Salary"</formula>
    </cfRule>
    <cfRule type="expression" dxfId="3979" priority="1332">
      <formula>$C52="Rent"</formula>
    </cfRule>
    <cfRule type="expression" dxfId="3978" priority="1333">
      <formula>$C52="Petrol"</formula>
    </cfRule>
    <cfRule type="expression" dxfId="3977" priority="1334">
      <formula>$C52="Bills"</formula>
    </cfRule>
    <cfRule type="expression" dxfId="3976" priority="1335">
      <formula>$C52="Sales"</formula>
    </cfRule>
    <cfRule type="expression" dxfId="3975" priority="1336">
      <formula>$C52="Expences"</formula>
    </cfRule>
    <cfRule type="expression" dxfId="3974" priority="1337">
      <formula>$C52="Garlic Purchase"</formula>
    </cfRule>
    <cfRule type="expression" dxfId="3973" priority="1338">
      <formula>$C52="Ginger Purchase"</formula>
    </cfRule>
  </conditionalFormatting>
  <conditionalFormatting sqref="B52 B56 B60">
    <cfRule type="expression" dxfId="3972" priority="1339">
      <formula>$C52="Advance"</formula>
    </cfRule>
  </conditionalFormatting>
  <conditionalFormatting sqref="B52 B56 B60">
    <cfRule type="expression" dxfId="3971" priority="1320">
      <formula>$C52="Delivery charge"</formula>
    </cfRule>
    <cfRule type="expression" dxfId="3970" priority="1321">
      <formula>$C52="Staff Salary"</formula>
    </cfRule>
    <cfRule type="expression" dxfId="3969" priority="1322">
      <formula>$C52="Rent"</formula>
    </cfRule>
    <cfRule type="expression" dxfId="3968" priority="1323">
      <formula>$C52="Petrol"</formula>
    </cfRule>
    <cfRule type="expression" dxfId="3967" priority="1324">
      <formula>$C52="Bills"</formula>
    </cfRule>
    <cfRule type="expression" dxfId="3966" priority="1325">
      <formula>$C52="Sales"</formula>
    </cfRule>
    <cfRule type="expression" dxfId="3965" priority="1326">
      <formula>$C52="Expences"</formula>
    </cfRule>
    <cfRule type="expression" dxfId="3964" priority="1327">
      <formula>$C52="Garlic Purchase"</formula>
    </cfRule>
    <cfRule type="expression" dxfId="3963" priority="1328">
      <formula>$C52="Ginger Purchase"</formula>
    </cfRule>
  </conditionalFormatting>
  <conditionalFormatting sqref="B52 B56 B60">
    <cfRule type="expression" dxfId="3962" priority="1329">
      <formula>$C52="Advance"</formula>
    </cfRule>
  </conditionalFormatting>
  <conditionalFormatting sqref="B52 B56 B60">
    <cfRule type="expression" dxfId="3961" priority="1310">
      <formula>$C52="Delivery charge"</formula>
    </cfRule>
    <cfRule type="expression" dxfId="3960" priority="1311">
      <formula>$C52="Staff Salary"</formula>
    </cfRule>
    <cfRule type="expression" dxfId="3959" priority="1312">
      <formula>$C52="Rent"</formula>
    </cfRule>
    <cfRule type="expression" dxfId="3958" priority="1313">
      <formula>$C52="Petrol"</formula>
    </cfRule>
    <cfRule type="expression" dxfId="3957" priority="1314">
      <formula>$C52="Bills"</formula>
    </cfRule>
    <cfRule type="expression" dxfId="3956" priority="1315">
      <formula>$C52="Sales"</formula>
    </cfRule>
    <cfRule type="expression" dxfId="3955" priority="1316">
      <formula>$C52="Expences"</formula>
    </cfRule>
    <cfRule type="expression" dxfId="3954" priority="1317">
      <formula>$C52="Garlic Purchase"</formula>
    </cfRule>
    <cfRule type="expression" dxfId="3953" priority="1318">
      <formula>$C52="Ginger Purchase"</formula>
    </cfRule>
  </conditionalFormatting>
  <conditionalFormatting sqref="B52 B56 B60">
    <cfRule type="expression" dxfId="3952" priority="1319">
      <formula>$C52="Advance"</formula>
    </cfRule>
  </conditionalFormatting>
  <conditionalFormatting sqref="B52 B56 B60">
    <cfRule type="expression" dxfId="3951" priority="1300">
      <formula>$C52="Delivery charge"</formula>
    </cfRule>
    <cfRule type="expression" dxfId="3950" priority="1301">
      <formula>$C52="Staff Salary"</formula>
    </cfRule>
    <cfRule type="expression" dxfId="3949" priority="1302">
      <formula>$C52="Rent"</formula>
    </cfRule>
    <cfRule type="expression" dxfId="3948" priority="1303">
      <formula>$C52="Petrol"</formula>
    </cfRule>
    <cfRule type="expression" dxfId="3947" priority="1304">
      <formula>$C52="Bills"</formula>
    </cfRule>
    <cfRule type="expression" dxfId="3946" priority="1305">
      <formula>$C52="Sales"</formula>
    </cfRule>
    <cfRule type="expression" dxfId="3945" priority="1306">
      <formula>$C52="Expences"</formula>
    </cfRule>
    <cfRule type="expression" dxfId="3944" priority="1307">
      <formula>$C52="Garlic Purchase"</formula>
    </cfRule>
    <cfRule type="expression" dxfId="3943" priority="1308">
      <formula>$C52="Ginger Purchase"</formula>
    </cfRule>
  </conditionalFormatting>
  <conditionalFormatting sqref="B52 B56 B60">
    <cfRule type="expression" dxfId="3942" priority="1309">
      <formula>$C52="Advance"</formula>
    </cfRule>
  </conditionalFormatting>
  <conditionalFormatting sqref="B52 B56 B60">
    <cfRule type="expression" dxfId="3941" priority="1290">
      <formula>$C52="Delivery charge"</formula>
    </cfRule>
    <cfRule type="expression" dxfId="3940" priority="1291">
      <formula>$C52="Staff Salary"</formula>
    </cfRule>
    <cfRule type="expression" dxfId="3939" priority="1292">
      <formula>$C52="Rent"</formula>
    </cfRule>
    <cfRule type="expression" dxfId="3938" priority="1293">
      <formula>$C52="Petrol"</formula>
    </cfRule>
    <cfRule type="expression" dxfId="3937" priority="1294">
      <formula>$C52="Bills"</formula>
    </cfRule>
    <cfRule type="expression" dxfId="3936" priority="1295">
      <formula>$C52="Sales"</formula>
    </cfRule>
    <cfRule type="expression" dxfId="3935" priority="1296">
      <formula>$C52="Expences"</formula>
    </cfRule>
    <cfRule type="expression" dxfId="3934" priority="1297">
      <formula>$C52="Garlic Purchase"</formula>
    </cfRule>
    <cfRule type="expression" dxfId="3933" priority="1298">
      <formula>$C52="Ginger Purchase"</formula>
    </cfRule>
  </conditionalFormatting>
  <conditionalFormatting sqref="B52 B56 B60">
    <cfRule type="expression" dxfId="3932" priority="1299">
      <formula>$C52="Advance"</formula>
    </cfRule>
  </conditionalFormatting>
  <conditionalFormatting sqref="B52 B56 B60">
    <cfRule type="expression" dxfId="3931" priority="1280">
      <formula>$C52="Delivery charge"</formula>
    </cfRule>
    <cfRule type="expression" dxfId="3930" priority="1281">
      <formula>$C52="Staff Salary"</formula>
    </cfRule>
    <cfRule type="expression" dxfId="3929" priority="1282">
      <formula>$C52="Rent"</formula>
    </cfRule>
    <cfRule type="expression" dxfId="3928" priority="1283">
      <formula>$C52="Petrol"</formula>
    </cfRule>
    <cfRule type="expression" dxfId="3927" priority="1284">
      <formula>$C52="Bills"</formula>
    </cfRule>
    <cfRule type="expression" dxfId="3926" priority="1285">
      <formula>$C52="Sales"</formula>
    </cfRule>
    <cfRule type="expression" dxfId="3925" priority="1286">
      <formula>$C52="Expences"</formula>
    </cfRule>
    <cfRule type="expression" dxfId="3924" priority="1287">
      <formula>$C52="Garlic Purchase"</formula>
    </cfRule>
    <cfRule type="expression" dxfId="3923" priority="1288">
      <formula>$C52="Ginger Purchase"</formula>
    </cfRule>
  </conditionalFormatting>
  <conditionalFormatting sqref="B52 B56 B60">
    <cfRule type="expression" dxfId="3922" priority="1289">
      <formula>$C52="Advance"</formula>
    </cfRule>
  </conditionalFormatting>
  <conditionalFormatting sqref="B52 B56 B60">
    <cfRule type="expression" dxfId="3921" priority="1270">
      <formula>$C52="Delivery charge"</formula>
    </cfRule>
    <cfRule type="expression" dxfId="3920" priority="1271">
      <formula>$C52="Staff Salary"</formula>
    </cfRule>
    <cfRule type="expression" dxfId="3919" priority="1272">
      <formula>$C52="Rent"</formula>
    </cfRule>
    <cfRule type="expression" dxfId="3918" priority="1273">
      <formula>$C52="Petrol"</formula>
    </cfRule>
    <cfRule type="expression" dxfId="3917" priority="1274">
      <formula>$C52="Bills"</formula>
    </cfRule>
    <cfRule type="expression" dxfId="3916" priority="1275">
      <formula>$C52="Sales"</formula>
    </cfRule>
    <cfRule type="expression" dxfId="3915" priority="1276">
      <formula>$C52="Expences"</formula>
    </cfRule>
    <cfRule type="expression" dxfId="3914" priority="1277">
      <formula>$C52="Garlic Purchase"</formula>
    </cfRule>
    <cfRule type="expression" dxfId="3913" priority="1278">
      <formula>$C52="Ginger Purchase"</formula>
    </cfRule>
  </conditionalFormatting>
  <conditionalFormatting sqref="B52 B56 B60">
    <cfRule type="expression" dxfId="3912" priority="1279">
      <formula>$C52="Advance"</formula>
    </cfRule>
  </conditionalFormatting>
  <conditionalFormatting sqref="B52 B56 B60">
    <cfRule type="expression" dxfId="3911" priority="1260">
      <formula>$C52="Delivery charge"</formula>
    </cfRule>
    <cfRule type="expression" dxfId="3910" priority="1261">
      <formula>$C52="Staff Salary"</formula>
    </cfRule>
    <cfRule type="expression" dxfId="3909" priority="1262">
      <formula>$C52="Rent"</formula>
    </cfRule>
    <cfRule type="expression" dxfId="3908" priority="1263">
      <formula>$C52="Petrol"</formula>
    </cfRule>
    <cfRule type="expression" dxfId="3907" priority="1264">
      <formula>$C52="Bills"</formula>
    </cfRule>
    <cfRule type="expression" dxfId="3906" priority="1265">
      <formula>$C52="Sales"</formula>
    </cfRule>
    <cfRule type="expression" dxfId="3905" priority="1266">
      <formula>$C52="Expences"</formula>
    </cfRule>
    <cfRule type="expression" dxfId="3904" priority="1267">
      <formula>$C52="Garlic Purchase"</formula>
    </cfRule>
    <cfRule type="expression" dxfId="3903" priority="1268">
      <formula>$C52="Ginger Purchase"</formula>
    </cfRule>
  </conditionalFormatting>
  <conditionalFormatting sqref="B52 B56 B60">
    <cfRule type="expression" dxfId="3902" priority="1269">
      <formula>$C52="Advance"</formula>
    </cfRule>
  </conditionalFormatting>
  <conditionalFormatting sqref="B52 B56 B60">
    <cfRule type="expression" dxfId="3901" priority="1250">
      <formula>$C52="Delivery charge"</formula>
    </cfRule>
    <cfRule type="expression" dxfId="3900" priority="1251">
      <formula>$C52="Staff Salary"</formula>
    </cfRule>
    <cfRule type="expression" dxfId="3899" priority="1252">
      <formula>$C52="Rent"</formula>
    </cfRule>
    <cfRule type="expression" dxfId="3898" priority="1253">
      <formula>$C52="Petrol"</formula>
    </cfRule>
    <cfRule type="expression" dxfId="3897" priority="1254">
      <formula>$C52="Bills"</formula>
    </cfRule>
    <cfRule type="expression" dxfId="3896" priority="1255">
      <formula>$C52="Sales"</formula>
    </cfRule>
    <cfRule type="expression" dxfId="3895" priority="1256">
      <formula>$C52="Expences"</formula>
    </cfRule>
    <cfRule type="expression" dxfId="3894" priority="1257">
      <formula>$C52="Garlic Purchase"</formula>
    </cfRule>
    <cfRule type="expression" dxfId="3893" priority="1258">
      <formula>$C52="Ginger Purchase"</formula>
    </cfRule>
  </conditionalFormatting>
  <conditionalFormatting sqref="B52 B56 B60">
    <cfRule type="expression" dxfId="3892" priority="1259">
      <formula>$C52="Advance"</formula>
    </cfRule>
  </conditionalFormatting>
  <conditionalFormatting sqref="B52 B56 B60">
    <cfRule type="expression" dxfId="3891" priority="1240">
      <formula>$C52="Delivery charge"</formula>
    </cfRule>
    <cfRule type="expression" dxfId="3890" priority="1241">
      <formula>$C52="Staff Salary"</formula>
    </cfRule>
    <cfRule type="expression" dxfId="3889" priority="1242">
      <formula>$C52="Rent"</formula>
    </cfRule>
    <cfRule type="expression" dxfId="3888" priority="1243">
      <formula>$C52="Petrol"</formula>
    </cfRule>
    <cfRule type="expression" dxfId="3887" priority="1244">
      <formula>$C52="Bills"</formula>
    </cfRule>
    <cfRule type="expression" dxfId="3886" priority="1245">
      <formula>$C52="Sales"</formula>
    </cfRule>
    <cfRule type="expression" dxfId="3885" priority="1246">
      <formula>$C52="Expences"</formula>
    </cfRule>
    <cfRule type="expression" dxfId="3884" priority="1247">
      <formula>$C52="Garlic Purchase"</formula>
    </cfRule>
    <cfRule type="expression" dxfId="3883" priority="1248">
      <formula>$C52="Ginger Purchase"</formula>
    </cfRule>
  </conditionalFormatting>
  <conditionalFormatting sqref="B52 B56 B60">
    <cfRule type="expression" dxfId="3882" priority="1249">
      <formula>$C52="Advance"</formula>
    </cfRule>
  </conditionalFormatting>
  <conditionalFormatting sqref="B52 B56 B60">
    <cfRule type="expression" dxfId="3881" priority="1230">
      <formula>$C52="Delivery charge"</formula>
    </cfRule>
    <cfRule type="expression" dxfId="3880" priority="1231">
      <formula>$C52="Staff Salary"</formula>
    </cfRule>
    <cfRule type="expression" dxfId="3879" priority="1232">
      <formula>$C52="Rent"</formula>
    </cfRule>
    <cfRule type="expression" dxfId="3878" priority="1233">
      <formula>$C52="Petrol"</formula>
    </cfRule>
    <cfRule type="expression" dxfId="3877" priority="1234">
      <formula>$C52="Bills"</formula>
    </cfRule>
    <cfRule type="expression" dxfId="3876" priority="1235">
      <formula>$C52="Sales"</formula>
    </cfRule>
    <cfRule type="expression" dxfId="3875" priority="1236">
      <formula>$C52="Expences"</formula>
    </cfRule>
    <cfRule type="expression" dxfId="3874" priority="1237">
      <formula>$C52="Garlic Purchase"</formula>
    </cfRule>
    <cfRule type="expression" dxfId="3873" priority="1238">
      <formula>$C52="Ginger Purchase"</formula>
    </cfRule>
  </conditionalFormatting>
  <conditionalFormatting sqref="B52 B56 B60">
    <cfRule type="expression" dxfId="3872" priority="1239">
      <formula>$C52="Advance"</formula>
    </cfRule>
  </conditionalFormatting>
  <conditionalFormatting sqref="B52 B56 B60">
    <cfRule type="expression" dxfId="3871" priority="1220">
      <formula>$C52="Delivery charge"</formula>
    </cfRule>
    <cfRule type="expression" dxfId="3870" priority="1221">
      <formula>$C52="Staff Salary"</formula>
    </cfRule>
    <cfRule type="expression" dxfId="3869" priority="1222">
      <formula>$C52="Rent"</formula>
    </cfRule>
    <cfRule type="expression" dxfId="3868" priority="1223">
      <formula>$C52="Petrol"</formula>
    </cfRule>
    <cfRule type="expression" dxfId="3867" priority="1224">
      <formula>$C52="Bills"</formula>
    </cfRule>
    <cfRule type="expression" dxfId="3866" priority="1225">
      <formula>$C52="Sales"</formula>
    </cfRule>
    <cfRule type="expression" dxfId="3865" priority="1226">
      <formula>$C52="Expences"</formula>
    </cfRule>
    <cfRule type="expression" dxfId="3864" priority="1227">
      <formula>$C52="Garlic Purchase"</formula>
    </cfRule>
    <cfRule type="expression" dxfId="3863" priority="1228">
      <formula>$C52="Ginger Purchase"</formula>
    </cfRule>
  </conditionalFormatting>
  <conditionalFormatting sqref="B52 B56 B60">
    <cfRule type="expression" dxfId="3862" priority="1229">
      <formula>$C52="Advance"</formula>
    </cfRule>
  </conditionalFormatting>
  <conditionalFormatting sqref="B52 B56 B60">
    <cfRule type="expression" dxfId="3861" priority="1210">
      <formula>$C52="Delivery charge"</formula>
    </cfRule>
    <cfRule type="expression" dxfId="3860" priority="1211">
      <formula>$C52="Staff Salary"</formula>
    </cfRule>
    <cfRule type="expression" dxfId="3859" priority="1212">
      <formula>$C52="Rent"</formula>
    </cfRule>
    <cfRule type="expression" dxfId="3858" priority="1213">
      <formula>$C52="Petrol"</formula>
    </cfRule>
    <cfRule type="expression" dxfId="3857" priority="1214">
      <formula>$C52="Bills"</formula>
    </cfRule>
    <cfRule type="expression" dxfId="3856" priority="1215">
      <formula>$C52="Sales"</formula>
    </cfRule>
    <cfRule type="expression" dxfId="3855" priority="1216">
      <formula>$C52="Expences"</formula>
    </cfRule>
    <cfRule type="expression" dxfId="3854" priority="1217">
      <formula>$C52="Garlic Purchase"</formula>
    </cfRule>
    <cfRule type="expression" dxfId="3853" priority="1218">
      <formula>$C52="Ginger Purchase"</formula>
    </cfRule>
  </conditionalFormatting>
  <conditionalFormatting sqref="B52 B56 B60">
    <cfRule type="expression" dxfId="3852" priority="1219">
      <formula>$C52="Advance"</formula>
    </cfRule>
  </conditionalFormatting>
  <conditionalFormatting sqref="B52 B56 B60">
    <cfRule type="expression" dxfId="3851" priority="1200">
      <formula>$C52="Delivery charge"</formula>
    </cfRule>
    <cfRule type="expression" dxfId="3850" priority="1201">
      <formula>$C52="Staff Salary"</formula>
    </cfRule>
    <cfRule type="expression" dxfId="3849" priority="1202">
      <formula>$C52="Rent"</formula>
    </cfRule>
    <cfRule type="expression" dxfId="3848" priority="1203">
      <formula>$C52="Petrol"</formula>
    </cfRule>
    <cfRule type="expression" dxfId="3847" priority="1204">
      <formula>$C52="Bills"</formula>
    </cfRule>
    <cfRule type="expression" dxfId="3846" priority="1205">
      <formula>$C52="Sales"</formula>
    </cfRule>
    <cfRule type="expression" dxfId="3845" priority="1206">
      <formula>$C52="Expences"</formula>
    </cfRule>
    <cfRule type="expression" dxfId="3844" priority="1207">
      <formula>$C52="Garlic Purchase"</formula>
    </cfRule>
    <cfRule type="expression" dxfId="3843" priority="1208">
      <formula>$C52="Ginger Purchase"</formula>
    </cfRule>
  </conditionalFormatting>
  <conditionalFormatting sqref="B52 B56 B60">
    <cfRule type="expression" dxfId="3842" priority="1209">
      <formula>$C52="Advance"</formula>
    </cfRule>
  </conditionalFormatting>
  <conditionalFormatting sqref="B52 B56 B60">
    <cfRule type="expression" dxfId="3841" priority="1190">
      <formula>$C52="Delivery charge"</formula>
    </cfRule>
    <cfRule type="expression" dxfId="3840" priority="1191">
      <formula>$C52="Staff Salary"</formula>
    </cfRule>
    <cfRule type="expression" dxfId="3839" priority="1192">
      <formula>$C52="Rent"</formula>
    </cfRule>
    <cfRule type="expression" dxfId="3838" priority="1193">
      <formula>$C52="Petrol"</formula>
    </cfRule>
    <cfRule type="expression" dxfId="3837" priority="1194">
      <formula>$C52="Bills"</formula>
    </cfRule>
    <cfRule type="expression" dxfId="3836" priority="1195">
      <formula>$C52="Sales"</formula>
    </cfRule>
    <cfRule type="expression" dxfId="3835" priority="1196">
      <formula>$C52="Expences"</formula>
    </cfRule>
    <cfRule type="expression" dxfId="3834" priority="1197">
      <formula>$C52="Garlic Purchase"</formula>
    </cfRule>
    <cfRule type="expression" dxfId="3833" priority="1198">
      <formula>$C52="Ginger Purchase"</formula>
    </cfRule>
  </conditionalFormatting>
  <conditionalFormatting sqref="B52 B56 B60">
    <cfRule type="expression" dxfId="3832" priority="1199">
      <formula>$C52="Advance"</formula>
    </cfRule>
  </conditionalFormatting>
  <conditionalFormatting sqref="B52 B56 B60">
    <cfRule type="expression" dxfId="3831" priority="1180">
      <formula>$C52="Delivery charge"</formula>
    </cfRule>
    <cfRule type="expression" dxfId="3830" priority="1181">
      <formula>$C52="Staff Salary"</formula>
    </cfRule>
    <cfRule type="expression" dxfId="3829" priority="1182">
      <formula>$C52="Rent"</formula>
    </cfRule>
    <cfRule type="expression" dxfId="3828" priority="1183">
      <formula>$C52="Petrol"</formula>
    </cfRule>
    <cfRule type="expression" dxfId="3827" priority="1184">
      <formula>$C52="Bills"</formula>
    </cfRule>
    <cfRule type="expression" dxfId="3826" priority="1185">
      <formula>$C52="Sales"</formula>
    </cfRule>
    <cfRule type="expression" dxfId="3825" priority="1186">
      <formula>$C52="Expences"</formula>
    </cfRule>
    <cfRule type="expression" dxfId="3824" priority="1187">
      <formula>$C52="Garlic Purchase"</formula>
    </cfRule>
    <cfRule type="expression" dxfId="3823" priority="1188">
      <formula>$C52="Ginger Purchase"</formula>
    </cfRule>
  </conditionalFormatting>
  <conditionalFormatting sqref="B52 B56 B60">
    <cfRule type="expression" dxfId="3822" priority="1189">
      <formula>$C52="Advance"</formula>
    </cfRule>
  </conditionalFormatting>
  <conditionalFormatting sqref="B52 B56 B60">
    <cfRule type="expression" dxfId="3821" priority="1170">
      <formula>$C52="Delivery charge"</formula>
    </cfRule>
    <cfRule type="expression" dxfId="3820" priority="1171">
      <formula>$C52="Staff Salary"</formula>
    </cfRule>
    <cfRule type="expression" dxfId="3819" priority="1172">
      <formula>$C52="Rent"</formula>
    </cfRule>
    <cfRule type="expression" dxfId="3818" priority="1173">
      <formula>$C52="Petrol"</formula>
    </cfRule>
    <cfRule type="expression" dxfId="3817" priority="1174">
      <formula>$C52="Bills"</formula>
    </cfRule>
    <cfRule type="expression" dxfId="3816" priority="1175">
      <formula>$C52="Sales"</formula>
    </cfRule>
    <cfRule type="expression" dxfId="3815" priority="1176">
      <formula>$C52="Expences"</formula>
    </cfRule>
    <cfRule type="expression" dxfId="3814" priority="1177">
      <formula>$C52="Garlic Purchase"</formula>
    </cfRule>
    <cfRule type="expression" dxfId="3813" priority="1178">
      <formula>$C52="Ginger Purchase"</formula>
    </cfRule>
  </conditionalFormatting>
  <conditionalFormatting sqref="B52 B56 B60">
    <cfRule type="expression" dxfId="3812" priority="1179">
      <formula>$C52="Advance"</formula>
    </cfRule>
  </conditionalFormatting>
  <conditionalFormatting sqref="B52 B56 B60">
    <cfRule type="expression" dxfId="3811" priority="1160">
      <formula>$C52="Delivery charge"</formula>
    </cfRule>
    <cfRule type="expression" dxfId="3810" priority="1161">
      <formula>$C52="Staff Salary"</formula>
    </cfRule>
    <cfRule type="expression" dxfId="3809" priority="1162">
      <formula>$C52="Rent"</formula>
    </cfRule>
    <cfRule type="expression" dxfId="3808" priority="1163">
      <formula>$C52="Petrol"</formula>
    </cfRule>
    <cfRule type="expression" dxfId="3807" priority="1164">
      <formula>$C52="Bills"</formula>
    </cfRule>
    <cfRule type="expression" dxfId="3806" priority="1165">
      <formula>$C52="Sales"</formula>
    </cfRule>
    <cfRule type="expression" dxfId="3805" priority="1166">
      <formula>$C52="Expences"</formula>
    </cfRule>
    <cfRule type="expression" dxfId="3804" priority="1167">
      <formula>$C52="Garlic Purchase"</formula>
    </cfRule>
    <cfRule type="expression" dxfId="3803" priority="1168">
      <formula>$C52="Ginger Purchase"</formula>
    </cfRule>
  </conditionalFormatting>
  <conditionalFormatting sqref="B52 B56 B60">
    <cfRule type="expression" dxfId="3802" priority="1169">
      <formula>$C52="Advance"</formula>
    </cfRule>
  </conditionalFormatting>
  <conditionalFormatting sqref="B52 B54 B56 B60 B58 B62">
    <cfRule type="expression" dxfId="3801" priority="1159">
      <formula>$C52="Advance"</formula>
    </cfRule>
  </conditionalFormatting>
  <conditionalFormatting sqref="B52 B54 B56 B60 B58 B62">
    <cfRule type="expression" dxfId="3800" priority="1150">
      <formula>$C52="Delivery charge"</formula>
    </cfRule>
    <cfRule type="expression" dxfId="3799" priority="1151">
      <formula>$C52="Staff Salary"</formula>
    </cfRule>
    <cfRule type="expression" dxfId="3798" priority="1152">
      <formula>$C52="Rent"</formula>
    </cfRule>
    <cfRule type="expression" dxfId="3797" priority="1153">
      <formula>$C52="Petrol"</formula>
    </cfRule>
    <cfRule type="expression" dxfId="3796" priority="1154">
      <formula>$C52="Bills"</formula>
    </cfRule>
    <cfRule type="expression" dxfId="3795" priority="1155">
      <formula>$C52="Sales"</formula>
    </cfRule>
    <cfRule type="expression" dxfId="3794" priority="1156">
      <formula>$C52="Expences"</formula>
    </cfRule>
    <cfRule type="expression" dxfId="3793" priority="1157">
      <formula>$C52="Garlic Purchase"</formula>
    </cfRule>
    <cfRule type="expression" dxfId="3792" priority="1158">
      <formula>$C52="Ginger Purchase"</formula>
    </cfRule>
  </conditionalFormatting>
  <conditionalFormatting sqref="B52 B54 B56 B60 B58 B62">
    <cfRule type="expression" dxfId="3791" priority="1140">
      <formula>$C52="Delivery charge"</formula>
    </cfRule>
    <cfRule type="expression" dxfId="3790" priority="1141">
      <formula>$C52="Staff Salary"</formula>
    </cfRule>
    <cfRule type="expression" dxfId="3789" priority="1142">
      <formula>$C52="Rent"</formula>
    </cfRule>
    <cfRule type="expression" dxfId="3788" priority="1143">
      <formula>$C52="Petrol"</formula>
    </cfRule>
    <cfRule type="expression" dxfId="3787" priority="1144">
      <formula>$C52="Bills"</formula>
    </cfRule>
    <cfRule type="expression" dxfId="3786" priority="1145">
      <formula>$C52="Sales"</formula>
    </cfRule>
    <cfRule type="expression" dxfId="3785" priority="1146">
      <formula>$C52="Expences"</formula>
    </cfRule>
    <cfRule type="expression" dxfId="3784" priority="1147">
      <formula>$C52="Garlic Purchase"</formula>
    </cfRule>
    <cfRule type="expression" dxfId="3783" priority="1148">
      <formula>$C52="Ginger Purchase"</formula>
    </cfRule>
  </conditionalFormatting>
  <conditionalFormatting sqref="B52 B54 B56 B60 B58 B62">
    <cfRule type="expression" dxfId="3782" priority="1149">
      <formula>$C52="Advance"</formula>
    </cfRule>
  </conditionalFormatting>
  <conditionalFormatting sqref="B52 B54 B56 B60 B58 B62">
    <cfRule type="expression" dxfId="3781" priority="1130">
      <formula>$C52="Delivery charge"</formula>
    </cfRule>
    <cfRule type="expression" dxfId="3780" priority="1131">
      <formula>$C52="Staff Salary"</formula>
    </cfRule>
    <cfRule type="expression" dxfId="3779" priority="1132">
      <formula>$C52="Rent"</formula>
    </cfRule>
    <cfRule type="expression" dxfId="3778" priority="1133">
      <formula>$C52="Petrol"</formula>
    </cfRule>
    <cfRule type="expression" dxfId="3777" priority="1134">
      <formula>$C52="Bills"</formula>
    </cfRule>
    <cfRule type="expression" dxfId="3776" priority="1135">
      <formula>$C52="Sales"</formula>
    </cfRule>
    <cfRule type="expression" dxfId="3775" priority="1136">
      <formula>$C52="Expences"</formula>
    </cfRule>
    <cfRule type="expression" dxfId="3774" priority="1137">
      <formula>$C52="Garlic Purchase"</formula>
    </cfRule>
    <cfRule type="expression" dxfId="3773" priority="1138">
      <formula>$C52="Ginger Purchase"</formula>
    </cfRule>
  </conditionalFormatting>
  <conditionalFormatting sqref="B52 B54 B56 B60 B58 B62">
    <cfRule type="expression" dxfId="3772" priority="1139">
      <formula>$C52="Advance"</formula>
    </cfRule>
  </conditionalFormatting>
  <conditionalFormatting sqref="B52 B54 B56 B60 B58 B62">
    <cfRule type="expression" dxfId="3771" priority="1120">
      <formula>$C52="Delivery charge"</formula>
    </cfRule>
    <cfRule type="expression" dxfId="3770" priority="1121">
      <formula>$C52="Staff Salary"</formula>
    </cfRule>
    <cfRule type="expression" dxfId="3769" priority="1122">
      <formula>$C52="Rent"</formula>
    </cfRule>
    <cfRule type="expression" dxfId="3768" priority="1123">
      <formula>$C52="Petrol"</formula>
    </cfRule>
    <cfRule type="expression" dxfId="3767" priority="1124">
      <formula>$C52="Bills"</formula>
    </cfRule>
    <cfRule type="expression" dxfId="3766" priority="1125">
      <formula>$C52="Sales"</formula>
    </cfRule>
    <cfRule type="expression" dxfId="3765" priority="1126">
      <formula>$C52="Expences"</formula>
    </cfRule>
    <cfRule type="expression" dxfId="3764" priority="1127">
      <formula>$C52="Garlic Purchase"</formula>
    </cfRule>
    <cfRule type="expression" dxfId="3763" priority="1128">
      <formula>$C52="Ginger Purchase"</formula>
    </cfRule>
  </conditionalFormatting>
  <conditionalFormatting sqref="B52 B54 B56 B60 B58 B62">
    <cfRule type="expression" dxfId="3762" priority="1129">
      <formula>$C52="Advance"</formula>
    </cfRule>
  </conditionalFormatting>
  <conditionalFormatting sqref="B52 B54 B56 B60 B58 B62">
    <cfRule type="expression" dxfId="3761" priority="1110">
      <formula>$C52="Delivery charge"</formula>
    </cfRule>
    <cfRule type="expression" dxfId="3760" priority="1111">
      <formula>$C52="Staff Salary"</formula>
    </cfRule>
    <cfRule type="expression" dxfId="3759" priority="1112">
      <formula>$C52="Rent"</formula>
    </cfRule>
    <cfRule type="expression" dxfId="3758" priority="1113">
      <formula>$C52="Petrol"</formula>
    </cfRule>
    <cfRule type="expression" dxfId="3757" priority="1114">
      <formula>$C52="Bills"</formula>
    </cfRule>
    <cfRule type="expression" dxfId="3756" priority="1115">
      <formula>$C52="Sales"</formula>
    </cfRule>
    <cfRule type="expression" dxfId="3755" priority="1116">
      <formula>$C52="Expences"</formula>
    </cfRule>
    <cfRule type="expression" dxfId="3754" priority="1117">
      <formula>$C52="Garlic Purchase"</formula>
    </cfRule>
    <cfRule type="expression" dxfId="3753" priority="1118">
      <formula>$C52="Ginger Purchase"</formula>
    </cfRule>
  </conditionalFormatting>
  <conditionalFormatting sqref="B52 B54 B56 B60 B58 B62">
    <cfRule type="expression" dxfId="3752" priority="1119">
      <formula>$C52="Advance"</formula>
    </cfRule>
  </conditionalFormatting>
  <conditionalFormatting sqref="B52 B54 B56 B60 B58 B62">
    <cfRule type="expression" dxfId="3751" priority="1100">
      <formula>$C52="Delivery charge"</formula>
    </cfRule>
    <cfRule type="expression" dxfId="3750" priority="1101">
      <formula>$C52="Staff Salary"</formula>
    </cfRule>
    <cfRule type="expression" dxfId="3749" priority="1102">
      <formula>$C52="Rent"</formula>
    </cfRule>
    <cfRule type="expression" dxfId="3748" priority="1103">
      <formula>$C52="Petrol"</formula>
    </cfRule>
    <cfRule type="expression" dxfId="3747" priority="1104">
      <formula>$C52="Bills"</formula>
    </cfRule>
    <cfRule type="expression" dxfId="3746" priority="1105">
      <formula>$C52="Sales"</formula>
    </cfRule>
    <cfRule type="expression" dxfId="3745" priority="1106">
      <formula>$C52="Expences"</formula>
    </cfRule>
    <cfRule type="expression" dxfId="3744" priority="1107">
      <formula>$C52="Garlic Purchase"</formula>
    </cfRule>
    <cfRule type="expression" dxfId="3743" priority="1108">
      <formula>$C52="Ginger Purchase"</formula>
    </cfRule>
  </conditionalFormatting>
  <conditionalFormatting sqref="B52 B54 B56 B60 B58 B62">
    <cfRule type="expression" dxfId="3742" priority="1109">
      <formula>$C52="Advance"</formula>
    </cfRule>
  </conditionalFormatting>
  <conditionalFormatting sqref="B52 B54 B56 B60 B58 B62">
    <cfRule type="expression" dxfId="3741" priority="1090">
      <formula>$C52="Delivery charge"</formula>
    </cfRule>
    <cfRule type="expression" dxfId="3740" priority="1091">
      <formula>$C52="Staff Salary"</formula>
    </cfRule>
    <cfRule type="expression" dxfId="3739" priority="1092">
      <formula>$C52="Rent"</formula>
    </cfRule>
    <cfRule type="expression" dxfId="3738" priority="1093">
      <formula>$C52="Petrol"</formula>
    </cfRule>
    <cfRule type="expression" dxfId="3737" priority="1094">
      <formula>$C52="Bills"</formula>
    </cfRule>
    <cfRule type="expression" dxfId="3736" priority="1095">
      <formula>$C52="Sales"</formula>
    </cfRule>
    <cfRule type="expression" dxfId="3735" priority="1096">
      <formula>$C52="Expences"</formula>
    </cfRule>
    <cfRule type="expression" dxfId="3734" priority="1097">
      <formula>$C52="Garlic Purchase"</formula>
    </cfRule>
    <cfRule type="expression" dxfId="3733" priority="1098">
      <formula>$C52="Ginger Purchase"</formula>
    </cfRule>
  </conditionalFormatting>
  <conditionalFormatting sqref="B52 B54 B56 B60 B58 B62">
    <cfRule type="expression" dxfId="3732" priority="1099">
      <formula>$C52="Advance"</formula>
    </cfRule>
  </conditionalFormatting>
  <conditionalFormatting sqref="B52 B54 B56 B60 B58 B62">
    <cfRule type="expression" dxfId="3731" priority="1080">
      <formula>$C52="Delivery charge"</formula>
    </cfRule>
    <cfRule type="expression" dxfId="3730" priority="1081">
      <formula>$C52="Staff Salary"</formula>
    </cfRule>
    <cfRule type="expression" dxfId="3729" priority="1082">
      <formula>$C52="Rent"</formula>
    </cfRule>
    <cfRule type="expression" dxfId="3728" priority="1083">
      <formula>$C52="Petrol"</formula>
    </cfRule>
    <cfRule type="expression" dxfId="3727" priority="1084">
      <formula>$C52="Bills"</formula>
    </cfRule>
    <cfRule type="expression" dxfId="3726" priority="1085">
      <formula>$C52="Sales"</formula>
    </cfRule>
    <cfRule type="expression" dxfId="3725" priority="1086">
      <formula>$C52="Expences"</formula>
    </cfRule>
    <cfRule type="expression" dxfId="3724" priority="1087">
      <formula>$C52="Garlic Purchase"</formula>
    </cfRule>
    <cfRule type="expression" dxfId="3723" priority="1088">
      <formula>$C52="Ginger Purchase"</formula>
    </cfRule>
  </conditionalFormatting>
  <conditionalFormatting sqref="B52 B54 B56 B60 B58 B62">
    <cfRule type="expression" dxfId="3722" priority="1089">
      <formula>$C52="Advance"</formula>
    </cfRule>
  </conditionalFormatting>
  <conditionalFormatting sqref="B52 B54 B56 B60 B58 B62">
    <cfRule type="expression" dxfId="3721" priority="1070">
      <formula>$C52="Delivery charge"</formula>
    </cfRule>
    <cfRule type="expression" dxfId="3720" priority="1071">
      <formula>$C52="Staff Salary"</formula>
    </cfRule>
    <cfRule type="expression" dxfId="3719" priority="1072">
      <formula>$C52="Rent"</formula>
    </cfRule>
    <cfRule type="expression" dxfId="3718" priority="1073">
      <formula>$C52="Petrol"</formula>
    </cfRule>
    <cfRule type="expression" dxfId="3717" priority="1074">
      <formula>$C52="Bills"</formula>
    </cfRule>
    <cfRule type="expression" dxfId="3716" priority="1075">
      <formula>$C52="Sales"</formula>
    </cfRule>
    <cfRule type="expression" dxfId="3715" priority="1076">
      <formula>$C52="Expences"</formula>
    </cfRule>
    <cfRule type="expression" dxfId="3714" priority="1077">
      <formula>$C52="Garlic Purchase"</formula>
    </cfRule>
    <cfRule type="expression" dxfId="3713" priority="1078">
      <formula>$C52="Ginger Purchase"</formula>
    </cfRule>
  </conditionalFormatting>
  <conditionalFormatting sqref="B52 B54 B56 B60 B58 B62">
    <cfRule type="expression" dxfId="3712" priority="1079">
      <formula>$C52="Advance"</formula>
    </cfRule>
  </conditionalFormatting>
  <conditionalFormatting sqref="B52 B54 B56 B60 B58 B62">
    <cfRule type="expression" dxfId="3711" priority="1060">
      <formula>$C52="Delivery charge"</formula>
    </cfRule>
    <cfRule type="expression" dxfId="3710" priority="1061">
      <formula>$C52="Staff Salary"</formula>
    </cfRule>
    <cfRule type="expression" dxfId="3709" priority="1062">
      <formula>$C52="Rent"</formula>
    </cfRule>
    <cfRule type="expression" dxfId="3708" priority="1063">
      <formula>$C52="Petrol"</formula>
    </cfRule>
    <cfRule type="expression" dxfId="3707" priority="1064">
      <formula>$C52="Bills"</formula>
    </cfRule>
    <cfRule type="expression" dxfId="3706" priority="1065">
      <formula>$C52="Sales"</formula>
    </cfRule>
    <cfRule type="expression" dxfId="3705" priority="1066">
      <formula>$C52="Expences"</formula>
    </cfRule>
    <cfRule type="expression" dxfId="3704" priority="1067">
      <formula>$C52="Garlic Purchase"</formula>
    </cfRule>
    <cfRule type="expression" dxfId="3703" priority="1068">
      <formula>$C52="Ginger Purchase"</formula>
    </cfRule>
  </conditionalFormatting>
  <conditionalFormatting sqref="B52 B54 B56 B60 B58 B62">
    <cfRule type="expression" dxfId="3702" priority="1069">
      <formula>$C52="Advance"</formula>
    </cfRule>
  </conditionalFormatting>
  <conditionalFormatting sqref="B52 B54 B56 B60 B58 B62">
    <cfRule type="expression" dxfId="3701" priority="1050">
      <formula>$C52="Delivery charge"</formula>
    </cfRule>
    <cfRule type="expression" dxfId="3700" priority="1051">
      <formula>$C52="Staff Salary"</formula>
    </cfRule>
    <cfRule type="expression" dxfId="3699" priority="1052">
      <formula>$C52="Rent"</formula>
    </cfRule>
    <cfRule type="expression" dxfId="3698" priority="1053">
      <formula>$C52="Petrol"</formula>
    </cfRule>
    <cfRule type="expression" dxfId="3697" priority="1054">
      <formula>$C52="Bills"</formula>
    </cfRule>
    <cfRule type="expression" dxfId="3696" priority="1055">
      <formula>$C52="Sales"</formula>
    </cfRule>
    <cfRule type="expression" dxfId="3695" priority="1056">
      <formula>$C52="Expences"</formula>
    </cfRule>
    <cfRule type="expression" dxfId="3694" priority="1057">
      <formula>$C52="Garlic Purchase"</formula>
    </cfRule>
    <cfRule type="expression" dxfId="3693" priority="1058">
      <formula>$C52="Ginger Purchase"</formula>
    </cfRule>
  </conditionalFormatting>
  <conditionalFormatting sqref="B52 B54 B56 B60 B58 B62">
    <cfRule type="expression" dxfId="3692" priority="1059">
      <formula>$C52="Advance"</formula>
    </cfRule>
  </conditionalFormatting>
  <conditionalFormatting sqref="B52 B54 B56 B60 B58 B62">
    <cfRule type="expression" dxfId="3691" priority="1040">
      <formula>$C52="Delivery charge"</formula>
    </cfRule>
    <cfRule type="expression" dxfId="3690" priority="1041">
      <formula>$C52="Staff Salary"</formula>
    </cfRule>
    <cfRule type="expression" dxfId="3689" priority="1042">
      <formula>$C52="Rent"</formula>
    </cfRule>
    <cfRule type="expression" dxfId="3688" priority="1043">
      <formula>$C52="Petrol"</formula>
    </cfRule>
    <cfRule type="expression" dxfId="3687" priority="1044">
      <formula>$C52="Bills"</formula>
    </cfRule>
    <cfRule type="expression" dxfId="3686" priority="1045">
      <formula>$C52="Sales"</formula>
    </cfRule>
    <cfRule type="expression" dxfId="3685" priority="1046">
      <formula>$C52="Expences"</formula>
    </cfRule>
    <cfRule type="expression" dxfId="3684" priority="1047">
      <formula>$C52="Garlic Purchase"</formula>
    </cfRule>
    <cfRule type="expression" dxfId="3683" priority="1048">
      <formula>$C52="Ginger Purchase"</formula>
    </cfRule>
  </conditionalFormatting>
  <conditionalFormatting sqref="B52 B54 B56 B60 B58 B62">
    <cfRule type="expression" dxfId="3682" priority="1049">
      <formula>$C52="Advance"</formula>
    </cfRule>
  </conditionalFormatting>
  <conditionalFormatting sqref="B53 B55 B57 B61 B59 B63">
    <cfRule type="expression" dxfId="3681" priority="839">
      <formula>$C53="Advance"</formula>
    </cfRule>
  </conditionalFormatting>
  <conditionalFormatting sqref="B53 B55 B57 B61 B59 B63">
    <cfRule type="expression" dxfId="3680" priority="1030">
      <formula>$C53="Delivery charge"</formula>
    </cfRule>
    <cfRule type="expression" dxfId="3679" priority="1031">
      <formula>$C53="Staff Salary"</formula>
    </cfRule>
    <cfRule type="expression" dxfId="3678" priority="1032">
      <formula>$C53="Rent"</formula>
    </cfRule>
    <cfRule type="expression" dxfId="3677" priority="1033">
      <formula>$C53="Petrol"</formula>
    </cfRule>
    <cfRule type="expression" dxfId="3676" priority="1034">
      <formula>$C53="Bills"</formula>
    </cfRule>
    <cfRule type="expression" dxfId="3675" priority="1035">
      <formula>$C53="Sales"</formula>
    </cfRule>
    <cfRule type="expression" dxfId="3674" priority="1036">
      <formula>$C53="Expences"</formula>
    </cfRule>
    <cfRule type="expression" dxfId="3673" priority="1037">
      <formula>$C53="Garlic Purchase"</formula>
    </cfRule>
    <cfRule type="expression" dxfId="3672" priority="1038">
      <formula>$C53="Ginger Purchase"</formula>
    </cfRule>
  </conditionalFormatting>
  <conditionalFormatting sqref="B53 B55 B57 B61 B59 B63">
    <cfRule type="expression" dxfId="3671" priority="1039">
      <formula>$C53="Advance"</formula>
    </cfRule>
  </conditionalFormatting>
  <conditionalFormatting sqref="B52 B54 B56 B60 B58 B62">
    <cfRule type="expression" dxfId="3670" priority="1020">
      <formula>$C52="Delivery charge"</formula>
    </cfRule>
    <cfRule type="expression" dxfId="3669" priority="1021">
      <formula>$C52="Staff Salary"</formula>
    </cfRule>
    <cfRule type="expression" dxfId="3668" priority="1022">
      <formula>$C52="Rent"</formula>
    </cfRule>
    <cfRule type="expression" dxfId="3667" priority="1023">
      <formula>$C52="Petrol"</formula>
    </cfRule>
    <cfRule type="expression" dxfId="3666" priority="1024">
      <formula>$C52="Bills"</formula>
    </cfRule>
    <cfRule type="expression" dxfId="3665" priority="1025">
      <formula>$C52="Sales"</formula>
    </cfRule>
    <cfRule type="expression" dxfId="3664" priority="1026">
      <formula>$C52="Expences"</formula>
    </cfRule>
    <cfRule type="expression" dxfId="3663" priority="1027">
      <formula>$C52="Garlic Purchase"</formula>
    </cfRule>
    <cfRule type="expression" dxfId="3662" priority="1028">
      <formula>$C52="Ginger Purchase"</formula>
    </cfRule>
  </conditionalFormatting>
  <conditionalFormatting sqref="B52 B54 B56 B60 B58 B62">
    <cfRule type="expression" dxfId="3661" priority="1029">
      <formula>$C52="Advance"</formula>
    </cfRule>
  </conditionalFormatting>
  <conditionalFormatting sqref="B52 B54 B56 B60 B58 B62">
    <cfRule type="expression" dxfId="3660" priority="1010">
      <formula>$C52="Delivery charge"</formula>
    </cfRule>
    <cfRule type="expression" dxfId="3659" priority="1011">
      <formula>$C52="Staff Salary"</formula>
    </cfRule>
    <cfRule type="expression" dxfId="3658" priority="1012">
      <formula>$C52="Rent"</formula>
    </cfRule>
    <cfRule type="expression" dxfId="3657" priority="1013">
      <formula>$C52="Petrol"</formula>
    </cfRule>
    <cfRule type="expression" dxfId="3656" priority="1014">
      <formula>$C52="Bills"</formula>
    </cfRule>
    <cfRule type="expression" dxfId="3655" priority="1015">
      <formula>$C52="Sales"</formula>
    </cfRule>
    <cfRule type="expression" dxfId="3654" priority="1016">
      <formula>$C52="Expences"</formula>
    </cfRule>
    <cfRule type="expression" dxfId="3653" priority="1017">
      <formula>$C52="Garlic Purchase"</formula>
    </cfRule>
    <cfRule type="expression" dxfId="3652" priority="1018">
      <formula>$C52="Ginger Purchase"</formula>
    </cfRule>
  </conditionalFormatting>
  <conditionalFormatting sqref="B52 B54 B56 B60 B58 B62">
    <cfRule type="expression" dxfId="3651" priority="1019">
      <formula>$C52="Advance"</formula>
    </cfRule>
  </conditionalFormatting>
  <conditionalFormatting sqref="B52 B54 B56 B60 B58 B62">
    <cfRule type="expression" dxfId="3650" priority="1000">
      <formula>$C52="Delivery charge"</formula>
    </cfRule>
    <cfRule type="expression" dxfId="3649" priority="1001">
      <formula>$C52="Staff Salary"</formula>
    </cfRule>
    <cfRule type="expression" dxfId="3648" priority="1002">
      <formula>$C52="Rent"</formula>
    </cfRule>
    <cfRule type="expression" dxfId="3647" priority="1003">
      <formula>$C52="Petrol"</formula>
    </cfRule>
    <cfRule type="expression" dxfId="3646" priority="1004">
      <formula>$C52="Bills"</formula>
    </cfRule>
    <cfRule type="expression" dxfId="3645" priority="1005">
      <formula>$C52="Sales"</formula>
    </cfRule>
    <cfRule type="expression" dxfId="3644" priority="1006">
      <formula>$C52="Expences"</formula>
    </cfRule>
    <cfRule type="expression" dxfId="3643" priority="1007">
      <formula>$C52="Garlic Purchase"</formula>
    </cfRule>
    <cfRule type="expression" dxfId="3642" priority="1008">
      <formula>$C52="Ginger Purchase"</formula>
    </cfRule>
  </conditionalFormatting>
  <conditionalFormatting sqref="B52 B54 B56 B60 B58 B62">
    <cfRule type="expression" dxfId="3641" priority="1009">
      <formula>$C52="Advance"</formula>
    </cfRule>
  </conditionalFormatting>
  <conditionalFormatting sqref="B52 B54 B56 B60 B58 B62">
    <cfRule type="expression" dxfId="3640" priority="990">
      <formula>$C52="Delivery charge"</formula>
    </cfRule>
    <cfRule type="expression" dxfId="3639" priority="991">
      <formula>$C52="Staff Salary"</formula>
    </cfRule>
    <cfRule type="expression" dxfId="3638" priority="992">
      <formula>$C52="Rent"</formula>
    </cfRule>
    <cfRule type="expression" dxfId="3637" priority="993">
      <formula>$C52="Petrol"</formula>
    </cfRule>
    <cfRule type="expression" dxfId="3636" priority="994">
      <formula>$C52="Bills"</formula>
    </cfRule>
    <cfRule type="expression" dxfId="3635" priority="995">
      <formula>$C52="Sales"</formula>
    </cfRule>
    <cfRule type="expression" dxfId="3634" priority="996">
      <formula>$C52="Expences"</formula>
    </cfRule>
    <cfRule type="expression" dxfId="3633" priority="997">
      <formula>$C52="Garlic Purchase"</formula>
    </cfRule>
    <cfRule type="expression" dxfId="3632" priority="998">
      <formula>$C52="Ginger Purchase"</formula>
    </cfRule>
  </conditionalFormatting>
  <conditionalFormatting sqref="B52 B54 B56 B60 B58 B62">
    <cfRule type="expression" dxfId="3631" priority="999">
      <formula>$C52="Advance"</formula>
    </cfRule>
  </conditionalFormatting>
  <conditionalFormatting sqref="B53 B55 B57 B61 B59 B63">
    <cfRule type="expression" dxfId="3630" priority="980">
      <formula>$C53="Delivery charge"</formula>
    </cfRule>
    <cfRule type="expression" dxfId="3629" priority="981">
      <formula>$C53="Staff Salary"</formula>
    </cfRule>
    <cfRule type="expression" dxfId="3628" priority="982">
      <formula>$C53="Rent"</formula>
    </cfRule>
    <cfRule type="expression" dxfId="3627" priority="983">
      <formula>$C53="Petrol"</formula>
    </cfRule>
    <cfRule type="expression" dxfId="3626" priority="984">
      <formula>$C53="Bills"</formula>
    </cfRule>
    <cfRule type="expression" dxfId="3625" priority="985">
      <formula>$C53="Sales"</formula>
    </cfRule>
    <cfRule type="expression" dxfId="3624" priority="986">
      <formula>$C53="Expences"</formula>
    </cfRule>
    <cfRule type="expression" dxfId="3623" priority="987">
      <formula>$C53="Garlic Purchase"</formula>
    </cfRule>
    <cfRule type="expression" dxfId="3622" priority="988">
      <formula>$C53="Ginger Purchase"</formula>
    </cfRule>
  </conditionalFormatting>
  <conditionalFormatting sqref="B53 B55 B57 B61 B59 B63">
    <cfRule type="expression" dxfId="3621" priority="989">
      <formula>$C53="Advance"</formula>
    </cfRule>
  </conditionalFormatting>
  <conditionalFormatting sqref="B53 B55 B57 B61 B59 B63">
    <cfRule type="expression" dxfId="3620" priority="970">
      <formula>$C53="Delivery charge"</formula>
    </cfRule>
    <cfRule type="expression" dxfId="3619" priority="971">
      <formula>$C53="Staff Salary"</formula>
    </cfRule>
    <cfRule type="expression" dxfId="3618" priority="972">
      <formula>$C53="Rent"</formula>
    </cfRule>
    <cfRule type="expression" dxfId="3617" priority="973">
      <formula>$C53="Petrol"</formula>
    </cfRule>
    <cfRule type="expression" dxfId="3616" priority="974">
      <formula>$C53="Bills"</formula>
    </cfRule>
    <cfRule type="expression" dxfId="3615" priority="975">
      <formula>$C53="Sales"</formula>
    </cfRule>
    <cfRule type="expression" dxfId="3614" priority="976">
      <formula>$C53="Expences"</formula>
    </cfRule>
    <cfRule type="expression" dxfId="3613" priority="977">
      <formula>$C53="Garlic Purchase"</formula>
    </cfRule>
    <cfRule type="expression" dxfId="3612" priority="978">
      <formula>$C53="Ginger Purchase"</formula>
    </cfRule>
  </conditionalFormatting>
  <conditionalFormatting sqref="B53 B55 B57 B61 B59 B63">
    <cfRule type="expression" dxfId="3611" priority="979">
      <formula>$C53="Advance"</formula>
    </cfRule>
  </conditionalFormatting>
  <conditionalFormatting sqref="B53 B55 B57 B61 B59 B63">
    <cfRule type="expression" dxfId="3610" priority="960">
      <formula>$C53="Delivery charge"</formula>
    </cfRule>
    <cfRule type="expression" dxfId="3609" priority="961">
      <formula>$C53="Staff Salary"</formula>
    </cfRule>
    <cfRule type="expression" dxfId="3608" priority="962">
      <formula>$C53="Rent"</formula>
    </cfRule>
    <cfRule type="expression" dxfId="3607" priority="963">
      <formula>$C53="Petrol"</formula>
    </cfRule>
    <cfRule type="expression" dxfId="3606" priority="964">
      <formula>$C53="Bills"</formula>
    </cfRule>
    <cfRule type="expression" dxfId="3605" priority="965">
      <formula>$C53="Sales"</formula>
    </cfRule>
    <cfRule type="expression" dxfId="3604" priority="966">
      <formula>$C53="Expences"</formula>
    </cfRule>
    <cfRule type="expression" dxfId="3603" priority="967">
      <formula>$C53="Garlic Purchase"</formula>
    </cfRule>
    <cfRule type="expression" dxfId="3602" priority="968">
      <formula>$C53="Ginger Purchase"</formula>
    </cfRule>
  </conditionalFormatting>
  <conditionalFormatting sqref="B53 B55 B57 B61 B59 B63">
    <cfRule type="expression" dxfId="3601" priority="969">
      <formula>$C53="Advance"</formula>
    </cfRule>
  </conditionalFormatting>
  <conditionalFormatting sqref="B53 B55 B57 B61 B59 B63">
    <cfRule type="expression" dxfId="3600" priority="950">
      <formula>$C53="Delivery charge"</formula>
    </cfRule>
    <cfRule type="expression" dxfId="3599" priority="951">
      <formula>$C53="Staff Salary"</formula>
    </cfRule>
    <cfRule type="expression" dxfId="3598" priority="952">
      <formula>$C53="Rent"</formula>
    </cfRule>
    <cfRule type="expression" dxfId="3597" priority="953">
      <formula>$C53="Petrol"</formula>
    </cfRule>
    <cfRule type="expression" dxfId="3596" priority="954">
      <formula>$C53="Bills"</formula>
    </cfRule>
    <cfRule type="expression" dxfId="3595" priority="955">
      <formula>$C53="Sales"</formula>
    </cfRule>
    <cfRule type="expression" dxfId="3594" priority="956">
      <formula>$C53="Expences"</formula>
    </cfRule>
    <cfRule type="expression" dxfId="3593" priority="957">
      <formula>$C53="Garlic Purchase"</formula>
    </cfRule>
    <cfRule type="expression" dxfId="3592" priority="958">
      <formula>$C53="Ginger Purchase"</formula>
    </cfRule>
  </conditionalFormatting>
  <conditionalFormatting sqref="B53 B55 B57 B61 B59 B63">
    <cfRule type="expression" dxfId="3591" priority="959">
      <formula>$C53="Advance"</formula>
    </cfRule>
  </conditionalFormatting>
  <conditionalFormatting sqref="B52 B54 B56 B60 B58 B62">
    <cfRule type="expression" dxfId="3590" priority="949">
      <formula>$C52="Advance"</formula>
    </cfRule>
  </conditionalFormatting>
  <conditionalFormatting sqref="B52 B54 B56 B60 B58 B62">
    <cfRule type="expression" dxfId="3589" priority="940">
      <formula>$C52="Delivery charge"</formula>
    </cfRule>
    <cfRule type="expression" dxfId="3588" priority="941">
      <formula>$C52="Staff Salary"</formula>
    </cfRule>
    <cfRule type="expression" dxfId="3587" priority="942">
      <formula>$C52="Rent"</formula>
    </cfRule>
    <cfRule type="expression" dxfId="3586" priority="943">
      <formula>$C52="Petrol"</formula>
    </cfRule>
    <cfRule type="expression" dxfId="3585" priority="944">
      <formula>$C52="Bills"</formula>
    </cfRule>
    <cfRule type="expression" dxfId="3584" priority="945">
      <formula>$C52="Sales"</formula>
    </cfRule>
    <cfRule type="expression" dxfId="3583" priority="946">
      <formula>$C52="Expences"</formula>
    </cfRule>
    <cfRule type="expression" dxfId="3582" priority="947">
      <formula>$C52="Garlic Purchase"</formula>
    </cfRule>
    <cfRule type="expression" dxfId="3581" priority="948">
      <formula>$C52="Ginger Purchase"</formula>
    </cfRule>
  </conditionalFormatting>
  <conditionalFormatting sqref="B53 B55 B57 B61 B59 B63">
    <cfRule type="expression" dxfId="3580" priority="930">
      <formula>$C53="Delivery charge"</formula>
    </cfRule>
    <cfRule type="expression" dxfId="3579" priority="931">
      <formula>$C53="Staff Salary"</formula>
    </cfRule>
    <cfRule type="expression" dxfId="3578" priority="932">
      <formula>$C53="Rent"</formula>
    </cfRule>
    <cfRule type="expression" dxfId="3577" priority="933">
      <formula>$C53="Petrol"</formula>
    </cfRule>
    <cfRule type="expression" dxfId="3576" priority="934">
      <formula>$C53="Bills"</formula>
    </cfRule>
    <cfRule type="expression" dxfId="3575" priority="935">
      <formula>$C53="Sales"</formula>
    </cfRule>
    <cfRule type="expression" dxfId="3574" priority="936">
      <formula>$C53="Expences"</formula>
    </cfRule>
    <cfRule type="expression" dxfId="3573" priority="937">
      <formula>$C53="Garlic Purchase"</formula>
    </cfRule>
    <cfRule type="expression" dxfId="3572" priority="938">
      <formula>$C53="Ginger Purchase"</formula>
    </cfRule>
  </conditionalFormatting>
  <conditionalFormatting sqref="B53 B55 B57 B61 B59 B63">
    <cfRule type="expression" dxfId="3571" priority="939">
      <formula>$C53="Advance"</formula>
    </cfRule>
  </conditionalFormatting>
  <conditionalFormatting sqref="B53 B55 B57 B61 B59 B63">
    <cfRule type="expression" dxfId="3570" priority="920">
      <formula>$C53="Delivery charge"</formula>
    </cfRule>
    <cfRule type="expression" dxfId="3569" priority="921">
      <formula>$C53="Staff Salary"</formula>
    </cfRule>
    <cfRule type="expression" dxfId="3568" priority="922">
      <formula>$C53="Rent"</formula>
    </cfRule>
    <cfRule type="expression" dxfId="3567" priority="923">
      <formula>$C53="Petrol"</formula>
    </cfRule>
    <cfRule type="expression" dxfId="3566" priority="924">
      <formula>$C53="Bills"</formula>
    </cfRule>
    <cfRule type="expression" dxfId="3565" priority="925">
      <formula>$C53="Sales"</formula>
    </cfRule>
    <cfRule type="expression" dxfId="3564" priority="926">
      <formula>$C53="Expences"</formula>
    </cfRule>
    <cfRule type="expression" dxfId="3563" priority="927">
      <formula>$C53="Garlic Purchase"</formula>
    </cfRule>
    <cfRule type="expression" dxfId="3562" priority="928">
      <formula>$C53="Ginger Purchase"</formula>
    </cfRule>
  </conditionalFormatting>
  <conditionalFormatting sqref="B53 B55 B57 B61 B59 B63">
    <cfRule type="expression" dxfId="3561" priority="929">
      <formula>$C53="Advance"</formula>
    </cfRule>
  </conditionalFormatting>
  <conditionalFormatting sqref="B53 B55 B57 B61 B59 B63">
    <cfRule type="expression" dxfId="3560" priority="910">
      <formula>$C53="Delivery charge"</formula>
    </cfRule>
    <cfRule type="expression" dxfId="3559" priority="911">
      <formula>$C53="Staff Salary"</formula>
    </cfRule>
    <cfRule type="expression" dxfId="3558" priority="912">
      <formula>$C53="Rent"</formula>
    </cfRule>
    <cfRule type="expression" dxfId="3557" priority="913">
      <formula>$C53="Petrol"</formula>
    </cfRule>
    <cfRule type="expression" dxfId="3556" priority="914">
      <formula>$C53="Bills"</formula>
    </cfRule>
    <cfRule type="expression" dxfId="3555" priority="915">
      <formula>$C53="Sales"</formula>
    </cfRule>
    <cfRule type="expression" dxfId="3554" priority="916">
      <formula>$C53="Expences"</formula>
    </cfRule>
    <cfRule type="expression" dxfId="3553" priority="917">
      <formula>$C53="Garlic Purchase"</formula>
    </cfRule>
    <cfRule type="expression" dxfId="3552" priority="918">
      <formula>$C53="Ginger Purchase"</formula>
    </cfRule>
  </conditionalFormatting>
  <conditionalFormatting sqref="B53 B55 B57 B61 B59 B63">
    <cfRule type="expression" dxfId="3551" priority="919">
      <formula>$C53="Advance"</formula>
    </cfRule>
  </conditionalFormatting>
  <conditionalFormatting sqref="B53 B55 B57 B61 B59 B63">
    <cfRule type="expression" dxfId="3550" priority="900">
      <formula>$C53="Delivery charge"</formula>
    </cfRule>
    <cfRule type="expression" dxfId="3549" priority="901">
      <formula>$C53="Staff Salary"</formula>
    </cfRule>
    <cfRule type="expression" dxfId="3548" priority="902">
      <formula>$C53="Rent"</formula>
    </cfRule>
    <cfRule type="expression" dxfId="3547" priority="903">
      <formula>$C53="Petrol"</formula>
    </cfRule>
    <cfRule type="expression" dxfId="3546" priority="904">
      <formula>$C53="Bills"</formula>
    </cfRule>
    <cfRule type="expression" dxfId="3545" priority="905">
      <formula>$C53="Sales"</formula>
    </cfRule>
    <cfRule type="expression" dxfId="3544" priority="906">
      <formula>$C53="Expences"</formula>
    </cfRule>
    <cfRule type="expression" dxfId="3543" priority="907">
      <formula>$C53="Garlic Purchase"</formula>
    </cfRule>
    <cfRule type="expression" dxfId="3542" priority="908">
      <formula>$C53="Ginger Purchase"</formula>
    </cfRule>
  </conditionalFormatting>
  <conditionalFormatting sqref="B53 B55 B57 B61 B59 B63">
    <cfRule type="expression" dxfId="3541" priority="909">
      <formula>$C53="Advance"</formula>
    </cfRule>
  </conditionalFormatting>
  <conditionalFormatting sqref="B53 B55 B57 B61 B59 B63">
    <cfRule type="expression" dxfId="3540" priority="890">
      <formula>$C53="Delivery charge"</formula>
    </cfRule>
    <cfRule type="expression" dxfId="3539" priority="891">
      <formula>$C53="Staff Salary"</formula>
    </cfRule>
    <cfRule type="expression" dxfId="3538" priority="892">
      <formula>$C53="Rent"</formula>
    </cfRule>
    <cfRule type="expression" dxfId="3537" priority="893">
      <formula>$C53="Petrol"</formula>
    </cfRule>
    <cfRule type="expression" dxfId="3536" priority="894">
      <formula>$C53="Bills"</formula>
    </cfRule>
    <cfRule type="expression" dxfId="3535" priority="895">
      <formula>$C53="Sales"</formula>
    </cfRule>
    <cfRule type="expression" dxfId="3534" priority="896">
      <formula>$C53="Expences"</formula>
    </cfRule>
    <cfRule type="expression" dxfId="3533" priority="897">
      <formula>$C53="Garlic Purchase"</formula>
    </cfRule>
    <cfRule type="expression" dxfId="3532" priority="898">
      <formula>$C53="Ginger Purchase"</formula>
    </cfRule>
  </conditionalFormatting>
  <conditionalFormatting sqref="B53 B55 B57 B61 B59 B63">
    <cfRule type="expression" dxfId="3531" priority="899">
      <formula>$C53="Advance"</formula>
    </cfRule>
  </conditionalFormatting>
  <conditionalFormatting sqref="B52 B54 B56 B60 B58 B62">
    <cfRule type="expression" dxfId="3530" priority="880">
      <formula>$C52="Delivery charge"</formula>
    </cfRule>
    <cfRule type="expression" dxfId="3529" priority="881">
      <formula>$C52="Staff Salary"</formula>
    </cfRule>
    <cfRule type="expression" dxfId="3528" priority="882">
      <formula>$C52="Rent"</formula>
    </cfRule>
    <cfRule type="expression" dxfId="3527" priority="883">
      <formula>$C52="Petrol"</formula>
    </cfRule>
    <cfRule type="expression" dxfId="3526" priority="884">
      <formula>$C52="Bills"</formula>
    </cfRule>
    <cfRule type="expression" dxfId="3525" priority="885">
      <formula>$C52="Sales"</formula>
    </cfRule>
    <cfRule type="expression" dxfId="3524" priority="886">
      <formula>$C52="Expences"</formula>
    </cfRule>
    <cfRule type="expression" dxfId="3523" priority="887">
      <formula>$C52="Garlic Purchase"</formula>
    </cfRule>
    <cfRule type="expression" dxfId="3522" priority="888">
      <formula>$C52="Ginger Purchase"</formula>
    </cfRule>
  </conditionalFormatting>
  <conditionalFormatting sqref="B52 B54 B56 B60 B58 B62">
    <cfRule type="expression" dxfId="3521" priority="889">
      <formula>$C52="Advance"</formula>
    </cfRule>
  </conditionalFormatting>
  <conditionalFormatting sqref="B52 B54 B56 B60 B58 B62">
    <cfRule type="expression" dxfId="3520" priority="870">
      <formula>$C52="Delivery charge"</formula>
    </cfRule>
    <cfRule type="expression" dxfId="3519" priority="871">
      <formula>$C52="Staff Salary"</formula>
    </cfRule>
    <cfRule type="expression" dxfId="3518" priority="872">
      <formula>$C52="Rent"</formula>
    </cfRule>
    <cfRule type="expression" dxfId="3517" priority="873">
      <formula>$C52="Petrol"</formula>
    </cfRule>
    <cfRule type="expression" dxfId="3516" priority="874">
      <formula>$C52="Bills"</formula>
    </cfRule>
    <cfRule type="expression" dxfId="3515" priority="875">
      <formula>$C52="Sales"</formula>
    </cfRule>
    <cfRule type="expression" dxfId="3514" priority="876">
      <formula>$C52="Expences"</formula>
    </cfRule>
    <cfRule type="expression" dxfId="3513" priority="877">
      <formula>$C52="Garlic Purchase"</formula>
    </cfRule>
    <cfRule type="expression" dxfId="3512" priority="878">
      <formula>$C52="Ginger Purchase"</formula>
    </cfRule>
  </conditionalFormatting>
  <conditionalFormatting sqref="B52 B54 B56 B60 B58 B62">
    <cfRule type="expression" dxfId="3511" priority="879">
      <formula>$C52="Advance"</formula>
    </cfRule>
  </conditionalFormatting>
  <conditionalFormatting sqref="B52 B54 B56 B60 B58 B62">
    <cfRule type="expression" dxfId="3510" priority="860">
      <formula>$C52="Delivery charge"</formula>
    </cfRule>
    <cfRule type="expression" dxfId="3509" priority="861">
      <formula>$C52="Staff Salary"</formula>
    </cfRule>
    <cfRule type="expression" dxfId="3508" priority="862">
      <formula>$C52="Rent"</formula>
    </cfRule>
    <cfRule type="expression" dxfId="3507" priority="863">
      <formula>$C52="Petrol"</formula>
    </cfRule>
    <cfRule type="expression" dxfId="3506" priority="864">
      <formula>$C52="Bills"</formula>
    </cfRule>
    <cfRule type="expression" dxfId="3505" priority="865">
      <formula>$C52="Sales"</formula>
    </cfRule>
    <cfRule type="expression" dxfId="3504" priority="866">
      <formula>$C52="Expences"</formula>
    </cfRule>
    <cfRule type="expression" dxfId="3503" priority="867">
      <formula>$C52="Garlic Purchase"</formula>
    </cfRule>
    <cfRule type="expression" dxfId="3502" priority="868">
      <formula>$C52="Ginger Purchase"</formula>
    </cfRule>
  </conditionalFormatting>
  <conditionalFormatting sqref="B52 B54 B56 B60 B58 B62">
    <cfRule type="expression" dxfId="3501" priority="869">
      <formula>$C52="Advance"</formula>
    </cfRule>
  </conditionalFormatting>
  <conditionalFormatting sqref="B52 B54 B56 B60 B58 B62">
    <cfRule type="expression" dxfId="3500" priority="850">
      <formula>$C52="Delivery charge"</formula>
    </cfRule>
    <cfRule type="expression" dxfId="3499" priority="851">
      <formula>$C52="Staff Salary"</formula>
    </cfRule>
    <cfRule type="expression" dxfId="3498" priority="852">
      <formula>$C52="Rent"</formula>
    </cfRule>
    <cfRule type="expression" dxfId="3497" priority="853">
      <formula>$C52="Petrol"</formula>
    </cfRule>
    <cfRule type="expression" dxfId="3496" priority="854">
      <formula>$C52="Bills"</formula>
    </cfRule>
    <cfRule type="expression" dxfId="3495" priority="855">
      <formula>$C52="Sales"</formula>
    </cfRule>
    <cfRule type="expression" dxfId="3494" priority="856">
      <formula>$C52="Expences"</formula>
    </cfRule>
    <cfRule type="expression" dxfId="3493" priority="857">
      <formula>$C52="Garlic Purchase"</formula>
    </cfRule>
    <cfRule type="expression" dxfId="3492" priority="858">
      <formula>$C52="Ginger Purchase"</formula>
    </cfRule>
  </conditionalFormatting>
  <conditionalFormatting sqref="B52 B54 B56 B60 B58 B62">
    <cfRule type="expression" dxfId="3491" priority="859">
      <formula>$C52="Advance"</formula>
    </cfRule>
  </conditionalFormatting>
  <conditionalFormatting sqref="B52 B54 B56 B60 B58 B62">
    <cfRule type="expression" dxfId="3490" priority="840">
      <formula>$C52="Delivery charge"</formula>
    </cfRule>
    <cfRule type="expression" dxfId="3489" priority="841">
      <formula>$C52="Staff Salary"</formula>
    </cfRule>
    <cfRule type="expression" dxfId="3488" priority="842">
      <formula>$C52="Rent"</formula>
    </cfRule>
    <cfRule type="expression" dxfId="3487" priority="843">
      <formula>$C52="Petrol"</formula>
    </cfRule>
    <cfRule type="expression" dxfId="3486" priority="844">
      <formula>$C52="Bills"</formula>
    </cfRule>
    <cfRule type="expression" dxfId="3485" priority="845">
      <formula>$C52="Sales"</formula>
    </cfRule>
    <cfRule type="expression" dxfId="3484" priority="846">
      <formula>$C52="Expences"</formula>
    </cfRule>
    <cfRule type="expression" dxfId="3483" priority="847">
      <formula>$C52="Garlic Purchase"</formula>
    </cfRule>
    <cfRule type="expression" dxfId="3482" priority="848">
      <formula>$C52="Ginger Purchase"</formula>
    </cfRule>
  </conditionalFormatting>
  <conditionalFormatting sqref="B52 B54 B56 B60 B58 B62">
    <cfRule type="expression" dxfId="3481" priority="849">
      <formula>$C52="Advance"</formula>
    </cfRule>
  </conditionalFormatting>
  <conditionalFormatting sqref="B53 B55 B57 B61 B59 B63">
    <cfRule type="expression" dxfId="3480" priority="830">
      <formula>$C53="Delivery charge"</formula>
    </cfRule>
    <cfRule type="expression" dxfId="3479" priority="831">
      <formula>$C53="Staff Salary"</formula>
    </cfRule>
    <cfRule type="expression" dxfId="3478" priority="832">
      <formula>$C53="Rent"</formula>
    </cfRule>
    <cfRule type="expression" dxfId="3477" priority="833">
      <formula>$C53="Petrol"</formula>
    </cfRule>
    <cfRule type="expression" dxfId="3476" priority="834">
      <formula>$C53="Bills"</formula>
    </cfRule>
    <cfRule type="expression" dxfId="3475" priority="835">
      <formula>$C53="Sales"</formula>
    </cfRule>
    <cfRule type="expression" dxfId="3474" priority="836">
      <formula>$C53="Expences"</formula>
    </cfRule>
    <cfRule type="expression" dxfId="3473" priority="837">
      <formula>$C53="Garlic Purchase"</formula>
    </cfRule>
    <cfRule type="expression" dxfId="3472" priority="838">
      <formula>$C53="Ginger Purchase"</formula>
    </cfRule>
  </conditionalFormatting>
  <conditionalFormatting sqref="B53 B55 B57 B61 B59 B63">
    <cfRule type="expression" dxfId="3471" priority="820">
      <formula>$C53="Delivery charge"</formula>
    </cfRule>
    <cfRule type="expression" dxfId="3470" priority="821">
      <formula>$C53="Staff Salary"</formula>
    </cfRule>
    <cfRule type="expression" dxfId="3469" priority="822">
      <formula>$C53="Rent"</formula>
    </cfRule>
    <cfRule type="expression" dxfId="3468" priority="823">
      <formula>$C53="Petrol"</formula>
    </cfRule>
    <cfRule type="expression" dxfId="3467" priority="824">
      <formula>$C53="Bills"</formula>
    </cfRule>
    <cfRule type="expression" dxfId="3466" priority="825">
      <formula>$C53="Sales"</formula>
    </cfRule>
    <cfRule type="expression" dxfId="3465" priority="826">
      <formula>$C53="Expences"</formula>
    </cfRule>
    <cfRule type="expression" dxfId="3464" priority="827">
      <formula>$C53="Garlic Purchase"</formula>
    </cfRule>
    <cfRule type="expression" dxfId="3463" priority="828">
      <formula>$C53="Ginger Purchase"</formula>
    </cfRule>
  </conditionalFormatting>
  <conditionalFormatting sqref="B53 B55 B57 B61 B59 B63">
    <cfRule type="expression" dxfId="3462" priority="829">
      <formula>$C53="Advance"</formula>
    </cfRule>
  </conditionalFormatting>
  <conditionalFormatting sqref="B53 B55 B57 B61 B59 B63">
    <cfRule type="expression" dxfId="3461" priority="810">
      <formula>$C53="Delivery charge"</formula>
    </cfRule>
    <cfRule type="expression" dxfId="3460" priority="811">
      <formula>$C53="Staff Salary"</formula>
    </cfRule>
    <cfRule type="expression" dxfId="3459" priority="812">
      <formula>$C53="Rent"</formula>
    </cfRule>
    <cfRule type="expression" dxfId="3458" priority="813">
      <formula>$C53="Petrol"</formula>
    </cfRule>
    <cfRule type="expression" dxfId="3457" priority="814">
      <formula>$C53="Bills"</formula>
    </cfRule>
    <cfRule type="expression" dxfId="3456" priority="815">
      <formula>$C53="Sales"</formula>
    </cfRule>
    <cfRule type="expression" dxfId="3455" priority="816">
      <formula>$C53="Expences"</formula>
    </cfRule>
    <cfRule type="expression" dxfId="3454" priority="817">
      <formula>$C53="Garlic Purchase"</formula>
    </cfRule>
    <cfRule type="expression" dxfId="3453" priority="818">
      <formula>$C53="Ginger Purchase"</formula>
    </cfRule>
  </conditionalFormatting>
  <conditionalFormatting sqref="B53 B55 B57 B61 B59 B63">
    <cfRule type="expression" dxfId="3452" priority="819">
      <formula>$C53="Advance"</formula>
    </cfRule>
  </conditionalFormatting>
  <conditionalFormatting sqref="B53 B55 B57 B61 B59 B63">
    <cfRule type="expression" dxfId="3451" priority="800">
      <formula>$C53="Delivery charge"</formula>
    </cfRule>
    <cfRule type="expression" dxfId="3450" priority="801">
      <formula>$C53="Staff Salary"</formula>
    </cfRule>
    <cfRule type="expression" dxfId="3449" priority="802">
      <formula>$C53="Rent"</formula>
    </cfRule>
    <cfRule type="expression" dxfId="3448" priority="803">
      <formula>$C53="Petrol"</formula>
    </cfRule>
    <cfRule type="expression" dxfId="3447" priority="804">
      <formula>$C53="Bills"</formula>
    </cfRule>
    <cfRule type="expression" dxfId="3446" priority="805">
      <formula>$C53="Sales"</formula>
    </cfRule>
    <cfRule type="expression" dxfId="3445" priority="806">
      <formula>$C53="Expences"</formula>
    </cfRule>
    <cfRule type="expression" dxfId="3444" priority="807">
      <formula>$C53="Garlic Purchase"</formula>
    </cfRule>
    <cfRule type="expression" dxfId="3443" priority="808">
      <formula>$C53="Ginger Purchase"</formula>
    </cfRule>
  </conditionalFormatting>
  <conditionalFormatting sqref="B53 B55 B57 B61 B59 B63">
    <cfRule type="expression" dxfId="3442" priority="809">
      <formula>$C53="Advance"</formula>
    </cfRule>
  </conditionalFormatting>
  <conditionalFormatting sqref="B53 B55 B57 B61 B59 B63">
    <cfRule type="expression" dxfId="3441" priority="790">
      <formula>$C53="Delivery charge"</formula>
    </cfRule>
    <cfRule type="expression" dxfId="3440" priority="791">
      <formula>$C53="Staff Salary"</formula>
    </cfRule>
    <cfRule type="expression" dxfId="3439" priority="792">
      <formula>$C53="Rent"</formula>
    </cfRule>
    <cfRule type="expression" dxfId="3438" priority="793">
      <formula>$C53="Petrol"</formula>
    </cfRule>
    <cfRule type="expression" dxfId="3437" priority="794">
      <formula>$C53="Bills"</formula>
    </cfRule>
    <cfRule type="expression" dxfId="3436" priority="795">
      <formula>$C53="Sales"</formula>
    </cfRule>
    <cfRule type="expression" dxfId="3435" priority="796">
      <formula>$C53="Expences"</formula>
    </cfRule>
    <cfRule type="expression" dxfId="3434" priority="797">
      <formula>$C53="Garlic Purchase"</formula>
    </cfRule>
    <cfRule type="expression" dxfId="3433" priority="798">
      <formula>$C53="Ginger Purchase"</formula>
    </cfRule>
  </conditionalFormatting>
  <conditionalFormatting sqref="B53 B55 B57 B61 B59 B63">
    <cfRule type="expression" dxfId="3432" priority="799">
      <formula>$C53="Advance"</formula>
    </cfRule>
  </conditionalFormatting>
  <conditionalFormatting sqref="B52 B54 B56 B60 B58 B62">
    <cfRule type="expression" dxfId="3431" priority="780">
      <formula>$C52="Delivery charge"</formula>
    </cfRule>
    <cfRule type="expression" dxfId="3430" priority="781">
      <formula>$C52="Staff Salary"</formula>
    </cfRule>
    <cfRule type="expression" dxfId="3429" priority="782">
      <formula>$C52="Rent"</formula>
    </cfRule>
    <cfRule type="expression" dxfId="3428" priority="783">
      <formula>$C52="Petrol"</formula>
    </cfRule>
    <cfRule type="expression" dxfId="3427" priority="784">
      <formula>$C52="Bills"</formula>
    </cfRule>
    <cfRule type="expression" dxfId="3426" priority="785">
      <formula>$C52="Sales"</formula>
    </cfRule>
    <cfRule type="expression" dxfId="3425" priority="786">
      <formula>$C52="Expences"</formula>
    </cfRule>
    <cfRule type="expression" dxfId="3424" priority="787">
      <formula>$C52="Garlic Purchase"</formula>
    </cfRule>
    <cfRule type="expression" dxfId="3423" priority="788">
      <formula>$C52="Ginger Purchase"</formula>
    </cfRule>
  </conditionalFormatting>
  <conditionalFormatting sqref="B52 B54 B56 B60 B58 B62">
    <cfRule type="expression" dxfId="3422" priority="789">
      <formula>$C52="Advance"</formula>
    </cfRule>
  </conditionalFormatting>
  <conditionalFormatting sqref="B52 B54 B56 B60 B58 B62">
    <cfRule type="expression" dxfId="3421" priority="770">
      <formula>$C52="Delivery charge"</formula>
    </cfRule>
    <cfRule type="expression" dxfId="3420" priority="771">
      <formula>$C52="Staff Salary"</formula>
    </cfRule>
    <cfRule type="expression" dxfId="3419" priority="772">
      <formula>$C52="Rent"</formula>
    </cfRule>
    <cfRule type="expression" dxfId="3418" priority="773">
      <formula>$C52="Petrol"</formula>
    </cfRule>
    <cfRule type="expression" dxfId="3417" priority="774">
      <formula>$C52="Bills"</formula>
    </cfRule>
    <cfRule type="expression" dxfId="3416" priority="775">
      <formula>$C52="Sales"</formula>
    </cfRule>
    <cfRule type="expression" dxfId="3415" priority="776">
      <formula>$C52="Expences"</formula>
    </cfRule>
    <cfRule type="expression" dxfId="3414" priority="777">
      <formula>$C52="Garlic Purchase"</formula>
    </cfRule>
    <cfRule type="expression" dxfId="3413" priority="778">
      <formula>$C52="Ginger Purchase"</formula>
    </cfRule>
  </conditionalFormatting>
  <conditionalFormatting sqref="B52 B54 B56 B60 B58 B62">
    <cfRule type="expression" dxfId="3412" priority="779">
      <formula>$C52="Advance"</formula>
    </cfRule>
  </conditionalFormatting>
  <conditionalFormatting sqref="B52 B54 B56 B60 B58 B62">
    <cfRule type="expression" dxfId="3411" priority="760">
      <formula>$C52="Delivery charge"</formula>
    </cfRule>
    <cfRule type="expression" dxfId="3410" priority="761">
      <formula>$C52="Staff Salary"</formula>
    </cfRule>
    <cfRule type="expression" dxfId="3409" priority="762">
      <formula>$C52="Rent"</formula>
    </cfRule>
    <cfRule type="expression" dxfId="3408" priority="763">
      <formula>$C52="Petrol"</formula>
    </cfRule>
    <cfRule type="expression" dxfId="3407" priority="764">
      <formula>$C52="Bills"</formula>
    </cfRule>
    <cfRule type="expression" dxfId="3406" priority="765">
      <formula>$C52="Sales"</formula>
    </cfRule>
    <cfRule type="expression" dxfId="3405" priority="766">
      <formula>$C52="Expences"</formula>
    </cfRule>
    <cfRule type="expression" dxfId="3404" priority="767">
      <formula>$C52="Garlic Purchase"</formula>
    </cfRule>
    <cfRule type="expression" dxfId="3403" priority="768">
      <formula>$C52="Ginger Purchase"</formula>
    </cfRule>
  </conditionalFormatting>
  <conditionalFormatting sqref="B52 B54 B56 B60 B58 B62">
    <cfRule type="expression" dxfId="3402" priority="769">
      <formula>$C52="Advance"</formula>
    </cfRule>
  </conditionalFormatting>
  <conditionalFormatting sqref="B52 B54 B56 B60 B58 B62">
    <cfRule type="expression" dxfId="3401" priority="750">
      <formula>$C52="Delivery charge"</formula>
    </cfRule>
    <cfRule type="expression" dxfId="3400" priority="751">
      <formula>$C52="Staff Salary"</formula>
    </cfRule>
    <cfRule type="expression" dxfId="3399" priority="752">
      <formula>$C52="Rent"</formula>
    </cfRule>
    <cfRule type="expression" dxfId="3398" priority="753">
      <formula>$C52="Petrol"</formula>
    </cfRule>
    <cfRule type="expression" dxfId="3397" priority="754">
      <formula>$C52="Bills"</formula>
    </cfRule>
    <cfRule type="expression" dxfId="3396" priority="755">
      <formula>$C52="Sales"</formula>
    </cfRule>
    <cfRule type="expression" dxfId="3395" priority="756">
      <formula>$C52="Expences"</formula>
    </cfRule>
    <cfRule type="expression" dxfId="3394" priority="757">
      <formula>$C52="Garlic Purchase"</formula>
    </cfRule>
    <cfRule type="expression" dxfId="3393" priority="758">
      <formula>$C52="Ginger Purchase"</formula>
    </cfRule>
  </conditionalFormatting>
  <conditionalFormatting sqref="B52 B54 B56 B60 B58 B62">
    <cfRule type="expression" dxfId="3392" priority="759">
      <formula>$C52="Advance"</formula>
    </cfRule>
  </conditionalFormatting>
  <conditionalFormatting sqref="B53 B55 B57 B61 B59 B63">
    <cfRule type="expression" dxfId="3391" priority="740">
      <formula>$C53="Delivery charge"</formula>
    </cfRule>
    <cfRule type="expression" dxfId="3390" priority="741">
      <formula>$C53="Staff Salary"</formula>
    </cfRule>
    <cfRule type="expression" dxfId="3389" priority="742">
      <formula>$C53="Rent"</formula>
    </cfRule>
    <cfRule type="expression" dxfId="3388" priority="743">
      <formula>$C53="Petrol"</formula>
    </cfRule>
    <cfRule type="expression" dxfId="3387" priority="744">
      <formula>$C53="Bills"</formula>
    </cfRule>
    <cfRule type="expression" dxfId="3386" priority="745">
      <formula>$C53="Sales"</formula>
    </cfRule>
    <cfRule type="expression" dxfId="3385" priority="746">
      <formula>$C53="Expences"</formula>
    </cfRule>
    <cfRule type="expression" dxfId="3384" priority="747">
      <formula>$C53="Garlic Purchase"</formula>
    </cfRule>
    <cfRule type="expression" dxfId="3383" priority="748">
      <formula>$C53="Ginger Purchase"</formula>
    </cfRule>
  </conditionalFormatting>
  <conditionalFormatting sqref="B53 B55 B57 B61 B59 B63">
    <cfRule type="expression" dxfId="3382" priority="749">
      <formula>$C53="Advance"</formula>
    </cfRule>
  </conditionalFormatting>
  <conditionalFormatting sqref="B52 B54 B56 B60 B58 B62">
    <cfRule type="expression" dxfId="3381" priority="730">
      <formula>$C52="Delivery charge"</formula>
    </cfRule>
    <cfRule type="expression" dxfId="3380" priority="731">
      <formula>$C52="Staff Salary"</formula>
    </cfRule>
    <cfRule type="expression" dxfId="3379" priority="732">
      <formula>$C52="Rent"</formula>
    </cfRule>
    <cfRule type="expression" dxfId="3378" priority="733">
      <formula>$C52="Petrol"</formula>
    </cfRule>
    <cfRule type="expression" dxfId="3377" priority="734">
      <formula>$C52="Bills"</formula>
    </cfRule>
    <cfRule type="expression" dxfId="3376" priority="735">
      <formula>$C52="Sales"</formula>
    </cfRule>
    <cfRule type="expression" dxfId="3375" priority="736">
      <formula>$C52="Expences"</formula>
    </cfRule>
    <cfRule type="expression" dxfId="3374" priority="737">
      <formula>$C52="Garlic Purchase"</formula>
    </cfRule>
    <cfRule type="expression" dxfId="3373" priority="738">
      <formula>$C52="Ginger Purchase"</formula>
    </cfRule>
  </conditionalFormatting>
  <conditionalFormatting sqref="B52 B54 B56 B60 B58 B62">
    <cfRule type="expression" dxfId="3372" priority="739">
      <formula>$C52="Advance"</formula>
    </cfRule>
  </conditionalFormatting>
  <conditionalFormatting sqref="B52 B54 B56 B60 B58 B62">
    <cfRule type="expression" dxfId="3371" priority="720">
      <formula>$C52="Delivery charge"</formula>
    </cfRule>
    <cfRule type="expression" dxfId="3370" priority="721">
      <formula>$C52="Staff Salary"</formula>
    </cfRule>
    <cfRule type="expression" dxfId="3369" priority="722">
      <formula>$C52="Rent"</formula>
    </cfRule>
    <cfRule type="expression" dxfId="3368" priority="723">
      <formula>$C52="Petrol"</formula>
    </cfRule>
    <cfRule type="expression" dxfId="3367" priority="724">
      <formula>$C52="Bills"</formula>
    </cfRule>
    <cfRule type="expression" dxfId="3366" priority="725">
      <formula>$C52="Sales"</formula>
    </cfRule>
    <cfRule type="expression" dxfId="3365" priority="726">
      <formula>$C52="Expences"</formula>
    </cfRule>
    <cfRule type="expression" dxfId="3364" priority="727">
      <formula>$C52="Garlic Purchase"</formula>
    </cfRule>
    <cfRule type="expression" dxfId="3363" priority="728">
      <formula>$C52="Ginger Purchase"</formula>
    </cfRule>
  </conditionalFormatting>
  <conditionalFormatting sqref="B52 B54 B56 B60 B58 B62">
    <cfRule type="expression" dxfId="3362" priority="729">
      <formula>$C52="Advance"</formula>
    </cfRule>
  </conditionalFormatting>
  <conditionalFormatting sqref="B52 B54 B56 B60 B58 B62">
    <cfRule type="expression" dxfId="3361" priority="710">
      <formula>$C52="Delivery charge"</formula>
    </cfRule>
    <cfRule type="expression" dxfId="3360" priority="711">
      <formula>$C52="Staff Salary"</formula>
    </cfRule>
    <cfRule type="expression" dxfId="3359" priority="712">
      <formula>$C52="Rent"</formula>
    </cfRule>
    <cfRule type="expression" dxfId="3358" priority="713">
      <formula>$C52="Petrol"</formula>
    </cfRule>
    <cfRule type="expression" dxfId="3357" priority="714">
      <formula>$C52="Bills"</formula>
    </cfRule>
    <cfRule type="expression" dxfId="3356" priority="715">
      <formula>$C52="Sales"</formula>
    </cfRule>
    <cfRule type="expression" dxfId="3355" priority="716">
      <formula>$C52="Expences"</formula>
    </cfRule>
    <cfRule type="expression" dxfId="3354" priority="717">
      <formula>$C52="Garlic Purchase"</formula>
    </cfRule>
    <cfRule type="expression" dxfId="3353" priority="718">
      <formula>$C52="Ginger Purchase"</formula>
    </cfRule>
  </conditionalFormatting>
  <conditionalFormatting sqref="B52 B54 B56 B60 B58 B62">
    <cfRule type="expression" dxfId="3352" priority="719">
      <formula>$C52="Advance"</formula>
    </cfRule>
  </conditionalFormatting>
  <conditionalFormatting sqref="B52 B54 B56 B60 B58 B62">
    <cfRule type="expression" dxfId="3351" priority="700">
      <formula>$C52="Delivery charge"</formula>
    </cfRule>
    <cfRule type="expression" dxfId="3350" priority="701">
      <formula>$C52="Staff Salary"</formula>
    </cfRule>
    <cfRule type="expression" dxfId="3349" priority="702">
      <formula>$C52="Rent"</formula>
    </cfRule>
    <cfRule type="expression" dxfId="3348" priority="703">
      <formula>$C52="Petrol"</formula>
    </cfRule>
    <cfRule type="expression" dxfId="3347" priority="704">
      <formula>$C52="Bills"</formula>
    </cfRule>
    <cfRule type="expression" dxfId="3346" priority="705">
      <formula>$C52="Sales"</formula>
    </cfRule>
    <cfRule type="expression" dxfId="3345" priority="706">
      <formula>$C52="Expences"</formula>
    </cfRule>
    <cfRule type="expression" dxfId="3344" priority="707">
      <formula>$C52="Garlic Purchase"</formula>
    </cfRule>
    <cfRule type="expression" dxfId="3343" priority="708">
      <formula>$C52="Ginger Purchase"</formula>
    </cfRule>
  </conditionalFormatting>
  <conditionalFormatting sqref="B52 B54 B56 B60 B58 B62">
    <cfRule type="expression" dxfId="3342" priority="709">
      <formula>$C52="Advance"</formula>
    </cfRule>
  </conditionalFormatting>
  <conditionalFormatting sqref="B52 B54 B56 B60 B58 B62">
    <cfRule type="expression" dxfId="3341" priority="690">
      <formula>$C52="Delivery charge"</formula>
    </cfRule>
    <cfRule type="expression" dxfId="3340" priority="691">
      <formula>$C52="Staff Salary"</formula>
    </cfRule>
    <cfRule type="expression" dxfId="3339" priority="692">
      <formula>$C52="Rent"</formula>
    </cfRule>
    <cfRule type="expression" dxfId="3338" priority="693">
      <formula>$C52="Petrol"</formula>
    </cfRule>
    <cfRule type="expression" dxfId="3337" priority="694">
      <formula>$C52="Bills"</formula>
    </cfRule>
    <cfRule type="expression" dxfId="3336" priority="695">
      <formula>$C52="Sales"</formula>
    </cfRule>
    <cfRule type="expression" dxfId="3335" priority="696">
      <formula>$C52="Expences"</formula>
    </cfRule>
    <cfRule type="expression" dxfId="3334" priority="697">
      <formula>$C52="Garlic Purchase"</formula>
    </cfRule>
    <cfRule type="expression" dxfId="3333" priority="698">
      <formula>$C52="Ginger Purchase"</formula>
    </cfRule>
  </conditionalFormatting>
  <conditionalFormatting sqref="B52 B54 B56 B60 B58 B62">
    <cfRule type="expression" dxfId="3332" priority="699">
      <formula>$C52="Advance"</formula>
    </cfRule>
  </conditionalFormatting>
  <conditionalFormatting sqref="B53 B55 B57 B61 B59 B63">
    <cfRule type="expression" dxfId="3331" priority="680">
      <formula>$C53="Delivery charge"</formula>
    </cfRule>
    <cfRule type="expression" dxfId="3330" priority="681">
      <formula>$C53="Staff Salary"</formula>
    </cfRule>
    <cfRule type="expression" dxfId="3329" priority="682">
      <formula>$C53="Rent"</formula>
    </cfRule>
    <cfRule type="expression" dxfId="3328" priority="683">
      <formula>$C53="Petrol"</formula>
    </cfRule>
    <cfRule type="expression" dxfId="3327" priority="684">
      <formula>$C53="Bills"</formula>
    </cfRule>
    <cfRule type="expression" dxfId="3326" priority="685">
      <formula>$C53="Sales"</formula>
    </cfRule>
    <cfRule type="expression" dxfId="3325" priority="686">
      <formula>$C53="Expences"</formula>
    </cfRule>
    <cfRule type="expression" dxfId="3324" priority="687">
      <formula>$C53="Garlic Purchase"</formula>
    </cfRule>
    <cfRule type="expression" dxfId="3323" priority="688">
      <formula>$C53="Ginger Purchase"</formula>
    </cfRule>
  </conditionalFormatting>
  <conditionalFormatting sqref="B53 B55 B57 B61 B59 B63">
    <cfRule type="expression" dxfId="3322" priority="689">
      <formula>$C53="Advance"</formula>
    </cfRule>
  </conditionalFormatting>
  <conditionalFormatting sqref="B53 B55 B57 B61 B59 B63">
    <cfRule type="expression" dxfId="3321" priority="670">
      <formula>$C53="Delivery charge"</formula>
    </cfRule>
    <cfRule type="expression" dxfId="3320" priority="671">
      <formula>$C53="Staff Salary"</formula>
    </cfRule>
    <cfRule type="expression" dxfId="3319" priority="672">
      <formula>$C53="Rent"</formula>
    </cfRule>
    <cfRule type="expression" dxfId="3318" priority="673">
      <formula>$C53="Petrol"</formula>
    </cfRule>
    <cfRule type="expression" dxfId="3317" priority="674">
      <formula>$C53="Bills"</formula>
    </cfRule>
    <cfRule type="expression" dxfId="3316" priority="675">
      <formula>$C53="Sales"</formula>
    </cfRule>
    <cfRule type="expression" dxfId="3315" priority="676">
      <formula>$C53="Expences"</formula>
    </cfRule>
    <cfRule type="expression" dxfId="3314" priority="677">
      <formula>$C53="Garlic Purchase"</formula>
    </cfRule>
    <cfRule type="expression" dxfId="3313" priority="678">
      <formula>$C53="Ginger Purchase"</formula>
    </cfRule>
  </conditionalFormatting>
  <conditionalFormatting sqref="B53 B55 B57 B61 B59 B63">
    <cfRule type="expression" dxfId="3312" priority="679">
      <formula>$C53="Advance"</formula>
    </cfRule>
  </conditionalFormatting>
  <conditionalFormatting sqref="B53 B55 B57 B61 B59 B63">
    <cfRule type="expression" dxfId="3311" priority="660">
      <formula>$C53="Delivery charge"</formula>
    </cfRule>
    <cfRule type="expression" dxfId="3310" priority="661">
      <formula>$C53="Staff Salary"</formula>
    </cfRule>
    <cfRule type="expression" dxfId="3309" priority="662">
      <formula>$C53="Rent"</formula>
    </cfRule>
    <cfRule type="expression" dxfId="3308" priority="663">
      <formula>$C53="Petrol"</formula>
    </cfRule>
    <cfRule type="expression" dxfId="3307" priority="664">
      <formula>$C53="Bills"</formula>
    </cfRule>
    <cfRule type="expression" dxfId="3306" priority="665">
      <formula>$C53="Sales"</formula>
    </cfRule>
    <cfRule type="expression" dxfId="3305" priority="666">
      <formula>$C53="Expences"</formula>
    </cfRule>
    <cfRule type="expression" dxfId="3304" priority="667">
      <formula>$C53="Garlic Purchase"</formula>
    </cfRule>
    <cfRule type="expression" dxfId="3303" priority="668">
      <formula>$C53="Ginger Purchase"</formula>
    </cfRule>
  </conditionalFormatting>
  <conditionalFormatting sqref="B53 B55 B57 B61 B59 B63">
    <cfRule type="expression" dxfId="3302" priority="669">
      <formula>$C53="Advance"</formula>
    </cfRule>
  </conditionalFormatting>
  <conditionalFormatting sqref="B53 B55 B57 B61 B59 B63">
    <cfRule type="expression" dxfId="3301" priority="650">
      <formula>$C53="Delivery charge"</formula>
    </cfRule>
    <cfRule type="expression" dxfId="3300" priority="651">
      <formula>$C53="Staff Salary"</formula>
    </cfRule>
    <cfRule type="expression" dxfId="3299" priority="652">
      <formula>$C53="Rent"</formula>
    </cfRule>
    <cfRule type="expression" dxfId="3298" priority="653">
      <formula>$C53="Petrol"</formula>
    </cfRule>
    <cfRule type="expression" dxfId="3297" priority="654">
      <formula>$C53="Bills"</formula>
    </cfRule>
    <cfRule type="expression" dxfId="3296" priority="655">
      <formula>$C53="Sales"</formula>
    </cfRule>
    <cfRule type="expression" dxfId="3295" priority="656">
      <formula>$C53="Expences"</formula>
    </cfRule>
    <cfRule type="expression" dxfId="3294" priority="657">
      <formula>$C53="Garlic Purchase"</formula>
    </cfRule>
    <cfRule type="expression" dxfId="3293" priority="658">
      <formula>$C53="Ginger Purchase"</formula>
    </cfRule>
  </conditionalFormatting>
  <conditionalFormatting sqref="B53 B55 B57 B61 B59 B63">
    <cfRule type="expression" dxfId="3292" priority="659">
      <formula>$C53="Advance"</formula>
    </cfRule>
  </conditionalFormatting>
  <conditionalFormatting sqref="B52 B54 B56 B60 B58 B62">
    <cfRule type="expression" dxfId="3291" priority="649">
      <formula>$C52="Advance"</formula>
    </cfRule>
  </conditionalFormatting>
  <conditionalFormatting sqref="B52 B54 B56 B60 B58 B62">
    <cfRule type="expression" dxfId="3290" priority="640">
      <formula>$C52="Delivery charge"</formula>
    </cfRule>
    <cfRule type="expression" dxfId="3289" priority="641">
      <formula>$C52="Staff Salary"</formula>
    </cfRule>
    <cfRule type="expression" dxfId="3288" priority="642">
      <formula>$C52="Rent"</formula>
    </cfRule>
    <cfRule type="expression" dxfId="3287" priority="643">
      <formula>$C52="Petrol"</formula>
    </cfRule>
    <cfRule type="expression" dxfId="3286" priority="644">
      <formula>$C52="Bills"</formula>
    </cfRule>
    <cfRule type="expression" dxfId="3285" priority="645">
      <formula>$C52="Sales"</formula>
    </cfRule>
    <cfRule type="expression" dxfId="3284" priority="646">
      <formula>$C52="Expences"</formula>
    </cfRule>
    <cfRule type="expression" dxfId="3283" priority="647">
      <formula>$C52="Garlic Purchase"</formula>
    </cfRule>
    <cfRule type="expression" dxfId="3282" priority="648">
      <formula>$C52="Ginger Purchase"</formula>
    </cfRule>
  </conditionalFormatting>
  <conditionalFormatting sqref="B53 B55 B57 B61 B59 B63">
    <cfRule type="expression" dxfId="3281" priority="639">
      <formula>$C53="Advance"</formula>
    </cfRule>
  </conditionalFormatting>
  <conditionalFormatting sqref="B53 B55 B57 B61 B59 B63">
    <cfRule type="expression" dxfId="3280" priority="630">
      <formula>$C53="Delivery charge"</formula>
    </cfRule>
    <cfRule type="expression" dxfId="3279" priority="631">
      <formula>$C53="Staff Salary"</formula>
    </cfRule>
    <cfRule type="expression" dxfId="3278" priority="632">
      <formula>$C53="Rent"</formula>
    </cfRule>
    <cfRule type="expression" dxfId="3277" priority="633">
      <formula>$C53="Petrol"</formula>
    </cfRule>
    <cfRule type="expression" dxfId="3276" priority="634">
      <formula>$C53="Bills"</formula>
    </cfRule>
    <cfRule type="expression" dxfId="3275" priority="635">
      <formula>$C53="Sales"</formula>
    </cfRule>
    <cfRule type="expression" dxfId="3274" priority="636">
      <formula>$C53="Expences"</formula>
    </cfRule>
    <cfRule type="expression" dxfId="3273" priority="637">
      <formula>$C53="Garlic Purchase"</formula>
    </cfRule>
    <cfRule type="expression" dxfId="3272" priority="638">
      <formula>$C53="Ginger Purchase"</formula>
    </cfRule>
  </conditionalFormatting>
  <conditionalFormatting sqref="B53 B55 B57 B61 B59 B63">
    <cfRule type="expression" dxfId="3271" priority="620">
      <formula>$C53="Delivery charge"</formula>
    </cfRule>
    <cfRule type="expression" dxfId="3270" priority="621">
      <formula>$C53="Staff Salary"</formula>
    </cfRule>
    <cfRule type="expression" dxfId="3269" priority="622">
      <formula>$C53="Rent"</formula>
    </cfRule>
    <cfRule type="expression" dxfId="3268" priority="623">
      <formula>$C53="Petrol"</formula>
    </cfRule>
    <cfRule type="expression" dxfId="3267" priority="624">
      <formula>$C53="Bills"</formula>
    </cfRule>
    <cfRule type="expression" dxfId="3266" priority="625">
      <formula>$C53="Sales"</formula>
    </cfRule>
    <cfRule type="expression" dxfId="3265" priority="626">
      <formula>$C53="Expences"</formula>
    </cfRule>
    <cfRule type="expression" dxfId="3264" priority="627">
      <formula>$C53="Garlic Purchase"</formula>
    </cfRule>
    <cfRule type="expression" dxfId="3263" priority="628">
      <formula>$C53="Ginger Purchase"</formula>
    </cfRule>
  </conditionalFormatting>
  <conditionalFormatting sqref="B53 B55 B57 B61 B59 B63">
    <cfRule type="expression" dxfId="3262" priority="629">
      <formula>$C53="Advance"</formula>
    </cfRule>
  </conditionalFormatting>
  <conditionalFormatting sqref="B53 B55 B57 B61 B59 B63">
    <cfRule type="expression" dxfId="3261" priority="610">
      <formula>$C53="Delivery charge"</formula>
    </cfRule>
    <cfRule type="expression" dxfId="3260" priority="611">
      <formula>$C53="Staff Salary"</formula>
    </cfRule>
    <cfRule type="expression" dxfId="3259" priority="612">
      <formula>$C53="Rent"</formula>
    </cfRule>
    <cfRule type="expression" dxfId="3258" priority="613">
      <formula>$C53="Petrol"</formula>
    </cfRule>
    <cfRule type="expression" dxfId="3257" priority="614">
      <formula>$C53="Bills"</formula>
    </cfRule>
    <cfRule type="expression" dxfId="3256" priority="615">
      <formula>$C53="Sales"</formula>
    </cfRule>
    <cfRule type="expression" dxfId="3255" priority="616">
      <formula>$C53="Expences"</formula>
    </cfRule>
    <cfRule type="expression" dxfId="3254" priority="617">
      <formula>$C53="Garlic Purchase"</formula>
    </cfRule>
    <cfRule type="expression" dxfId="3253" priority="618">
      <formula>$C53="Ginger Purchase"</formula>
    </cfRule>
  </conditionalFormatting>
  <conditionalFormatting sqref="B53 B55 B57 B61 B59 B63">
    <cfRule type="expression" dxfId="3252" priority="619">
      <formula>$C53="Advance"</formula>
    </cfRule>
  </conditionalFormatting>
  <conditionalFormatting sqref="B53 B55 B57 B61 B59 B63">
    <cfRule type="expression" dxfId="3251" priority="600">
      <formula>$C53="Delivery charge"</formula>
    </cfRule>
    <cfRule type="expression" dxfId="3250" priority="601">
      <formula>$C53="Staff Salary"</formula>
    </cfRule>
    <cfRule type="expression" dxfId="3249" priority="602">
      <formula>$C53="Rent"</formula>
    </cfRule>
    <cfRule type="expression" dxfId="3248" priority="603">
      <formula>$C53="Petrol"</formula>
    </cfRule>
    <cfRule type="expression" dxfId="3247" priority="604">
      <formula>$C53="Bills"</formula>
    </cfRule>
    <cfRule type="expression" dxfId="3246" priority="605">
      <formula>$C53="Sales"</formula>
    </cfRule>
    <cfRule type="expression" dxfId="3245" priority="606">
      <formula>$C53="Expences"</formula>
    </cfRule>
    <cfRule type="expression" dxfId="3244" priority="607">
      <formula>$C53="Garlic Purchase"</formula>
    </cfRule>
    <cfRule type="expression" dxfId="3243" priority="608">
      <formula>$C53="Ginger Purchase"</formula>
    </cfRule>
  </conditionalFormatting>
  <conditionalFormatting sqref="B53 B55 B57 B61 B59 B63">
    <cfRule type="expression" dxfId="3242" priority="609">
      <formula>$C53="Advance"</formula>
    </cfRule>
  </conditionalFormatting>
  <conditionalFormatting sqref="B53 B55 B57 B61 B59 B63">
    <cfRule type="expression" dxfId="3241" priority="590">
      <formula>$C53="Delivery charge"</formula>
    </cfRule>
    <cfRule type="expression" dxfId="3240" priority="591">
      <formula>$C53="Staff Salary"</formula>
    </cfRule>
    <cfRule type="expression" dxfId="3239" priority="592">
      <formula>$C53="Rent"</formula>
    </cfRule>
    <cfRule type="expression" dxfId="3238" priority="593">
      <formula>$C53="Petrol"</formula>
    </cfRule>
    <cfRule type="expression" dxfId="3237" priority="594">
      <formula>$C53="Bills"</formula>
    </cfRule>
    <cfRule type="expression" dxfId="3236" priority="595">
      <formula>$C53="Sales"</formula>
    </cfRule>
    <cfRule type="expression" dxfId="3235" priority="596">
      <formula>$C53="Expences"</formula>
    </cfRule>
    <cfRule type="expression" dxfId="3234" priority="597">
      <formula>$C53="Garlic Purchase"</formula>
    </cfRule>
    <cfRule type="expression" dxfId="3233" priority="598">
      <formula>$C53="Ginger Purchase"</formula>
    </cfRule>
  </conditionalFormatting>
  <conditionalFormatting sqref="B53 B55 B57 B61 B59 B63">
    <cfRule type="expression" dxfId="3232" priority="599">
      <formula>$C53="Advance"</formula>
    </cfRule>
  </conditionalFormatting>
  <conditionalFormatting sqref="B53 B55 B57 B61 B59 B63">
    <cfRule type="expression" dxfId="3231" priority="580">
      <formula>$C53="Delivery charge"</formula>
    </cfRule>
    <cfRule type="expression" dxfId="3230" priority="581">
      <formula>$C53="Staff Salary"</formula>
    </cfRule>
    <cfRule type="expression" dxfId="3229" priority="582">
      <formula>$C53="Rent"</formula>
    </cfRule>
    <cfRule type="expression" dxfId="3228" priority="583">
      <formula>$C53="Petrol"</formula>
    </cfRule>
    <cfRule type="expression" dxfId="3227" priority="584">
      <formula>$C53="Bills"</formula>
    </cfRule>
    <cfRule type="expression" dxfId="3226" priority="585">
      <formula>$C53="Sales"</formula>
    </cfRule>
    <cfRule type="expression" dxfId="3225" priority="586">
      <formula>$C53="Expences"</formula>
    </cfRule>
    <cfRule type="expression" dxfId="3224" priority="587">
      <formula>$C53="Garlic Purchase"</formula>
    </cfRule>
    <cfRule type="expression" dxfId="3223" priority="588">
      <formula>$C53="Ginger Purchase"</formula>
    </cfRule>
  </conditionalFormatting>
  <conditionalFormatting sqref="B53 B55 B57 B61 B59 B63">
    <cfRule type="expression" dxfId="3222" priority="589">
      <formula>$C53="Advance"</formula>
    </cfRule>
  </conditionalFormatting>
  <conditionalFormatting sqref="B53 B55 B57 B61 B59 B63">
    <cfRule type="expression" dxfId="3221" priority="570">
      <formula>$C53="Delivery charge"</formula>
    </cfRule>
    <cfRule type="expression" dxfId="3220" priority="571">
      <formula>$C53="Staff Salary"</formula>
    </cfRule>
    <cfRule type="expression" dxfId="3219" priority="572">
      <formula>$C53="Rent"</formula>
    </cfRule>
    <cfRule type="expression" dxfId="3218" priority="573">
      <formula>$C53="Petrol"</formula>
    </cfRule>
    <cfRule type="expression" dxfId="3217" priority="574">
      <formula>$C53="Bills"</formula>
    </cfRule>
    <cfRule type="expression" dxfId="3216" priority="575">
      <formula>$C53="Sales"</formula>
    </cfRule>
    <cfRule type="expression" dxfId="3215" priority="576">
      <formula>$C53="Expences"</formula>
    </cfRule>
    <cfRule type="expression" dxfId="3214" priority="577">
      <formula>$C53="Garlic Purchase"</formula>
    </cfRule>
    <cfRule type="expression" dxfId="3213" priority="578">
      <formula>$C53="Ginger Purchase"</formula>
    </cfRule>
  </conditionalFormatting>
  <conditionalFormatting sqref="B53 B55 B57 B61 B59 B63">
    <cfRule type="expression" dxfId="3212" priority="579">
      <formula>$C53="Advance"</formula>
    </cfRule>
  </conditionalFormatting>
  <conditionalFormatting sqref="B53 B55 B57 B61 B59 B63">
    <cfRule type="expression" dxfId="3211" priority="560">
      <formula>$C53="Delivery charge"</formula>
    </cfRule>
    <cfRule type="expression" dxfId="3210" priority="561">
      <formula>$C53="Staff Salary"</formula>
    </cfRule>
    <cfRule type="expression" dxfId="3209" priority="562">
      <formula>$C53="Rent"</formula>
    </cfRule>
    <cfRule type="expression" dxfId="3208" priority="563">
      <formula>$C53="Petrol"</formula>
    </cfRule>
    <cfRule type="expression" dxfId="3207" priority="564">
      <formula>$C53="Bills"</formula>
    </cfRule>
    <cfRule type="expression" dxfId="3206" priority="565">
      <formula>$C53="Sales"</formula>
    </cfRule>
    <cfRule type="expression" dxfId="3205" priority="566">
      <formula>$C53="Expences"</formula>
    </cfRule>
    <cfRule type="expression" dxfId="3204" priority="567">
      <formula>$C53="Garlic Purchase"</formula>
    </cfRule>
    <cfRule type="expression" dxfId="3203" priority="568">
      <formula>$C53="Ginger Purchase"</formula>
    </cfRule>
  </conditionalFormatting>
  <conditionalFormatting sqref="B53 B55 B57 B61 B59 B63">
    <cfRule type="expression" dxfId="3202" priority="569">
      <formula>$C53="Advance"</formula>
    </cfRule>
  </conditionalFormatting>
  <conditionalFormatting sqref="B53 B55 B57 B61 B59 B63">
    <cfRule type="expression" dxfId="3201" priority="550">
      <formula>$C53="Delivery charge"</formula>
    </cfRule>
    <cfRule type="expression" dxfId="3200" priority="551">
      <formula>$C53="Staff Salary"</formula>
    </cfRule>
    <cfRule type="expression" dxfId="3199" priority="552">
      <formula>$C53="Rent"</formula>
    </cfRule>
    <cfRule type="expression" dxfId="3198" priority="553">
      <formula>$C53="Petrol"</formula>
    </cfRule>
    <cfRule type="expression" dxfId="3197" priority="554">
      <formula>$C53="Bills"</formula>
    </cfRule>
    <cfRule type="expression" dxfId="3196" priority="555">
      <formula>$C53="Sales"</formula>
    </cfRule>
    <cfRule type="expression" dxfId="3195" priority="556">
      <formula>$C53="Expences"</formula>
    </cfRule>
    <cfRule type="expression" dxfId="3194" priority="557">
      <formula>$C53="Garlic Purchase"</formula>
    </cfRule>
    <cfRule type="expression" dxfId="3193" priority="558">
      <formula>$C53="Ginger Purchase"</formula>
    </cfRule>
  </conditionalFormatting>
  <conditionalFormatting sqref="B53 B55 B57 B61 B59 B63">
    <cfRule type="expression" dxfId="3192" priority="559">
      <formula>$C53="Advance"</formula>
    </cfRule>
  </conditionalFormatting>
  <conditionalFormatting sqref="B53 B55 B57 B61 B59 B63">
    <cfRule type="expression" dxfId="3191" priority="540">
      <formula>$C53="Delivery charge"</formula>
    </cfRule>
    <cfRule type="expression" dxfId="3190" priority="541">
      <formula>$C53="Staff Salary"</formula>
    </cfRule>
    <cfRule type="expression" dxfId="3189" priority="542">
      <formula>$C53="Rent"</formula>
    </cfRule>
    <cfRule type="expression" dxfId="3188" priority="543">
      <formula>$C53="Petrol"</formula>
    </cfRule>
    <cfRule type="expression" dxfId="3187" priority="544">
      <formula>$C53="Bills"</formula>
    </cfRule>
    <cfRule type="expression" dxfId="3186" priority="545">
      <formula>$C53="Sales"</formula>
    </cfRule>
    <cfRule type="expression" dxfId="3185" priority="546">
      <formula>$C53="Expences"</formula>
    </cfRule>
    <cfRule type="expression" dxfId="3184" priority="547">
      <formula>$C53="Garlic Purchase"</formula>
    </cfRule>
    <cfRule type="expression" dxfId="3183" priority="548">
      <formula>$C53="Ginger Purchase"</formula>
    </cfRule>
  </conditionalFormatting>
  <conditionalFormatting sqref="B53 B55 B57 B61 B59 B63">
    <cfRule type="expression" dxfId="3182" priority="549">
      <formula>$C53="Advance"</formula>
    </cfRule>
  </conditionalFormatting>
  <conditionalFormatting sqref="B53 B55 B57 B61 B59 B63">
    <cfRule type="expression" dxfId="3181" priority="530">
      <formula>$C53="Delivery charge"</formula>
    </cfRule>
    <cfRule type="expression" dxfId="3180" priority="531">
      <formula>$C53="Staff Salary"</formula>
    </cfRule>
    <cfRule type="expression" dxfId="3179" priority="532">
      <formula>$C53="Rent"</formula>
    </cfRule>
    <cfRule type="expression" dxfId="3178" priority="533">
      <formula>$C53="Petrol"</formula>
    </cfRule>
    <cfRule type="expression" dxfId="3177" priority="534">
      <formula>$C53="Bills"</formula>
    </cfRule>
    <cfRule type="expression" dxfId="3176" priority="535">
      <formula>$C53="Sales"</formula>
    </cfRule>
    <cfRule type="expression" dxfId="3175" priority="536">
      <formula>$C53="Expences"</formula>
    </cfRule>
    <cfRule type="expression" dxfId="3174" priority="537">
      <formula>$C53="Garlic Purchase"</formula>
    </cfRule>
    <cfRule type="expression" dxfId="3173" priority="538">
      <formula>$C53="Ginger Purchase"</formula>
    </cfRule>
  </conditionalFormatting>
  <conditionalFormatting sqref="B53 B55 B57 B61 B59 B63">
    <cfRule type="expression" dxfId="3172" priority="539">
      <formula>$C53="Advance"</formula>
    </cfRule>
  </conditionalFormatting>
  <conditionalFormatting sqref="B53 B55 B57 B61 B59 B63">
    <cfRule type="expression" dxfId="3171" priority="520">
      <formula>$C53="Delivery charge"</formula>
    </cfRule>
    <cfRule type="expression" dxfId="3170" priority="521">
      <formula>$C53="Staff Salary"</formula>
    </cfRule>
    <cfRule type="expression" dxfId="3169" priority="522">
      <formula>$C53="Rent"</formula>
    </cfRule>
    <cfRule type="expression" dxfId="3168" priority="523">
      <formula>$C53="Petrol"</formula>
    </cfRule>
    <cfRule type="expression" dxfId="3167" priority="524">
      <formula>$C53="Bills"</formula>
    </cfRule>
    <cfRule type="expression" dxfId="3166" priority="525">
      <formula>$C53="Sales"</formula>
    </cfRule>
    <cfRule type="expression" dxfId="3165" priority="526">
      <formula>$C53="Expences"</formula>
    </cfRule>
    <cfRule type="expression" dxfId="3164" priority="527">
      <formula>$C53="Garlic Purchase"</formula>
    </cfRule>
    <cfRule type="expression" dxfId="3163" priority="528">
      <formula>$C53="Ginger Purchase"</formula>
    </cfRule>
  </conditionalFormatting>
  <conditionalFormatting sqref="B53 B55 B57 B61 B59 B63">
    <cfRule type="expression" dxfId="3162" priority="529">
      <formula>$C53="Advance"</formula>
    </cfRule>
  </conditionalFormatting>
  <conditionalFormatting sqref="B53 B55 B57 B61 B59 B63">
    <cfRule type="expression" dxfId="3161" priority="510">
      <formula>$C53="Delivery charge"</formula>
    </cfRule>
    <cfRule type="expression" dxfId="3160" priority="511">
      <formula>$C53="Staff Salary"</formula>
    </cfRule>
    <cfRule type="expression" dxfId="3159" priority="512">
      <formula>$C53="Rent"</formula>
    </cfRule>
    <cfRule type="expression" dxfId="3158" priority="513">
      <formula>$C53="Petrol"</formula>
    </cfRule>
    <cfRule type="expression" dxfId="3157" priority="514">
      <formula>$C53="Bills"</formula>
    </cfRule>
    <cfRule type="expression" dxfId="3156" priority="515">
      <formula>$C53="Sales"</formula>
    </cfRule>
    <cfRule type="expression" dxfId="3155" priority="516">
      <formula>$C53="Expences"</formula>
    </cfRule>
    <cfRule type="expression" dxfId="3154" priority="517">
      <formula>$C53="Garlic Purchase"</formula>
    </cfRule>
    <cfRule type="expression" dxfId="3153" priority="518">
      <formula>$C53="Ginger Purchase"</formula>
    </cfRule>
  </conditionalFormatting>
  <conditionalFormatting sqref="B53 B55 B57 B61 B59 B63">
    <cfRule type="expression" dxfId="3152" priority="519">
      <formula>$C53="Advance"</formula>
    </cfRule>
  </conditionalFormatting>
  <conditionalFormatting sqref="B53 B55 B57 B61 B59 B63">
    <cfRule type="expression" dxfId="3151" priority="500">
      <formula>$C53="Delivery charge"</formula>
    </cfRule>
    <cfRule type="expression" dxfId="3150" priority="501">
      <formula>$C53="Staff Salary"</formula>
    </cfRule>
    <cfRule type="expression" dxfId="3149" priority="502">
      <formula>$C53="Rent"</formula>
    </cfRule>
    <cfRule type="expression" dxfId="3148" priority="503">
      <formula>$C53="Petrol"</formula>
    </cfRule>
    <cfRule type="expression" dxfId="3147" priority="504">
      <formula>$C53="Bills"</formula>
    </cfRule>
    <cfRule type="expression" dxfId="3146" priority="505">
      <formula>$C53="Sales"</formula>
    </cfRule>
    <cfRule type="expression" dxfId="3145" priority="506">
      <formula>$C53="Expences"</formula>
    </cfRule>
    <cfRule type="expression" dxfId="3144" priority="507">
      <formula>$C53="Garlic Purchase"</formula>
    </cfRule>
    <cfRule type="expression" dxfId="3143" priority="508">
      <formula>$C53="Ginger Purchase"</formula>
    </cfRule>
  </conditionalFormatting>
  <conditionalFormatting sqref="B53 B55 B57 B61 B59 B63">
    <cfRule type="expression" dxfId="3142" priority="509">
      <formula>$C53="Advance"</formula>
    </cfRule>
  </conditionalFormatting>
  <conditionalFormatting sqref="B53 B55 B57 B61 B59 B63">
    <cfRule type="expression" dxfId="3141" priority="490">
      <formula>$C53="Delivery charge"</formula>
    </cfRule>
    <cfRule type="expression" dxfId="3140" priority="491">
      <formula>$C53="Staff Salary"</formula>
    </cfRule>
    <cfRule type="expression" dxfId="3139" priority="492">
      <formula>$C53="Rent"</formula>
    </cfRule>
    <cfRule type="expression" dxfId="3138" priority="493">
      <formula>$C53="Petrol"</formula>
    </cfRule>
    <cfRule type="expression" dxfId="3137" priority="494">
      <formula>$C53="Bills"</formula>
    </cfRule>
    <cfRule type="expression" dxfId="3136" priority="495">
      <formula>$C53="Sales"</formula>
    </cfRule>
    <cfRule type="expression" dxfId="3135" priority="496">
      <formula>$C53="Expences"</formula>
    </cfRule>
    <cfRule type="expression" dxfId="3134" priority="497">
      <formula>$C53="Garlic Purchase"</formula>
    </cfRule>
    <cfRule type="expression" dxfId="3133" priority="498">
      <formula>$C53="Ginger Purchase"</formula>
    </cfRule>
  </conditionalFormatting>
  <conditionalFormatting sqref="B53 B55 B57 B61 B59 B63">
    <cfRule type="expression" dxfId="3132" priority="499">
      <formula>$C53="Advance"</formula>
    </cfRule>
  </conditionalFormatting>
  <conditionalFormatting sqref="B53 B55 B57 B61 B59 B63">
    <cfRule type="expression" dxfId="3131" priority="480">
      <formula>$C53="Delivery charge"</formula>
    </cfRule>
    <cfRule type="expression" dxfId="3130" priority="481">
      <formula>$C53="Staff Salary"</formula>
    </cfRule>
    <cfRule type="expression" dxfId="3129" priority="482">
      <formula>$C53="Rent"</formula>
    </cfRule>
    <cfRule type="expression" dxfId="3128" priority="483">
      <formula>$C53="Petrol"</formula>
    </cfRule>
    <cfRule type="expression" dxfId="3127" priority="484">
      <formula>$C53="Bills"</formula>
    </cfRule>
    <cfRule type="expression" dxfId="3126" priority="485">
      <formula>$C53="Sales"</formula>
    </cfRule>
    <cfRule type="expression" dxfId="3125" priority="486">
      <formula>$C53="Expences"</formula>
    </cfRule>
    <cfRule type="expression" dxfId="3124" priority="487">
      <formula>$C53="Garlic Purchase"</formula>
    </cfRule>
    <cfRule type="expression" dxfId="3123" priority="488">
      <formula>$C53="Ginger Purchase"</formula>
    </cfRule>
  </conditionalFormatting>
  <conditionalFormatting sqref="B53 B55 B57 B61 B59 B63">
    <cfRule type="expression" dxfId="3122" priority="489">
      <formula>$C53="Advance"</formula>
    </cfRule>
  </conditionalFormatting>
  <conditionalFormatting sqref="B53 B55 B57 B61 B59 B63">
    <cfRule type="expression" dxfId="3121" priority="470">
      <formula>$C53="Delivery charge"</formula>
    </cfRule>
    <cfRule type="expression" dxfId="3120" priority="471">
      <formula>$C53="Staff Salary"</formula>
    </cfRule>
    <cfRule type="expression" dxfId="3119" priority="472">
      <formula>$C53="Rent"</formula>
    </cfRule>
    <cfRule type="expression" dxfId="3118" priority="473">
      <formula>$C53="Petrol"</formula>
    </cfRule>
    <cfRule type="expression" dxfId="3117" priority="474">
      <formula>$C53="Bills"</formula>
    </cfRule>
    <cfRule type="expression" dxfId="3116" priority="475">
      <formula>$C53="Sales"</formula>
    </cfRule>
    <cfRule type="expression" dxfId="3115" priority="476">
      <formula>$C53="Expences"</formula>
    </cfRule>
    <cfRule type="expression" dxfId="3114" priority="477">
      <formula>$C53="Garlic Purchase"</formula>
    </cfRule>
    <cfRule type="expression" dxfId="3113" priority="478">
      <formula>$C53="Ginger Purchase"</formula>
    </cfRule>
  </conditionalFormatting>
  <conditionalFormatting sqref="B53 B55 B57 B61 B59 B63">
    <cfRule type="expression" dxfId="3112" priority="479">
      <formula>$C53="Advance"</formula>
    </cfRule>
  </conditionalFormatting>
  <conditionalFormatting sqref="B53 B55 B57 B61 B59 B63">
    <cfRule type="expression" dxfId="3111" priority="460">
      <formula>$C53="Delivery charge"</formula>
    </cfRule>
    <cfRule type="expression" dxfId="3110" priority="461">
      <formula>$C53="Staff Salary"</formula>
    </cfRule>
    <cfRule type="expression" dxfId="3109" priority="462">
      <formula>$C53="Rent"</formula>
    </cfRule>
    <cfRule type="expression" dxfId="3108" priority="463">
      <formula>$C53="Petrol"</formula>
    </cfRule>
    <cfRule type="expression" dxfId="3107" priority="464">
      <formula>$C53="Bills"</formula>
    </cfRule>
    <cfRule type="expression" dxfId="3106" priority="465">
      <formula>$C53="Sales"</formula>
    </cfRule>
    <cfRule type="expression" dxfId="3105" priority="466">
      <formula>$C53="Expences"</formula>
    </cfRule>
    <cfRule type="expression" dxfId="3104" priority="467">
      <formula>$C53="Garlic Purchase"</formula>
    </cfRule>
    <cfRule type="expression" dxfId="3103" priority="468">
      <formula>$C53="Ginger Purchase"</formula>
    </cfRule>
  </conditionalFormatting>
  <conditionalFormatting sqref="B53 B55 B57 B61 B59 B63">
    <cfRule type="expression" dxfId="3102" priority="469">
      <formula>$C53="Advance"</formula>
    </cfRule>
  </conditionalFormatting>
  <conditionalFormatting sqref="B53 B55 B57 B61 B59 B63">
    <cfRule type="expression" dxfId="3101" priority="450">
      <formula>$C53="Delivery charge"</formula>
    </cfRule>
    <cfRule type="expression" dxfId="3100" priority="451">
      <formula>$C53="Staff Salary"</formula>
    </cfRule>
    <cfRule type="expression" dxfId="3099" priority="452">
      <formula>$C53="Rent"</formula>
    </cfRule>
    <cfRule type="expression" dxfId="3098" priority="453">
      <formula>$C53="Petrol"</formula>
    </cfRule>
    <cfRule type="expression" dxfId="3097" priority="454">
      <formula>$C53="Bills"</formula>
    </cfRule>
    <cfRule type="expression" dxfId="3096" priority="455">
      <formula>$C53="Sales"</formula>
    </cfRule>
    <cfRule type="expression" dxfId="3095" priority="456">
      <formula>$C53="Expences"</formula>
    </cfRule>
    <cfRule type="expression" dxfId="3094" priority="457">
      <formula>$C53="Garlic Purchase"</formula>
    </cfRule>
    <cfRule type="expression" dxfId="3093" priority="458">
      <formula>$C53="Ginger Purchase"</formula>
    </cfRule>
  </conditionalFormatting>
  <conditionalFormatting sqref="B53 B55 B57 B61 B59 B63">
    <cfRule type="expression" dxfId="3092" priority="459">
      <formula>$C53="Advance"</formula>
    </cfRule>
  </conditionalFormatting>
  <conditionalFormatting sqref="B53 B55 B57 B61 B59 B63">
    <cfRule type="expression" dxfId="3091" priority="440">
      <formula>$C53="Delivery charge"</formula>
    </cfRule>
    <cfRule type="expression" dxfId="3090" priority="441">
      <formula>$C53="Staff Salary"</formula>
    </cfRule>
    <cfRule type="expression" dxfId="3089" priority="442">
      <formula>$C53="Rent"</formula>
    </cfRule>
    <cfRule type="expression" dxfId="3088" priority="443">
      <formula>$C53="Petrol"</formula>
    </cfRule>
    <cfRule type="expression" dxfId="3087" priority="444">
      <formula>$C53="Bills"</formula>
    </cfRule>
    <cfRule type="expression" dxfId="3086" priority="445">
      <formula>$C53="Sales"</formula>
    </cfRule>
    <cfRule type="expression" dxfId="3085" priority="446">
      <formula>$C53="Expences"</formula>
    </cfRule>
    <cfRule type="expression" dxfId="3084" priority="447">
      <formula>$C53="Garlic Purchase"</formula>
    </cfRule>
    <cfRule type="expression" dxfId="3083" priority="448">
      <formula>$C53="Ginger Purchase"</formula>
    </cfRule>
  </conditionalFormatting>
  <conditionalFormatting sqref="B53 B55 B57 B61 B59 B63">
    <cfRule type="expression" dxfId="3082" priority="449">
      <formula>$C53="Advance"</formula>
    </cfRule>
  </conditionalFormatting>
  <conditionalFormatting sqref="B53 B55 B57 B61 B59 B63">
    <cfRule type="expression" dxfId="3081" priority="439">
      <formula>$C53="Advance"</formula>
    </cfRule>
  </conditionalFormatting>
  <conditionalFormatting sqref="B53 B55 B57 B61 B59 B63">
    <cfRule type="expression" dxfId="3080" priority="430">
      <formula>$C53="Delivery charge"</formula>
    </cfRule>
    <cfRule type="expression" dxfId="3079" priority="431">
      <formula>$C53="Staff Salary"</formula>
    </cfRule>
    <cfRule type="expression" dxfId="3078" priority="432">
      <formula>$C53="Rent"</formula>
    </cfRule>
    <cfRule type="expression" dxfId="3077" priority="433">
      <formula>$C53="Petrol"</formula>
    </cfRule>
    <cfRule type="expression" dxfId="3076" priority="434">
      <formula>$C53="Bills"</formula>
    </cfRule>
    <cfRule type="expression" dxfId="3075" priority="435">
      <formula>$C53="Sales"</formula>
    </cfRule>
    <cfRule type="expression" dxfId="3074" priority="436">
      <formula>$C53="Expences"</formula>
    </cfRule>
    <cfRule type="expression" dxfId="3073" priority="437">
      <formula>$C53="Garlic Purchase"</formula>
    </cfRule>
    <cfRule type="expression" dxfId="3072" priority="438">
      <formula>$C53="Ginger Purchase"</formula>
    </cfRule>
  </conditionalFormatting>
  <conditionalFormatting sqref="B52 B54 B56 B60 B58 B62">
    <cfRule type="expression" dxfId="3071" priority="420">
      <formula>$C52="Delivery charge"</formula>
    </cfRule>
    <cfRule type="expression" dxfId="3070" priority="421">
      <formula>$C52="Staff Salary"</formula>
    </cfRule>
    <cfRule type="expression" dxfId="3069" priority="422">
      <formula>$C52="Rent"</formula>
    </cfRule>
    <cfRule type="expression" dxfId="3068" priority="423">
      <formula>$C52="Petrol"</formula>
    </cfRule>
    <cfRule type="expression" dxfId="3067" priority="424">
      <formula>$C52="Bills"</formula>
    </cfRule>
    <cfRule type="expression" dxfId="3066" priority="425">
      <formula>$C52="Sales"</formula>
    </cfRule>
    <cfRule type="expression" dxfId="3065" priority="426">
      <formula>$C52="Expences"</formula>
    </cfRule>
    <cfRule type="expression" dxfId="3064" priority="427">
      <formula>$C52="Garlic Purchase"</formula>
    </cfRule>
    <cfRule type="expression" dxfId="3063" priority="428">
      <formula>$C52="Ginger Purchase"</formula>
    </cfRule>
  </conditionalFormatting>
  <conditionalFormatting sqref="B52 B54 B56 B60 B58 B62">
    <cfRule type="expression" dxfId="3062" priority="429">
      <formula>$C52="Advance"</formula>
    </cfRule>
  </conditionalFormatting>
  <conditionalFormatting sqref="B52 B54 B56 B60 B58 B62">
    <cfRule type="expression" dxfId="3061" priority="410">
      <formula>$C52="Delivery charge"</formula>
    </cfRule>
    <cfRule type="expression" dxfId="3060" priority="411">
      <formula>$C52="Staff Salary"</formula>
    </cfRule>
    <cfRule type="expression" dxfId="3059" priority="412">
      <formula>$C52="Rent"</formula>
    </cfRule>
    <cfRule type="expression" dxfId="3058" priority="413">
      <formula>$C52="Petrol"</formula>
    </cfRule>
    <cfRule type="expression" dxfId="3057" priority="414">
      <formula>$C52="Bills"</formula>
    </cfRule>
    <cfRule type="expression" dxfId="3056" priority="415">
      <formula>$C52="Sales"</formula>
    </cfRule>
    <cfRule type="expression" dxfId="3055" priority="416">
      <formula>$C52="Expences"</formula>
    </cfRule>
    <cfRule type="expression" dxfId="3054" priority="417">
      <formula>$C52="Garlic Purchase"</formula>
    </cfRule>
    <cfRule type="expression" dxfId="3053" priority="418">
      <formula>$C52="Ginger Purchase"</formula>
    </cfRule>
  </conditionalFormatting>
  <conditionalFormatting sqref="B52 B54 B56 B60 B58 B62">
    <cfRule type="expression" dxfId="3052" priority="419">
      <formula>$C52="Advance"</formula>
    </cfRule>
  </conditionalFormatting>
  <conditionalFormatting sqref="B52 B54 B56 B60 B58 B62">
    <cfRule type="expression" dxfId="3051" priority="400">
      <formula>$C52="Delivery charge"</formula>
    </cfRule>
    <cfRule type="expression" dxfId="3050" priority="401">
      <formula>$C52="Staff Salary"</formula>
    </cfRule>
    <cfRule type="expression" dxfId="3049" priority="402">
      <formula>$C52="Rent"</formula>
    </cfRule>
    <cfRule type="expression" dxfId="3048" priority="403">
      <formula>$C52="Petrol"</formula>
    </cfRule>
    <cfRule type="expression" dxfId="3047" priority="404">
      <formula>$C52="Bills"</formula>
    </cfRule>
    <cfRule type="expression" dxfId="3046" priority="405">
      <formula>$C52="Sales"</formula>
    </cfRule>
    <cfRule type="expression" dxfId="3045" priority="406">
      <formula>$C52="Expences"</formula>
    </cfRule>
    <cfRule type="expression" dxfId="3044" priority="407">
      <formula>$C52="Garlic Purchase"</formula>
    </cfRule>
    <cfRule type="expression" dxfId="3043" priority="408">
      <formula>$C52="Ginger Purchase"</formula>
    </cfRule>
  </conditionalFormatting>
  <conditionalFormatting sqref="B52 B54 B56 B60 B58 B62">
    <cfRule type="expression" dxfId="3042" priority="409">
      <formula>$C52="Advance"</formula>
    </cfRule>
  </conditionalFormatting>
  <conditionalFormatting sqref="B52 B54 B56 B60 B58 B62">
    <cfRule type="expression" dxfId="3041" priority="390">
      <formula>$C52="Delivery charge"</formula>
    </cfRule>
    <cfRule type="expression" dxfId="3040" priority="391">
      <formula>$C52="Staff Salary"</formula>
    </cfRule>
    <cfRule type="expression" dxfId="3039" priority="392">
      <formula>$C52="Rent"</formula>
    </cfRule>
    <cfRule type="expression" dxfId="3038" priority="393">
      <formula>$C52="Petrol"</formula>
    </cfRule>
    <cfRule type="expression" dxfId="3037" priority="394">
      <formula>$C52="Bills"</formula>
    </cfRule>
    <cfRule type="expression" dxfId="3036" priority="395">
      <formula>$C52="Sales"</formula>
    </cfRule>
    <cfRule type="expression" dxfId="3035" priority="396">
      <formula>$C52="Expences"</formula>
    </cfRule>
    <cfRule type="expression" dxfId="3034" priority="397">
      <formula>$C52="Garlic Purchase"</formula>
    </cfRule>
    <cfRule type="expression" dxfId="3033" priority="398">
      <formula>$C52="Ginger Purchase"</formula>
    </cfRule>
  </conditionalFormatting>
  <conditionalFormatting sqref="B52 B54 B56 B60 B58 B62">
    <cfRule type="expression" dxfId="3032" priority="399">
      <formula>$C52="Advance"</formula>
    </cfRule>
  </conditionalFormatting>
  <conditionalFormatting sqref="B52 B54 B56 B60 B58 B62">
    <cfRule type="expression" dxfId="3031" priority="380">
      <formula>$C52="Delivery charge"</formula>
    </cfRule>
    <cfRule type="expression" dxfId="3030" priority="381">
      <formula>$C52="Staff Salary"</formula>
    </cfRule>
    <cfRule type="expression" dxfId="3029" priority="382">
      <formula>$C52="Rent"</formula>
    </cfRule>
    <cfRule type="expression" dxfId="3028" priority="383">
      <formula>$C52="Petrol"</formula>
    </cfRule>
    <cfRule type="expression" dxfId="3027" priority="384">
      <formula>$C52="Bills"</formula>
    </cfRule>
    <cfRule type="expression" dxfId="3026" priority="385">
      <formula>$C52="Sales"</formula>
    </cfRule>
    <cfRule type="expression" dxfId="3025" priority="386">
      <formula>$C52="Expences"</formula>
    </cfRule>
    <cfRule type="expression" dxfId="3024" priority="387">
      <formula>$C52="Garlic Purchase"</formula>
    </cfRule>
    <cfRule type="expression" dxfId="3023" priority="388">
      <formula>$C52="Ginger Purchase"</formula>
    </cfRule>
  </conditionalFormatting>
  <conditionalFormatting sqref="B52 B54 B56 B60 B58 B62">
    <cfRule type="expression" dxfId="3022" priority="389">
      <formula>$C52="Advance"</formula>
    </cfRule>
  </conditionalFormatting>
  <conditionalFormatting sqref="B52 B54 B56 B60 B58 B62">
    <cfRule type="expression" dxfId="3021" priority="370">
      <formula>$C52="Delivery charge"</formula>
    </cfRule>
    <cfRule type="expression" dxfId="3020" priority="371">
      <formula>$C52="Staff Salary"</formula>
    </cfRule>
    <cfRule type="expression" dxfId="3019" priority="372">
      <formula>$C52="Rent"</formula>
    </cfRule>
    <cfRule type="expression" dxfId="3018" priority="373">
      <formula>$C52="Petrol"</formula>
    </cfRule>
    <cfRule type="expression" dxfId="3017" priority="374">
      <formula>$C52="Bills"</formula>
    </cfRule>
    <cfRule type="expression" dxfId="3016" priority="375">
      <formula>$C52="Sales"</formula>
    </cfRule>
    <cfRule type="expression" dxfId="3015" priority="376">
      <formula>$C52="Expences"</formula>
    </cfRule>
    <cfRule type="expression" dxfId="3014" priority="377">
      <formula>$C52="Garlic Purchase"</formula>
    </cfRule>
    <cfRule type="expression" dxfId="3013" priority="378">
      <formula>$C52="Ginger Purchase"</formula>
    </cfRule>
  </conditionalFormatting>
  <conditionalFormatting sqref="B52 B54 B56 B60 B58 B62">
    <cfRule type="expression" dxfId="3012" priority="379">
      <formula>$C52="Advance"</formula>
    </cfRule>
  </conditionalFormatting>
  <conditionalFormatting sqref="B52 B54 B56 B60 B58 B62">
    <cfRule type="expression" dxfId="3011" priority="360">
      <formula>$C52="Delivery charge"</formula>
    </cfRule>
    <cfRule type="expression" dxfId="3010" priority="361">
      <formula>$C52="Staff Salary"</formula>
    </cfRule>
    <cfRule type="expression" dxfId="3009" priority="362">
      <formula>$C52="Rent"</formula>
    </cfRule>
    <cfRule type="expression" dxfId="3008" priority="363">
      <formula>$C52="Petrol"</formula>
    </cfRule>
    <cfRule type="expression" dxfId="3007" priority="364">
      <formula>$C52="Bills"</formula>
    </cfRule>
    <cfRule type="expression" dxfId="3006" priority="365">
      <formula>$C52="Sales"</formula>
    </cfRule>
    <cfRule type="expression" dxfId="3005" priority="366">
      <formula>$C52="Expences"</formula>
    </cfRule>
    <cfRule type="expression" dxfId="3004" priority="367">
      <formula>$C52="Garlic Purchase"</formula>
    </cfRule>
    <cfRule type="expression" dxfId="3003" priority="368">
      <formula>$C52="Ginger Purchase"</formula>
    </cfRule>
  </conditionalFormatting>
  <conditionalFormatting sqref="B52 B54 B56 B60 B58 B62">
    <cfRule type="expression" dxfId="3002" priority="369">
      <formula>$C52="Advance"</formula>
    </cfRule>
  </conditionalFormatting>
  <conditionalFormatting sqref="B52 B54 B56 B60 B58 B62">
    <cfRule type="expression" dxfId="3001" priority="350">
      <formula>$C52="Delivery charge"</formula>
    </cfRule>
    <cfRule type="expression" dxfId="3000" priority="351">
      <formula>$C52="Staff Salary"</formula>
    </cfRule>
    <cfRule type="expression" dxfId="2999" priority="352">
      <formula>$C52="Rent"</formula>
    </cfRule>
    <cfRule type="expression" dxfId="2998" priority="353">
      <formula>$C52="Petrol"</formula>
    </cfRule>
    <cfRule type="expression" dxfId="2997" priority="354">
      <formula>$C52="Bills"</formula>
    </cfRule>
    <cfRule type="expression" dxfId="2996" priority="355">
      <formula>$C52="Sales"</formula>
    </cfRule>
    <cfRule type="expression" dxfId="2995" priority="356">
      <formula>$C52="Expences"</formula>
    </cfRule>
    <cfRule type="expression" dxfId="2994" priority="357">
      <formula>$C52="Garlic Purchase"</formula>
    </cfRule>
    <cfRule type="expression" dxfId="2993" priority="358">
      <formula>$C52="Ginger Purchase"</formula>
    </cfRule>
  </conditionalFormatting>
  <conditionalFormatting sqref="B52 B54 B56 B60 B58 B62">
    <cfRule type="expression" dxfId="2992" priority="359">
      <formula>$C52="Advance"</formula>
    </cfRule>
  </conditionalFormatting>
  <conditionalFormatting sqref="B52 B54 B56 B60 B58 B62">
    <cfRule type="expression" dxfId="2991" priority="340">
      <formula>$C52="Delivery charge"</formula>
    </cfRule>
    <cfRule type="expression" dxfId="2990" priority="341">
      <formula>$C52="Staff Salary"</formula>
    </cfRule>
    <cfRule type="expression" dxfId="2989" priority="342">
      <formula>$C52="Rent"</formula>
    </cfRule>
    <cfRule type="expression" dxfId="2988" priority="343">
      <formula>$C52="Petrol"</formula>
    </cfRule>
    <cfRule type="expression" dxfId="2987" priority="344">
      <formula>$C52="Bills"</formula>
    </cfRule>
    <cfRule type="expression" dxfId="2986" priority="345">
      <formula>$C52="Sales"</formula>
    </cfRule>
    <cfRule type="expression" dxfId="2985" priority="346">
      <formula>$C52="Expences"</formula>
    </cfRule>
    <cfRule type="expression" dxfId="2984" priority="347">
      <formula>$C52="Garlic Purchase"</formula>
    </cfRule>
    <cfRule type="expression" dxfId="2983" priority="348">
      <formula>$C52="Ginger Purchase"</formula>
    </cfRule>
  </conditionalFormatting>
  <conditionalFormatting sqref="B52 B54 B56 B60 B58 B62">
    <cfRule type="expression" dxfId="2982" priority="349">
      <formula>$C52="Advance"</formula>
    </cfRule>
  </conditionalFormatting>
  <conditionalFormatting sqref="B52 B54 B56 B60 B58 B62">
    <cfRule type="expression" dxfId="2981" priority="330">
      <formula>$C52="Delivery charge"</formula>
    </cfRule>
    <cfRule type="expression" dxfId="2980" priority="331">
      <formula>$C52="Staff Salary"</formula>
    </cfRule>
    <cfRule type="expression" dxfId="2979" priority="332">
      <formula>$C52="Rent"</formula>
    </cfRule>
    <cfRule type="expression" dxfId="2978" priority="333">
      <formula>$C52="Petrol"</formula>
    </cfRule>
    <cfRule type="expression" dxfId="2977" priority="334">
      <formula>$C52="Bills"</formula>
    </cfRule>
    <cfRule type="expression" dxfId="2976" priority="335">
      <formula>$C52="Sales"</formula>
    </cfRule>
    <cfRule type="expression" dxfId="2975" priority="336">
      <formula>$C52="Expences"</formula>
    </cfRule>
    <cfRule type="expression" dxfId="2974" priority="337">
      <formula>$C52="Garlic Purchase"</formula>
    </cfRule>
    <cfRule type="expression" dxfId="2973" priority="338">
      <formula>$C52="Ginger Purchase"</formula>
    </cfRule>
  </conditionalFormatting>
  <conditionalFormatting sqref="B52 B54 B56 B60 B58 B62">
    <cfRule type="expression" dxfId="2972" priority="339">
      <formula>$C52="Advance"</formula>
    </cfRule>
  </conditionalFormatting>
  <conditionalFormatting sqref="B52 B54 B56 B60 B58 B62">
    <cfRule type="expression" dxfId="2971" priority="320">
      <formula>$C52="Delivery charge"</formula>
    </cfRule>
    <cfRule type="expression" dxfId="2970" priority="321">
      <formula>$C52="Staff Salary"</formula>
    </cfRule>
    <cfRule type="expression" dxfId="2969" priority="322">
      <formula>$C52="Rent"</formula>
    </cfRule>
    <cfRule type="expression" dxfId="2968" priority="323">
      <formula>$C52="Petrol"</formula>
    </cfRule>
    <cfRule type="expression" dxfId="2967" priority="324">
      <formula>$C52="Bills"</formula>
    </cfRule>
    <cfRule type="expression" dxfId="2966" priority="325">
      <formula>$C52="Sales"</formula>
    </cfRule>
    <cfRule type="expression" dxfId="2965" priority="326">
      <formula>$C52="Expences"</formula>
    </cfRule>
    <cfRule type="expression" dxfId="2964" priority="327">
      <formula>$C52="Garlic Purchase"</formula>
    </cfRule>
    <cfRule type="expression" dxfId="2963" priority="328">
      <formula>$C52="Ginger Purchase"</formula>
    </cfRule>
  </conditionalFormatting>
  <conditionalFormatting sqref="B52 B54 B56 B60 B58 B62">
    <cfRule type="expression" dxfId="2962" priority="329">
      <formula>$C52="Advance"</formula>
    </cfRule>
  </conditionalFormatting>
  <conditionalFormatting sqref="B53 B55 B57 B61 B59 B63">
    <cfRule type="expression" dxfId="2961" priority="319">
      <formula>$C53="Advance"</formula>
    </cfRule>
  </conditionalFormatting>
  <conditionalFormatting sqref="B53 B55 B57 B61 B59 B63">
    <cfRule type="expression" dxfId="2960" priority="310">
      <formula>$C53="Delivery charge"</formula>
    </cfRule>
    <cfRule type="expression" dxfId="2959" priority="311">
      <formula>$C53="Staff Salary"</formula>
    </cfRule>
    <cfRule type="expression" dxfId="2958" priority="312">
      <formula>$C53="Rent"</formula>
    </cfRule>
    <cfRule type="expression" dxfId="2957" priority="313">
      <formula>$C53="Petrol"</formula>
    </cfRule>
    <cfRule type="expression" dxfId="2956" priority="314">
      <formula>$C53="Bills"</formula>
    </cfRule>
    <cfRule type="expression" dxfId="2955" priority="315">
      <formula>$C53="Sales"</formula>
    </cfRule>
    <cfRule type="expression" dxfId="2954" priority="316">
      <formula>$C53="Expences"</formula>
    </cfRule>
    <cfRule type="expression" dxfId="2953" priority="317">
      <formula>$C53="Garlic Purchase"</formula>
    </cfRule>
    <cfRule type="expression" dxfId="2952" priority="318">
      <formula>$C53="Ginger Purchase"</formula>
    </cfRule>
  </conditionalFormatting>
  <conditionalFormatting sqref="B53 B55 B57 B61 B59 B63">
    <cfRule type="expression" dxfId="2951" priority="300">
      <formula>$C53="Delivery charge"</formula>
    </cfRule>
    <cfRule type="expression" dxfId="2950" priority="301">
      <formula>$C53="Staff Salary"</formula>
    </cfRule>
    <cfRule type="expression" dxfId="2949" priority="302">
      <formula>$C53="Rent"</formula>
    </cfRule>
    <cfRule type="expression" dxfId="2948" priority="303">
      <formula>$C53="Petrol"</formula>
    </cfRule>
    <cfRule type="expression" dxfId="2947" priority="304">
      <formula>$C53="Bills"</formula>
    </cfRule>
    <cfRule type="expression" dxfId="2946" priority="305">
      <formula>$C53="Sales"</formula>
    </cfRule>
    <cfRule type="expression" dxfId="2945" priority="306">
      <formula>$C53="Expences"</formula>
    </cfRule>
    <cfRule type="expression" dxfId="2944" priority="307">
      <formula>$C53="Garlic Purchase"</formula>
    </cfRule>
    <cfRule type="expression" dxfId="2943" priority="308">
      <formula>$C53="Ginger Purchase"</formula>
    </cfRule>
  </conditionalFormatting>
  <conditionalFormatting sqref="B53 B55 B57 B61 B59 B63">
    <cfRule type="expression" dxfId="2942" priority="309">
      <formula>$C53="Advance"</formula>
    </cfRule>
  </conditionalFormatting>
  <conditionalFormatting sqref="B52 B54 B56 B60 B58 B62">
    <cfRule type="expression" dxfId="2941" priority="290">
      <formula>$C52="Delivery charge"</formula>
    </cfRule>
    <cfRule type="expression" dxfId="2940" priority="291">
      <formula>$C52="Staff Salary"</formula>
    </cfRule>
    <cfRule type="expression" dxfId="2939" priority="292">
      <formula>$C52="Rent"</formula>
    </cfRule>
    <cfRule type="expression" dxfId="2938" priority="293">
      <formula>$C52="Petrol"</formula>
    </cfRule>
    <cfRule type="expression" dxfId="2937" priority="294">
      <formula>$C52="Bills"</formula>
    </cfRule>
    <cfRule type="expression" dxfId="2936" priority="295">
      <formula>$C52="Sales"</formula>
    </cfRule>
    <cfRule type="expression" dxfId="2935" priority="296">
      <formula>$C52="Expences"</formula>
    </cfRule>
    <cfRule type="expression" dxfId="2934" priority="297">
      <formula>$C52="Garlic Purchase"</formula>
    </cfRule>
    <cfRule type="expression" dxfId="2933" priority="298">
      <formula>$C52="Ginger Purchase"</formula>
    </cfRule>
  </conditionalFormatting>
  <conditionalFormatting sqref="B52 B54 B56 B60 B58 B62">
    <cfRule type="expression" dxfId="2932" priority="299">
      <formula>$C52="Advance"</formula>
    </cfRule>
  </conditionalFormatting>
  <conditionalFormatting sqref="B52 B54 B56 B60 B58 B62">
    <cfRule type="expression" dxfId="2931" priority="280">
      <formula>$C52="Delivery charge"</formula>
    </cfRule>
    <cfRule type="expression" dxfId="2930" priority="281">
      <formula>$C52="Staff Salary"</formula>
    </cfRule>
    <cfRule type="expression" dxfId="2929" priority="282">
      <formula>$C52="Rent"</formula>
    </cfRule>
    <cfRule type="expression" dxfId="2928" priority="283">
      <formula>$C52="Petrol"</formula>
    </cfRule>
    <cfRule type="expression" dxfId="2927" priority="284">
      <formula>$C52="Bills"</formula>
    </cfRule>
    <cfRule type="expression" dxfId="2926" priority="285">
      <formula>$C52="Sales"</formula>
    </cfRule>
    <cfRule type="expression" dxfId="2925" priority="286">
      <formula>$C52="Expences"</formula>
    </cfRule>
    <cfRule type="expression" dxfId="2924" priority="287">
      <formula>$C52="Garlic Purchase"</formula>
    </cfRule>
    <cfRule type="expression" dxfId="2923" priority="288">
      <formula>$C52="Ginger Purchase"</formula>
    </cfRule>
  </conditionalFormatting>
  <conditionalFormatting sqref="B52 B54 B56 B60 B58 B62">
    <cfRule type="expression" dxfId="2922" priority="289">
      <formula>$C52="Advance"</formula>
    </cfRule>
  </conditionalFormatting>
  <conditionalFormatting sqref="B52 B54 B56 B60 B58 B62">
    <cfRule type="expression" dxfId="2921" priority="270">
      <formula>$C52="Delivery charge"</formula>
    </cfRule>
    <cfRule type="expression" dxfId="2920" priority="271">
      <formula>$C52="Staff Salary"</formula>
    </cfRule>
    <cfRule type="expression" dxfId="2919" priority="272">
      <formula>$C52="Rent"</formula>
    </cfRule>
    <cfRule type="expression" dxfId="2918" priority="273">
      <formula>$C52="Petrol"</formula>
    </cfRule>
    <cfRule type="expression" dxfId="2917" priority="274">
      <formula>$C52="Bills"</formula>
    </cfRule>
    <cfRule type="expression" dxfId="2916" priority="275">
      <formula>$C52="Sales"</formula>
    </cfRule>
    <cfRule type="expression" dxfId="2915" priority="276">
      <formula>$C52="Expences"</formula>
    </cfRule>
    <cfRule type="expression" dxfId="2914" priority="277">
      <formula>$C52="Garlic Purchase"</formula>
    </cfRule>
    <cfRule type="expression" dxfId="2913" priority="278">
      <formula>$C52="Ginger Purchase"</formula>
    </cfRule>
  </conditionalFormatting>
  <conditionalFormatting sqref="B52 B54 B56 B60 B58 B62">
    <cfRule type="expression" dxfId="2912" priority="279">
      <formula>$C52="Advance"</formula>
    </cfRule>
  </conditionalFormatting>
  <conditionalFormatting sqref="B52 B54 B56 B60 B58 B62">
    <cfRule type="expression" dxfId="2911" priority="260">
      <formula>$C52="Delivery charge"</formula>
    </cfRule>
    <cfRule type="expression" dxfId="2910" priority="261">
      <formula>$C52="Staff Salary"</formula>
    </cfRule>
    <cfRule type="expression" dxfId="2909" priority="262">
      <formula>$C52="Rent"</formula>
    </cfRule>
    <cfRule type="expression" dxfId="2908" priority="263">
      <formula>$C52="Petrol"</formula>
    </cfRule>
    <cfRule type="expression" dxfId="2907" priority="264">
      <formula>$C52="Bills"</formula>
    </cfRule>
    <cfRule type="expression" dxfId="2906" priority="265">
      <formula>$C52="Sales"</formula>
    </cfRule>
    <cfRule type="expression" dxfId="2905" priority="266">
      <formula>$C52="Expences"</formula>
    </cfRule>
    <cfRule type="expression" dxfId="2904" priority="267">
      <formula>$C52="Garlic Purchase"</formula>
    </cfRule>
    <cfRule type="expression" dxfId="2903" priority="268">
      <formula>$C52="Ginger Purchase"</formula>
    </cfRule>
  </conditionalFormatting>
  <conditionalFormatting sqref="B52 B54 B56 B60 B58 B62">
    <cfRule type="expression" dxfId="2902" priority="269">
      <formula>$C52="Advance"</formula>
    </cfRule>
  </conditionalFormatting>
  <conditionalFormatting sqref="B53 B55 B57 B61 B59 B63">
    <cfRule type="expression" dxfId="2901" priority="250">
      <formula>$C53="Delivery charge"</formula>
    </cfRule>
    <cfRule type="expression" dxfId="2900" priority="251">
      <formula>$C53="Staff Salary"</formula>
    </cfRule>
    <cfRule type="expression" dxfId="2899" priority="252">
      <formula>$C53="Rent"</formula>
    </cfRule>
    <cfRule type="expression" dxfId="2898" priority="253">
      <formula>$C53="Petrol"</formula>
    </cfRule>
    <cfRule type="expression" dxfId="2897" priority="254">
      <formula>$C53="Bills"</formula>
    </cfRule>
    <cfRule type="expression" dxfId="2896" priority="255">
      <formula>$C53="Sales"</formula>
    </cfRule>
    <cfRule type="expression" dxfId="2895" priority="256">
      <formula>$C53="Expences"</formula>
    </cfRule>
    <cfRule type="expression" dxfId="2894" priority="257">
      <formula>$C53="Garlic Purchase"</formula>
    </cfRule>
    <cfRule type="expression" dxfId="2893" priority="258">
      <formula>$C53="Ginger Purchase"</formula>
    </cfRule>
  </conditionalFormatting>
  <conditionalFormatting sqref="B53 B55 B57 B61 B59 B63">
    <cfRule type="expression" dxfId="2892" priority="259">
      <formula>$C53="Advance"</formula>
    </cfRule>
  </conditionalFormatting>
  <conditionalFormatting sqref="B53 B55 B57 B61 B59 B63">
    <cfRule type="expression" dxfId="2891" priority="240">
      <formula>$C53="Delivery charge"</formula>
    </cfRule>
    <cfRule type="expression" dxfId="2890" priority="241">
      <formula>$C53="Staff Salary"</formula>
    </cfRule>
    <cfRule type="expression" dxfId="2889" priority="242">
      <formula>$C53="Rent"</formula>
    </cfRule>
    <cfRule type="expression" dxfId="2888" priority="243">
      <formula>$C53="Petrol"</formula>
    </cfRule>
    <cfRule type="expression" dxfId="2887" priority="244">
      <formula>$C53="Bills"</formula>
    </cfRule>
    <cfRule type="expression" dxfId="2886" priority="245">
      <formula>$C53="Sales"</formula>
    </cfRule>
    <cfRule type="expression" dxfId="2885" priority="246">
      <formula>$C53="Expences"</formula>
    </cfRule>
    <cfRule type="expression" dxfId="2884" priority="247">
      <formula>$C53="Garlic Purchase"</formula>
    </cfRule>
    <cfRule type="expression" dxfId="2883" priority="248">
      <formula>$C53="Ginger Purchase"</formula>
    </cfRule>
  </conditionalFormatting>
  <conditionalFormatting sqref="B53 B55 B57 B61 B59 B63">
    <cfRule type="expression" dxfId="2882" priority="249">
      <formula>$C53="Advance"</formula>
    </cfRule>
  </conditionalFormatting>
  <conditionalFormatting sqref="B53 B55 B57 B61 B59 B63">
    <cfRule type="expression" dxfId="2881" priority="230">
      <formula>$C53="Delivery charge"</formula>
    </cfRule>
    <cfRule type="expression" dxfId="2880" priority="231">
      <formula>$C53="Staff Salary"</formula>
    </cfRule>
    <cfRule type="expression" dxfId="2879" priority="232">
      <formula>$C53="Rent"</formula>
    </cfRule>
    <cfRule type="expression" dxfId="2878" priority="233">
      <formula>$C53="Petrol"</formula>
    </cfRule>
    <cfRule type="expression" dxfId="2877" priority="234">
      <formula>$C53="Bills"</formula>
    </cfRule>
    <cfRule type="expression" dxfId="2876" priority="235">
      <formula>$C53="Sales"</formula>
    </cfRule>
    <cfRule type="expression" dxfId="2875" priority="236">
      <formula>$C53="Expences"</formula>
    </cfRule>
    <cfRule type="expression" dxfId="2874" priority="237">
      <formula>$C53="Garlic Purchase"</formula>
    </cfRule>
    <cfRule type="expression" dxfId="2873" priority="238">
      <formula>$C53="Ginger Purchase"</formula>
    </cfRule>
  </conditionalFormatting>
  <conditionalFormatting sqref="B53 B55 B57 B61 B59 B63">
    <cfRule type="expression" dxfId="2872" priority="239">
      <formula>$C53="Advance"</formula>
    </cfRule>
  </conditionalFormatting>
  <conditionalFormatting sqref="B53 B55 B57 B61 B59 B63">
    <cfRule type="expression" dxfId="2871" priority="220">
      <formula>$C53="Delivery charge"</formula>
    </cfRule>
    <cfRule type="expression" dxfId="2870" priority="221">
      <formula>$C53="Staff Salary"</formula>
    </cfRule>
    <cfRule type="expression" dxfId="2869" priority="222">
      <formula>$C53="Rent"</formula>
    </cfRule>
    <cfRule type="expression" dxfId="2868" priority="223">
      <formula>$C53="Petrol"</formula>
    </cfRule>
    <cfRule type="expression" dxfId="2867" priority="224">
      <formula>$C53="Bills"</formula>
    </cfRule>
    <cfRule type="expression" dxfId="2866" priority="225">
      <formula>$C53="Sales"</formula>
    </cfRule>
    <cfRule type="expression" dxfId="2865" priority="226">
      <formula>$C53="Expences"</formula>
    </cfRule>
    <cfRule type="expression" dxfId="2864" priority="227">
      <formula>$C53="Garlic Purchase"</formula>
    </cfRule>
    <cfRule type="expression" dxfId="2863" priority="228">
      <formula>$C53="Ginger Purchase"</formula>
    </cfRule>
  </conditionalFormatting>
  <conditionalFormatting sqref="B53 B55 B57 B61 B59 B63">
    <cfRule type="expression" dxfId="2862" priority="229">
      <formula>$C53="Advance"</formula>
    </cfRule>
  </conditionalFormatting>
  <conditionalFormatting sqref="B52 B54 B56 B60 B58 B62">
    <cfRule type="expression" dxfId="2861" priority="210">
      <formula>$C52="Delivery charge"</formula>
    </cfRule>
    <cfRule type="expression" dxfId="2860" priority="211">
      <formula>$C52="Staff Salary"</formula>
    </cfRule>
    <cfRule type="expression" dxfId="2859" priority="212">
      <formula>$C52="Rent"</formula>
    </cfRule>
    <cfRule type="expression" dxfId="2858" priority="213">
      <formula>$C52="Petrol"</formula>
    </cfRule>
    <cfRule type="expression" dxfId="2857" priority="214">
      <formula>$C52="Bills"</formula>
    </cfRule>
    <cfRule type="expression" dxfId="2856" priority="215">
      <formula>$C52="Sales"</formula>
    </cfRule>
    <cfRule type="expression" dxfId="2855" priority="216">
      <formula>$C52="Expences"</formula>
    </cfRule>
    <cfRule type="expression" dxfId="2854" priority="217">
      <formula>$C52="Garlic Purchase"</formula>
    </cfRule>
    <cfRule type="expression" dxfId="2853" priority="218">
      <formula>$C52="Ginger Purchase"</formula>
    </cfRule>
  </conditionalFormatting>
  <conditionalFormatting sqref="B52 B54 B56 B60 B58 B62">
    <cfRule type="expression" dxfId="2852" priority="219">
      <formula>$C52="Advance"</formula>
    </cfRule>
  </conditionalFormatting>
  <conditionalFormatting sqref="B53 B55 B57 B61 B59 B63">
    <cfRule type="expression" dxfId="2851" priority="200">
      <formula>$C53="Delivery charge"</formula>
    </cfRule>
    <cfRule type="expression" dxfId="2850" priority="201">
      <formula>$C53="Staff Salary"</formula>
    </cfRule>
    <cfRule type="expression" dxfId="2849" priority="202">
      <formula>$C53="Rent"</formula>
    </cfRule>
    <cfRule type="expression" dxfId="2848" priority="203">
      <formula>$C53="Petrol"</formula>
    </cfRule>
    <cfRule type="expression" dxfId="2847" priority="204">
      <formula>$C53="Bills"</formula>
    </cfRule>
    <cfRule type="expression" dxfId="2846" priority="205">
      <formula>$C53="Sales"</formula>
    </cfRule>
    <cfRule type="expression" dxfId="2845" priority="206">
      <formula>$C53="Expences"</formula>
    </cfRule>
    <cfRule type="expression" dxfId="2844" priority="207">
      <formula>$C53="Garlic Purchase"</formula>
    </cfRule>
    <cfRule type="expression" dxfId="2843" priority="208">
      <formula>$C53="Ginger Purchase"</formula>
    </cfRule>
  </conditionalFormatting>
  <conditionalFormatting sqref="B53 B55 B57 B61 B59 B63">
    <cfRule type="expression" dxfId="2842" priority="209">
      <formula>$C53="Advance"</formula>
    </cfRule>
  </conditionalFormatting>
  <conditionalFormatting sqref="B53 B55 B57 B61 B59 B63">
    <cfRule type="expression" dxfId="2841" priority="190">
      <formula>$C53="Delivery charge"</formula>
    </cfRule>
    <cfRule type="expression" dxfId="2840" priority="191">
      <formula>$C53="Staff Salary"</formula>
    </cfRule>
    <cfRule type="expression" dxfId="2839" priority="192">
      <formula>$C53="Rent"</formula>
    </cfRule>
    <cfRule type="expression" dxfId="2838" priority="193">
      <formula>$C53="Petrol"</formula>
    </cfRule>
    <cfRule type="expression" dxfId="2837" priority="194">
      <formula>$C53="Bills"</formula>
    </cfRule>
    <cfRule type="expression" dxfId="2836" priority="195">
      <formula>$C53="Sales"</formula>
    </cfRule>
    <cfRule type="expression" dxfId="2835" priority="196">
      <formula>$C53="Expences"</formula>
    </cfRule>
    <cfRule type="expression" dxfId="2834" priority="197">
      <formula>$C53="Garlic Purchase"</formula>
    </cfRule>
    <cfRule type="expression" dxfId="2833" priority="198">
      <formula>$C53="Ginger Purchase"</formula>
    </cfRule>
  </conditionalFormatting>
  <conditionalFormatting sqref="B53 B55 B57 B61 B59 B63">
    <cfRule type="expression" dxfId="2832" priority="199">
      <formula>$C53="Advance"</formula>
    </cfRule>
  </conditionalFormatting>
  <conditionalFormatting sqref="B53 B55 B57 B61 B59 B63">
    <cfRule type="expression" dxfId="2831" priority="180">
      <formula>$C53="Delivery charge"</formula>
    </cfRule>
    <cfRule type="expression" dxfId="2830" priority="181">
      <formula>$C53="Staff Salary"</formula>
    </cfRule>
    <cfRule type="expression" dxfId="2829" priority="182">
      <formula>$C53="Rent"</formula>
    </cfRule>
    <cfRule type="expression" dxfId="2828" priority="183">
      <formula>$C53="Petrol"</formula>
    </cfRule>
    <cfRule type="expression" dxfId="2827" priority="184">
      <formula>$C53="Bills"</formula>
    </cfRule>
    <cfRule type="expression" dxfId="2826" priority="185">
      <formula>$C53="Sales"</formula>
    </cfRule>
    <cfRule type="expression" dxfId="2825" priority="186">
      <formula>$C53="Expences"</formula>
    </cfRule>
    <cfRule type="expression" dxfId="2824" priority="187">
      <formula>$C53="Garlic Purchase"</formula>
    </cfRule>
    <cfRule type="expression" dxfId="2823" priority="188">
      <formula>$C53="Ginger Purchase"</formula>
    </cfRule>
  </conditionalFormatting>
  <conditionalFormatting sqref="B53 B55 B57 B61 B59 B63">
    <cfRule type="expression" dxfId="2822" priority="189">
      <formula>$C53="Advance"</formula>
    </cfRule>
  </conditionalFormatting>
  <conditionalFormatting sqref="B53 B55 B57 B61 B59 B63">
    <cfRule type="expression" dxfId="2821" priority="170">
      <formula>$C53="Delivery charge"</formula>
    </cfRule>
    <cfRule type="expression" dxfId="2820" priority="171">
      <formula>$C53="Staff Salary"</formula>
    </cfRule>
    <cfRule type="expression" dxfId="2819" priority="172">
      <formula>$C53="Rent"</formula>
    </cfRule>
    <cfRule type="expression" dxfId="2818" priority="173">
      <formula>$C53="Petrol"</formula>
    </cfRule>
    <cfRule type="expression" dxfId="2817" priority="174">
      <formula>$C53="Bills"</formula>
    </cfRule>
    <cfRule type="expression" dxfId="2816" priority="175">
      <formula>$C53="Sales"</formula>
    </cfRule>
    <cfRule type="expression" dxfId="2815" priority="176">
      <formula>$C53="Expences"</formula>
    </cfRule>
    <cfRule type="expression" dxfId="2814" priority="177">
      <formula>$C53="Garlic Purchase"</formula>
    </cfRule>
    <cfRule type="expression" dxfId="2813" priority="178">
      <formula>$C53="Ginger Purchase"</formula>
    </cfRule>
  </conditionalFormatting>
  <conditionalFormatting sqref="B53 B55 B57 B61 B59 B63">
    <cfRule type="expression" dxfId="2812" priority="179">
      <formula>$C53="Advance"</formula>
    </cfRule>
  </conditionalFormatting>
  <conditionalFormatting sqref="B53 B55 B57 B61 B59 B63">
    <cfRule type="expression" dxfId="2811" priority="160">
      <formula>$C53="Delivery charge"</formula>
    </cfRule>
    <cfRule type="expression" dxfId="2810" priority="161">
      <formula>$C53="Staff Salary"</formula>
    </cfRule>
    <cfRule type="expression" dxfId="2809" priority="162">
      <formula>$C53="Rent"</formula>
    </cfRule>
    <cfRule type="expression" dxfId="2808" priority="163">
      <formula>$C53="Petrol"</formula>
    </cfRule>
    <cfRule type="expression" dxfId="2807" priority="164">
      <formula>$C53="Bills"</formula>
    </cfRule>
    <cfRule type="expression" dxfId="2806" priority="165">
      <formula>$C53="Sales"</formula>
    </cfRule>
    <cfRule type="expression" dxfId="2805" priority="166">
      <formula>$C53="Expences"</formula>
    </cfRule>
    <cfRule type="expression" dxfId="2804" priority="167">
      <formula>$C53="Garlic Purchase"</formula>
    </cfRule>
    <cfRule type="expression" dxfId="2803" priority="168">
      <formula>$C53="Ginger Purchase"</formula>
    </cfRule>
  </conditionalFormatting>
  <conditionalFormatting sqref="B53 B55 B57 B61 B59 B63">
    <cfRule type="expression" dxfId="2802" priority="169">
      <formula>$C53="Advance"</formula>
    </cfRule>
  </conditionalFormatting>
  <conditionalFormatting sqref="B52 B54 B56 B60 B58 B62">
    <cfRule type="expression" dxfId="2801" priority="150">
      <formula>$C52="Delivery charge"</formula>
    </cfRule>
    <cfRule type="expression" dxfId="2800" priority="151">
      <formula>$C52="Staff Salary"</formula>
    </cfRule>
    <cfRule type="expression" dxfId="2799" priority="152">
      <formula>$C52="Rent"</formula>
    </cfRule>
    <cfRule type="expression" dxfId="2798" priority="153">
      <formula>$C52="Petrol"</formula>
    </cfRule>
    <cfRule type="expression" dxfId="2797" priority="154">
      <formula>$C52="Bills"</formula>
    </cfRule>
    <cfRule type="expression" dxfId="2796" priority="155">
      <formula>$C52="Sales"</formula>
    </cfRule>
    <cfRule type="expression" dxfId="2795" priority="156">
      <formula>$C52="Expences"</formula>
    </cfRule>
    <cfRule type="expression" dxfId="2794" priority="157">
      <formula>$C52="Garlic Purchase"</formula>
    </cfRule>
    <cfRule type="expression" dxfId="2793" priority="158">
      <formula>$C52="Ginger Purchase"</formula>
    </cfRule>
  </conditionalFormatting>
  <conditionalFormatting sqref="B52 B54 B56 B60 B58 B62">
    <cfRule type="expression" dxfId="2792" priority="159">
      <formula>$C52="Advance"</formula>
    </cfRule>
  </conditionalFormatting>
  <conditionalFormatting sqref="B52 B54 B56 B60 B58 B62">
    <cfRule type="expression" dxfId="2791" priority="140">
      <formula>$C52="Delivery charge"</formula>
    </cfRule>
    <cfRule type="expression" dxfId="2790" priority="141">
      <formula>$C52="Staff Salary"</formula>
    </cfRule>
    <cfRule type="expression" dxfId="2789" priority="142">
      <formula>$C52="Rent"</formula>
    </cfRule>
    <cfRule type="expression" dxfId="2788" priority="143">
      <formula>$C52="Petrol"</formula>
    </cfRule>
    <cfRule type="expression" dxfId="2787" priority="144">
      <formula>$C52="Bills"</formula>
    </cfRule>
    <cfRule type="expression" dxfId="2786" priority="145">
      <formula>$C52="Sales"</formula>
    </cfRule>
    <cfRule type="expression" dxfId="2785" priority="146">
      <formula>$C52="Expences"</formula>
    </cfRule>
    <cfRule type="expression" dxfId="2784" priority="147">
      <formula>$C52="Garlic Purchase"</formula>
    </cfRule>
    <cfRule type="expression" dxfId="2783" priority="148">
      <formula>$C52="Ginger Purchase"</formula>
    </cfRule>
  </conditionalFormatting>
  <conditionalFormatting sqref="B52 B54 B56 B60 B58 B62">
    <cfRule type="expression" dxfId="2782" priority="149">
      <formula>$C52="Advance"</formula>
    </cfRule>
  </conditionalFormatting>
  <conditionalFormatting sqref="B52 B54 B56 B60 B58 B62">
    <cfRule type="expression" dxfId="2781" priority="130">
      <formula>$C52="Delivery charge"</formula>
    </cfRule>
    <cfRule type="expression" dxfId="2780" priority="131">
      <formula>$C52="Staff Salary"</formula>
    </cfRule>
    <cfRule type="expression" dxfId="2779" priority="132">
      <formula>$C52="Rent"</formula>
    </cfRule>
    <cfRule type="expression" dxfId="2778" priority="133">
      <formula>$C52="Petrol"</formula>
    </cfRule>
    <cfRule type="expression" dxfId="2777" priority="134">
      <formula>$C52="Bills"</formula>
    </cfRule>
    <cfRule type="expression" dxfId="2776" priority="135">
      <formula>$C52="Sales"</formula>
    </cfRule>
    <cfRule type="expression" dxfId="2775" priority="136">
      <formula>$C52="Expences"</formula>
    </cfRule>
    <cfRule type="expression" dxfId="2774" priority="137">
      <formula>$C52="Garlic Purchase"</formula>
    </cfRule>
    <cfRule type="expression" dxfId="2773" priority="138">
      <formula>$C52="Ginger Purchase"</formula>
    </cfRule>
  </conditionalFormatting>
  <conditionalFormatting sqref="B52 B54 B56 B60 B58 B62">
    <cfRule type="expression" dxfId="2772" priority="139">
      <formula>$C52="Advance"</formula>
    </cfRule>
  </conditionalFormatting>
  <conditionalFormatting sqref="B52 B54 B56 B60 B58 B62">
    <cfRule type="expression" dxfId="2771" priority="120">
      <formula>$C52="Delivery charge"</formula>
    </cfRule>
    <cfRule type="expression" dxfId="2770" priority="121">
      <formula>$C52="Staff Salary"</formula>
    </cfRule>
    <cfRule type="expression" dxfId="2769" priority="122">
      <formula>$C52="Rent"</formula>
    </cfRule>
    <cfRule type="expression" dxfId="2768" priority="123">
      <formula>$C52="Petrol"</formula>
    </cfRule>
    <cfRule type="expression" dxfId="2767" priority="124">
      <formula>$C52="Bills"</formula>
    </cfRule>
    <cfRule type="expression" dxfId="2766" priority="125">
      <formula>$C52="Sales"</formula>
    </cfRule>
    <cfRule type="expression" dxfId="2765" priority="126">
      <formula>$C52="Expences"</formula>
    </cfRule>
    <cfRule type="expression" dxfId="2764" priority="127">
      <formula>$C52="Garlic Purchase"</formula>
    </cfRule>
    <cfRule type="expression" dxfId="2763" priority="128">
      <formula>$C52="Ginger Purchase"</formula>
    </cfRule>
  </conditionalFormatting>
  <conditionalFormatting sqref="B52 B54 B56 B60 B58 B62">
    <cfRule type="expression" dxfId="2762" priority="129">
      <formula>$C52="Advance"</formula>
    </cfRule>
  </conditionalFormatting>
  <conditionalFormatting sqref="B52 B54 B56 B60 B58 B62">
    <cfRule type="expression" dxfId="2761" priority="110">
      <formula>$C52="Delivery charge"</formula>
    </cfRule>
    <cfRule type="expression" dxfId="2760" priority="111">
      <formula>$C52="Staff Salary"</formula>
    </cfRule>
    <cfRule type="expression" dxfId="2759" priority="112">
      <formula>$C52="Rent"</formula>
    </cfRule>
    <cfRule type="expression" dxfId="2758" priority="113">
      <formula>$C52="Petrol"</formula>
    </cfRule>
    <cfRule type="expression" dxfId="2757" priority="114">
      <formula>$C52="Bills"</formula>
    </cfRule>
    <cfRule type="expression" dxfId="2756" priority="115">
      <formula>$C52="Sales"</formula>
    </cfRule>
    <cfRule type="expression" dxfId="2755" priority="116">
      <formula>$C52="Expences"</formula>
    </cfRule>
    <cfRule type="expression" dxfId="2754" priority="117">
      <formula>$C52="Garlic Purchase"</formula>
    </cfRule>
    <cfRule type="expression" dxfId="2753" priority="118">
      <formula>$C52="Ginger Purchase"</formula>
    </cfRule>
  </conditionalFormatting>
  <conditionalFormatting sqref="B52 B54 B56 B60 B58 B62">
    <cfRule type="expression" dxfId="2752" priority="119">
      <formula>$C52="Advance"</formula>
    </cfRule>
  </conditionalFormatting>
  <conditionalFormatting sqref="B53 B55 B57 B61 B59 B63">
    <cfRule type="expression" dxfId="2751" priority="100">
      <formula>$C53="Delivery charge"</formula>
    </cfRule>
    <cfRule type="expression" dxfId="2750" priority="101">
      <formula>$C53="Staff Salary"</formula>
    </cfRule>
    <cfRule type="expression" dxfId="2749" priority="102">
      <formula>$C53="Rent"</formula>
    </cfRule>
    <cfRule type="expression" dxfId="2748" priority="103">
      <formula>$C53="Petrol"</formula>
    </cfRule>
    <cfRule type="expression" dxfId="2747" priority="104">
      <formula>$C53="Bills"</formula>
    </cfRule>
    <cfRule type="expression" dxfId="2746" priority="105">
      <formula>$C53="Sales"</formula>
    </cfRule>
    <cfRule type="expression" dxfId="2745" priority="106">
      <formula>$C53="Expences"</formula>
    </cfRule>
    <cfRule type="expression" dxfId="2744" priority="107">
      <formula>$C53="Garlic Purchase"</formula>
    </cfRule>
    <cfRule type="expression" dxfId="2743" priority="108">
      <formula>$C53="Ginger Purchase"</formula>
    </cfRule>
  </conditionalFormatting>
  <conditionalFormatting sqref="B53 B55 B57 B61 B59 B63">
    <cfRule type="expression" dxfId="2742" priority="109">
      <formula>$C53="Advance"</formula>
    </cfRule>
  </conditionalFormatting>
  <conditionalFormatting sqref="B52 B54 B56 B60 B58 B62">
    <cfRule type="expression" dxfId="2741" priority="90">
      <formula>$C52="Delivery charge"</formula>
    </cfRule>
    <cfRule type="expression" dxfId="2740" priority="91">
      <formula>$C52="Staff Salary"</formula>
    </cfRule>
    <cfRule type="expression" dxfId="2739" priority="92">
      <formula>$C52="Rent"</formula>
    </cfRule>
    <cfRule type="expression" dxfId="2738" priority="93">
      <formula>$C52="Petrol"</formula>
    </cfRule>
    <cfRule type="expression" dxfId="2737" priority="94">
      <formula>$C52="Bills"</formula>
    </cfRule>
    <cfRule type="expression" dxfId="2736" priority="95">
      <formula>$C52="Sales"</formula>
    </cfRule>
    <cfRule type="expression" dxfId="2735" priority="96">
      <formula>$C52="Expences"</formula>
    </cfRule>
    <cfRule type="expression" dxfId="2734" priority="97">
      <formula>$C52="Garlic Purchase"</formula>
    </cfRule>
    <cfRule type="expression" dxfId="2733" priority="98">
      <formula>$C52="Ginger Purchase"</formula>
    </cfRule>
  </conditionalFormatting>
  <conditionalFormatting sqref="B52 B54 B56 B60 B58 B62">
    <cfRule type="expression" dxfId="2732" priority="99">
      <formula>$C52="Advance"</formula>
    </cfRule>
  </conditionalFormatting>
  <conditionalFormatting sqref="B52 B54 B56 B60 B58 B62">
    <cfRule type="expression" dxfId="2731" priority="80">
      <formula>$C52="Delivery charge"</formula>
    </cfRule>
    <cfRule type="expression" dxfId="2730" priority="81">
      <formula>$C52="Staff Salary"</formula>
    </cfRule>
    <cfRule type="expression" dxfId="2729" priority="82">
      <formula>$C52="Rent"</formula>
    </cfRule>
    <cfRule type="expression" dxfId="2728" priority="83">
      <formula>$C52="Petrol"</formula>
    </cfRule>
    <cfRule type="expression" dxfId="2727" priority="84">
      <formula>$C52="Bills"</formula>
    </cfRule>
    <cfRule type="expression" dxfId="2726" priority="85">
      <formula>$C52="Sales"</formula>
    </cfRule>
    <cfRule type="expression" dxfId="2725" priority="86">
      <formula>$C52="Expences"</formula>
    </cfRule>
    <cfRule type="expression" dxfId="2724" priority="87">
      <formula>$C52="Garlic Purchase"</formula>
    </cfRule>
    <cfRule type="expression" dxfId="2723" priority="88">
      <formula>$C52="Ginger Purchase"</formula>
    </cfRule>
  </conditionalFormatting>
  <conditionalFormatting sqref="B52 B54 B56 B60 B58 B62">
    <cfRule type="expression" dxfId="2722" priority="89">
      <formula>$C52="Advance"</formula>
    </cfRule>
  </conditionalFormatting>
  <conditionalFormatting sqref="B52 B54 B56 B60 B58 B62">
    <cfRule type="expression" dxfId="2721" priority="70">
      <formula>$C52="Delivery charge"</formula>
    </cfRule>
    <cfRule type="expression" dxfId="2720" priority="71">
      <formula>$C52="Staff Salary"</formula>
    </cfRule>
    <cfRule type="expression" dxfId="2719" priority="72">
      <formula>$C52="Rent"</formula>
    </cfRule>
    <cfRule type="expression" dxfId="2718" priority="73">
      <formula>$C52="Petrol"</formula>
    </cfRule>
    <cfRule type="expression" dxfId="2717" priority="74">
      <formula>$C52="Bills"</formula>
    </cfRule>
    <cfRule type="expression" dxfId="2716" priority="75">
      <formula>$C52="Sales"</formula>
    </cfRule>
    <cfRule type="expression" dxfId="2715" priority="76">
      <formula>$C52="Expences"</formula>
    </cfRule>
    <cfRule type="expression" dxfId="2714" priority="77">
      <formula>$C52="Garlic Purchase"</formula>
    </cfRule>
    <cfRule type="expression" dxfId="2713" priority="78">
      <formula>$C52="Ginger Purchase"</formula>
    </cfRule>
  </conditionalFormatting>
  <conditionalFormatting sqref="B52 B54 B56 B60 B58 B62">
    <cfRule type="expression" dxfId="2712" priority="79">
      <formula>$C52="Advance"</formula>
    </cfRule>
  </conditionalFormatting>
  <conditionalFormatting sqref="B52 B54 B56 B60 B58 B62">
    <cfRule type="expression" dxfId="2711" priority="60">
      <formula>$C52="Delivery charge"</formula>
    </cfRule>
    <cfRule type="expression" dxfId="2710" priority="61">
      <formula>$C52="Staff Salary"</formula>
    </cfRule>
    <cfRule type="expression" dxfId="2709" priority="62">
      <formula>$C52="Rent"</formula>
    </cfRule>
    <cfRule type="expression" dxfId="2708" priority="63">
      <formula>$C52="Petrol"</formula>
    </cfRule>
    <cfRule type="expression" dxfId="2707" priority="64">
      <formula>$C52="Bills"</formula>
    </cfRule>
    <cfRule type="expression" dxfId="2706" priority="65">
      <formula>$C52="Sales"</formula>
    </cfRule>
    <cfRule type="expression" dxfId="2705" priority="66">
      <formula>$C52="Expences"</formula>
    </cfRule>
    <cfRule type="expression" dxfId="2704" priority="67">
      <formula>$C52="Garlic Purchase"</formula>
    </cfRule>
    <cfRule type="expression" dxfId="2703" priority="68">
      <formula>$C52="Ginger Purchase"</formula>
    </cfRule>
  </conditionalFormatting>
  <conditionalFormatting sqref="B52 B54 B56 B60 B58 B62">
    <cfRule type="expression" dxfId="2702" priority="69">
      <formula>$C52="Advance"</formula>
    </cfRule>
  </conditionalFormatting>
  <conditionalFormatting sqref="B52 B54 B56 B60 B58 B62">
    <cfRule type="expression" dxfId="2701" priority="50">
      <formula>$C52="Delivery charge"</formula>
    </cfRule>
    <cfRule type="expression" dxfId="2700" priority="51">
      <formula>$C52="Staff Salary"</formula>
    </cfRule>
    <cfRule type="expression" dxfId="2699" priority="52">
      <formula>$C52="Rent"</formula>
    </cfRule>
    <cfRule type="expression" dxfId="2698" priority="53">
      <formula>$C52="Petrol"</formula>
    </cfRule>
    <cfRule type="expression" dxfId="2697" priority="54">
      <formula>$C52="Bills"</formula>
    </cfRule>
    <cfRule type="expression" dxfId="2696" priority="55">
      <formula>$C52="Sales"</formula>
    </cfRule>
    <cfRule type="expression" dxfId="2695" priority="56">
      <formula>$C52="Expences"</formula>
    </cfRule>
    <cfRule type="expression" dxfId="2694" priority="57">
      <formula>$C52="Garlic Purchase"</formula>
    </cfRule>
    <cfRule type="expression" dxfId="2693" priority="58">
      <formula>$C52="Ginger Purchase"</formula>
    </cfRule>
  </conditionalFormatting>
  <conditionalFormatting sqref="B52 B54 B56 B60 B58 B62">
    <cfRule type="expression" dxfId="2692" priority="59">
      <formula>$C52="Advance"</formula>
    </cfRule>
  </conditionalFormatting>
  <conditionalFormatting sqref="B52 B54 B56 B60 B58 B62">
    <cfRule type="expression" dxfId="2691" priority="40">
      <formula>$C52="Delivery charge"</formula>
    </cfRule>
    <cfRule type="expression" dxfId="2690" priority="41">
      <formula>$C52="Staff Salary"</formula>
    </cfRule>
    <cfRule type="expression" dxfId="2689" priority="42">
      <formula>$C52="Rent"</formula>
    </cfRule>
    <cfRule type="expression" dxfId="2688" priority="43">
      <formula>$C52="Petrol"</formula>
    </cfRule>
    <cfRule type="expression" dxfId="2687" priority="44">
      <formula>$C52="Bills"</formula>
    </cfRule>
    <cfRule type="expression" dxfId="2686" priority="45">
      <formula>$C52="Sales"</formula>
    </cfRule>
    <cfRule type="expression" dxfId="2685" priority="46">
      <formula>$C52="Expences"</formula>
    </cfRule>
    <cfRule type="expression" dxfId="2684" priority="47">
      <formula>$C52="Garlic Purchase"</formula>
    </cfRule>
    <cfRule type="expression" dxfId="2683" priority="48">
      <formula>$C52="Ginger Purchase"</formula>
    </cfRule>
  </conditionalFormatting>
  <conditionalFormatting sqref="B52 B54 B56 B60 B58 B62">
    <cfRule type="expression" dxfId="2682" priority="49">
      <formula>$C52="Advance"</formula>
    </cfRule>
  </conditionalFormatting>
  <conditionalFormatting sqref="B52 B54 B56 B60 B58 B62">
    <cfRule type="expression" dxfId="2681" priority="30">
      <formula>$C52="Delivery charge"</formula>
    </cfRule>
    <cfRule type="expression" dxfId="2680" priority="31">
      <formula>$C52="Staff Salary"</formula>
    </cfRule>
    <cfRule type="expression" dxfId="2679" priority="32">
      <formula>$C52="Rent"</formula>
    </cfRule>
    <cfRule type="expression" dxfId="2678" priority="33">
      <formula>$C52="Petrol"</formula>
    </cfRule>
    <cfRule type="expression" dxfId="2677" priority="34">
      <formula>$C52="Bills"</formula>
    </cfRule>
    <cfRule type="expression" dxfId="2676" priority="35">
      <formula>$C52="Sales"</formula>
    </cfRule>
    <cfRule type="expression" dxfId="2675" priority="36">
      <formula>$C52="Expences"</formula>
    </cfRule>
    <cfRule type="expression" dxfId="2674" priority="37">
      <formula>$C52="Garlic Purchase"</formula>
    </cfRule>
    <cfRule type="expression" dxfId="2673" priority="38">
      <formula>$C52="Ginger Purchase"</formula>
    </cfRule>
  </conditionalFormatting>
  <conditionalFormatting sqref="B52 B54 B56 B60 B58 B62">
    <cfRule type="expression" dxfId="2672" priority="39">
      <formula>$C52="Advance"</formula>
    </cfRule>
  </conditionalFormatting>
  <conditionalFormatting sqref="B52 B54 B56 B60 B58 B62">
    <cfRule type="expression" dxfId="2671" priority="20">
      <formula>$C52="Delivery charge"</formula>
    </cfRule>
    <cfRule type="expression" dxfId="2670" priority="21">
      <formula>$C52="Staff Salary"</formula>
    </cfRule>
    <cfRule type="expression" dxfId="2669" priority="22">
      <formula>$C52="Rent"</formula>
    </cfRule>
    <cfRule type="expression" dxfId="2668" priority="23">
      <formula>$C52="Petrol"</formula>
    </cfRule>
    <cfRule type="expression" dxfId="2667" priority="24">
      <formula>$C52="Bills"</formula>
    </cfRule>
    <cfRule type="expression" dxfId="2666" priority="25">
      <formula>$C52="Sales"</formula>
    </cfRule>
    <cfRule type="expression" dxfId="2665" priority="26">
      <formula>$C52="Expences"</formula>
    </cfRule>
    <cfRule type="expression" dxfId="2664" priority="27">
      <formula>$C52="Garlic Purchase"</formula>
    </cfRule>
    <cfRule type="expression" dxfId="2663" priority="28">
      <formula>$C52="Ginger Purchase"</formula>
    </cfRule>
  </conditionalFormatting>
  <conditionalFormatting sqref="B52 B54 B56 B60 B58 B62">
    <cfRule type="expression" dxfId="2662" priority="29">
      <formula>$C52="Advance"</formula>
    </cfRule>
  </conditionalFormatting>
  <conditionalFormatting sqref="B52 B54 B56 B60 B58 B62">
    <cfRule type="expression" dxfId="2661" priority="10">
      <formula>$C52="Delivery charge"</formula>
    </cfRule>
    <cfRule type="expression" dxfId="2660" priority="11">
      <formula>$C52="Staff Salary"</formula>
    </cfRule>
    <cfRule type="expression" dxfId="2659" priority="12">
      <formula>$C52="Rent"</formula>
    </cfRule>
    <cfRule type="expression" dxfId="2658" priority="13">
      <formula>$C52="Petrol"</formula>
    </cfRule>
    <cfRule type="expression" dxfId="2657" priority="14">
      <formula>$C52="Bills"</formula>
    </cfRule>
    <cfRule type="expression" dxfId="2656" priority="15">
      <formula>$C52="Sales"</formula>
    </cfRule>
    <cfRule type="expression" dxfId="2655" priority="16">
      <formula>$C52="Expences"</formula>
    </cfRule>
    <cfRule type="expression" dxfId="2654" priority="17">
      <formula>$C52="Garlic Purchase"</formula>
    </cfRule>
    <cfRule type="expression" dxfId="2653" priority="18">
      <formula>$C52="Ginger Purchase"</formula>
    </cfRule>
  </conditionalFormatting>
  <conditionalFormatting sqref="B52 B54 B56 B60 B58 B62">
    <cfRule type="expression" dxfId="2652" priority="19">
      <formula>$C52="Advance"</formula>
    </cfRule>
  </conditionalFormatting>
  <conditionalFormatting sqref="A64:A66">
    <cfRule type="expression" dxfId="2651" priority="7">
      <formula>$C64="Advance"</formula>
    </cfRule>
  </conditionalFormatting>
  <conditionalFormatting sqref="A53:A63">
    <cfRule type="expression" dxfId="2650" priority="8">
      <formula>$C53="Advance"</formula>
    </cfRule>
  </conditionalFormatting>
  <conditionalFormatting sqref="A67:A75">
    <cfRule type="expression" dxfId="2649" priority="6">
      <formula>$C67="Advance"</formula>
    </cfRule>
  </conditionalFormatting>
  <conditionalFormatting sqref="A76:A79">
    <cfRule type="expression" dxfId="2648" priority="5">
      <formula>$C76="Advance"</formula>
    </cfRule>
  </conditionalFormatting>
  <conditionalFormatting sqref="A80">
    <cfRule type="expression" dxfId="2647" priority="4">
      <formula>$C80="Advance"</formula>
    </cfRule>
  </conditionalFormatting>
  <conditionalFormatting sqref="A81:A86">
    <cfRule type="expression" dxfId="2646" priority="3">
      <formula>$C81="Advance"</formula>
    </cfRule>
  </conditionalFormatting>
  <conditionalFormatting sqref="A87:A95">
    <cfRule type="expression" dxfId="2645" priority="2">
      <formula>$C87="Advance"</formula>
    </cfRule>
  </conditionalFormatting>
  <conditionalFormatting sqref="A116:A120">
    <cfRule type="expression" dxfId="2644" priority="1">
      <formula>$C116="Advance"</formula>
    </cfRule>
  </conditionalFormatting>
  <pageMargins left="0.70866141732283472" right="0.70866141732283472" top="0.74803149606299213" bottom="0.74803149606299213" header="0" footer="0"/>
  <pageSetup paperSize="9" fitToWidth="0" orientation="portrait" r:id="rId3"/>
  <headerFooter>
    <oddHeader>&amp;CNFS Sales &amp; Expences - Nov 2025</oddHeader>
    <oddFooter>Page &amp;P of &amp;N</oddFooter>
  </headerFooter>
  <drawing r:id="rId4"/>
  <tableParts count="1">
    <tablePart r:id="rId5"/>
  </tableParts>
  <extLst>
    <ext xmlns:x14="http://schemas.microsoft.com/office/spreadsheetml/2009/9/main" uri="{CCE6A557-97BC-4b89-ADB6-D9C93CAAB3DF}">
      <x14:dataValidations xmlns:xm="http://schemas.microsoft.com/office/excel/2006/main" count="6">
        <x14:dataValidation type="list" allowBlank="1" showInputMessage="1" showErrorMessage="1">
          <x14:formula1>
            <xm:f>Sheet2!$D$1:$D$59</xm:f>
          </x14:formula1>
          <xm:sqref>F2:F150</xm:sqref>
        </x14:dataValidation>
        <x14:dataValidation type="list" allowBlank="1" showInputMessage="1" showErrorMessage="1">
          <x14:formula1>
            <xm:f>Sheet2!$E$1:$E$8</xm:f>
          </x14:formula1>
          <xm:sqref>G2:G240</xm:sqref>
        </x14:dataValidation>
        <x14:dataValidation type="list" allowBlank="1" showInputMessage="1" showErrorMessage="1">
          <x14:formula1>
            <xm:f>Sheet2!$C$1:$C$5</xm:f>
          </x14:formula1>
          <xm:sqref>K2:K240</xm:sqref>
        </x14:dataValidation>
        <x14:dataValidation type="list" allowBlank="1" showInputMessage="1" showErrorMessage="1">
          <x14:formula1>
            <xm:f>Sheet2!$A$1:$A$19</xm:f>
          </x14:formula1>
          <xm:sqref>C3:C240</xm:sqref>
        </x14:dataValidation>
        <x14:dataValidation type="list" allowBlank="1" showInputMessage="1" showErrorMessage="1">
          <x14:formula1>
            <xm:f>Sheet2!$D$1:$D$60</xm:f>
          </x14:formula1>
          <xm:sqref>F151:F184 F186:F211</xm:sqref>
        </x14:dataValidation>
        <x14:dataValidation type="list" allowBlank="1" showInputMessage="1" showErrorMessage="1">
          <x14:formula1>
            <xm:f>Sheet2!$D$1:$D$61</xm:f>
          </x14:formula1>
          <xm:sqref>F185 F212:F240</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0"/>
  <sheetViews>
    <sheetView topLeftCell="C1" zoomScale="115" zoomScaleNormal="115" workbookViewId="0">
      <selection activeCell="B33" sqref="B33"/>
    </sheetView>
  </sheetViews>
  <sheetFormatPr defaultColWidth="14.42578125" defaultRowHeight="15" customHeight="1" x14ac:dyDescent="0.25"/>
  <cols>
    <col min="1" max="1" width="18.7109375" customWidth="1"/>
    <col min="2" max="2" width="13.5703125" customWidth="1"/>
    <col min="3" max="3" width="12.85546875" customWidth="1"/>
    <col min="4" max="4" width="13.7109375" customWidth="1"/>
    <col min="5" max="5" width="13.140625" customWidth="1"/>
    <col min="6" max="7" width="13.5703125" customWidth="1"/>
    <col min="8" max="8" width="13.140625" customWidth="1"/>
    <col min="9" max="9" width="14" customWidth="1"/>
    <col min="10" max="10" width="12.140625" customWidth="1"/>
    <col min="11" max="11" width="8.7109375" customWidth="1"/>
    <col min="12" max="12" width="13.140625" customWidth="1"/>
    <col min="13" max="13" width="15.5703125" customWidth="1"/>
    <col min="14" max="14" width="16" customWidth="1"/>
    <col min="15" max="26" width="8.7109375" customWidth="1"/>
  </cols>
  <sheetData>
    <row r="1" spans="1:6" ht="15" customHeight="1" x14ac:dyDescent="0.25">
      <c r="A1" s="5" t="s">
        <v>128</v>
      </c>
    </row>
    <row r="3" spans="1:6" x14ac:dyDescent="0.25">
      <c r="A3" s="42" t="s">
        <v>129</v>
      </c>
      <c r="B3" s="10"/>
      <c r="C3" s="10"/>
    </row>
    <row r="4" spans="1:6" x14ac:dyDescent="0.25">
      <c r="A4" s="10"/>
      <c r="B4" s="10"/>
      <c r="C4" s="10"/>
    </row>
    <row r="5" spans="1:6" ht="25.5" x14ac:dyDescent="0.25">
      <c r="A5" s="121" t="s">
        <v>26</v>
      </c>
      <c r="B5" s="121" t="s">
        <v>32</v>
      </c>
      <c r="C5" s="121" t="s">
        <v>33</v>
      </c>
      <c r="D5" s="121" t="s">
        <v>126</v>
      </c>
      <c r="E5" s="121" t="s">
        <v>130</v>
      </c>
      <c r="F5" s="121" t="s">
        <v>131</v>
      </c>
    </row>
    <row r="6" spans="1:6" x14ac:dyDescent="0.25">
      <c r="A6" s="13">
        <v>45689</v>
      </c>
      <c r="B6" s="22">
        <f>'Feb 2025 - Sales'!C24</f>
        <v>21450</v>
      </c>
      <c r="C6" s="22">
        <f>'Feb 2025 - Sales'!D25</f>
        <v>26975</v>
      </c>
      <c r="D6" s="43">
        <f t="shared" ref="D6:D11" si="0">B6</f>
        <v>21450</v>
      </c>
      <c r="E6" s="43"/>
      <c r="F6" s="43">
        <f t="shared" ref="F6:F16" si="1">D6-C6</f>
        <v>-5525</v>
      </c>
    </row>
    <row r="7" spans="1:6" x14ac:dyDescent="0.25">
      <c r="A7" s="13">
        <v>45717</v>
      </c>
      <c r="B7" s="22">
        <f>'Mar 2025 - Sales'!D128</f>
        <v>188580</v>
      </c>
      <c r="C7" s="22">
        <f>'Mar 2025 - Sales'!E129</f>
        <v>162135</v>
      </c>
      <c r="D7" s="43">
        <f t="shared" si="0"/>
        <v>188580</v>
      </c>
      <c r="E7" s="44"/>
      <c r="F7" s="43">
        <f t="shared" si="1"/>
        <v>26445</v>
      </c>
    </row>
    <row r="8" spans="1:6" x14ac:dyDescent="0.25">
      <c r="A8" s="13">
        <v>45748</v>
      </c>
      <c r="B8" s="81">
        <f>'Apr 2025 - Sales'!D104</f>
        <v>105060</v>
      </c>
      <c r="C8" s="81">
        <f>'Apr 2025 - Sales'!E105</f>
        <v>114833</v>
      </c>
      <c r="D8" s="43">
        <f t="shared" si="0"/>
        <v>105060</v>
      </c>
      <c r="E8" s="44"/>
      <c r="F8" s="43">
        <f t="shared" si="1"/>
        <v>-9773</v>
      </c>
    </row>
    <row r="9" spans="1:6" x14ac:dyDescent="0.25">
      <c r="A9" s="13">
        <v>45778</v>
      </c>
      <c r="B9" s="81">
        <f>'May 2025 - Sales'!D133</f>
        <v>133160</v>
      </c>
      <c r="C9" s="81">
        <f>'May 2025 - Sales'!E134</f>
        <v>154562</v>
      </c>
      <c r="D9" s="43">
        <f t="shared" si="0"/>
        <v>133160</v>
      </c>
      <c r="E9" s="44"/>
      <c r="F9" s="43">
        <f t="shared" si="1"/>
        <v>-21402</v>
      </c>
    </row>
    <row r="10" spans="1:6" x14ac:dyDescent="0.25">
      <c r="A10" s="13">
        <v>45809</v>
      </c>
      <c r="B10" s="81">
        <f>'June 2025 - Sales'!D143</f>
        <v>126385</v>
      </c>
      <c r="C10" s="81">
        <f>'June 2025 - Sales'!E144</f>
        <v>173669</v>
      </c>
      <c r="D10" s="43">
        <f t="shared" si="0"/>
        <v>126385</v>
      </c>
      <c r="E10" s="44"/>
      <c r="F10" s="43">
        <f t="shared" si="1"/>
        <v>-47284</v>
      </c>
    </row>
    <row r="11" spans="1:6" x14ac:dyDescent="0.25">
      <c r="A11" s="13">
        <v>45839</v>
      </c>
      <c r="B11" s="81">
        <f>'July 2025 - Sales'!D146</f>
        <v>164755</v>
      </c>
      <c r="C11" s="81">
        <f>'July 2025 - Sales'!E147</f>
        <v>89496</v>
      </c>
      <c r="D11" s="43">
        <f t="shared" si="0"/>
        <v>164755</v>
      </c>
      <c r="E11" s="44"/>
      <c r="F11" s="43">
        <f t="shared" si="1"/>
        <v>75259</v>
      </c>
    </row>
    <row r="12" spans="1:6" x14ac:dyDescent="0.25">
      <c r="A12" s="13">
        <v>45870</v>
      </c>
      <c r="B12" s="81">
        <f>'Aug 2025 - Sales'!D158</f>
        <v>173370</v>
      </c>
      <c r="C12" s="81">
        <f>'Aug 2025 - Sales'!E159</f>
        <v>170293</v>
      </c>
      <c r="D12" s="43">
        <f>'Aug 2025 - Sales'!D158</f>
        <v>173370</v>
      </c>
      <c r="E12" s="44"/>
      <c r="F12" s="43">
        <f t="shared" si="1"/>
        <v>3077</v>
      </c>
    </row>
    <row r="13" spans="1:6" x14ac:dyDescent="0.25">
      <c r="A13" s="13">
        <v>45901</v>
      </c>
      <c r="B13" s="81">
        <f>'Sep 2025 - Sales '!D341</f>
        <v>229785</v>
      </c>
      <c r="C13" s="81">
        <f>'Sep 2025 - Sales '!E342</f>
        <v>173935</v>
      </c>
      <c r="D13" s="43">
        <f>B13</f>
        <v>229785</v>
      </c>
      <c r="E13" s="44"/>
      <c r="F13" s="43">
        <f t="shared" si="1"/>
        <v>55850</v>
      </c>
    </row>
    <row r="14" spans="1:6" x14ac:dyDescent="0.25">
      <c r="A14" s="13">
        <v>45931</v>
      </c>
      <c r="B14" s="81">
        <f>'Oct 2025 - Sales'!D349</f>
        <v>171155</v>
      </c>
      <c r="C14" s="81">
        <f>'Oct 2025 - Sales'!E350</f>
        <v>131986</v>
      </c>
      <c r="D14" s="43">
        <f>B14</f>
        <v>171155</v>
      </c>
      <c r="E14" s="44"/>
      <c r="F14" s="43">
        <f t="shared" si="1"/>
        <v>39169</v>
      </c>
    </row>
    <row r="15" spans="1:6" x14ac:dyDescent="0.25">
      <c r="A15" s="13">
        <v>45962</v>
      </c>
      <c r="B15" s="81">
        <f>'Nov 2025 - Sales'!D318</f>
        <v>178135</v>
      </c>
      <c r="C15" s="81">
        <f>'Nov 2025 - Sales'!E319</f>
        <v>117139.5</v>
      </c>
      <c r="D15" s="43">
        <f>B15</f>
        <v>178135</v>
      </c>
      <c r="E15" s="44"/>
      <c r="F15" s="43">
        <f t="shared" si="1"/>
        <v>60995.5</v>
      </c>
    </row>
    <row r="16" spans="1:6" x14ac:dyDescent="0.25">
      <c r="A16" s="13">
        <v>45992</v>
      </c>
      <c r="B16" s="81">
        <f>'Dec 2025 - Sales'!D241</f>
        <v>139760</v>
      </c>
      <c r="C16" s="81">
        <f>'Dec 2025 - Sales'!E242</f>
        <v>107266</v>
      </c>
      <c r="D16" s="43">
        <f>B16</f>
        <v>139760</v>
      </c>
      <c r="E16" s="44"/>
      <c r="F16" s="403">
        <f t="shared" si="1"/>
        <v>32494</v>
      </c>
    </row>
    <row r="17" spans="1:14" x14ac:dyDescent="0.25">
      <c r="A17" s="2"/>
      <c r="B17" s="2"/>
      <c r="C17" s="2"/>
      <c r="D17" s="44"/>
      <c r="E17" s="44"/>
      <c r="F17" s="44"/>
    </row>
    <row r="18" spans="1:14" x14ac:dyDescent="0.25">
      <c r="A18" s="45" t="s">
        <v>132</v>
      </c>
      <c r="B18" s="40">
        <f>SUM(B6:B17)</f>
        <v>1631595</v>
      </c>
      <c r="C18" s="40">
        <f>SUM(C6:C17)</f>
        <v>1422289.5</v>
      </c>
      <c r="D18" s="40">
        <f>SUM(D6:D17)</f>
        <v>1631595</v>
      </c>
      <c r="E18" s="40">
        <f>SUM(E6:E17)</f>
        <v>0</v>
      </c>
      <c r="F18" s="40">
        <f>SUM(F6:F17)</f>
        <v>209305.5</v>
      </c>
    </row>
    <row r="19" spans="1:14" ht="15" customHeight="1" x14ac:dyDescent="0.25">
      <c r="L19" s="72" t="s">
        <v>163</v>
      </c>
      <c r="M19" t="s">
        <v>165</v>
      </c>
      <c r="N19" t="s">
        <v>164</v>
      </c>
    </row>
    <row r="20" spans="1:14" ht="15" customHeight="1" x14ac:dyDescent="0.25">
      <c r="L20" s="140">
        <v>45689</v>
      </c>
      <c r="M20" s="146">
        <v>21450</v>
      </c>
      <c r="N20" s="146">
        <v>26975</v>
      </c>
    </row>
    <row r="21" spans="1:14" ht="15.75" customHeight="1" x14ac:dyDescent="0.25">
      <c r="L21" s="140">
        <v>45717</v>
      </c>
      <c r="M21" s="146">
        <v>188580</v>
      </c>
      <c r="N21" s="146">
        <v>162135</v>
      </c>
    </row>
    <row r="22" spans="1:14" ht="15.75" customHeight="1" x14ac:dyDescent="0.25">
      <c r="L22" s="140">
        <v>45748</v>
      </c>
      <c r="M22" s="146">
        <v>105060</v>
      </c>
      <c r="N22" s="146">
        <v>114833</v>
      </c>
    </row>
    <row r="23" spans="1:14" ht="15.75" customHeight="1" x14ac:dyDescent="0.25">
      <c r="A23" s="42" t="s">
        <v>137</v>
      </c>
      <c r="L23" s="140">
        <v>45778</v>
      </c>
      <c r="M23" s="146">
        <v>133160</v>
      </c>
      <c r="N23" s="146">
        <v>154562</v>
      </c>
    </row>
    <row r="24" spans="1:14" ht="15.75" customHeight="1" x14ac:dyDescent="0.25">
      <c r="A24" s="52"/>
      <c r="B24" s="404" t="s">
        <v>138</v>
      </c>
      <c r="C24" s="404"/>
      <c r="D24" s="404"/>
      <c r="E24" s="405" t="s">
        <v>141</v>
      </c>
      <c r="F24" s="405"/>
      <c r="G24" s="405"/>
      <c r="H24" s="406" t="s">
        <v>142</v>
      </c>
      <c r="I24" s="406"/>
      <c r="J24" s="406"/>
      <c r="L24" s="140">
        <v>45809</v>
      </c>
      <c r="M24" s="146">
        <v>126385</v>
      </c>
      <c r="N24" s="146">
        <v>173669</v>
      </c>
    </row>
    <row r="25" spans="1:14" ht="15.75" customHeight="1" x14ac:dyDescent="0.25">
      <c r="A25" s="53" t="s">
        <v>26</v>
      </c>
      <c r="B25" s="63" t="s">
        <v>139</v>
      </c>
      <c r="C25" s="63" t="s">
        <v>140</v>
      </c>
      <c r="D25" s="63" t="s">
        <v>143</v>
      </c>
      <c r="E25" s="64" t="s">
        <v>139</v>
      </c>
      <c r="F25" s="64" t="s">
        <v>140</v>
      </c>
      <c r="G25" s="64" t="s">
        <v>143</v>
      </c>
      <c r="H25" s="65" t="s">
        <v>139</v>
      </c>
      <c r="I25" s="65" t="s">
        <v>140</v>
      </c>
      <c r="J25" s="65" t="s">
        <v>143</v>
      </c>
      <c r="L25" s="140">
        <v>45839</v>
      </c>
      <c r="M25" s="146">
        <v>164755</v>
      </c>
      <c r="N25" s="146">
        <v>89496</v>
      </c>
    </row>
    <row r="26" spans="1:14" ht="15.75" customHeight="1" x14ac:dyDescent="0.25">
      <c r="A26" s="67">
        <v>45689</v>
      </c>
      <c r="B26" s="54">
        <f t="shared" ref="B26:B32" si="2">(F6/4)*2</f>
        <v>-2762.5</v>
      </c>
      <c r="C26" s="54">
        <v>0</v>
      </c>
      <c r="D26" s="54">
        <v>0</v>
      </c>
      <c r="E26" s="57">
        <f t="shared" ref="E26:E32" si="3">(F6/4)*1</f>
        <v>-1381.25</v>
      </c>
      <c r="F26" s="57">
        <v>0</v>
      </c>
      <c r="G26" s="57">
        <v>0</v>
      </c>
      <c r="H26" s="60">
        <f t="shared" ref="H26:H32" si="4">(F6/4)*1</f>
        <v>-1381.25</v>
      </c>
      <c r="I26" s="60">
        <v>0</v>
      </c>
      <c r="J26" s="60">
        <v>0</v>
      </c>
      <c r="L26" s="140">
        <v>45870</v>
      </c>
      <c r="M26" s="146">
        <v>173370</v>
      </c>
      <c r="N26" s="146">
        <v>170293</v>
      </c>
    </row>
    <row r="27" spans="1:14" ht="15.75" customHeight="1" x14ac:dyDescent="0.25">
      <c r="A27" s="67">
        <v>45717</v>
      </c>
      <c r="B27" s="56">
        <f t="shared" si="2"/>
        <v>13222.5</v>
      </c>
      <c r="C27" s="86">
        <v>10460</v>
      </c>
      <c r="D27" s="66">
        <f>B27-C27</f>
        <v>2762.5</v>
      </c>
      <c r="E27" s="59">
        <f t="shared" si="3"/>
        <v>6611.25</v>
      </c>
      <c r="F27" s="86">
        <v>5000</v>
      </c>
      <c r="G27" s="58">
        <f>E27-F27</f>
        <v>1611.25</v>
      </c>
      <c r="H27" s="62">
        <f t="shared" si="4"/>
        <v>6611.25</v>
      </c>
      <c r="I27" s="86">
        <v>5000</v>
      </c>
      <c r="J27" s="61">
        <f>H27-I27</f>
        <v>1611.25</v>
      </c>
      <c r="L27" s="140">
        <v>45901</v>
      </c>
      <c r="M27" s="146">
        <v>229785</v>
      </c>
      <c r="N27" s="146">
        <v>173935</v>
      </c>
    </row>
    <row r="28" spans="1:14" ht="15.75" customHeight="1" x14ac:dyDescent="0.25">
      <c r="A28" s="67">
        <v>45748</v>
      </c>
      <c r="B28" s="54">
        <f t="shared" si="2"/>
        <v>-4886.5</v>
      </c>
      <c r="C28" s="54">
        <v>0</v>
      </c>
      <c r="D28" s="54">
        <v>0</v>
      </c>
      <c r="E28" s="57">
        <f t="shared" si="3"/>
        <v>-2443.25</v>
      </c>
      <c r="F28" s="57">
        <v>0</v>
      </c>
      <c r="G28" s="57">
        <v>0</v>
      </c>
      <c r="H28" s="60">
        <f t="shared" si="4"/>
        <v>-2443.25</v>
      </c>
      <c r="I28" s="60">
        <v>0</v>
      </c>
      <c r="J28" s="60">
        <v>0</v>
      </c>
      <c r="L28" s="140">
        <v>45931</v>
      </c>
      <c r="M28" s="146">
        <v>171155</v>
      </c>
      <c r="N28" s="146">
        <v>131986</v>
      </c>
    </row>
    <row r="29" spans="1:14" ht="15.75" customHeight="1" x14ac:dyDescent="0.25">
      <c r="A29" s="67">
        <v>45778</v>
      </c>
      <c r="B29" s="54">
        <f t="shared" si="2"/>
        <v>-10701</v>
      </c>
      <c r="C29" s="54">
        <v>0</v>
      </c>
      <c r="D29" s="54">
        <v>0</v>
      </c>
      <c r="E29" s="57">
        <f t="shared" si="3"/>
        <v>-5350.5</v>
      </c>
      <c r="F29" s="57">
        <v>0</v>
      </c>
      <c r="G29" s="57">
        <v>0</v>
      </c>
      <c r="H29" s="60">
        <f t="shared" si="4"/>
        <v>-5350.5</v>
      </c>
      <c r="I29" s="60">
        <v>0</v>
      </c>
      <c r="J29" s="60">
        <v>0</v>
      </c>
      <c r="L29" s="140">
        <v>45962</v>
      </c>
      <c r="M29" s="146">
        <v>178135</v>
      </c>
      <c r="N29" s="146">
        <v>117139.5</v>
      </c>
    </row>
    <row r="30" spans="1:14" ht="15.75" customHeight="1" x14ac:dyDescent="0.25">
      <c r="A30" s="67">
        <v>45809</v>
      </c>
      <c r="B30" s="54">
        <f t="shared" si="2"/>
        <v>-23642</v>
      </c>
      <c r="C30" s="54">
        <v>0</v>
      </c>
      <c r="D30" s="54">
        <v>0</v>
      </c>
      <c r="E30" s="57">
        <f t="shared" si="3"/>
        <v>-11821</v>
      </c>
      <c r="F30" s="57">
        <v>0</v>
      </c>
      <c r="G30" s="57">
        <v>0</v>
      </c>
      <c r="H30" s="60">
        <f t="shared" si="4"/>
        <v>-11821</v>
      </c>
      <c r="I30" s="60">
        <v>0</v>
      </c>
      <c r="J30" s="60">
        <v>0</v>
      </c>
      <c r="L30" s="140">
        <v>45992</v>
      </c>
      <c r="M30" s="146">
        <v>139760</v>
      </c>
      <c r="N30" s="146">
        <v>107266</v>
      </c>
    </row>
    <row r="31" spans="1:14" ht="15.75" customHeight="1" x14ac:dyDescent="0.25">
      <c r="A31" s="67">
        <v>45839</v>
      </c>
      <c r="B31" s="55">
        <f t="shared" si="2"/>
        <v>37629.5</v>
      </c>
      <c r="C31" s="54">
        <v>0</v>
      </c>
      <c r="D31" s="54">
        <v>0</v>
      </c>
      <c r="E31" s="58">
        <f t="shared" si="3"/>
        <v>18814.75</v>
      </c>
      <c r="F31" s="57">
        <v>0</v>
      </c>
      <c r="G31" s="57">
        <v>0</v>
      </c>
      <c r="H31" s="61">
        <f t="shared" si="4"/>
        <v>18814.75</v>
      </c>
      <c r="I31" s="60">
        <v>0</v>
      </c>
      <c r="J31" s="60">
        <v>0</v>
      </c>
      <c r="L31" s="140" t="s">
        <v>16</v>
      </c>
      <c r="M31" s="146">
        <v>1631595</v>
      </c>
      <c r="N31" s="146">
        <v>1422289.5</v>
      </c>
    </row>
    <row r="32" spans="1:14" ht="15.75" customHeight="1" x14ac:dyDescent="0.25">
      <c r="A32" s="67">
        <v>45870</v>
      </c>
      <c r="B32" s="55">
        <f t="shared" si="2"/>
        <v>1538.5</v>
      </c>
      <c r="C32" s="54">
        <v>0</v>
      </c>
      <c r="D32" s="54">
        <v>0</v>
      </c>
      <c r="E32" s="58">
        <f t="shared" si="3"/>
        <v>769.25</v>
      </c>
      <c r="F32" s="57">
        <v>0</v>
      </c>
      <c r="G32" s="57">
        <v>0</v>
      </c>
      <c r="H32" s="61">
        <f t="shared" si="4"/>
        <v>769.25</v>
      </c>
      <c r="I32" s="60">
        <v>0</v>
      </c>
      <c r="J32" s="60">
        <v>0</v>
      </c>
    </row>
    <row r="33" spans="1:10" ht="15.75" customHeight="1" x14ac:dyDescent="0.25">
      <c r="A33" s="67">
        <v>45901</v>
      </c>
      <c r="B33" s="55"/>
      <c r="C33" s="56"/>
      <c r="D33" s="66"/>
      <c r="E33" s="58"/>
      <c r="F33" s="58"/>
      <c r="G33" s="58"/>
      <c r="H33" s="61"/>
      <c r="I33" s="61"/>
      <c r="J33" s="61"/>
    </row>
    <row r="34" spans="1:10" ht="15.75" customHeight="1" x14ac:dyDescent="0.25">
      <c r="A34" s="67">
        <v>45931</v>
      </c>
      <c r="B34" s="55"/>
      <c r="C34" s="56"/>
      <c r="D34" s="66"/>
      <c r="E34" s="58"/>
      <c r="F34" s="58"/>
      <c r="G34" s="58"/>
      <c r="H34" s="61"/>
      <c r="I34" s="61"/>
      <c r="J34" s="61"/>
    </row>
    <row r="35" spans="1:10" ht="15.75" customHeight="1" x14ac:dyDescent="0.25">
      <c r="A35" s="67">
        <v>45962</v>
      </c>
      <c r="B35" s="55"/>
      <c r="C35" s="56"/>
      <c r="D35" s="66"/>
      <c r="E35" s="58"/>
      <c r="F35" s="58"/>
      <c r="G35" s="58"/>
      <c r="H35" s="61"/>
      <c r="I35" s="61"/>
      <c r="J35" s="61"/>
    </row>
    <row r="36" spans="1:10" ht="15.75" customHeight="1" x14ac:dyDescent="0.25">
      <c r="A36" s="67">
        <v>45992</v>
      </c>
      <c r="B36" s="55"/>
      <c r="C36" s="56"/>
      <c r="D36" s="66"/>
      <c r="E36" s="58"/>
      <c r="F36" s="58"/>
      <c r="G36" s="58"/>
      <c r="H36" s="61"/>
      <c r="I36" s="61"/>
      <c r="J36" s="61"/>
    </row>
    <row r="37" spans="1:10" ht="15.75" customHeight="1" x14ac:dyDescent="0.25">
      <c r="A37" s="67"/>
      <c r="B37" s="55"/>
      <c r="C37" s="56"/>
      <c r="D37" s="66"/>
      <c r="E37" s="58"/>
      <c r="F37" s="58"/>
      <c r="G37" s="58"/>
      <c r="H37" s="61"/>
      <c r="I37" s="61"/>
      <c r="J37" s="61"/>
    </row>
    <row r="38" spans="1:10" ht="15.75" customHeight="1" x14ac:dyDescent="0.25">
      <c r="A38" s="71" t="s">
        <v>132</v>
      </c>
      <c r="B38" s="128">
        <f>SUM(B26:B36)</f>
        <v>10398.5</v>
      </c>
      <c r="C38" s="68">
        <f>SUM(C26:C36)</f>
        <v>10460</v>
      </c>
      <c r="D38" s="128">
        <f>B38-C38</f>
        <v>-61.5</v>
      </c>
      <c r="E38" s="128">
        <f>SUM(E26:E36)</f>
        <v>5199.25</v>
      </c>
      <c r="F38" s="68">
        <f>SUM(F26:F36)</f>
        <v>5000</v>
      </c>
      <c r="G38" s="128">
        <f>E38-F38</f>
        <v>199.25</v>
      </c>
      <c r="H38" s="128">
        <f>SUM(H26:H36)</f>
        <v>5199.25</v>
      </c>
      <c r="I38" s="68">
        <f>SUM(I26:I36)</f>
        <v>5000</v>
      </c>
      <c r="J38" s="128">
        <f>H38-I38</f>
        <v>199.25</v>
      </c>
    </row>
    <row r="39" spans="1:10" ht="15.75" customHeight="1" x14ac:dyDescent="0.25"/>
    <row r="40" spans="1:10" ht="15.75" customHeight="1" x14ac:dyDescent="0.25">
      <c r="A40" s="71" t="s">
        <v>179</v>
      </c>
      <c r="B40" s="82">
        <f>C38+F38+I38</f>
        <v>20460</v>
      </c>
    </row>
    <row r="41" spans="1:10" ht="15.75" customHeight="1" x14ac:dyDescent="0.25"/>
    <row r="42" spans="1:10" ht="15.75" customHeight="1" x14ac:dyDescent="0.25"/>
    <row r="43" spans="1:10" ht="15.75" customHeight="1" x14ac:dyDescent="0.25"/>
    <row r="44" spans="1:10" ht="15.75" customHeight="1" x14ac:dyDescent="0.25"/>
    <row r="45" spans="1:10" ht="15.75" customHeight="1" x14ac:dyDescent="0.25"/>
    <row r="46" spans="1:10" ht="15.75" customHeight="1" x14ac:dyDescent="0.25"/>
    <row r="47" spans="1:10" ht="15.75" customHeight="1" x14ac:dyDescent="0.25"/>
    <row r="48" spans="1:10"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
    <mergeCell ref="B24:D24"/>
    <mergeCell ref="E24:G24"/>
    <mergeCell ref="H24:J24"/>
  </mergeCells>
  <pageMargins left="0.7" right="0.7" top="0.75" bottom="0.75" header="0" footer="0"/>
  <pageSetup orientation="landscape"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1"/>
  <sheetViews>
    <sheetView workbookViewId="0">
      <selection activeCell="D61" sqref="D61"/>
    </sheetView>
  </sheetViews>
  <sheetFormatPr defaultRowHeight="15" x14ac:dyDescent="0.25"/>
  <cols>
    <col min="1" max="1" width="23.5703125" bestFit="1" customWidth="1"/>
    <col min="2" max="2" width="16.85546875" customWidth="1"/>
    <col min="3" max="3" width="25.42578125" customWidth="1"/>
    <col min="4" max="4" width="31.42578125" customWidth="1"/>
    <col min="5" max="5" width="19.42578125" customWidth="1"/>
    <col min="6" max="6" width="54.5703125" customWidth="1"/>
  </cols>
  <sheetData>
    <row r="1" spans="1:5" x14ac:dyDescent="0.25">
      <c r="A1" s="138" t="s">
        <v>162</v>
      </c>
      <c r="B1" s="201" t="s">
        <v>9</v>
      </c>
      <c r="C1" s="207" t="s">
        <v>19</v>
      </c>
      <c r="D1" s="201" t="s">
        <v>1344</v>
      </c>
      <c r="E1" s="201" t="s">
        <v>622</v>
      </c>
    </row>
    <row r="2" spans="1:5" x14ac:dyDescent="0.25">
      <c r="A2" t="s">
        <v>168</v>
      </c>
      <c r="B2" s="201" t="s">
        <v>11</v>
      </c>
      <c r="C2" s="388" t="s">
        <v>289</v>
      </c>
      <c r="D2" t="s">
        <v>986</v>
      </c>
      <c r="E2" s="201" t="s">
        <v>621</v>
      </c>
    </row>
    <row r="3" spans="1:5" x14ac:dyDescent="0.25">
      <c r="A3" s="365" t="s">
        <v>1298</v>
      </c>
      <c r="C3" s="389" t="s">
        <v>362</v>
      </c>
      <c r="D3" t="s">
        <v>740</v>
      </c>
      <c r="E3" s="201" t="s">
        <v>620</v>
      </c>
    </row>
    <row r="4" spans="1:5" x14ac:dyDescent="0.25">
      <c r="A4" s="201" t="s">
        <v>546</v>
      </c>
      <c r="C4" s="201" t="s">
        <v>548</v>
      </c>
      <c r="D4" t="s">
        <v>740</v>
      </c>
      <c r="E4" s="267" t="s">
        <v>669</v>
      </c>
    </row>
    <row r="5" spans="1:5" x14ac:dyDescent="0.25">
      <c r="A5" s="293" t="s">
        <v>818</v>
      </c>
      <c r="C5" t="s">
        <v>667</v>
      </c>
      <c r="D5" t="s">
        <v>837</v>
      </c>
      <c r="E5" t="s">
        <v>800</v>
      </c>
    </row>
    <row r="6" spans="1:5" x14ac:dyDescent="0.25">
      <c r="A6" t="s">
        <v>33</v>
      </c>
      <c r="D6" s="337" t="s">
        <v>1092</v>
      </c>
      <c r="E6" s="201" t="s">
        <v>623</v>
      </c>
    </row>
    <row r="7" spans="1:5" x14ac:dyDescent="0.25">
      <c r="A7" t="s">
        <v>147</v>
      </c>
      <c r="D7" t="s">
        <v>741</v>
      </c>
      <c r="E7" s="201" t="s">
        <v>619</v>
      </c>
    </row>
    <row r="8" spans="1:5" x14ac:dyDescent="0.25">
      <c r="A8" t="s">
        <v>145</v>
      </c>
      <c r="D8" t="s">
        <v>1360</v>
      </c>
      <c r="E8" s="269" t="s">
        <v>712</v>
      </c>
    </row>
    <row r="9" spans="1:5" x14ac:dyDescent="0.25">
      <c r="A9" s="327" t="s">
        <v>1069</v>
      </c>
      <c r="D9" t="s">
        <v>804</v>
      </c>
    </row>
    <row r="10" spans="1:5" x14ac:dyDescent="0.25">
      <c r="A10" s="365" t="s">
        <v>1340</v>
      </c>
      <c r="D10" t="s">
        <v>794</v>
      </c>
    </row>
    <row r="11" spans="1:5" x14ac:dyDescent="0.25">
      <c r="A11" s="267" t="s">
        <v>680</v>
      </c>
      <c r="D11" t="s">
        <v>749</v>
      </c>
    </row>
    <row r="12" spans="1:5" x14ac:dyDescent="0.25">
      <c r="A12" t="s">
        <v>207</v>
      </c>
      <c r="D12" t="s">
        <v>1612</v>
      </c>
    </row>
    <row r="13" spans="1:5" x14ac:dyDescent="0.25">
      <c r="A13" s="267" t="s">
        <v>682</v>
      </c>
      <c r="D13" s="201" t="s">
        <v>1351</v>
      </c>
    </row>
    <row r="14" spans="1:5" x14ac:dyDescent="0.25">
      <c r="A14" t="s">
        <v>109</v>
      </c>
      <c r="D14" t="s">
        <v>865</v>
      </c>
    </row>
    <row r="15" spans="1:5" x14ac:dyDescent="0.25">
      <c r="A15" t="s">
        <v>77</v>
      </c>
      <c r="D15" t="s">
        <v>733</v>
      </c>
    </row>
    <row r="16" spans="1:5" x14ac:dyDescent="0.25">
      <c r="A16" t="s">
        <v>32</v>
      </c>
      <c r="D16" t="s">
        <v>1361</v>
      </c>
    </row>
    <row r="17" spans="1:4" x14ac:dyDescent="0.25">
      <c r="A17" t="s">
        <v>161</v>
      </c>
      <c r="D17" s="201" t="s">
        <v>1349</v>
      </c>
    </row>
    <row r="18" spans="1:4" x14ac:dyDescent="0.25">
      <c r="A18" s="201" t="s">
        <v>545</v>
      </c>
      <c r="D18" t="s">
        <v>1171</v>
      </c>
    </row>
    <row r="19" spans="1:4" x14ac:dyDescent="0.25">
      <c r="A19" s="201" t="s">
        <v>618</v>
      </c>
      <c r="D19" t="s">
        <v>739</v>
      </c>
    </row>
    <row r="20" spans="1:4" x14ac:dyDescent="0.25">
      <c r="D20" t="s">
        <v>1739</v>
      </c>
    </row>
    <row r="21" spans="1:4" x14ac:dyDescent="0.25">
      <c r="D21" s="201" t="s">
        <v>1350</v>
      </c>
    </row>
    <row r="22" spans="1:4" x14ac:dyDescent="0.25">
      <c r="D22" t="s">
        <v>1103</v>
      </c>
    </row>
    <row r="23" spans="1:4" x14ac:dyDescent="0.25">
      <c r="D23" t="s">
        <v>766</v>
      </c>
    </row>
    <row r="24" spans="1:4" x14ac:dyDescent="0.25">
      <c r="D24" t="s">
        <v>748</v>
      </c>
    </row>
    <row r="25" spans="1:4" x14ac:dyDescent="0.25">
      <c r="D25" s="201" t="s">
        <v>1352</v>
      </c>
    </row>
    <row r="26" spans="1:4" x14ac:dyDescent="0.25">
      <c r="D26" s="201" t="s">
        <v>1345</v>
      </c>
    </row>
    <row r="27" spans="1:4" x14ac:dyDescent="0.25">
      <c r="D27" t="s">
        <v>752</v>
      </c>
    </row>
    <row r="28" spans="1:4" x14ac:dyDescent="0.25">
      <c r="D28" t="s">
        <v>1188</v>
      </c>
    </row>
    <row r="29" spans="1:4" x14ac:dyDescent="0.25">
      <c r="D29" t="s">
        <v>753</v>
      </c>
    </row>
    <row r="30" spans="1:4" x14ac:dyDescent="0.25">
      <c r="D30" t="s">
        <v>1271</v>
      </c>
    </row>
    <row r="31" spans="1:4" x14ac:dyDescent="0.25">
      <c r="D31" s="267" t="s">
        <v>1355</v>
      </c>
    </row>
    <row r="32" spans="1:4" x14ac:dyDescent="0.25">
      <c r="D32" t="s">
        <v>751</v>
      </c>
    </row>
    <row r="33" spans="4:4" x14ac:dyDescent="0.25">
      <c r="D33" t="s">
        <v>751</v>
      </c>
    </row>
    <row r="34" spans="4:4" x14ac:dyDescent="0.25">
      <c r="D34" s="267" t="s">
        <v>1353</v>
      </c>
    </row>
    <row r="35" spans="4:4" x14ac:dyDescent="0.25">
      <c r="D35" t="s">
        <v>1270</v>
      </c>
    </row>
    <row r="36" spans="4:4" x14ac:dyDescent="0.25">
      <c r="D36" t="s">
        <v>795</v>
      </c>
    </row>
    <row r="37" spans="4:4" x14ac:dyDescent="0.25">
      <c r="D37" s="268" t="s">
        <v>1356</v>
      </c>
    </row>
    <row r="38" spans="4:4" x14ac:dyDescent="0.25">
      <c r="D38" t="s">
        <v>1356</v>
      </c>
    </row>
    <row r="39" spans="4:4" x14ac:dyDescent="0.25">
      <c r="D39" t="s">
        <v>1358</v>
      </c>
    </row>
    <row r="40" spans="4:4" x14ac:dyDescent="0.25">
      <c r="D40" s="201" t="s">
        <v>1347</v>
      </c>
    </row>
    <row r="41" spans="4:4" x14ac:dyDescent="0.25">
      <c r="D41" s="267" t="s">
        <v>1354</v>
      </c>
    </row>
    <row r="42" spans="4:4" x14ac:dyDescent="0.25">
      <c r="D42" s="201" t="s">
        <v>1346</v>
      </c>
    </row>
    <row r="43" spans="4:4" x14ac:dyDescent="0.25">
      <c r="D43" t="s">
        <v>817</v>
      </c>
    </row>
    <row r="44" spans="4:4" x14ac:dyDescent="0.25">
      <c r="D44" t="s">
        <v>1554</v>
      </c>
    </row>
    <row r="45" spans="4:4" x14ac:dyDescent="0.25">
      <c r="D45" s="268" t="s">
        <v>1357</v>
      </c>
    </row>
    <row r="46" spans="4:4" x14ac:dyDescent="0.25">
      <c r="D46" t="s">
        <v>1357</v>
      </c>
    </row>
    <row r="47" spans="4:4" x14ac:dyDescent="0.25">
      <c r="D47" t="s">
        <v>732</v>
      </c>
    </row>
    <row r="48" spans="4:4" x14ac:dyDescent="0.25">
      <c r="D48" s="201" t="s">
        <v>1348</v>
      </c>
    </row>
    <row r="49" spans="4:4" x14ac:dyDescent="0.25">
      <c r="D49" t="s">
        <v>1012</v>
      </c>
    </row>
    <row r="50" spans="4:4" x14ac:dyDescent="0.25">
      <c r="D50" t="s">
        <v>1284</v>
      </c>
    </row>
    <row r="51" spans="4:4" x14ac:dyDescent="0.25">
      <c r="D51" t="s">
        <v>777</v>
      </c>
    </row>
    <row r="52" spans="4:4" x14ac:dyDescent="0.25">
      <c r="D52" t="s">
        <v>1359</v>
      </c>
    </row>
    <row r="53" spans="4:4" x14ac:dyDescent="0.25">
      <c r="D53" t="s">
        <v>765</v>
      </c>
    </row>
    <row r="54" spans="4:4" x14ac:dyDescent="0.25">
      <c r="D54" t="s">
        <v>1408</v>
      </c>
    </row>
    <row r="55" spans="4:4" x14ac:dyDescent="0.25">
      <c r="D55" t="s">
        <v>797</v>
      </c>
    </row>
    <row r="56" spans="4:4" x14ac:dyDescent="0.25">
      <c r="D56" t="s">
        <v>847</v>
      </c>
    </row>
    <row r="57" spans="4:4" x14ac:dyDescent="0.25">
      <c r="D57" t="s">
        <v>978</v>
      </c>
    </row>
    <row r="58" spans="4:4" x14ac:dyDescent="0.25">
      <c r="D58" t="s">
        <v>750</v>
      </c>
    </row>
    <row r="59" spans="4:4" x14ac:dyDescent="0.25">
      <c r="D59" t="s">
        <v>1068</v>
      </c>
    </row>
    <row r="60" spans="4:4" x14ac:dyDescent="0.25">
      <c r="D60" t="s">
        <v>778</v>
      </c>
    </row>
    <row r="61" spans="4:4" x14ac:dyDescent="0.25">
      <c r="D61" t="s">
        <v>1768</v>
      </c>
    </row>
  </sheetData>
  <sortState ref="D2:D60">
    <sortCondition ref="D2:D60"/>
  </sortState>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
  <sheetViews>
    <sheetView workbookViewId="0">
      <selection activeCell="N29" sqref="N29"/>
    </sheetView>
  </sheetViews>
  <sheetFormatPr defaultRowHeight="15" x14ac:dyDescent="0.25"/>
  <cols>
    <col min="1" max="1" width="10.7109375" customWidth="1"/>
    <col min="2" max="2" width="22" customWidth="1"/>
    <col min="3" max="3" width="12.7109375" style="52" bestFit="1" customWidth="1"/>
    <col min="4" max="4" width="0.5703125" style="100" customWidth="1"/>
    <col min="5" max="5" width="11.140625" style="52" customWidth="1"/>
    <col min="6" max="6" width="21.85546875" customWidth="1"/>
    <col min="7" max="7" width="12.7109375" style="52" bestFit="1" customWidth="1"/>
    <col min="8" max="8" width="0.5703125" style="100" customWidth="1"/>
    <col min="9" max="9" width="11.140625" style="52" customWidth="1"/>
    <col min="10" max="10" width="22.140625" customWidth="1"/>
    <col min="11" max="11" width="12.85546875" customWidth="1"/>
  </cols>
  <sheetData>
    <row r="1" spans="1:11" ht="18.75" x14ac:dyDescent="0.3">
      <c r="E1" s="416" t="s">
        <v>191</v>
      </c>
      <c r="F1" s="416"/>
      <c r="G1" s="416"/>
    </row>
    <row r="2" spans="1:11" x14ac:dyDescent="0.25">
      <c r="A2" s="116" t="s">
        <v>192</v>
      </c>
    </row>
    <row r="3" spans="1:11" ht="15.75" thickBot="1" x14ac:dyDescent="0.3"/>
    <row r="4" spans="1:11" x14ac:dyDescent="0.25">
      <c r="A4" s="407" t="s">
        <v>187</v>
      </c>
      <c r="B4" s="408"/>
      <c r="C4" s="409"/>
      <c r="D4" s="101"/>
      <c r="E4" s="410" t="s">
        <v>188</v>
      </c>
      <c r="F4" s="411"/>
      <c r="G4" s="412"/>
      <c r="H4" s="101"/>
      <c r="I4" s="413" t="s">
        <v>190</v>
      </c>
      <c r="J4" s="414"/>
      <c r="K4" s="415"/>
    </row>
    <row r="5" spans="1:11" ht="15.75" thickBot="1" x14ac:dyDescent="0.3">
      <c r="A5" s="96" t="s">
        <v>1</v>
      </c>
      <c r="B5" s="89" t="s">
        <v>186</v>
      </c>
      <c r="C5" s="97" t="s">
        <v>189</v>
      </c>
      <c r="D5" s="102"/>
      <c r="E5" s="98" t="s">
        <v>1</v>
      </c>
      <c r="F5" s="95" t="s">
        <v>186</v>
      </c>
      <c r="G5" s="99" t="s">
        <v>189</v>
      </c>
      <c r="H5" s="102"/>
      <c r="I5" s="113" t="s">
        <v>1</v>
      </c>
      <c r="J5" s="114" t="s">
        <v>186</v>
      </c>
      <c r="K5" s="115" t="s">
        <v>189</v>
      </c>
    </row>
    <row r="6" spans="1:11" x14ac:dyDescent="0.25">
      <c r="A6" s="106"/>
      <c r="B6" s="117" t="s">
        <v>193</v>
      </c>
      <c r="C6" s="107"/>
      <c r="E6" s="103"/>
      <c r="F6" s="117" t="s">
        <v>193</v>
      </c>
      <c r="G6" s="90"/>
      <c r="I6" s="103"/>
      <c r="J6" s="118" t="s">
        <v>194</v>
      </c>
      <c r="K6" s="90"/>
    </row>
    <row r="7" spans="1:11" x14ac:dyDescent="0.25">
      <c r="A7" s="108"/>
      <c r="B7" s="105"/>
      <c r="C7" s="109"/>
      <c r="E7" s="104"/>
      <c r="F7" s="83"/>
      <c r="G7" s="91"/>
      <c r="I7" s="104"/>
      <c r="J7" s="83"/>
      <c r="K7" s="91"/>
    </row>
    <row r="8" spans="1:11" x14ac:dyDescent="0.25">
      <c r="A8" s="108"/>
      <c r="B8" s="105"/>
      <c r="C8" s="109"/>
      <c r="E8" s="104"/>
      <c r="F8" s="83"/>
      <c r="G8" s="91"/>
      <c r="I8" s="104"/>
      <c r="J8" s="83"/>
      <c r="K8" s="91"/>
    </row>
    <row r="9" spans="1:11" x14ac:dyDescent="0.25">
      <c r="A9" s="108"/>
      <c r="B9" s="105"/>
      <c r="C9" s="109"/>
      <c r="E9" s="104"/>
      <c r="F9" s="83"/>
      <c r="G9" s="91"/>
      <c r="I9" s="104"/>
      <c r="J9" s="83"/>
      <c r="K9" s="91"/>
    </row>
    <row r="10" spans="1:11" x14ac:dyDescent="0.25">
      <c r="A10" s="108"/>
      <c r="B10" s="105"/>
      <c r="C10" s="109"/>
      <c r="E10" s="104"/>
      <c r="F10" s="83"/>
      <c r="G10" s="91"/>
      <c r="I10" s="104"/>
      <c r="J10" s="83"/>
      <c r="K10" s="91"/>
    </row>
    <row r="11" spans="1:11" x14ac:dyDescent="0.25">
      <c r="A11" s="108"/>
      <c r="B11" s="105"/>
      <c r="C11" s="109"/>
      <c r="E11" s="104"/>
      <c r="F11" s="83"/>
      <c r="G11" s="91"/>
      <c r="I11" s="104"/>
      <c r="J11" s="83"/>
      <c r="K11" s="91"/>
    </row>
    <row r="12" spans="1:11" x14ac:dyDescent="0.25">
      <c r="A12" s="108"/>
      <c r="B12" s="105"/>
      <c r="C12" s="109"/>
      <c r="E12" s="104"/>
      <c r="F12" s="83"/>
      <c r="G12" s="91"/>
      <c r="I12" s="104"/>
      <c r="J12" s="83"/>
      <c r="K12" s="91"/>
    </row>
    <row r="13" spans="1:11" x14ac:dyDescent="0.25">
      <c r="A13" s="108"/>
      <c r="B13" s="105"/>
      <c r="C13" s="109"/>
      <c r="E13" s="104"/>
      <c r="F13" s="83"/>
      <c r="G13" s="91"/>
      <c r="I13" s="104"/>
      <c r="J13" s="83"/>
      <c r="K13" s="91"/>
    </row>
    <row r="14" spans="1:11" x14ac:dyDescent="0.25">
      <c r="A14" s="108"/>
      <c r="B14" s="105"/>
      <c r="C14" s="109"/>
      <c r="E14" s="104"/>
      <c r="F14" s="83"/>
      <c r="G14" s="91"/>
      <c r="I14" s="104"/>
      <c r="J14" s="83"/>
      <c r="K14" s="91"/>
    </row>
    <row r="15" spans="1:11" x14ac:dyDescent="0.25">
      <c r="A15" s="108"/>
      <c r="B15" s="105"/>
      <c r="C15" s="109"/>
      <c r="E15" s="104"/>
      <c r="F15" s="83"/>
      <c r="G15" s="91"/>
      <c r="I15" s="104"/>
      <c r="J15" s="83"/>
      <c r="K15" s="91"/>
    </row>
    <row r="16" spans="1:11" x14ac:dyDescent="0.25">
      <c r="A16" s="108"/>
      <c r="B16" s="105"/>
      <c r="C16" s="109"/>
      <c r="E16" s="104"/>
      <c r="F16" s="83"/>
      <c r="G16" s="91"/>
      <c r="I16" s="104"/>
      <c r="J16" s="83"/>
      <c r="K16" s="91"/>
    </row>
    <row r="17" spans="1:11" x14ac:dyDescent="0.25">
      <c r="A17" s="108"/>
      <c r="B17" s="105"/>
      <c r="C17" s="109"/>
      <c r="E17" s="104"/>
      <c r="F17" s="83"/>
      <c r="G17" s="91"/>
      <c r="I17" s="104"/>
      <c r="J17" s="83"/>
      <c r="K17" s="91"/>
    </row>
    <row r="18" spans="1:11" x14ac:dyDescent="0.25">
      <c r="A18" s="108"/>
      <c r="B18" s="105"/>
      <c r="C18" s="109"/>
      <c r="E18" s="104"/>
      <c r="F18" s="83"/>
      <c r="G18" s="91"/>
      <c r="I18" s="104"/>
      <c r="J18" s="83"/>
      <c r="K18" s="91"/>
    </row>
    <row r="19" spans="1:11" x14ac:dyDescent="0.25">
      <c r="A19" s="108"/>
      <c r="B19" s="105"/>
      <c r="C19" s="109"/>
      <c r="E19" s="104"/>
      <c r="F19" s="83"/>
      <c r="G19" s="91"/>
      <c r="I19" s="104"/>
      <c r="J19" s="83"/>
      <c r="K19" s="91"/>
    </row>
    <row r="20" spans="1:11" x14ac:dyDescent="0.25">
      <c r="A20" s="108"/>
      <c r="B20" s="105"/>
      <c r="C20" s="109"/>
      <c r="E20" s="104"/>
      <c r="F20" s="83"/>
      <c r="G20" s="91"/>
      <c r="I20" s="104"/>
      <c r="J20" s="83"/>
      <c r="K20" s="91"/>
    </row>
    <row r="21" spans="1:11" x14ac:dyDescent="0.25">
      <c r="A21" s="108"/>
      <c r="B21" s="105"/>
      <c r="C21" s="109"/>
      <c r="E21" s="104"/>
      <c r="F21" s="83"/>
      <c r="G21" s="91"/>
      <c r="I21" s="104"/>
      <c r="J21" s="83"/>
      <c r="K21" s="91"/>
    </row>
    <row r="22" spans="1:11" x14ac:dyDescent="0.25">
      <c r="A22" s="108"/>
      <c r="B22" s="105"/>
      <c r="C22" s="109"/>
      <c r="E22" s="104"/>
      <c r="F22" s="83"/>
      <c r="G22" s="91"/>
      <c r="I22" s="104"/>
      <c r="J22" s="83"/>
      <c r="K22" s="91"/>
    </row>
    <row r="23" spans="1:11" x14ac:dyDescent="0.25">
      <c r="A23" s="108"/>
      <c r="B23" s="105"/>
      <c r="C23" s="109"/>
      <c r="E23" s="104"/>
      <c r="F23" s="83"/>
      <c r="G23" s="91"/>
      <c r="I23" s="104"/>
      <c r="J23" s="83"/>
      <c r="K23" s="91"/>
    </row>
    <row r="24" spans="1:11" x14ac:dyDescent="0.25">
      <c r="A24" s="108"/>
      <c r="B24" s="105"/>
      <c r="C24" s="109"/>
      <c r="E24" s="104"/>
      <c r="F24" s="83"/>
      <c r="G24" s="91"/>
      <c r="I24" s="104"/>
      <c r="J24" s="83"/>
      <c r="K24" s="91"/>
    </row>
    <row r="25" spans="1:11" x14ac:dyDescent="0.25">
      <c r="A25" s="108"/>
      <c r="B25" s="105"/>
      <c r="C25" s="109"/>
      <c r="E25" s="104"/>
      <c r="F25" s="83"/>
      <c r="G25" s="91"/>
      <c r="I25" s="104"/>
      <c r="J25" s="83"/>
      <c r="K25" s="91"/>
    </row>
    <row r="26" spans="1:11" x14ac:dyDescent="0.25">
      <c r="A26" s="108"/>
      <c r="B26" s="105"/>
      <c r="C26" s="109"/>
      <c r="E26" s="104"/>
      <c r="F26" s="83"/>
      <c r="G26" s="91"/>
      <c r="I26" s="104"/>
      <c r="J26" s="83"/>
      <c r="K26" s="91"/>
    </row>
    <row r="27" spans="1:11" x14ac:dyDescent="0.25">
      <c r="A27" s="108"/>
      <c r="B27" s="105"/>
      <c r="C27" s="109"/>
      <c r="E27" s="104"/>
      <c r="F27" s="83"/>
      <c r="G27" s="91"/>
      <c r="I27" s="104"/>
      <c r="J27" s="83"/>
      <c r="K27" s="91"/>
    </row>
    <row r="28" spans="1:11" x14ac:dyDescent="0.25">
      <c r="A28" s="108"/>
      <c r="B28" s="105"/>
      <c r="C28" s="109"/>
      <c r="E28" s="104"/>
      <c r="F28" s="83"/>
      <c r="G28" s="91"/>
      <c r="I28" s="104"/>
      <c r="J28" s="83"/>
      <c r="K28" s="91"/>
    </row>
    <row r="29" spans="1:11" x14ac:dyDescent="0.25">
      <c r="A29" s="108"/>
      <c r="B29" s="105"/>
      <c r="C29" s="109"/>
      <c r="E29" s="104"/>
      <c r="F29" s="83"/>
      <c r="G29" s="91"/>
      <c r="I29" s="104"/>
      <c r="J29" s="83"/>
      <c r="K29" s="91"/>
    </row>
    <row r="30" spans="1:11" x14ac:dyDescent="0.25">
      <c r="A30" s="108"/>
      <c r="B30" s="105"/>
      <c r="C30" s="109"/>
      <c r="E30" s="104"/>
      <c r="F30" s="83"/>
      <c r="G30" s="91"/>
      <c r="I30" s="104"/>
      <c r="J30" s="83"/>
      <c r="K30" s="91"/>
    </row>
    <row r="31" spans="1:11" x14ac:dyDescent="0.25">
      <c r="A31" s="108"/>
      <c r="B31" s="105"/>
      <c r="C31" s="109"/>
      <c r="E31" s="104"/>
      <c r="F31" s="83"/>
      <c r="G31" s="91"/>
      <c r="I31" s="104"/>
      <c r="J31" s="83"/>
      <c r="K31" s="91"/>
    </row>
    <row r="32" spans="1:11" x14ac:dyDescent="0.25">
      <c r="A32" s="108"/>
      <c r="B32" s="105"/>
      <c r="C32" s="109"/>
      <c r="E32" s="104"/>
      <c r="F32" s="83"/>
      <c r="G32" s="91"/>
      <c r="I32" s="104"/>
      <c r="J32" s="83"/>
      <c r="K32" s="91"/>
    </row>
    <row r="33" spans="1:11" x14ac:dyDescent="0.25">
      <c r="A33" s="108"/>
      <c r="B33" s="105"/>
      <c r="C33" s="109"/>
      <c r="E33" s="104"/>
      <c r="F33" s="83"/>
      <c r="G33" s="91"/>
      <c r="I33" s="104"/>
      <c r="J33" s="83"/>
      <c r="K33" s="91"/>
    </row>
    <row r="34" spans="1:11" x14ac:dyDescent="0.25">
      <c r="A34" s="108"/>
      <c r="B34" s="105"/>
      <c r="C34" s="109"/>
      <c r="E34" s="104"/>
      <c r="F34" s="83"/>
      <c r="G34" s="91"/>
      <c r="I34" s="104"/>
      <c r="J34" s="83"/>
      <c r="K34" s="91"/>
    </row>
    <row r="35" spans="1:11" x14ac:dyDescent="0.25">
      <c r="A35" s="108"/>
      <c r="B35" s="105"/>
      <c r="C35" s="109"/>
      <c r="E35" s="104"/>
      <c r="F35" s="83"/>
      <c r="G35" s="91"/>
      <c r="I35" s="104"/>
      <c r="J35" s="83"/>
      <c r="K35" s="91"/>
    </row>
    <row r="36" spans="1:11" x14ac:dyDescent="0.25">
      <c r="A36" s="108"/>
      <c r="B36" s="105"/>
      <c r="C36" s="109"/>
      <c r="E36" s="104"/>
      <c r="F36" s="83"/>
      <c r="G36" s="91"/>
      <c r="I36" s="104"/>
      <c r="J36" s="83"/>
      <c r="K36" s="91"/>
    </row>
    <row r="37" spans="1:11" ht="15.75" thickBot="1" x14ac:dyDescent="0.3">
      <c r="A37" s="110"/>
      <c r="B37" s="111"/>
      <c r="C37" s="112"/>
      <c r="E37" s="92"/>
      <c r="F37" s="93"/>
      <c r="G37" s="94"/>
      <c r="I37" s="92"/>
      <c r="J37" s="93"/>
      <c r="K37" s="94"/>
    </row>
  </sheetData>
  <mergeCells count="4">
    <mergeCell ref="A4:C4"/>
    <mergeCell ref="E4:G4"/>
    <mergeCell ref="I4:K4"/>
    <mergeCell ref="E1:G1"/>
  </mergeCells>
  <printOptions horizontalCentered="1"/>
  <pageMargins left="0.23622047244094491" right="0.23622047244094491" top="0.15748031496062992" bottom="0.15748031496062992" header="0.11811023622047245" footer="0.19685039370078741"/>
  <pageSetup paperSize="9" fitToWidth="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M59"/>
  <sheetViews>
    <sheetView topLeftCell="A22" workbookViewId="0">
      <selection activeCell="G58" sqref="G58"/>
    </sheetView>
  </sheetViews>
  <sheetFormatPr defaultRowHeight="15" x14ac:dyDescent="0.25"/>
  <cols>
    <col min="1" max="1" width="10" bestFit="1" customWidth="1"/>
    <col min="3" max="3" width="21.42578125" customWidth="1"/>
    <col min="4" max="4" width="11" bestFit="1" customWidth="1"/>
    <col min="5" max="5" width="13.28515625" bestFit="1" customWidth="1"/>
    <col min="6" max="6" width="26.42578125" customWidth="1"/>
    <col min="7" max="7" width="22.85546875" bestFit="1" customWidth="1"/>
    <col min="10" max="10" width="21.7109375" customWidth="1"/>
    <col min="12" max="12" width="14" customWidth="1"/>
    <col min="13" max="13" width="13.140625" customWidth="1"/>
  </cols>
  <sheetData>
    <row r="5" spans="4:13" x14ac:dyDescent="0.25">
      <c r="J5" s="201" t="s">
        <v>581</v>
      </c>
    </row>
    <row r="7" spans="4:13" ht="42.75" customHeight="1" x14ac:dyDescent="0.25">
      <c r="J7" s="419" t="s">
        <v>569</v>
      </c>
      <c r="K7" s="420"/>
      <c r="L7" s="423" t="s">
        <v>570</v>
      </c>
      <c r="M7" s="423" t="s">
        <v>579</v>
      </c>
    </row>
    <row r="8" spans="4:13" x14ac:dyDescent="0.25">
      <c r="J8" s="421"/>
      <c r="K8" s="422"/>
      <c r="L8" s="424"/>
      <c r="M8" s="424"/>
    </row>
    <row r="9" spans="4:13" x14ac:dyDescent="0.25">
      <c r="D9" s="188" t="s">
        <v>26</v>
      </c>
      <c r="E9" s="427" t="s">
        <v>496</v>
      </c>
      <c r="F9" s="427"/>
      <c r="G9" s="188" t="s">
        <v>33</v>
      </c>
      <c r="J9" s="83" t="s">
        <v>549</v>
      </c>
      <c r="K9" s="212" t="s">
        <v>560</v>
      </c>
      <c r="L9" s="212" t="s">
        <v>571</v>
      </c>
      <c r="M9" s="213">
        <v>4.3E-3</v>
      </c>
    </row>
    <row r="10" spans="4:13" x14ac:dyDescent="0.25">
      <c r="D10" s="189">
        <v>45809</v>
      </c>
      <c r="E10" s="190"/>
      <c r="F10" s="191">
        <v>1300</v>
      </c>
      <c r="G10" s="185"/>
      <c r="J10" s="83" t="s">
        <v>550</v>
      </c>
      <c r="K10" s="212" t="s">
        <v>561</v>
      </c>
      <c r="L10" s="212" t="s">
        <v>572</v>
      </c>
      <c r="M10" s="214" t="s">
        <v>580</v>
      </c>
    </row>
    <row r="11" spans="4:13" x14ac:dyDescent="0.25">
      <c r="D11" s="189">
        <v>45809</v>
      </c>
      <c r="E11" s="190"/>
      <c r="F11" s="191">
        <v>2240</v>
      </c>
      <c r="G11" s="185"/>
      <c r="J11" s="83" t="s">
        <v>551</v>
      </c>
      <c r="K11" s="212" t="s">
        <v>562</v>
      </c>
      <c r="L11" s="212" t="s">
        <v>573</v>
      </c>
      <c r="M11" s="214" t="s">
        <v>580</v>
      </c>
    </row>
    <row r="12" spans="4:13" x14ac:dyDescent="0.25">
      <c r="D12" s="189">
        <v>45809</v>
      </c>
      <c r="E12" s="190"/>
      <c r="F12" s="191">
        <v>200</v>
      </c>
      <c r="G12" s="185"/>
      <c r="J12" s="83" t="s">
        <v>552</v>
      </c>
      <c r="K12" s="212" t="s">
        <v>563</v>
      </c>
      <c r="L12" s="215" t="s">
        <v>574</v>
      </c>
      <c r="M12" s="214" t="s">
        <v>580</v>
      </c>
    </row>
    <row r="13" spans="4:13" x14ac:dyDescent="0.25">
      <c r="D13" s="189">
        <v>45809</v>
      </c>
      <c r="E13" s="190"/>
      <c r="F13" s="191">
        <v>600</v>
      </c>
      <c r="G13" s="185"/>
      <c r="J13" s="83" t="s">
        <v>553</v>
      </c>
      <c r="K13" s="212" t="s">
        <v>564</v>
      </c>
      <c r="L13" s="212" t="s">
        <v>564</v>
      </c>
      <c r="M13" s="216">
        <v>0</v>
      </c>
    </row>
    <row r="14" spans="4:13" x14ac:dyDescent="0.25">
      <c r="D14" s="189">
        <v>45809</v>
      </c>
      <c r="E14" s="190"/>
      <c r="F14" s="191">
        <v>960</v>
      </c>
      <c r="G14" s="185"/>
      <c r="J14" s="83" t="s">
        <v>554</v>
      </c>
      <c r="K14" s="212" t="s">
        <v>565</v>
      </c>
      <c r="L14" s="212" t="s">
        <v>575</v>
      </c>
      <c r="M14" s="213">
        <v>1.2999999999999999E-3</v>
      </c>
    </row>
    <row r="15" spans="4:13" x14ac:dyDescent="0.25">
      <c r="D15" s="189">
        <v>45839</v>
      </c>
      <c r="E15" s="194" t="s">
        <v>499</v>
      </c>
      <c r="F15" s="191">
        <v>8000</v>
      </c>
      <c r="G15" s="185"/>
      <c r="J15" s="83" t="s">
        <v>556</v>
      </c>
      <c r="K15" s="212" t="s">
        <v>564</v>
      </c>
      <c r="L15" s="212" t="s">
        <v>564</v>
      </c>
      <c r="M15" s="214" t="s">
        <v>580</v>
      </c>
    </row>
    <row r="16" spans="4:13" x14ac:dyDescent="0.25">
      <c r="D16" s="188"/>
      <c r="E16" s="192" t="s">
        <v>422</v>
      </c>
      <c r="F16" s="186"/>
      <c r="G16" s="186">
        <v>9636</v>
      </c>
      <c r="J16" s="83" t="s">
        <v>555</v>
      </c>
      <c r="K16" s="212" t="s">
        <v>564</v>
      </c>
      <c r="L16" s="212" t="s">
        <v>564</v>
      </c>
      <c r="M16" s="214" t="s">
        <v>580</v>
      </c>
    </row>
    <row r="17" spans="1:13" x14ac:dyDescent="0.25">
      <c r="D17" s="188"/>
      <c r="E17" s="192" t="s">
        <v>497</v>
      </c>
      <c r="F17" s="186"/>
      <c r="G17" s="186">
        <v>680</v>
      </c>
      <c r="J17" s="210" t="s">
        <v>557</v>
      </c>
      <c r="K17" s="212" t="s">
        <v>566</v>
      </c>
      <c r="L17" s="212" t="s">
        <v>576</v>
      </c>
      <c r="M17" s="213">
        <v>1.3899999999999999E-2</v>
      </c>
    </row>
    <row r="18" spans="1:13" x14ac:dyDescent="0.25">
      <c r="D18" s="188"/>
      <c r="E18" s="192" t="s">
        <v>498</v>
      </c>
      <c r="F18" s="186"/>
      <c r="G18" s="186">
        <v>100</v>
      </c>
      <c r="J18" s="83" t="s">
        <v>558</v>
      </c>
      <c r="K18" s="212" t="s">
        <v>567</v>
      </c>
      <c r="L18" s="212" t="s">
        <v>577</v>
      </c>
      <c r="M18" s="214" t="s">
        <v>580</v>
      </c>
    </row>
    <row r="19" spans="1:13" x14ac:dyDescent="0.25">
      <c r="D19" s="188"/>
      <c r="E19" s="192" t="s">
        <v>109</v>
      </c>
      <c r="F19" s="186"/>
      <c r="G19" s="186">
        <v>200</v>
      </c>
      <c r="J19" s="83" t="s">
        <v>559</v>
      </c>
      <c r="K19" s="212" t="s">
        <v>568</v>
      </c>
      <c r="L19" s="212" t="s">
        <v>578</v>
      </c>
      <c r="M19" s="214" t="s">
        <v>580</v>
      </c>
    </row>
    <row r="20" spans="1:13" x14ac:dyDescent="0.25">
      <c r="D20" s="195"/>
      <c r="E20" s="196" t="s">
        <v>505</v>
      </c>
      <c r="F20" s="186"/>
      <c r="G20" s="186">
        <v>3000</v>
      </c>
      <c r="J20" s="425" t="s">
        <v>582</v>
      </c>
      <c r="K20" s="425"/>
      <c r="L20" s="425"/>
      <c r="M20" s="425"/>
    </row>
    <row r="21" spans="1:13" ht="28.35" customHeight="1" x14ac:dyDescent="0.25">
      <c r="D21" s="417" t="s">
        <v>21</v>
      </c>
      <c r="E21" s="418"/>
      <c r="F21" s="187">
        <f>SUM(F10:F19)</f>
        <v>13300</v>
      </c>
      <c r="G21" s="187">
        <f>SUM(G16:G20)</f>
        <v>13616</v>
      </c>
      <c r="J21" s="426" t="s">
        <v>583</v>
      </c>
      <c r="K21" s="426"/>
      <c r="L21" s="426"/>
      <c r="M21" s="426"/>
    </row>
    <row r="22" spans="1:13" x14ac:dyDescent="0.25">
      <c r="D22" s="417" t="s">
        <v>143</v>
      </c>
      <c r="E22" s="418"/>
      <c r="F22" s="187"/>
      <c r="G22" s="193">
        <f>F21-G21</f>
        <v>-316</v>
      </c>
    </row>
    <row r="28" spans="1:13" x14ac:dyDescent="0.25">
      <c r="B28" s="233"/>
      <c r="C28" s="233"/>
      <c r="D28" s="233"/>
    </row>
    <row r="29" spans="1:13" x14ac:dyDescent="0.25">
      <c r="A29" s="238">
        <v>45839</v>
      </c>
      <c r="B29" s="235"/>
      <c r="C29" s="235"/>
      <c r="D29" s="235"/>
    </row>
    <row r="30" spans="1:13" x14ac:dyDescent="0.25">
      <c r="A30" s="142" t="s">
        <v>1</v>
      </c>
      <c r="B30" s="142" t="s">
        <v>625</v>
      </c>
      <c r="C30" s="142" t="s">
        <v>626</v>
      </c>
      <c r="D30" s="234" t="s">
        <v>627</v>
      </c>
      <c r="E30" s="241" t="s">
        <v>630</v>
      </c>
      <c r="F30" s="241" t="s">
        <v>143</v>
      </c>
      <c r="G30" s="142" t="s">
        <v>626</v>
      </c>
    </row>
    <row r="31" spans="1:13" x14ac:dyDescent="0.25">
      <c r="A31" s="231">
        <v>45839</v>
      </c>
      <c r="B31" s="83" t="s">
        <v>417</v>
      </c>
      <c r="C31" s="83" t="s">
        <v>628</v>
      </c>
      <c r="D31" s="124">
        <v>240</v>
      </c>
      <c r="E31" s="211"/>
      <c r="F31" s="211"/>
      <c r="G31" s="83"/>
      <c r="I31" s="209"/>
    </row>
    <row r="32" spans="1:13" x14ac:dyDescent="0.25">
      <c r="A32" s="231">
        <v>45844</v>
      </c>
      <c r="B32" s="83" t="s">
        <v>434</v>
      </c>
      <c r="C32" s="83" t="s">
        <v>628</v>
      </c>
      <c r="D32" s="124">
        <v>480</v>
      </c>
      <c r="E32" s="211"/>
      <c r="F32" s="211"/>
      <c r="G32" s="83"/>
    </row>
    <row r="33" spans="1:10" x14ac:dyDescent="0.25">
      <c r="A33" s="231">
        <v>45845</v>
      </c>
      <c r="B33" s="83" t="s">
        <v>439</v>
      </c>
      <c r="C33" s="83" t="s">
        <v>628</v>
      </c>
      <c r="D33" s="124">
        <v>100</v>
      </c>
      <c r="E33" s="261" t="s">
        <v>140</v>
      </c>
      <c r="F33" s="211"/>
      <c r="G33" s="83"/>
    </row>
    <row r="34" spans="1:10" x14ac:dyDescent="0.25">
      <c r="A34" s="231">
        <v>45846</v>
      </c>
      <c r="B34" s="83" t="s">
        <v>442</v>
      </c>
      <c r="C34" s="83" t="s">
        <v>628</v>
      </c>
      <c r="D34" s="124">
        <v>100</v>
      </c>
      <c r="E34" s="261" t="s">
        <v>140</v>
      </c>
      <c r="F34" s="211"/>
      <c r="G34" s="83"/>
    </row>
    <row r="35" spans="1:10" x14ac:dyDescent="0.25">
      <c r="A35" s="231">
        <v>45848</v>
      </c>
      <c r="B35" s="83" t="s">
        <v>447</v>
      </c>
      <c r="C35" s="83" t="s">
        <v>628</v>
      </c>
      <c r="D35" s="124">
        <v>240</v>
      </c>
      <c r="E35" s="211"/>
      <c r="F35" s="211"/>
      <c r="G35" s="83"/>
    </row>
    <row r="36" spans="1:10" x14ac:dyDescent="0.25">
      <c r="A36" s="231">
        <v>45849</v>
      </c>
      <c r="B36" s="83" t="s">
        <v>454</v>
      </c>
      <c r="C36" s="83" t="s">
        <v>628</v>
      </c>
      <c r="D36" s="124">
        <v>8160</v>
      </c>
      <c r="E36" s="243" t="s">
        <v>140</v>
      </c>
      <c r="F36" s="243"/>
      <c r="G36" s="259" t="s">
        <v>649</v>
      </c>
    </row>
    <row r="37" spans="1:10" x14ac:dyDescent="0.25">
      <c r="A37" s="231">
        <v>45857</v>
      </c>
      <c r="B37" s="83" t="s">
        <v>475</v>
      </c>
      <c r="C37" s="83" t="s">
        <v>628</v>
      </c>
      <c r="D37" s="124">
        <v>4500</v>
      </c>
      <c r="E37" s="261" t="s">
        <v>140</v>
      </c>
      <c r="F37" s="261">
        <v>4950</v>
      </c>
      <c r="G37" s="259" t="s">
        <v>644</v>
      </c>
    </row>
    <row r="38" spans="1:10" x14ac:dyDescent="0.25">
      <c r="A38" s="231">
        <v>45861</v>
      </c>
      <c r="B38" s="83" t="s">
        <v>488</v>
      </c>
      <c r="C38" s="83" t="s">
        <v>628</v>
      </c>
      <c r="D38" s="124">
        <v>200</v>
      </c>
      <c r="E38" s="261" t="s">
        <v>140</v>
      </c>
      <c r="F38" s="211"/>
      <c r="G38" s="83"/>
    </row>
    <row r="39" spans="1:10" x14ac:dyDescent="0.25">
      <c r="A39" s="231">
        <v>45866</v>
      </c>
      <c r="B39" s="83" t="s">
        <v>511</v>
      </c>
      <c r="C39" s="83" t="s">
        <v>628</v>
      </c>
      <c r="D39" s="124">
        <v>6000</v>
      </c>
      <c r="E39" s="261" t="s">
        <v>140</v>
      </c>
      <c r="F39" s="261">
        <v>5700</v>
      </c>
      <c r="G39" s="259" t="s">
        <v>639</v>
      </c>
    </row>
    <row r="40" spans="1:10" x14ac:dyDescent="0.25">
      <c r="A40" s="83"/>
      <c r="B40" s="83"/>
      <c r="C40" s="232" t="s">
        <v>21</v>
      </c>
      <c r="D40" s="245">
        <f>SUM(D31:D39)</f>
        <v>20020</v>
      </c>
      <c r="E40" s="211"/>
      <c r="F40" s="211"/>
      <c r="G40" s="83"/>
      <c r="I40">
        <v>19500</v>
      </c>
    </row>
    <row r="41" spans="1:10" x14ac:dyDescent="0.25">
      <c r="E41" s="208"/>
      <c r="F41" s="208"/>
      <c r="I41">
        <v>8240</v>
      </c>
    </row>
    <row r="42" spans="1:10" x14ac:dyDescent="0.25">
      <c r="A42" s="237">
        <v>45870</v>
      </c>
      <c r="E42" s="208"/>
      <c r="F42" s="208"/>
    </row>
    <row r="43" spans="1:10" x14ac:dyDescent="0.25">
      <c r="A43" s="142" t="s">
        <v>1</v>
      </c>
      <c r="B43" s="142" t="s">
        <v>61</v>
      </c>
      <c r="C43" s="142" t="s">
        <v>626</v>
      </c>
      <c r="D43" s="142" t="s">
        <v>627</v>
      </c>
      <c r="E43" s="242" t="s">
        <v>630</v>
      </c>
      <c r="F43" s="242"/>
      <c r="G43" s="142" t="s">
        <v>626</v>
      </c>
    </row>
    <row r="44" spans="1:10" x14ac:dyDescent="0.25">
      <c r="A44" s="231">
        <v>45870</v>
      </c>
      <c r="B44" s="83" t="s">
        <v>534</v>
      </c>
      <c r="C44" s="83" t="s">
        <v>628</v>
      </c>
      <c r="D44" s="236">
        <v>100</v>
      </c>
      <c r="E44" s="261" t="s">
        <v>140</v>
      </c>
      <c r="F44" s="263"/>
      <c r="G44" s="83"/>
    </row>
    <row r="45" spans="1:10" x14ac:dyDescent="0.25">
      <c r="A45" s="231">
        <v>45872</v>
      </c>
      <c r="B45" s="83" t="s">
        <v>542</v>
      </c>
      <c r="C45" s="83" t="s">
        <v>628</v>
      </c>
      <c r="D45" s="236">
        <v>2100</v>
      </c>
      <c r="E45" s="262" t="s">
        <v>648</v>
      </c>
      <c r="F45" s="264">
        <v>400</v>
      </c>
      <c r="G45" s="259" t="s">
        <v>647</v>
      </c>
    </row>
    <row r="46" spans="1:10" ht="45" x14ac:dyDescent="0.25">
      <c r="A46" s="231">
        <v>45876</v>
      </c>
      <c r="B46" s="83" t="s">
        <v>595</v>
      </c>
      <c r="C46" s="83" t="s">
        <v>628</v>
      </c>
      <c r="D46" s="236">
        <v>5400</v>
      </c>
      <c r="E46" s="262" t="s">
        <v>643</v>
      </c>
      <c r="F46" s="264">
        <v>2400</v>
      </c>
      <c r="G46" s="260" t="s">
        <v>642</v>
      </c>
      <c r="J46">
        <v>3000</v>
      </c>
    </row>
    <row r="47" spans="1:10" x14ac:dyDescent="0.25">
      <c r="A47" s="231">
        <v>45878</v>
      </c>
      <c r="B47" s="83" t="s">
        <v>600</v>
      </c>
      <c r="C47" s="83" t="s">
        <v>628</v>
      </c>
      <c r="D47" s="236">
        <v>13500</v>
      </c>
      <c r="E47" s="211"/>
      <c r="F47" s="265">
        <v>13500</v>
      </c>
      <c r="G47" s="259" t="s">
        <v>641</v>
      </c>
      <c r="J47">
        <v>900</v>
      </c>
    </row>
    <row r="48" spans="1:10" x14ac:dyDescent="0.25">
      <c r="A48" s="231">
        <v>45879</v>
      </c>
      <c r="B48" s="83" t="s">
        <v>602</v>
      </c>
      <c r="C48" s="83" t="s">
        <v>628</v>
      </c>
      <c r="D48" s="236">
        <v>3600</v>
      </c>
      <c r="E48" s="211"/>
      <c r="F48" s="265">
        <v>3600</v>
      </c>
      <c r="G48" s="259" t="s">
        <v>640</v>
      </c>
      <c r="J48">
        <v>1700</v>
      </c>
    </row>
    <row r="49" spans="1:11" ht="30" x14ac:dyDescent="0.25">
      <c r="A49" s="231">
        <v>45882</v>
      </c>
      <c r="B49" s="259" t="s">
        <v>635</v>
      </c>
      <c r="C49" s="83" t="s">
        <v>628</v>
      </c>
      <c r="D49" s="236"/>
      <c r="E49" s="262" t="s">
        <v>645</v>
      </c>
      <c r="F49" s="264">
        <v>460</v>
      </c>
      <c r="G49" s="260" t="s">
        <v>646</v>
      </c>
      <c r="J49">
        <v>5700</v>
      </c>
    </row>
    <row r="50" spans="1:11" x14ac:dyDescent="0.25">
      <c r="A50" s="83"/>
      <c r="B50" s="83"/>
      <c r="C50" s="232" t="s">
        <v>21</v>
      </c>
      <c r="D50" s="244">
        <f>SUM(D44:D48)</f>
        <v>24700</v>
      </c>
      <c r="E50" s="211"/>
      <c r="F50" s="263"/>
      <c r="G50" s="83"/>
      <c r="J50">
        <v>4950</v>
      </c>
      <c r="K50" s="266" t="s">
        <v>140</v>
      </c>
    </row>
    <row r="52" spans="1:11" x14ac:dyDescent="0.25">
      <c r="C52" s="239" t="s">
        <v>629</v>
      </c>
      <c r="D52" s="240">
        <f>SUM(D50,D40)</f>
        <v>44720</v>
      </c>
    </row>
    <row r="55" spans="1:11" x14ac:dyDescent="0.25">
      <c r="I55">
        <v>37690</v>
      </c>
      <c r="J55">
        <v>19500</v>
      </c>
    </row>
    <row r="56" spans="1:11" x14ac:dyDescent="0.25">
      <c r="J56">
        <v>5000</v>
      </c>
    </row>
    <row r="57" spans="1:11" x14ac:dyDescent="0.25">
      <c r="J57">
        <v>4950</v>
      </c>
    </row>
    <row r="58" spans="1:11" x14ac:dyDescent="0.25">
      <c r="J58">
        <f>SUM(J55:J57)</f>
        <v>29450</v>
      </c>
    </row>
    <row r="59" spans="1:11" x14ac:dyDescent="0.25">
      <c r="I59">
        <f>I55-J58</f>
        <v>8240</v>
      </c>
    </row>
  </sheetData>
  <mergeCells count="8">
    <mergeCell ref="D22:E22"/>
    <mergeCell ref="J7:K8"/>
    <mergeCell ref="L7:L8"/>
    <mergeCell ref="M7:M8"/>
    <mergeCell ref="J20:M20"/>
    <mergeCell ref="J21:M21"/>
    <mergeCell ref="E9:F9"/>
    <mergeCell ref="D21:E21"/>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
  <sheetViews>
    <sheetView showGridLines="0" workbookViewId="0">
      <selection activeCell="J28" sqref="J28"/>
    </sheetView>
  </sheetViews>
  <sheetFormatPr defaultRowHeight="15" x14ac:dyDescent="0.25"/>
  <sheetData>
    <row r="4" spans="1:1" ht="15.75" x14ac:dyDescent="0.25">
      <c r="A4" s="270" t="s">
        <v>716</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6"/>
  <sheetViews>
    <sheetView workbookViewId="0">
      <selection activeCell="D3" sqref="D3"/>
    </sheetView>
  </sheetViews>
  <sheetFormatPr defaultRowHeight="15" x14ac:dyDescent="0.25"/>
  <cols>
    <col min="1" max="1" width="18.7109375" customWidth="1"/>
    <col min="2" max="2" width="13.28515625" customWidth="1"/>
    <col min="3" max="3" width="14.5703125" customWidth="1"/>
    <col min="4" max="4" width="18.7109375" customWidth="1"/>
    <col min="5" max="5" width="7" customWidth="1"/>
    <col min="6" max="6" width="15.85546875" bestFit="1" customWidth="1"/>
  </cols>
  <sheetData>
    <row r="2" spans="1:5" x14ac:dyDescent="0.25">
      <c r="A2" t="s">
        <v>719</v>
      </c>
      <c r="D2" t="s">
        <v>720</v>
      </c>
    </row>
    <row r="3" spans="1:5" x14ac:dyDescent="0.25">
      <c r="A3" s="72" t="s">
        <v>718</v>
      </c>
      <c r="D3" s="72" t="s">
        <v>718</v>
      </c>
    </row>
    <row r="4" spans="1:5" x14ac:dyDescent="0.25">
      <c r="A4" s="73" t="s">
        <v>717</v>
      </c>
      <c r="B4" s="287">
        <v>88</v>
      </c>
      <c r="D4" s="73" t="s">
        <v>717</v>
      </c>
      <c r="E4" s="287">
        <v>90</v>
      </c>
    </row>
    <row r="5" spans="1:5" x14ac:dyDescent="0.25">
      <c r="A5" s="73" t="s">
        <v>165</v>
      </c>
      <c r="B5" s="146">
        <v>234018</v>
      </c>
      <c r="D5" s="73" t="s">
        <v>165</v>
      </c>
      <c r="E5" s="287">
        <v>150144</v>
      </c>
    </row>
    <row r="6" spans="1:5" x14ac:dyDescent="0.25">
      <c r="A6" s="73" t="s">
        <v>164</v>
      </c>
      <c r="B6" s="146">
        <v>170293</v>
      </c>
      <c r="D6" s="73" t="s">
        <v>164</v>
      </c>
      <c r="E6" s="287">
        <v>89496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9</vt:i4>
      </vt:variant>
    </vt:vector>
  </HeadingPairs>
  <TitlesOfParts>
    <vt:vector size="28" baseType="lpstr">
      <vt:lpstr>Summary</vt:lpstr>
      <vt:lpstr>Raw Materials</vt:lpstr>
      <vt:lpstr>Feb 2025 - Sales</vt:lpstr>
      <vt:lpstr>Mar 2025 - Sales</vt:lpstr>
      <vt:lpstr>Apr 2025 - Sales</vt:lpstr>
      <vt:lpstr>May 2025 - Sales</vt:lpstr>
      <vt:lpstr>June 2025 - Sales</vt:lpstr>
      <vt:lpstr>July 2025 - Sales</vt:lpstr>
      <vt:lpstr>Aug 2025 - Sales</vt:lpstr>
      <vt:lpstr>Sep 2025 - Sales </vt:lpstr>
      <vt:lpstr>Oct 2025 - Sales</vt:lpstr>
      <vt:lpstr>Nov 2025 - Sales</vt:lpstr>
      <vt:lpstr>Dec 2025 - Sales</vt:lpstr>
      <vt:lpstr>P&amp;L - 2025</vt:lpstr>
      <vt:lpstr>Sheet2</vt:lpstr>
      <vt:lpstr>Sheet1</vt:lpstr>
      <vt:lpstr>Sheet3</vt:lpstr>
      <vt:lpstr>DashBoard</vt:lpstr>
      <vt:lpstr>Sheet5</vt:lpstr>
      <vt:lpstr>'Dec 2025 - Sales'!Print_Area</vt:lpstr>
      <vt:lpstr>'July 2025 - Sales'!Print_Area</vt:lpstr>
      <vt:lpstr>'Nov 2025 - Sales'!Print_Area</vt:lpstr>
      <vt:lpstr>'Oct 2025 - Sales'!Print_Area</vt:lpstr>
      <vt:lpstr>Sheet1!Print_Area</vt:lpstr>
      <vt:lpstr>'Dec 2025 - Sales'!Print_Titles</vt:lpstr>
      <vt:lpstr>'July 2025 - Sales'!Print_Titles</vt:lpstr>
      <vt:lpstr>'Nov 2025 - Sales'!Print_Titles</vt:lpstr>
      <vt:lpstr>'Oct 2025 - Sales'!Print_Titles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UmaiZahid</dc:creator>
  <cp:lastModifiedBy>UmaiZahid</cp:lastModifiedBy>
  <cp:lastPrinted>2025-12-01T11:58:45Z</cp:lastPrinted>
  <dcterms:created xsi:type="dcterms:W3CDTF">2025-03-23T04:57:53Z</dcterms:created>
  <dcterms:modified xsi:type="dcterms:W3CDTF">2025-12-25T06:04:28Z</dcterms:modified>
</cp:coreProperties>
</file>