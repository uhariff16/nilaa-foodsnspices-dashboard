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4290" yWindow="-45" windowWidth="15600" windowHeight="7185" firstSheet="5" activeTab="12"/>
  </bookViews>
  <sheets>
    <sheet name="Summary" sheetId="18" r:id="rId1"/>
    <sheet name="April 2025" sheetId="1" r:id="rId2"/>
    <sheet name="May 2025" sheetId="6" r:id="rId3"/>
    <sheet name="June 2025 " sheetId="9" r:id="rId4"/>
    <sheet name="June 2025111" sheetId="8" state="hidden" r:id="rId5"/>
    <sheet name="July 2025" sheetId="11" r:id="rId6"/>
    <sheet name="July 2025 (2)" sheetId="12" state="hidden" r:id="rId7"/>
    <sheet name="Aug 2025" sheetId="15" r:id="rId8"/>
    <sheet name="Sheet1" sheetId="3" state="hidden" r:id="rId9"/>
    <sheet name="Sep 2025" sheetId="16" r:id="rId10"/>
    <sheet name="Oct 2025" sheetId="17" r:id="rId11"/>
    <sheet name="Nov 2025" sheetId="19" r:id="rId12"/>
    <sheet name="Dec 2025 " sheetId="20" r:id="rId13"/>
    <sheet name="Jan 2026" sheetId="22" r:id="rId14"/>
    <sheet name="Sheet2" sheetId="2" state="hidden" r:id="rId15"/>
    <sheet name="Sheet3" sheetId="23" state="hidden" r:id="rId16"/>
  </sheets>
  <definedNames>
    <definedName name="_xlnm._FilterDatabase" localSheetId="1" hidden="1">'April 2025'!$A$5:$K$10</definedName>
    <definedName name="_xlnm._FilterDatabase" localSheetId="2" hidden="1">'May 2025'!$I$5:$K$66</definedName>
    <definedName name="_xlnm.Print_Area" localSheetId="1">'April 2025'!$A$1:$K$37</definedName>
    <definedName name="_xlnm.Print_Area" localSheetId="7">'Aug 2025'!$A$1:$K$37</definedName>
    <definedName name="_xlnm.Print_Area" localSheetId="12">'Dec 2025 '!$A$1:$K$38</definedName>
    <definedName name="_xlnm.Print_Area" localSheetId="13">'Jan 2026'!$A$1:$K$38</definedName>
    <definedName name="_xlnm.Print_Area" localSheetId="5">'July 2025'!$A$1:$K$37</definedName>
    <definedName name="_xlnm.Print_Area" localSheetId="6">'July 2025 (2)'!$A$1:$K$37</definedName>
    <definedName name="_xlnm.Print_Area" localSheetId="3">'June 2025 '!$A$1:$K$37</definedName>
    <definedName name="_xlnm.Print_Area" localSheetId="4">'June 2025111'!$A$1:$K$37</definedName>
    <definedName name="_xlnm.Print_Area" localSheetId="2">'May 2025'!$A$1:$K$37</definedName>
    <definedName name="_xlnm.Print_Area" localSheetId="11">'Nov 2025'!$A$1:$K$38</definedName>
    <definedName name="_xlnm.Print_Area" localSheetId="10">'Oct 2025'!$A$1:$K$38</definedName>
    <definedName name="_xlnm.Print_Area" localSheetId="9">'Sep 2025'!$A$1:$K$38</definedName>
  </definedNames>
  <calcPr calcId="145621"/>
</workbook>
</file>

<file path=xl/calcChain.xml><?xml version="1.0" encoding="utf-8"?>
<calcChain xmlns="http://schemas.openxmlformats.org/spreadsheetml/2006/main">
  <c r="O19" i="20" l="1"/>
  <c r="O18" i="20"/>
  <c r="O16" i="20"/>
  <c r="O15" i="20"/>
  <c r="O17" i="20"/>
  <c r="O14" i="20"/>
  <c r="O11" i="20"/>
  <c r="O9" i="20"/>
  <c r="O17" i="22" l="1"/>
  <c r="O16" i="22"/>
  <c r="O15" i="22"/>
  <c r="O13" i="22"/>
  <c r="O11" i="22"/>
  <c r="O9" i="22"/>
  <c r="O32" i="22" l="1"/>
  <c r="O31" i="22"/>
  <c r="O30" i="22"/>
  <c r="O29" i="22"/>
  <c r="O28" i="22"/>
  <c r="O24" i="22"/>
  <c r="O23" i="22"/>
  <c r="O22" i="22"/>
  <c r="P22" i="22" s="1"/>
  <c r="O19" i="22"/>
  <c r="O18" i="22"/>
  <c r="P15" i="22"/>
  <c r="O14" i="22"/>
  <c r="O12" i="22"/>
  <c r="O10" i="22"/>
  <c r="P9" i="22" l="1"/>
  <c r="O35" i="22" s="1"/>
  <c r="P13" i="22"/>
  <c r="P23" i="22"/>
  <c r="R22" i="22" s="1"/>
  <c r="P11" i="22"/>
  <c r="P29" i="22"/>
  <c r="P30" i="22"/>
  <c r="P31" i="22"/>
  <c r="P28" i="22"/>
  <c r="P32" i="22"/>
  <c r="O32" i="20"/>
  <c r="O31" i="20"/>
  <c r="O30" i="20"/>
  <c r="O29" i="20"/>
  <c r="O28" i="20"/>
  <c r="O24" i="20"/>
  <c r="O23" i="20"/>
  <c r="O22" i="20"/>
  <c r="P22" i="20" s="1"/>
  <c r="P15" i="20"/>
  <c r="O13" i="20"/>
  <c r="O12" i="20"/>
  <c r="O10" i="20"/>
  <c r="Q11" i="22" l="1"/>
  <c r="O36" i="22" s="1"/>
  <c r="R28" i="22"/>
  <c r="P23" i="20"/>
  <c r="R22" i="20" s="1"/>
  <c r="P9" i="20"/>
  <c r="O35" i="20" s="1"/>
  <c r="P28" i="20"/>
  <c r="P11" i="20"/>
  <c r="P29" i="20"/>
  <c r="P30" i="20"/>
  <c r="P13" i="20"/>
  <c r="P31" i="20"/>
  <c r="P32" i="20"/>
  <c r="O32" i="19"/>
  <c r="O31" i="19"/>
  <c r="O30" i="19"/>
  <c r="O29" i="19"/>
  <c r="O28" i="19"/>
  <c r="O24" i="19"/>
  <c r="O23" i="19"/>
  <c r="O22" i="19"/>
  <c r="P22" i="19" s="1"/>
  <c r="O19" i="19"/>
  <c r="O18" i="19"/>
  <c r="O17" i="19"/>
  <c r="O16" i="19"/>
  <c r="O15" i="19"/>
  <c r="P15" i="19" s="1"/>
  <c r="O14" i="19"/>
  <c r="O13" i="19"/>
  <c r="O12" i="19"/>
  <c r="O11" i="19"/>
  <c r="O10" i="19"/>
  <c r="O9" i="19"/>
  <c r="R28" i="20" l="1"/>
  <c r="Q11" i="20"/>
  <c r="O36" i="20" s="1"/>
  <c r="P23" i="19"/>
  <c r="R22" i="19" s="1"/>
  <c r="P13" i="19"/>
  <c r="P11" i="19"/>
  <c r="P9" i="19"/>
  <c r="O35" i="19" s="1"/>
  <c r="P29" i="19"/>
  <c r="P30" i="19"/>
  <c r="P31" i="19"/>
  <c r="P28" i="19"/>
  <c r="P32" i="19"/>
  <c r="N18" i="18"/>
  <c r="N19" i="18"/>
  <c r="N20" i="18"/>
  <c r="N21" i="18"/>
  <c r="N22" i="18"/>
  <c r="J19" i="18"/>
  <c r="J20" i="18"/>
  <c r="J22" i="18"/>
  <c r="J21" i="18"/>
  <c r="J18" i="18"/>
  <c r="M22" i="18"/>
  <c r="M21" i="18"/>
  <c r="M20" i="18"/>
  <c r="M19" i="18"/>
  <c r="M18" i="18"/>
  <c r="I22" i="18"/>
  <c r="I21" i="18"/>
  <c r="I20" i="18"/>
  <c r="I19" i="18"/>
  <c r="I18" i="18"/>
  <c r="E22" i="18"/>
  <c r="E21" i="18"/>
  <c r="E20" i="18"/>
  <c r="E19" i="18"/>
  <c r="E18" i="18"/>
  <c r="J11" i="18"/>
  <c r="J10" i="18"/>
  <c r="J9" i="18"/>
  <c r="J8" i="18"/>
  <c r="J7" i="18"/>
  <c r="G11" i="18"/>
  <c r="G10" i="18"/>
  <c r="G9" i="18"/>
  <c r="G8" i="18"/>
  <c r="G7" i="18"/>
  <c r="D11" i="18"/>
  <c r="D10" i="18"/>
  <c r="D9" i="18"/>
  <c r="D8" i="18"/>
  <c r="D7" i="18"/>
  <c r="K22" i="18"/>
  <c r="K21" i="18"/>
  <c r="K20" i="18"/>
  <c r="K19" i="18"/>
  <c r="K18" i="18"/>
  <c r="G21" i="18"/>
  <c r="G22" i="18"/>
  <c r="G20" i="18"/>
  <c r="G19" i="18"/>
  <c r="G18" i="18"/>
  <c r="C22" i="18"/>
  <c r="C21" i="18"/>
  <c r="C20" i="18"/>
  <c r="C19" i="18"/>
  <c r="C18" i="18"/>
  <c r="J6" i="18"/>
  <c r="J5" i="18"/>
  <c r="I6" i="18"/>
  <c r="I5" i="18"/>
  <c r="G6" i="18"/>
  <c r="G5" i="18"/>
  <c r="F6" i="18"/>
  <c r="F5" i="18"/>
  <c r="D6" i="18"/>
  <c r="D5" i="18"/>
  <c r="C6" i="18"/>
  <c r="C5" i="18"/>
  <c r="P32" i="11"/>
  <c r="P31" i="11"/>
  <c r="P30" i="11"/>
  <c r="P29" i="11"/>
  <c r="P28" i="11"/>
  <c r="R28" i="19" l="1"/>
  <c r="Q11" i="19"/>
  <c r="O36" i="19" s="1"/>
  <c r="E5" i="18"/>
  <c r="H5" i="18"/>
  <c r="K5" i="18"/>
  <c r="E6" i="18"/>
  <c r="H6" i="18"/>
  <c r="K6" i="18"/>
  <c r="O32" i="17"/>
  <c r="O31" i="17"/>
  <c r="O30" i="17"/>
  <c r="O29" i="17"/>
  <c r="O28" i="17"/>
  <c r="O24" i="17"/>
  <c r="O23" i="17"/>
  <c r="O22" i="17"/>
  <c r="P22" i="17" s="1"/>
  <c r="O19" i="17"/>
  <c r="O18" i="17"/>
  <c r="O17" i="17"/>
  <c r="O16" i="17"/>
  <c r="O15" i="17"/>
  <c r="P15" i="17" s="1"/>
  <c r="O14" i="17"/>
  <c r="O13" i="17"/>
  <c r="O12" i="17"/>
  <c r="O11" i="17"/>
  <c r="O10" i="17"/>
  <c r="O9" i="17"/>
  <c r="P23" i="17" l="1"/>
  <c r="P11" i="17"/>
  <c r="P9" i="17"/>
  <c r="O35" i="17" s="1"/>
  <c r="P29" i="17"/>
  <c r="P30" i="17"/>
  <c r="P13" i="17"/>
  <c r="P31" i="17"/>
  <c r="P28" i="17"/>
  <c r="P32" i="17"/>
  <c r="O32" i="16"/>
  <c r="O31" i="16"/>
  <c r="O30" i="16"/>
  <c r="O29" i="16"/>
  <c r="O28" i="16"/>
  <c r="O24" i="16"/>
  <c r="O23" i="16"/>
  <c r="O22" i="16"/>
  <c r="P22" i="16" s="1"/>
  <c r="O19" i="16"/>
  <c r="O18" i="16"/>
  <c r="O17" i="16"/>
  <c r="O16" i="16"/>
  <c r="O15" i="16"/>
  <c r="P15" i="16" s="1"/>
  <c r="O14" i="16"/>
  <c r="O13" i="16"/>
  <c r="O12" i="16"/>
  <c r="O11" i="16"/>
  <c r="O10" i="16"/>
  <c r="O9" i="16"/>
  <c r="Q11" i="17" l="1"/>
  <c r="O36" i="17" s="1"/>
  <c r="P28" i="16"/>
  <c r="P23" i="16"/>
  <c r="P9" i="16"/>
  <c r="O35" i="16" s="1"/>
  <c r="P32" i="16"/>
  <c r="P11" i="16"/>
  <c r="P29" i="16"/>
  <c r="P30" i="16"/>
  <c r="P13" i="16"/>
  <c r="P31" i="16"/>
  <c r="Q11" i="16" l="1"/>
  <c r="O36" i="16" s="1"/>
  <c r="S11" i="11"/>
  <c r="R9" i="11"/>
  <c r="R15" i="11"/>
  <c r="R13" i="11"/>
  <c r="R11" i="11"/>
  <c r="R12" i="11"/>
  <c r="O30" i="15" l="1"/>
  <c r="O32" i="15" l="1"/>
  <c r="O31" i="15"/>
  <c r="O29" i="15"/>
  <c r="O28" i="15"/>
  <c r="O24" i="15"/>
  <c r="O23" i="15"/>
  <c r="O22" i="15"/>
  <c r="P22" i="15" s="1"/>
  <c r="O19" i="15"/>
  <c r="O18" i="15"/>
  <c r="O17" i="15"/>
  <c r="P30" i="15" s="1"/>
  <c r="O16" i="15"/>
  <c r="O15" i="15"/>
  <c r="O14" i="15"/>
  <c r="O13" i="15"/>
  <c r="O12" i="15"/>
  <c r="O11" i="15"/>
  <c r="O10" i="15"/>
  <c r="O9" i="15"/>
  <c r="O32" i="11"/>
  <c r="O31" i="11"/>
  <c r="O19" i="11"/>
  <c r="O18" i="11"/>
  <c r="P28" i="15" l="1"/>
  <c r="P32" i="15"/>
  <c r="P31" i="15"/>
  <c r="P15" i="15"/>
  <c r="P29" i="15"/>
  <c r="P13" i="15"/>
  <c r="P11" i="15"/>
  <c r="P9" i="15"/>
  <c r="O35" i="15" s="1"/>
  <c r="P23" i="15"/>
  <c r="O28" i="12"/>
  <c r="O27" i="12"/>
  <c r="O26" i="12"/>
  <c r="O22" i="12"/>
  <c r="O21" i="12"/>
  <c r="P21" i="12" s="1"/>
  <c r="O20" i="12"/>
  <c r="P20" i="12" s="1"/>
  <c r="O17" i="12"/>
  <c r="O16" i="12"/>
  <c r="O15" i="12"/>
  <c r="O14" i="12"/>
  <c r="O13" i="12"/>
  <c r="P13" i="12" s="1"/>
  <c r="O12" i="12"/>
  <c r="O11" i="12"/>
  <c r="P11" i="12" s="1"/>
  <c r="O10" i="12"/>
  <c r="O9" i="12"/>
  <c r="P9" i="12" s="1"/>
  <c r="O32" i="12" s="1"/>
  <c r="O10" i="6"/>
  <c r="O9" i="6"/>
  <c r="Q11" i="15" l="1"/>
  <c r="O36" i="15" s="1"/>
  <c r="Q11" i="12"/>
  <c r="O33" i="12" s="1"/>
  <c r="O17" i="11"/>
  <c r="O16" i="11"/>
  <c r="O15" i="11"/>
  <c r="P15" i="11" s="1"/>
  <c r="O14" i="11"/>
  <c r="O13" i="11"/>
  <c r="O9" i="11"/>
  <c r="O11" i="11"/>
  <c r="O30" i="11"/>
  <c r="O29" i="11"/>
  <c r="O28" i="11"/>
  <c r="O24" i="11"/>
  <c r="O23" i="11"/>
  <c r="O22" i="11"/>
  <c r="P22" i="11" s="1"/>
  <c r="O12" i="11"/>
  <c r="O10" i="11"/>
  <c r="P23" i="11" l="1"/>
  <c r="P13" i="11"/>
  <c r="P11" i="11"/>
  <c r="P9" i="11"/>
  <c r="O35" i="11" s="1"/>
  <c r="X30" i="6"/>
  <c r="X28" i="6"/>
  <c r="X27" i="6"/>
  <c r="X26" i="6"/>
  <c r="X23" i="6"/>
  <c r="Q11" i="11" l="1"/>
  <c r="O36" i="11" s="1"/>
  <c r="X31" i="6"/>
  <c r="X18" i="6" l="1"/>
  <c r="V16" i="6"/>
  <c r="W15" i="6"/>
  <c r="W14" i="6"/>
  <c r="W13" i="6"/>
  <c r="W12" i="6"/>
  <c r="W11" i="6"/>
  <c r="W10" i="6"/>
  <c r="W9" i="6"/>
  <c r="W8" i="6"/>
  <c r="W16" i="6" l="1"/>
  <c r="O24" i="9"/>
  <c r="O23" i="9"/>
  <c r="O22" i="9"/>
  <c r="O18" i="9"/>
  <c r="O17" i="9"/>
  <c r="O16" i="9"/>
  <c r="P16" i="9" s="1"/>
  <c r="O13" i="9"/>
  <c r="O12" i="9"/>
  <c r="O11" i="9"/>
  <c r="O10" i="9"/>
  <c r="O9" i="9"/>
  <c r="P22" i="9" l="1"/>
  <c r="P17" i="9"/>
  <c r="O18" i="6"/>
  <c r="O17" i="6"/>
  <c r="P17" i="6" l="1"/>
  <c r="O24" i="8"/>
  <c r="O23" i="8"/>
  <c r="O22" i="8"/>
  <c r="O18" i="8"/>
  <c r="O17" i="8"/>
  <c r="O16" i="8"/>
  <c r="O13" i="8"/>
  <c r="O12" i="8"/>
  <c r="O11" i="8"/>
  <c r="O10" i="8"/>
  <c r="O9" i="8"/>
  <c r="O24" i="6"/>
  <c r="O23" i="6"/>
  <c r="O22" i="6"/>
  <c r="O16" i="6"/>
  <c r="P16" i="6" s="1"/>
  <c r="O13" i="6"/>
  <c r="O12" i="6"/>
  <c r="O11" i="6"/>
  <c r="O25" i="6" l="1"/>
  <c r="O21" i="1"/>
  <c r="O20" i="1"/>
  <c r="O19" i="1"/>
  <c r="O15" i="1"/>
  <c r="O14" i="1"/>
  <c r="O13" i="1"/>
  <c r="O9" i="1" l="1"/>
  <c r="O8" i="1"/>
  <c r="O7" i="1"/>
</calcChain>
</file>

<file path=xl/comments1.xml><?xml version="1.0" encoding="utf-8"?>
<comments xmlns="http://schemas.openxmlformats.org/spreadsheetml/2006/main">
  <authors>
    <author>UmaiZahid</author>
  </authors>
  <commentList>
    <comment ref="G8" authorId="0">
      <text>
        <r>
          <rPr>
            <b/>
            <sz val="9"/>
            <color indexed="81"/>
            <rFont val="Tahoma"/>
            <family val="2"/>
          </rPr>
          <t>UmaiZahid:</t>
        </r>
        <r>
          <rPr>
            <sz val="9"/>
            <color indexed="81"/>
            <rFont val="Tahoma"/>
            <family val="2"/>
          </rPr>
          <t xml:space="preserve">
+10
</t>
        </r>
      </text>
    </comment>
    <comment ref="G22" authorId="0">
      <text>
        <r>
          <rPr>
            <b/>
            <sz val="9"/>
            <color indexed="81"/>
            <rFont val="Tahoma"/>
            <family val="2"/>
          </rPr>
          <t>UmaiZahid:</t>
        </r>
        <r>
          <rPr>
            <sz val="9"/>
            <color indexed="81"/>
            <rFont val="Tahoma"/>
            <family val="2"/>
          </rPr>
          <t xml:space="preserve">
+20
</t>
        </r>
      </text>
    </comment>
    <comment ref="G29" authorId="0">
      <text>
        <r>
          <rPr>
            <b/>
            <sz val="9"/>
            <color indexed="81"/>
            <rFont val="Tahoma"/>
            <family val="2"/>
          </rPr>
          <t>UmaiZahid:</t>
        </r>
        <r>
          <rPr>
            <sz val="9"/>
            <color indexed="81"/>
            <rFont val="Tahoma"/>
            <family val="2"/>
          </rPr>
          <t xml:space="preserve">
+1</t>
        </r>
      </text>
    </comment>
    <comment ref="G30" authorId="0">
      <text>
        <r>
          <rPr>
            <b/>
            <sz val="9"/>
            <color indexed="81"/>
            <rFont val="Tahoma"/>
            <family val="2"/>
          </rPr>
          <t>UmaiZahid:</t>
        </r>
        <r>
          <rPr>
            <sz val="9"/>
            <color indexed="81"/>
            <rFont val="Tahoma"/>
            <family val="2"/>
          </rPr>
          <t xml:space="preserve">
+1</t>
        </r>
      </text>
    </comment>
  </commentList>
</comments>
</file>

<file path=xl/comments2.xml><?xml version="1.0" encoding="utf-8"?>
<comments xmlns="http://schemas.openxmlformats.org/spreadsheetml/2006/main">
  <authors>
    <author>pc</author>
  </authors>
  <commentList>
    <comment ref="G13" authorId="0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Garlic +35kg</t>
        </r>
      </text>
    </comment>
    <comment ref="G14" authorId="0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Garlic +30kg</t>
        </r>
      </text>
    </comment>
    <comment ref="G21" authorId="0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Ginger +5.5kg</t>
        </r>
      </text>
    </comment>
  </commentList>
</comments>
</file>

<file path=xl/sharedStrings.xml><?xml version="1.0" encoding="utf-8"?>
<sst xmlns="http://schemas.openxmlformats.org/spreadsheetml/2006/main" count="1756" uniqueCount="115">
  <si>
    <t>Nila Foods &amp; Spices</t>
  </si>
  <si>
    <t>Daily Stock &amp; Production</t>
  </si>
  <si>
    <t>Stock-in</t>
  </si>
  <si>
    <t>Pre-Production</t>
  </si>
  <si>
    <t>Post-Production</t>
  </si>
  <si>
    <t>Date</t>
  </si>
  <si>
    <t>Material</t>
  </si>
  <si>
    <t>Weight(Kgs)</t>
  </si>
  <si>
    <t>Ginger</t>
  </si>
  <si>
    <t>Garlic</t>
  </si>
  <si>
    <t>Ginger Garlic Paste</t>
  </si>
  <si>
    <t>Garlic Peeled</t>
  </si>
  <si>
    <t>Ginger Peeled</t>
  </si>
  <si>
    <t>Broken Garlic</t>
  </si>
  <si>
    <t>Available Stock</t>
  </si>
  <si>
    <t>29/4/2025</t>
  </si>
  <si>
    <t>30/4/2025</t>
  </si>
  <si>
    <t>Total(Kgs)</t>
  </si>
  <si>
    <t>OS - Ginger</t>
  </si>
  <si>
    <t>OS - Garlic</t>
  </si>
  <si>
    <t>NFS@2025</t>
  </si>
  <si>
    <t>Energy</t>
  </si>
  <si>
    <t>Protein</t>
  </si>
  <si>
    <t>Fiber</t>
  </si>
  <si>
    <t>Carbohydrate</t>
  </si>
  <si>
    <t>Total Sugar</t>
  </si>
  <si>
    <t>Total Fat</t>
  </si>
  <si>
    <t>Cholesterol</t>
  </si>
  <si>
    <t>Sodium</t>
  </si>
  <si>
    <t>Calcium</t>
  </si>
  <si>
    <t>Iron</t>
  </si>
  <si>
    <t>NUTRITIONAL INFORMATION*
Per 100g of the Product (Approx)</t>
  </si>
  <si>
    <t>5.62 8</t>
  </si>
  <si>
    <t>16.3 g</t>
  </si>
  <si>
    <t>NIL</t>
  </si>
  <si>
    <t>3.14 g</t>
  </si>
  <si>
    <t>215 mg</t>
  </si>
  <si>
    <t>9 mg</t>
  </si>
  <si>
    <t>0.11 mg</t>
  </si>
  <si>
    <t>105 Kcal</t>
  </si>
  <si>
    <t>2.85 8</t>
  </si>
  <si>
    <t>Nutritional Information per Serving -10g</t>
  </si>
  <si>
    <t>21.5 mg</t>
  </si>
  <si>
    <t>0.90 mg</t>
  </si>
  <si>
    <t>0.01 m8</t>
  </si>
  <si>
    <t>1.63 g</t>
  </si>
  <si>
    <t>0.31 g</t>
  </si>
  <si>
    <t>10.5 Kcal</t>
  </si>
  <si>
    <t>0.28 8</t>
  </si>
  <si>
    <t>0.56 g</t>
  </si>
  <si>
    <t>*Source: NIN-Nutritive Value of Indian Foods</t>
  </si>
  <si>
    <t>Trans Fat</t>
  </si>
  <si>
    <t>S.No.</t>
  </si>
  <si>
    <t>Item</t>
  </si>
  <si>
    <t>Qty.</t>
  </si>
  <si>
    <t>Kgs</t>
  </si>
  <si>
    <t>Total Amount</t>
  </si>
  <si>
    <t>GINGER GARLIC PASTE 1KG</t>
  </si>
  <si>
    <t>NFS PEELED GARLIC 1KG</t>
  </si>
  <si>
    <t>NFS GINGER GARLIC PASTE (250 GMS)</t>
  </si>
  <si>
    <t>NFS PEELED GINGER</t>
  </si>
  <si>
    <t>NFS PEELED GARLIC ( 500 GRM )</t>
  </si>
  <si>
    <t>NFS GINGER GARLIC PASTE (500 GRM )</t>
  </si>
  <si>
    <t>NFS GARLIC PASTE (1 KG)</t>
  </si>
  <si>
    <t>NFS GINGER PASTE ( 1 KG )</t>
  </si>
  <si>
    <t>Grand Total</t>
  </si>
  <si>
    <t>Total</t>
  </si>
  <si>
    <t>OS - Ginger Garlic Paste</t>
  </si>
  <si>
    <t>OS - Garlic Peeled</t>
  </si>
  <si>
    <t>OS - Ginger Peeled</t>
  </si>
  <si>
    <t>Total(kgs)</t>
  </si>
  <si>
    <t>OS - Broken Garlic</t>
  </si>
  <si>
    <t>Overall Stock</t>
  </si>
  <si>
    <t>Gigner</t>
  </si>
  <si>
    <t>Garlic Purchase</t>
  </si>
  <si>
    <t>Garlic Paste</t>
  </si>
  <si>
    <t>Ginger Paste</t>
  </si>
  <si>
    <t>OS - Ginger Paste</t>
  </si>
  <si>
    <t>OS - Garlic Paste</t>
  </si>
  <si>
    <t>Total Inclu. OS(Kgs)</t>
  </si>
  <si>
    <t>OS - Opening Stock</t>
  </si>
  <si>
    <t>Ginger Purchase</t>
  </si>
  <si>
    <t>Overall Processed</t>
  </si>
  <si>
    <t>.</t>
  </si>
  <si>
    <t>July</t>
  </si>
  <si>
    <t>Closing Stock</t>
  </si>
  <si>
    <t>Closing stock</t>
  </si>
  <si>
    <t>Opening stock</t>
  </si>
  <si>
    <t>July &amp; Aug</t>
  </si>
  <si>
    <t>Difference</t>
  </si>
  <si>
    <t>Aug &amp; Sep</t>
  </si>
  <si>
    <t xml:space="preserve">Garlic </t>
  </si>
  <si>
    <t>Sep &amp; Oct</t>
  </si>
  <si>
    <t>Stock</t>
  </si>
  <si>
    <t>Production</t>
  </si>
  <si>
    <t>Sales</t>
  </si>
  <si>
    <t>August</t>
  </si>
  <si>
    <t xml:space="preserve">Difference </t>
  </si>
  <si>
    <t>Production &amp; Sales Kgs</t>
  </si>
  <si>
    <t xml:space="preserve">Sales </t>
  </si>
  <si>
    <t>Aug OS</t>
  </si>
  <si>
    <t>Sep OS</t>
  </si>
  <si>
    <t>September</t>
  </si>
  <si>
    <t>Oct OS</t>
  </si>
  <si>
    <t>Raw material</t>
  </si>
  <si>
    <t>Processed Material</t>
  </si>
  <si>
    <t>OS - Ginger(Raw)</t>
  </si>
  <si>
    <t>OS - Garlic(Raw)</t>
  </si>
  <si>
    <t>OS - Broken Garlic(Raw)</t>
  </si>
  <si>
    <t>OS - Ginger Garlic Paste(Processed)</t>
  </si>
  <si>
    <t>OS - Garlic Peeled(Processed)</t>
  </si>
  <si>
    <t>OS - Ginger Peeled(Processed)</t>
  </si>
  <si>
    <t>OS - Ginger Paste(Processed)</t>
  </si>
  <si>
    <t>OS - Garlic Paste(Processed)</t>
  </si>
  <si>
    <t>Pre and 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</si>
</sst>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F800]dddd\,\ mmmm\ dd\,\ yyyy"/>
    <numFmt numFmtId="165" formatCode="[$-409]d\-mmm\-yy;@"/>
  </numFmts>
  <fonts count="2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 tint="-0.1499984740745262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2"/>
      <color theme="0" tint="-0.249977111117893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rgb="FF00B05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0" fillId="0" borderId="0" xfId="0" applyFont="1" applyAlignment="1"/>
    <xf numFmtId="0" fontId="0" fillId="0" borderId="0" xfId="0" applyFont="1" applyBorder="1" applyAlignment="1"/>
    <xf numFmtId="0" fontId="0" fillId="0" borderId="0" xfId="0" applyFont="1" applyFill="1" applyBorder="1" applyAlignment="1"/>
    <xf numFmtId="0" fontId="0" fillId="0" borderId="9" xfId="0" applyFont="1" applyFill="1" applyBorder="1" applyAlignment="1"/>
    <xf numFmtId="0" fontId="0" fillId="0" borderId="9" xfId="0" applyFont="1" applyBorder="1" applyAlignment="1"/>
    <xf numFmtId="0" fontId="0" fillId="0" borderId="12" xfId="0" applyFont="1" applyFill="1" applyBorder="1" applyAlignment="1"/>
    <xf numFmtId="0" fontId="0" fillId="0" borderId="12" xfId="0" applyFont="1" applyBorder="1" applyAlignment="1"/>
    <xf numFmtId="0" fontId="3" fillId="0" borderId="11" xfId="0" applyFont="1" applyBorder="1" applyAlignment="1"/>
    <xf numFmtId="0" fontId="5" fillId="0" borderId="8" xfId="0" applyFont="1" applyFill="1" applyBorder="1" applyAlignment="1"/>
    <xf numFmtId="0" fontId="5" fillId="0" borderId="11" xfId="0" applyFont="1" applyFill="1" applyBorder="1" applyAlignment="1"/>
    <xf numFmtId="0" fontId="5" fillId="0" borderId="8" xfId="0" applyFont="1" applyBorder="1" applyAlignment="1"/>
    <xf numFmtId="0" fontId="1" fillId="0" borderId="0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3" fillId="0" borderId="8" xfId="0" applyFont="1" applyBorder="1" applyAlignment="1"/>
    <xf numFmtId="17" fontId="7" fillId="5" borderId="0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14" fontId="0" fillId="0" borderId="7" xfId="0" applyNumberFormat="1" applyFont="1" applyFill="1" applyBorder="1" applyAlignment="1">
      <alignment horizontal="center"/>
    </xf>
    <xf numFmtId="14" fontId="0" fillId="0" borderId="10" xfId="0" applyNumberFormat="1" applyFont="1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14" fontId="0" fillId="0" borderId="7" xfId="0" applyNumberFormat="1" applyFont="1" applyBorder="1" applyAlignment="1">
      <alignment horizontal="center"/>
    </xf>
    <xf numFmtId="14" fontId="0" fillId="0" borderId="10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0" fillId="0" borderId="0" xfId="0" applyFont="1" applyBorder="1" applyAlignment="1">
      <alignment horizontal="right"/>
    </xf>
    <xf numFmtId="0" fontId="2" fillId="2" borderId="6" xfId="0" applyFont="1" applyFill="1" applyBorder="1" applyAlignment="1">
      <alignment horizontal="right" vertical="center"/>
    </xf>
    <xf numFmtId="0" fontId="0" fillId="0" borderId="9" xfId="0" applyFont="1" applyFill="1" applyBorder="1" applyAlignment="1">
      <alignment horizontal="right"/>
    </xf>
    <xf numFmtId="0" fontId="0" fillId="0" borderId="12" xfId="0" applyFont="1" applyFill="1" applyBorder="1" applyAlignment="1">
      <alignment horizontal="right"/>
    </xf>
    <xf numFmtId="0" fontId="2" fillId="3" borderId="9" xfId="0" applyFont="1" applyFill="1" applyBorder="1" applyAlignment="1">
      <alignment horizontal="right" vertical="center"/>
    </xf>
    <xf numFmtId="0" fontId="0" fillId="0" borderId="9" xfId="0" applyFont="1" applyBorder="1" applyAlignment="1">
      <alignment horizontal="right"/>
    </xf>
    <xf numFmtId="0" fontId="0" fillId="0" borderId="12" xfId="0" applyFont="1" applyBorder="1" applyAlignment="1">
      <alignment horizontal="right"/>
    </xf>
    <xf numFmtId="0" fontId="0" fillId="0" borderId="0" xfId="0" applyFont="1" applyAlignment="1">
      <alignment horizontal="right"/>
    </xf>
    <xf numFmtId="0" fontId="2" fillId="4" borderId="9" xfId="0" applyFont="1" applyFill="1" applyBorder="1" applyAlignment="1">
      <alignment horizontal="right" vertical="center"/>
    </xf>
    <xf numFmtId="0" fontId="0" fillId="0" borderId="8" xfId="0" applyFont="1" applyBorder="1" applyAlignment="1"/>
    <xf numFmtId="0" fontId="0" fillId="0" borderId="16" xfId="0" applyFont="1" applyBorder="1" applyAlignment="1">
      <alignment vertical="center"/>
    </xf>
    <xf numFmtId="0" fontId="8" fillId="6" borderId="8" xfId="0" applyFont="1" applyFill="1" applyBorder="1" applyAlignment="1"/>
    <xf numFmtId="0" fontId="2" fillId="0" borderId="8" xfId="0" applyFont="1" applyBorder="1" applyAlignment="1"/>
    <xf numFmtId="0" fontId="8" fillId="6" borderId="8" xfId="0" applyFont="1" applyFill="1" applyBorder="1" applyAlignment="1">
      <alignment horizontal="center"/>
    </xf>
    <xf numFmtId="0" fontId="0" fillId="0" borderId="0" xfId="0" applyFont="1" applyBorder="1" applyAlignment="1">
      <alignment vertical="center"/>
    </xf>
    <xf numFmtId="0" fontId="9" fillId="0" borderId="0" xfId="0" applyFont="1"/>
    <xf numFmtId="164" fontId="0" fillId="0" borderId="7" xfId="0" applyNumberFormat="1" applyFont="1" applyFill="1" applyBorder="1" applyAlignment="1">
      <alignment horizontal="center"/>
    </xf>
    <xf numFmtId="164" fontId="0" fillId="0" borderId="7" xfId="0" applyNumberFormat="1" applyFont="1" applyBorder="1" applyAlignment="1">
      <alignment horizontal="center"/>
    </xf>
    <xf numFmtId="164" fontId="0" fillId="0" borderId="10" xfId="0" applyNumberFormat="1" applyFont="1" applyBorder="1" applyAlignment="1">
      <alignment horizontal="center"/>
    </xf>
    <xf numFmtId="0" fontId="5" fillId="7" borderId="8" xfId="0" applyFont="1" applyFill="1" applyBorder="1" applyAlignment="1"/>
    <xf numFmtId="0" fontId="8" fillId="3" borderId="8" xfId="0" applyFont="1" applyFill="1" applyBorder="1" applyAlignment="1"/>
    <xf numFmtId="0" fontId="8" fillId="3" borderId="8" xfId="0" applyFont="1" applyFill="1" applyBorder="1" applyAlignment="1">
      <alignment horizontal="center"/>
    </xf>
    <xf numFmtId="0" fontId="8" fillId="4" borderId="8" xfId="0" applyFont="1" applyFill="1" applyBorder="1" applyAlignment="1"/>
    <xf numFmtId="0" fontId="8" fillId="4" borderId="8" xfId="0" applyFont="1" applyFill="1" applyBorder="1" applyAlignment="1">
      <alignment horizontal="center"/>
    </xf>
    <xf numFmtId="0" fontId="2" fillId="7" borderId="8" xfId="0" applyFont="1" applyFill="1" applyBorder="1" applyAlignment="1"/>
    <xf numFmtId="0" fontId="0" fillId="7" borderId="8" xfId="0" applyFont="1" applyFill="1" applyBorder="1" applyAlignment="1"/>
    <xf numFmtId="0" fontId="10" fillId="0" borderId="8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vertical="center"/>
    </xf>
    <xf numFmtId="0" fontId="10" fillId="0" borderId="9" xfId="0" applyFont="1" applyBorder="1" applyAlignment="1">
      <alignment horizontal="center" vertical="center"/>
    </xf>
    <xf numFmtId="0" fontId="0" fillId="8" borderId="8" xfId="0" applyFont="1" applyFill="1" applyBorder="1" applyAlignment="1"/>
    <xf numFmtId="0" fontId="0" fillId="9" borderId="8" xfId="0" applyFont="1" applyFill="1" applyBorder="1" applyAlignment="1"/>
    <xf numFmtId="0" fontId="0" fillId="8" borderId="8" xfId="0" applyFont="1" applyFill="1" applyBorder="1" applyAlignment="1">
      <alignment horizontal="center" vertical="center"/>
    </xf>
    <xf numFmtId="165" fontId="0" fillId="0" borderId="7" xfId="0" applyNumberFormat="1" applyFont="1" applyFill="1" applyBorder="1" applyAlignment="1">
      <alignment horizontal="center"/>
    </xf>
    <xf numFmtId="165" fontId="0" fillId="0" borderId="10" xfId="0" applyNumberFormat="1" applyFont="1" applyFill="1" applyBorder="1" applyAlignment="1">
      <alignment horizontal="center"/>
    </xf>
    <xf numFmtId="165" fontId="0" fillId="0" borderId="7" xfId="0" applyNumberFormat="1" applyFont="1" applyBorder="1" applyAlignment="1">
      <alignment horizontal="center"/>
    </xf>
    <xf numFmtId="165" fontId="0" fillId="0" borderId="10" xfId="0" applyNumberFormat="1" applyFont="1" applyBorder="1" applyAlignment="1">
      <alignment horizontal="center"/>
    </xf>
    <xf numFmtId="0" fontId="12" fillId="10" borderId="8" xfId="0" applyNumberFormat="1" applyFont="1" applyFill="1" applyBorder="1" applyAlignment="1" applyProtection="1">
      <alignment horizontal="left" vertical="center"/>
    </xf>
    <xf numFmtId="0" fontId="0" fillId="0" borderId="8" xfId="0" applyNumberFormat="1" applyFont="1" applyBorder="1" applyAlignment="1" applyProtection="1">
      <alignment horizontal="left"/>
    </xf>
    <xf numFmtId="4" fontId="0" fillId="0" borderId="8" xfId="0" applyNumberFormat="1" applyFont="1" applyBorder="1" applyAlignment="1" applyProtection="1">
      <alignment horizontal="left"/>
    </xf>
    <xf numFmtId="0" fontId="0" fillId="3" borderId="8" xfId="0" applyNumberFormat="1" applyFont="1" applyFill="1" applyBorder="1" applyAlignment="1" applyProtection="1">
      <alignment horizontal="left"/>
    </xf>
    <xf numFmtId="0" fontId="0" fillId="3" borderId="8" xfId="0" applyFont="1" applyFill="1" applyBorder="1" applyAlignment="1"/>
    <xf numFmtId="0" fontId="0" fillId="11" borderId="8" xfId="0" applyNumberFormat="1" applyFont="1" applyFill="1" applyBorder="1" applyAlignment="1" applyProtection="1">
      <alignment horizontal="left"/>
    </xf>
    <xf numFmtId="0" fontId="0" fillId="11" borderId="8" xfId="0" applyFont="1" applyFill="1" applyBorder="1" applyAlignment="1"/>
    <xf numFmtId="0" fontId="0" fillId="12" borderId="8" xfId="0" applyFont="1" applyFill="1" applyBorder="1" applyAlignment="1"/>
    <xf numFmtId="0" fontId="0" fillId="13" borderId="8" xfId="0" applyNumberFormat="1" applyFont="1" applyFill="1" applyBorder="1" applyAlignment="1" applyProtection="1">
      <alignment horizontal="left"/>
    </xf>
    <xf numFmtId="0" fontId="0" fillId="13" borderId="8" xfId="0" applyFont="1" applyFill="1" applyBorder="1" applyAlignment="1"/>
    <xf numFmtId="0" fontId="0" fillId="2" borderId="8" xfId="0" applyNumberFormat="1" applyFont="1" applyFill="1" applyBorder="1" applyAlignment="1" applyProtection="1">
      <alignment horizontal="left"/>
    </xf>
    <xf numFmtId="0" fontId="0" fillId="2" borderId="8" xfId="0" applyFont="1" applyFill="1" applyBorder="1" applyAlignment="1"/>
    <xf numFmtId="0" fontId="0" fillId="14" borderId="8" xfId="0" applyNumberFormat="1" applyFont="1" applyFill="1" applyBorder="1" applyAlignment="1" applyProtection="1">
      <alignment horizontal="left"/>
    </xf>
    <xf numFmtId="0" fontId="0" fillId="14" borderId="8" xfId="0" applyFont="1" applyFill="1" applyBorder="1" applyAlignment="1"/>
    <xf numFmtId="0" fontId="0" fillId="11" borderId="8" xfId="0" applyFont="1" applyFill="1" applyBorder="1" applyAlignment="1">
      <alignment horizontal="center" vertical="center"/>
    </xf>
    <xf numFmtId="0" fontId="0" fillId="12" borderId="8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/>
    </xf>
    <xf numFmtId="0" fontId="8" fillId="0" borderId="8" xfId="0" applyFont="1" applyBorder="1" applyAlignment="1"/>
    <xf numFmtId="0" fontId="8" fillId="0" borderId="8" xfId="0" applyFont="1" applyBorder="1" applyAlignment="1">
      <alignment horizontal="center"/>
    </xf>
    <xf numFmtId="0" fontId="2" fillId="13" borderId="8" xfId="0" applyFont="1" applyFill="1" applyBorder="1" applyAlignment="1"/>
    <xf numFmtId="0" fontId="2" fillId="15" borderId="8" xfId="0" applyFont="1" applyFill="1" applyBorder="1" applyAlignment="1"/>
    <xf numFmtId="0" fontId="0" fillId="15" borderId="8" xfId="0" applyFont="1" applyFill="1" applyBorder="1" applyAlignment="1"/>
    <xf numFmtId="0" fontId="2" fillId="14" borderId="8" xfId="0" applyFont="1" applyFill="1" applyBorder="1" applyAlignment="1"/>
    <xf numFmtId="0" fontId="2" fillId="12" borderId="8" xfId="0" applyFont="1" applyFill="1" applyBorder="1" applyAlignment="1"/>
    <xf numFmtId="0" fontId="2" fillId="8" borderId="8" xfId="0" applyFont="1" applyFill="1" applyBorder="1" applyAlignment="1"/>
    <xf numFmtId="0" fontId="2" fillId="3" borderId="8" xfId="0" applyFont="1" applyFill="1" applyBorder="1" applyAlignment="1"/>
    <xf numFmtId="165" fontId="0" fillId="17" borderId="7" xfId="0" applyNumberFormat="1" applyFont="1" applyFill="1" applyBorder="1" applyAlignment="1">
      <alignment horizontal="center"/>
    </xf>
    <xf numFmtId="0" fontId="5" fillId="17" borderId="8" xfId="0" applyFont="1" applyFill="1" applyBorder="1" applyAlignment="1"/>
    <xf numFmtId="0" fontId="0" fillId="17" borderId="9" xfId="0" applyFont="1" applyFill="1" applyBorder="1" applyAlignment="1"/>
    <xf numFmtId="0" fontId="2" fillId="16" borderId="8" xfId="0" applyFont="1" applyFill="1" applyBorder="1" applyAlignment="1"/>
    <xf numFmtId="0" fontId="0" fillId="16" borderId="8" xfId="0" applyFont="1" applyFill="1" applyBorder="1" applyAlignment="1"/>
    <xf numFmtId="0" fontId="8" fillId="8" borderId="8" xfId="0" applyFont="1" applyFill="1" applyBorder="1" applyAlignment="1">
      <alignment horizontal="center" vertical="center"/>
    </xf>
    <xf numFmtId="0" fontId="13" fillId="0" borderId="8" xfId="0" applyFont="1" applyFill="1" applyBorder="1" applyAlignment="1"/>
    <xf numFmtId="0" fontId="2" fillId="0" borderId="8" xfId="0" applyFont="1" applyBorder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165" fontId="13" fillId="0" borderId="7" xfId="0" applyNumberFormat="1" applyFont="1" applyBorder="1" applyAlignment="1">
      <alignment horizontal="center"/>
    </xf>
    <xf numFmtId="0" fontId="13" fillId="0" borderId="9" xfId="0" applyFont="1" applyBorder="1" applyAlignment="1"/>
    <xf numFmtId="0" fontId="13" fillId="0" borderId="8" xfId="0" applyFont="1" applyBorder="1" applyAlignment="1"/>
    <xf numFmtId="0" fontId="5" fillId="0" borderId="9" xfId="0" applyFont="1" applyBorder="1" applyAlignment="1"/>
    <xf numFmtId="0" fontId="5" fillId="0" borderId="0" xfId="0" applyFont="1" applyFill="1" applyBorder="1" applyAlignment="1"/>
    <xf numFmtId="0" fontId="14" fillId="18" borderId="8" xfId="0" applyFont="1" applyFill="1" applyBorder="1" applyAlignment="1"/>
    <xf numFmtId="0" fontId="14" fillId="18" borderId="8" xfId="0" applyFont="1" applyFill="1" applyBorder="1" applyAlignment="1">
      <alignment horizontal="center"/>
    </xf>
    <xf numFmtId="0" fontId="8" fillId="15" borderId="8" xfId="0" applyFont="1" applyFill="1" applyBorder="1" applyAlignment="1">
      <alignment horizontal="center"/>
    </xf>
    <xf numFmtId="165" fontId="5" fillId="5" borderId="7" xfId="0" applyNumberFormat="1" applyFont="1" applyFill="1" applyBorder="1" applyAlignment="1">
      <alignment horizontal="center"/>
    </xf>
    <xf numFmtId="0" fontId="0" fillId="5" borderId="9" xfId="0" applyFont="1" applyFill="1" applyBorder="1" applyAlignment="1"/>
    <xf numFmtId="0" fontId="5" fillId="5" borderId="8" xfId="0" applyFont="1" applyFill="1" applyBorder="1" applyAlignment="1"/>
    <xf numFmtId="0" fontId="5" fillId="5" borderId="9" xfId="0" applyFont="1" applyFill="1" applyBorder="1" applyAlignment="1"/>
    <xf numFmtId="165" fontId="0" fillId="9" borderId="7" xfId="0" applyNumberFormat="1" applyFont="1" applyFill="1" applyBorder="1" applyAlignment="1">
      <alignment horizontal="center"/>
    </xf>
    <xf numFmtId="0" fontId="5" fillId="9" borderId="8" xfId="0" applyFont="1" applyFill="1" applyBorder="1" applyAlignment="1"/>
    <xf numFmtId="165" fontId="5" fillId="0" borderId="7" xfId="0" applyNumberFormat="1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 vertical="center"/>
    </xf>
    <xf numFmtId="0" fontId="0" fillId="0" borderId="9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9" xfId="0" applyFont="1" applyFill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0" fillId="9" borderId="9" xfId="0" applyFont="1" applyFill="1" applyBorder="1" applyAlignment="1">
      <alignment horizontal="center"/>
    </xf>
    <xf numFmtId="0" fontId="0" fillId="19" borderId="9" xfId="0" applyFont="1" applyFill="1" applyBorder="1" applyAlignment="1">
      <alignment horizontal="center"/>
    </xf>
    <xf numFmtId="0" fontId="0" fillId="0" borderId="9" xfId="0" applyFont="1" applyFill="1" applyBorder="1" applyAlignment="1">
      <alignment horizontal="center"/>
    </xf>
    <xf numFmtId="0" fontId="0" fillId="0" borderId="12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8" xfId="0" applyFont="1" applyFill="1" applyBorder="1" applyAlignment="1">
      <alignment horizontal="center"/>
    </xf>
    <xf numFmtId="0" fontId="8" fillId="0" borderId="8" xfId="0" applyFont="1" applyBorder="1"/>
    <xf numFmtId="0" fontId="8" fillId="20" borderId="8" xfId="0" applyFont="1" applyFill="1" applyBorder="1" applyAlignment="1">
      <alignment horizontal="center"/>
    </xf>
    <xf numFmtId="0" fontId="8" fillId="0" borderId="0" xfId="0" applyFont="1" applyBorder="1"/>
    <xf numFmtId="0" fontId="0" fillId="0" borderId="0" xfId="0" applyFont="1" applyBorder="1"/>
    <xf numFmtId="0" fontId="13" fillId="0" borderId="8" xfId="0" applyFont="1" applyFill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8" fillId="8" borderId="8" xfId="0" applyFont="1" applyFill="1" applyBorder="1"/>
    <xf numFmtId="0" fontId="17" fillId="0" borderId="8" xfId="0" applyFont="1" applyBorder="1"/>
    <xf numFmtId="0" fontId="18" fillId="8" borderId="8" xfId="0" applyFont="1" applyFill="1" applyBorder="1" applyAlignment="1">
      <alignment horizontal="center"/>
    </xf>
    <xf numFmtId="0" fontId="18" fillId="20" borderId="8" xfId="0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Border="1"/>
    <xf numFmtId="0" fontId="22" fillId="20" borderId="8" xfId="0" applyFont="1" applyFill="1" applyBorder="1" applyAlignment="1">
      <alignment horizontal="center"/>
    </xf>
    <xf numFmtId="0" fontId="23" fillId="0" borderId="8" xfId="0" applyFont="1" applyBorder="1" applyAlignment="1">
      <alignment horizontal="center"/>
    </xf>
    <xf numFmtId="0" fontId="23" fillId="0" borderId="8" xfId="0" applyFont="1" applyFill="1" applyBorder="1" applyAlignment="1">
      <alignment horizontal="center"/>
    </xf>
    <xf numFmtId="0" fontId="13" fillId="21" borderId="8" xfId="0" applyFont="1" applyFill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19" fillId="21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1" borderId="8" xfId="0" applyFont="1" applyFill="1" applyBorder="1"/>
    <xf numFmtId="165" fontId="0" fillId="9" borderId="7" xfId="0" applyNumberFormat="1" applyFont="1" applyFill="1" applyBorder="1" applyAlignment="1">
      <alignment horizontal="center" vertical="center"/>
    </xf>
    <xf numFmtId="0" fontId="5" fillId="9" borderId="8" xfId="0" applyFont="1" applyFill="1" applyBorder="1" applyAlignment="1">
      <alignment vertical="center"/>
    </xf>
    <xf numFmtId="0" fontId="0" fillId="9" borderId="9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165" fontId="13" fillId="0" borderId="7" xfId="0" applyNumberFormat="1" applyFont="1" applyBorder="1" applyAlignment="1">
      <alignment horizontal="center" vertical="center"/>
    </xf>
    <xf numFmtId="0" fontId="13" fillId="0" borderId="8" xfId="0" applyFont="1" applyFill="1" applyBorder="1" applyAlignment="1">
      <alignment vertical="center"/>
    </xf>
    <xf numFmtId="0" fontId="13" fillId="0" borderId="9" xfId="0" applyFont="1" applyBorder="1" applyAlignment="1">
      <alignment horizontal="center" vertical="center"/>
    </xf>
    <xf numFmtId="165" fontId="0" fillId="0" borderId="7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0" fillId="0" borderId="9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4" fillId="18" borderId="8" xfId="0" applyFont="1" applyFill="1" applyBorder="1" applyAlignment="1">
      <alignment vertical="center"/>
    </xf>
    <xf numFmtId="0" fontId="14" fillId="18" borderId="8" xfId="0" applyFont="1" applyFill="1" applyBorder="1" applyAlignment="1">
      <alignment horizontal="center" vertical="center"/>
    </xf>
    <xf numFmtId="0" fontId="21" fillId="6" borderId="8" xfId="0" applyFont="1" applyFill="1" applyBorder="1" applyAlignment="1">
      <alignment horizontal="center"/>
    </xf>
    <xf numFmtId="0" fontId="18" fillId="6" borderId="19" xfId="0" applyFont="1" applyFill="1" applyBorder="1" applyAlignment="1">
      <alignment horizontal="center"/>
    </xf>
    <xf numFmtId="0" fontId="18" fillId="6" borderId="21" xfId="0" applyFont="1" applyFill="1" applyBorder="1" applyAlignment="1">
      <alignment horizontal="center"/>
    </xf>
    <xf numFmtId="0" fontId="18" fillId="6" borderId="20" xfId="0" applyFont="1" applyFill="1" applyBorder="1" applyAlignment="1">
      <alignment horizontal="center"/>
    </xf>
    <xf numFmtId="0" fontId="18" fillId="6" borderId="8" xfId="0" applyFont="1" applyFill="1" applyBorder="1" applyAlignment="1">
      <alignment horizontal="center"/>
    </xf>
    <xf numFmtId="0" fontId="19" fillId="21" borderId="8" xfId="0" applyFont="1" applyFill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3" borderId="8" xfId="0" applyFont="1" applyFill="1" applyBorder="1" applyAlignment="1">
      <alignment horizontal="center" vertical="center"/>
    </xf>
    <xf numFmtId="0" fontId="0" fillId="13" borderId="8" xfId="0" applyFont="1" applyFill="1" applyBorder="1" applyAlignment="1">
      <alignment horizontal="center" vertical="center"/>
    </xf>
    <xf numFmtId="0" fontId="0" fillId="9" borderId="8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0" fillId="16" borderId="8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12" borderId="5" xfId="0" applyFont="1" applyFill="1" applyBorder="1" applyAlignment="1">
      <alignment horizontal="center" vertical="center"/>
    </xf>
    <xf numFmtId="0" fontId="8" fillId="12" borderId="17" xfId="0" applyFont="1" applyFill="1" applyBorder="1" applyAlignment="1">
      <alignment horizontal="center" vertical="center"/>
    </xf>
    <xf numFmtId="0" fontId="8" fillId="13" borderId="5" xfId="0" applyFont="1" applyFill="1" applyBorder="1" applyAlignment="1">
      <alignment horizontal="center" vertical="center"/>
    </xf>
    <xf numFmtId="0" fontId="8" fillId="13" borderId="17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8" fillId="1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left"/>
    </xf>
    <xf numFmtId="0" fontId="10" fillId="0" borderId="11" xfId="0" applyFont="1" applyBorder="1" applyAlignment="1">
      <alignment horizontal="left"/>
    </xf>
    <xf numFmtId="0" fontId="10" fillId="0" borderId="12" xfId="0" applyFont="1" applyBorder="1" applyAlignment="1">
      <alignment horizontal="left"/>
    </xf>
    <xf numFmtId="165" fontId="0" fillId="22" borderId="7" xfId="0" applyNumberFormat="1" applyFont="1" applyFill="1" applyBorder="1" applyAlignment="1">
      <alignment horizontal="center"/>
    </xf>
    <xf numFmtId="0" fontId="5" fillId="22" borderId="8" xfId="0" applyFont="1" applyFill="1" applyBorder="1" applyAlignment="1"/>
    <xf numFmtId="0" fontId="0" fillId="22" borderId="9" xfId="0" applyFont="1" applyFill="1" applyBorder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E6B8B7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34"/>
  <sheetViews>
    <sheetView workbookViewId="0">
      <selection activeCell="H35" sqref="H35"/>
    </sheetView>
  </sheetViews>
  <sheetFormatPr defaultRowHeight="15" x14ac:dyDescent="0.25"/>
  <cols>
    <col min="1" max="1" width="13.42578125" customWidth="1"/>
    <col min="2" max="2" width="21.28515625" customWidth="1"/>
    <col min="3" max="3" width="13.28515625" customWidth="1"/>
    <col min="4" max="4" width="14.140625" customWidth="1"/>
    <col min="5" max="5" width="12.5703125" customWidth="1"/>
    <col min="6" max="6" width="13" customWidth="1"/>
    <col min="7" max="7" width="13.28515625" bestFit="1" customWidth="1"/>
    <col min="8" max="8" width="11.85546875" customWidth="1"/>
    <col min="9" max="9" width="13.28515625" customWidth="1"/>
    <col min="10" max="10" width="13.28515625" bestFit="1" customWidth="1"/>
    <col min="11" max="11" width="12.7109375" customWidth="1"/>
    <col min="12" max="12" width="11.42578125" customWidth="1"/>
    <col min="13" max="13" width="14" customWidth="1"/>
    <col min="14" max="14" width="13.5703125" customWidth="1"/>
  </cols>
  <sheetData>
    <row r="2" spans="2:14" ht="18" x14ac:dyDescent="0.55000000000000004">
      <c r="B2" s="143" t="s">
        <v>93</v>
      </c>
    </row>
    <row r="3" spans="2:14" ht="15.75" x14ac:dyDescent="0.5">
      <c r="B3" s="140"/>
      <c r="C3" s="171" t="s">
        <v>88</v>
      </c>
      <c r="D3" s="171"/>
      <c r="E3" s="171"/>
      <c r="F3" s="170" t="s">
        <v>90</v>
      </c>
      <c r="G3" s="170"/>
      <c r="H3" s="170"/>
      <c r="I3" s="170" t="s">
        <v>92</v>
      </c>
      <c r="J3" s="170"/>
      <c r="K3" s="170"/>
    </row>
    <row r="4" spans="2:14" ht="15.75" x14ac:dyDescent="0.5">
      <c r="B4" s="141" t="s">
        <v>6</v>
      </c>
      <c r="C4" s="150" t="s">
        <v>86</v>
      </c>
      <c r="D4" s="150" t="s">
        <v>87</v>
      </c>
      <c r="E4" s="150" t="s">
        <v>89</v>
      </c>
      <c r="F4" s="142" t="s">
        <v>85</v>
      </c>
      <c r="G4" s="142" t="s">
        <v>87</v>
      </c>
      <c r="H4" s="142" t="s">
        <v>89</v>
      </c>
      <c r="I4" s="142" t="s">
        <v>85</v>
      </c>
      <c r="J4" s="142" t="s">
        <v>87</v>
      </c>
      <c r="K4" s="142" t="s">
        <v>89</v>
      </c>
    </row>
    <row r="5" spans="2:14" ht="14.25" x14ac:dyDescent="0.45">
      <c r="B5" s="139" t="s">
        <v>8</v>
      </c>
      <c r="C5" s="151">
        <f>'July 2025'!O35</f>
        <v>33.649999999999864</v>
      </c>
      <c r="D5" s="151">
        <f>'Aug 2025'!C6</f>
        <v>0</v>
      </c>
      <c r="E5" s="151">
        <f>C5-D5</f>
        <v>33.649999999999864</v>
      </c>
      <c r="F5" s="131">
        <f>'Aug 2025'!O35</f>
        <v>134.64999999999998</v>
      </c>
      <c r="G5" s="131">
        <f>'Sep 2025'!C6</f>
        <v>23.9</v>
      </c>
      <c r="H5" s="137">
        <f>F5-G5</f>
        <v>110.74999999999997</v>
      </c>
      <c r="I5" s="131">
        <f>'Sep 2025'!O35</f>
        <v>82.659999999999854</v>
      </c>
      <c r="J5" s="131">
        <f>'Oct 2025'!C6</f>
        <v>4.63</v>
      </c>
      <c r="K5" s="137">
        <f>I5-J5</f>
        <v>78.029999999999859</v>
      </c>
    </row>
    <row r="6" spans="2:14" ht="14.25" x14ac:dyDescent="0.45">
      <c r="B6" s="139" t="s">
        <v>9</v>
      </c>
      <c r="C6" s="151">
        <f>'July 2025'!O36</f>
        <v>196.46000000000015</v>
      </c>
      <c r="D6" s="151">
        <f>'Aug 2025'!C7</f>
        <v>75.3</v>
      </c>
      <c r="E6" s="151">
        <f>C6-D6</f>
        <v>121.16000000000015</v>
      </c>
      <c r="F6" s="131">
        <f>'Aug 2025'!O36</f>
        <v>103.28000000000009</v>
      </c>
      <c r="G6" s="131">
        <f>'Sep 2025'!C7</f>
        <v>116.8</v>
      </c>
      <c r="H6" s="138">
        <f>F6-G6</f>
        <v>-13.519999999999911</v>
      </c>
      <c r="I6" s="131">
        <f>'Sep 2025'!O36</f>
        <v>351.22999999999979</v>
      </c>
      <c r="J6" s="131">
        <f>'Oct 2025'!C7</f>
        <v>298.02999999999997</v>
      </c>
      <c r="K6" s="138">
        <f>I6-J6</f>
        <v>53.199999999999818</v>
      </c>
    </row>
    <row r="7" spans="2:14" ht="14.25" x14ac:dyDescent="0.45">
      <c r="B7" s="139" t="s">
        <v>12</v>
      </c>
      <c r="C7" s="152"/>
      <c r="D7" s="151">
        <f>'Aug 2025'!C10</f>
        <v>0</v>
      </c>
      <c r="E7" s="151"/>
      <c r="F7" s="131"/>
      <c r="G7" s="131">
        <f>'Sep 2025'!C10</f>
        <v>0</v>
      </c>
      <c r="H7" s="131"/>
      <c r="I7" s="131"/>
      <c r="J7" s="131">
        <f>'Oct 2025'!C10</f>
        <v>0</v>
      </c>
      <c r="K7" s="131"/>
    </row>
    <row r="8" spans="2:14" ht="14.25" x14ac:dyDescent="0.45">
      <c r="B8" s="139" t="s">
        <v>11</v>
      </c>
      <c r="C8" s="152"/>
      <c r="D8" s="151">
        <f>'Aug 2025'!C9</f>
        <v>12</v>
      </c>
      <c r="E8" s="151"/>
      <c r="F8" s="131"/>
      <c r="G8" s="131">
        <f>'Sep 2025'!C9</f>
        <v>12</v>
      </c>
      <c r="H8" s="131"/>
      <c r="I8" s="131"/>
      <c r="J8" s="131">
        <f>'Oct 2025'!C9</f>
        <v>0</v>
      </c>
      <c r="K8" s="131"/>
    </row>
    <row r="9" spans="2:14" ht="14.25" x14ac:dyDescent="0.45">
      <c r="B9" s="139" t="s">
        <v>10</v>
      </c>
      <c r="C9" s="152"/>
      <c r="D9" s="151">
        <f>'Aug 2025'!C8</f>
        <v>72</v>
      </c>
      <c r="E9" s="151"/>
      <c r="F9" s="131"/>
      <c r="G9" s="131">
        <f>'Sep 2025'!C8</f>
        <v>100</v>
      </c>
      <c r="H9" s="131"/>
      <c r="I9" s="131"/>
      <c r="J9" s="131">
        <f>'Oct 2025'!C8</f>
        <v>111.22</v>
      </c>
      <c r="K9" s="131"/>
    </row>
    <row r="10" spans="2:14" ht="14.25" x14ac:dyDescent="0.45">
      <c r="B10" s="139" t="s">
        <v>76</v>
      </c>
      <c r="C10" s="152"/>
      <c r="D10" s="151">
        <f>'Aug 2025'!C13</f>
        <v>0</v>
      </c>
      <c r="E10" s="151"/>
      <c r="F10" s="131"/>
      <c r="G10" s="131">
        <f>'Sep 2025'!C13</f>
        <v>0</v>
      </c>
      <c r="H10" s="131"/>
      <c r="I10" s="131"/>
      <c r="J10" s="131">
        <f>'Oct 2025'!C13</f>
        <v>0</v>
      </c>
      <c r="K10" s="131"/>
    </row>
    <row r="11" spans="2:14" ht="14.25" x14ac:dyDescent="0.45">
      <c r="B11" s="139" t="s">
        <v>75</v>
      </c>
      <c r="C11" s="152"/>
      <c r="D11" s="151">
        <f>'Aug 2025'!C14</f>
        <v>0</v>
      </c>
      <c r="E11" s="151"/>
      <c r="F11" s="131"/>
      <c r="G11" s="131">
        <f>'Sep 2025'!C14</f>
        <v>0</v>
      </c>
      <c r="H11" s="131"/>
      <c r="I11" s="131"/>
      <c r="J11" s="131">
        <f>'Oct 2025'!C14</f>
        <v>0</v>
      </c>
      <c r="K11" s="131"/>
    </row>
    <row r="12" spans="2:14" ht="14.25" x14ac:dyDescent="0.45">
      <c r="B12" s="135"/>
      <c r="C12" s="136"/>
      <c r="D12" s="136"/>
      <c r="E12" s="136"/>
      <c r="F12" s="136"/>
      <c r="G12" s="136"/>
      <c r="H12" s="136"/>
      <c r="I12" s="136"/>
      <c r="J12" s="136"/>
      <c r="K12" s="136"/>
    </row>
    <row r="13" spans="2:14" ht="14.25" x14ac:dyDescent="0.45">
      <c r="B13" s="135"/>
      <c r="C13" s="136"/>
      <c r="D13" s="136"/>
      <c r="E13" s="136"/>
      <c r="F13" s="136"/>
      <c r="G13" s="136"/>
      <c r="H13" s="136"/>
      <c r="I13" s="136"/>
      <c r="J13" s="136"/>
      <c r="K13" s="136"/>
    </row>
    <row r="14" spans="2:14" ht="14.25" x14ac:dyDescent="0.45">
      <c r="B14" s="135"/>
      <c r="C14" s="136"/>
      <c r="D14" s="136"/>
      <c r="E14" s="136"/>
      <c r="F14" s="136"/>
      <c r="G14" s="136"/>
      <c r="H14" s="136"/>
      <c r="I14" s="136"/>
      <c r="J14" s="136"/>
      <c r="K14" s="136"/>
    </row>
    <row r="15" spans="2:14" ht="18" x14ac:dyDescent="0.55000000000000004">
      <c r="B15" s="144" t="s">
        <v>98</v>
      </c>
      <c r="C15" s="136"/>
      <c r="D15" s="136"/>
      <c r="E15" s="136"/>
      <c r="F15" s="136"/>
      <c r="G15" s="136"/>
      <c r="H15" s="136"/>
      <c r="I15" s="136"/>
      <c r="J15" s="136"/>
      <c r="K15" s="136"/>
    </row>
    <row r="16" spans="2:14" ht="15.75" x14ac:dyDescent="0.25">
      <c r="B16" s="133"/>
      <c r="C16" s="166" t="s">
        <v>84</v>
      </c>
      <c r="D16" s="166"/>
      <c r="E16" s="166"/>
      <c r="F16" s="166"/>
      <c r="G16" s="167" t="s">
        <v>96</v>
      </c>
      <c r="H16" s="168"/>
      <c r="I16" s="168"/>
      <c r="J16" s="169"/>
      <c r="K16" s="167" t="s">
        <v>102</v>
      </c>
      <c r="L16" s="168"/>
      <c r="M16" s="168"/>
      <c r="N16" s="169"/>
    </row>
    <row r="17" spans="2:14" ht="15.75" x14ac:dyDescent="0.25">
      <c r="B17" s="141" t="s">
        <v>6</v>
      </c>
      <c r="C17" s="145" t="s">
        <v>94</v>
      </c>
      <c r="D17" s="145" t="s">
        <v>99</v>
      </c>
      <c r="E17" s="145" t="s">
        <v>100</v>
      </c>
      <c r="F17" s="145" t="s">
        <v>97</v>
      </c>
      <c r="G17" s="134" t="s">
        <v>94</v>
      </c>
      <c r="H17" s="134" t="s">
        <v>95</v>
      </c>
      <c r="I17" s="134" t="s">
        <v>101</v>
      </c>
      <c r="J17" s="134" t="s">
        <v>97</v>
      </c>
      <c r="K17" s="134" t="s">
        <v>94</v>
      </c>
      <c r="L17" s="134" t="s">
        <v>95</v>
      </c>
      <c r="M17" s="134" t="s">
        <v>103</v>
      </c>
      <c r="N17" s="134" t="s">
        <v>97</v>
      </c>
    </row>
    <row r="18" spans="2:14" x14ac:dyDescent="0.25">
      <c r="B18" s="139" t="s">
        <v>12</v>
      </c>
      <c r="C18" s="146">
        <f>'July 2025'!P28</f>
        <v>0.5</v>
      </c>
      <c r="D18" s="146">
        <v>1.5</v>
      </c>
      <c r="E18" s="146">
        <f>G7</f>
        <v>0</v>
      </c>
      <c r="F18" s="146"/>
      <c r="G18" s="131">
        <f>'Aug 2025'!P28</f>
        <v>3</v>
      </c>
      <c r="H18" s="131">
        <v>6.75</v>
      </c>
      <c r="I18" s="149">
        <f>G7</f>
        <v>0</v>
      </c>
      <c r="J18" s="148">
        <f t="shared" ref="J18" si="0">G18-H18</f>
        <v>-3.75</v>
      </c>
      <c r="K18" s="131">
        <f>'Sep 2025'!P28</f>
        <v>11.5</v>
      </c>
      <c r="L18" s="131">
        <v>2</v>
      </c>
      <c r="M18" s="131">
        <f>J7</f>
        <v>0</v>
      </c>
      <c r="N18" s="148">
        <f>K18-L18</f>
        <v>9.5</v>
      </c>
    </row>
    <row r="19" spans="2:14" x14ac:dyDescent="0.25">
      <c r="B19" s="139" t="s">
        <v>11</v>
      </c>
      <c r="C19" s="146">
        <f>'July 2025'!P29</f>
        <v>185.5</v>
      </c>
      <c r="D19" s="146">
        <v>165.5</v>
      </c>
      <c r="E19" s="146">
        <f>G8</f>
        <v>12</v>
      </c>
      <c r="F19" s="146"/>
      <c r="G19" s="131">
        <f>'Aug 2025'!P29</f>
        <v>106.5</v>
      </c>
      <c r="H19" s="131">
        <v>257.75</v>
      </c>
      <c r="I19" s="149">
        <f>G8</f>
        <v>12</v>
      </c>
      <c r="J19" s="148">
        <f>(G19-H19)-I19</f>
        <v>-163.25</v>
      </c>
      <c r="K19" s="131">
        <f>'Sep 2025'!P29</f>
        <v>109</v>
      </c>
      <c r="L19" s="131">
        <v>151</v>
      </c>
      <c r="M19" s="131">
        <f>J8</f>
        <v>0</v>
      </c>
      <c r="N19" s="148">
        <f>(K19-L19)-M19</f>
        <v>-42</v>
      </c>
    </row>
    <row r="20" spans="2:14" x14ac:dyDescent="0.25">
      <c r="B20" s="139" t="s">
        <v>10</v>
      </c>
      <c r="C20" s="146">
        <f>'July 2025'!P30</f>
        <v>1184.3000000000002</v>
      </c>
      <c r="D20" s="146">
        <v>870</v>
      </c>
      <c r="E20" s="146">
        <f>G9</f>
        <v>100</v>
      </c>
      <c r="F20" s="146"/>
      <c r="G20" s="131">
        <f>'Aug 2025'!P30</f>
        <v>1272.2700000000002</v>
      </c>
      <c r="H20" s="131">
        <v>1072.25</v>
      </c>
      <c r="I20" s="149">
        <f>G9</f>
        <v>100</v>
      </c>
      <c r="J20" s="148">
        <f>(G20-H20)-I20</f>
        <v>100.02000000000021</v>
      </c>
      <c r="K20" s="131">
        <f>'Sep 2025'!P30</f>
        <v>1598.8899999999999</v>
      </c>
      <c r="L20" s="131">
        <v>1279.2</v>
      </c>
      <c r="M20" s="149">
        <f>J9</f>
        <v>111.22</v>
      </c>
      <c r="N20" s="148">
        <f>(K20-L20)-M20</f>
        <v>208.46999999999983</v>
      </c>
    </row>
    <row r="21" spans="2:14" x14ac:dyDescent="0.25">
      <c r="B21" s="139" t="s">
        <v>76</v>
      </c>
      <c r="C21" s="146">
        <f>'July 2025'!P31</f>
        <v>2</v>
      </c>
      <c r="D21" s="147">
        <v>30.5</v>
      </c>
      <c r="E21" s="146">
        <f>G10</f>
        <v>0</v>
      </c>
      <c r="F21" s="146"/>
      <c r="G21" s="131">
        <f>'Aug 2025'!P31</f>
        <v>0</v>
      </c>
      <c r="H21" s="132">
        <v>10</v>
      </c>
      <c r="I21" s="149">
        <f>G10</f>
        <v>0</v>
      </c>
      <c r="J21" s="148">
        <f t="shared" ref="J21:J22" si="1">G21-H21</f>
        <v>-10</v>
      </c>
      <c r="K21" s="131">
        <f>'Sep 2025'!P31</f>
        <v>21</v>
      </c>
      <c r="L21" s="132">
        <v>0</v>
      </c>
      <c r="M21" s="131">
        <f>J10</f>
        <v>0</v>
      </c>
      <c r="N21" s="148">
        <f>(K21-L21)-M21</f>
        <v>21</v>
      </c>
    </row>
    <row r="22" spans="2:14" x14ac:dyDescent="0.25">
      <c r="B22" s="139" t="s">
        <v>75</v>
      </c>
      <c r="C22" s="146">
        <f>'July 2025'!P32</f>
        <v>0</v>
      </c>
      <c r="D22" s="147">
        <v>256.5</v>
      </c>
      <c r="E22" s="146">
        <f>G11</f>
        <v>0</v>
      </c>
      <c r="F22" s="146"/>
      <c r="G22" s="131">
        <f>'Aug 2025'!P32</f>
        <v>0</v>
      </c>
      <c r="H22" s="132">
        <v>10.5</v>
      </c>
      <c r="I22" s="149">
        <f>G11</f>
        <v>0</v>
      </c>
      <c r="J22" s="148">
        <f t="shared" si="1"/>
        <v>-10.5</v>
      </c>
      <c r="K22" s="131">
        <f>'Sep 2025'!P32</f>
        <v>21</v>
      </c>
      <c r="L22" s="132">
        <v>0</v>
      </c>
      <c r="M22" s="131">
        <f>J11</f>
        <v>0</v>
      </c>
      <c r="N22" s="148">
        <f>(K22-L22)-M22</f>
        <v>21</v>
      </c>
    </row>
    <row r="23" spans="2:14" x14ac:dyDescent="0.25">
      <c r="B23" s="135"/>
      <c r="C23" s="136"/>
      <c r="D23" s="136"/>
      <c r="E23" s="136"/>
      <c r="F23" s="136"/>
      <c r="G23" s="136"/>
      <c r="H23" s="136"/>
      <c r="I23" s="136"/>
      <c r="J23" s="136"/>
      <c r="K23" s="136"/>
    </row>
    <row r="24" spans="2:14" x14ac:dyDescent="0.25">
      <c r="B24" s="135"/>
      <c r="C24" s="136"/>
      <c r="D24" s="136"/>
      <c r="E24" s="136"/>
      <c r="F24" s="136"/>
      <c r="G24" s="136"/>
      <c r="H24" s="136"/>
      <c r="I24" s="136"/>
      <c r="J24" s="136"/>
      <c r="K24" s="136"/>
    </row>
    <row r="25" spans="2:14" x14ac:dyDescent="0.25">
      <c r="B25" s="135"/>
      <c r="C25" s="136"/>
      <c r="D25" s="136"/>
      <c r="E25" s="136"/>
      <c r="F25" s="136"/>
      <c r="G25" s="136"/>
      <c r="H25" s="136"/>
      <c r="I25" s="136"/>
      <c r="J25" s="136"/>
      <c r="K25" s="136"/>
    </row>
    <row r="26" spans="2:14" x14ac:dyDescent="0.25">
      <c r="B26" s="135"/>
      <c r="C26" s="136"/>
      <c r="D26" s="136"/>
      <c r="E26" s="136"/>
      <c r="F26" s="136"/>
      <c r="G26" s="136">
        <v>1272</v>
      </c>
      <c r="H26" s="136"/>
      <c r="I26" s="136"/>
      <c r="J26" s="136"/>
      <c r="K26" s="136"/>
    </row>
    <row r="27" spans="2:14" x14ac:dyDescent="0.25">
      <c r="B27" s="135"/>
      <c r="C27" s="136"/>
      <c r="D27" s="136"/>
      <c r="E27" s="136"/>
      <c r="F27" s="136"/>
      <c r="G27" s="136">
        <v>1072</v>
      </c>
      <c r="H27" s="136"/>
      <c r="I27" s="136"/>
      <c r="J27" s="136"/>
      <c r="K27" s="136"/>
    </row>
    <row r="28" spans="2:14" x14ac:dyDescent="0.25">
      <c r="C28" s="129"/>
      <c r="D28" s="129"/>
      <c r="E28" s="129"/>
    </row>
    <row r="29" spans="2:14" x14ac:dyDescent="0.25">
      <c r="C29" s="129"/>
      <c r="D29" s="129"/>
      <c r="E29" s="129"/>
    </row>
    <row r="30" spans="2:14" x14ac:dyDescent="0.25">
      <c r="C30" s="129"/>
      <c r="D30" s="129"/>
      <c r="E30" s="129"/>
    </row>
    <row r="31" spans="2:14" x14ac:dyDescent="0.25">
      <c r="C31" s="129"/>
      <c r="D31" s="129"/>
      <c r="E31" s="129"/>
    </row>
    <row r="32" spans="2:14" x14ac:dyDescent="0.25">
      <c r="C32" s="129"/>
      <c r="D32" s="129"/>
      <c r="E32" s="129"/>
    </row>
    <row r="34" spans="3:3" x14ac:dyDescent="0.25">
      <c r="C34" s="130"/>
    </row>
  </sheetData>
  <mergeCells count="6">
    <mergeCell ref="C16:F16"/>
    <mergeCell ref="G16:J16"/>
    <mergeCell ref="K16:N16"/>
    <mergeCell ref="I3:K3"/>
    <mergeCell ref="F3:H3"/>
    <mergeCell ref="C3:E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4"/>
  <sheetViews>
    <sheetView zoomScaleNormal="100" workbookViewId="0"/>
  </sheetViews>
  <sheetFormatPr defaultColWidth="9.140625" defaultRowHeight="15" x14ac:dyDescent="0.25"/>
  <cols>
    <col min="1" max="1" width="14" style="25" customWidth="1"/>
    <col min="2" max="2" width="22" style="1" customWidth="1"/>
    <col min="3" max="3" width="12.7109375" style="32" bestFit="1" customWidth="1"/>
    <col min="4" max="4" width="0.5703125" style="3" customWidth="1"/>
    <col min="5" max="5" width="11.140625" style="28" customWidth="1"/>
    <col min="6" max="6" width="21.85546875" style="1" customWidth="1"/>
    <col min="7" max="7" width="12.7109375" style="32" bestFit="1" customWidth="1"/>
    <col min="8" max="8" width="0.5703125" style="3" customWidth="1"/>
    <col min="9" max="9" width="11.140625" style="28" customWidth="1"/>
    <col min="10" max="10" width="22.140625" style="1" customWidth="1"/>
    <col min="11" max="11" width="12.85546875" style="39" customWidth="1"/>
    <col min="12" max="12" width="9.140625" style="1"/>
    <col min="13" max="13" width="15.7109375" style="1" customWidth="1"/>
    <col min="14" max="14" width="17.85546875" style="1" customWidth="1"/>
    <col min="15" max="15" width="10.85546875" style="1" customWidth="1"/>
    <col min="16" max="16384" width="9.140625" style="1"/>
  </cols>
  <sheetData>
    <row r="1" spans="1:15" ht="24" thickBot="1" x14ac:dyDescent="0.4">
      <c r="A1" s="47" t="s">
        <v>20</v>
      </c>
      <c r="E1" s="172" t="s">
        <v>0</v>
      </c>
      <c r="F1" s="173"/>
      <c r="G1" s="174"/>
    </row>
    <row r="2" spans="1:15" ht="15.75" x14ac:dyDescent="0.25">
      <c r="A2" s="31" t="s">
        <v>1</v>
      </c>
      <c r="C2" s="24">
        <v>45748</v>
      </c>
    </row>
    <row r="3" spans="1:15" ht="15.75" thickBot="1" x14ac:dyDescent="0.3"/>
    <row r="4" spans="1:15" ht="18.75" x14ac:dyDescent="0.3">
      <c r="A4" s="175" t="s">
        <v>2</v>
      </c>
      <c r="B4" s="176"/>
      <c r="C4" s="177"/>
      <c r="D4" s="12"/>
      <c r="E4" s="178" t="s">
        <v>3</v>
      </c>
      <c r="F4" s="179"/>
      <c r="G4" s="180"/>
      <c r="H4" s="12"/>
      <c r="I4" s="181" t="s">
        <v>4</v>
      </c>
      <c r="J4" s="182"/>
      <c r="K4" s="183"/>
    </row>
    <row r="5" spans="1:15" ht="21" customHeight="1" x14ac:dyDescent="0.25">
      <c r="A5" s="13" t="s">
        <v>5</v>
      </c>
      <c r="B5" s="14" t="s">
        <v>6</v>
      </c>
      <c r="C5" s="33" t="s">
        <v>7</v>
      </c>
      <c r="D5" s="16"/>
      <c r="E5" s="17" t="s">
        <v>5</v>
      </c>
      <c r="F5" s="18" t="s">
        <v>6</v>
      </c>
      <c r="G5" s="36" t="s">
        <v>7</v>
      </c>
      <c r="H5" s="16"/>
      <c r="I5" s="20" t="s">
        <v>5</v>
      </c>
      <c r="J5" s="21" t="s">
        <v>6</v>
      </c>
      <c r="K5" s="40" t="s">
        <v>7</v>
      </c>
    </row>
    <row r="6" spans="1:15" x14ac:dyDescent="0.25">
      <c r="A6" s="26">
        <v>45765</v>
      </c>
      <c r="B6" s="9" t="s">
        <v>9</v>
      </c>
      <c r="C6" s="34">
        <v>129</v>
      </c>
      <c r="E6" s="29">
        <v>45765</v>
      </c>
      <c r="F6" s="9" t="s">
        <v>8</v>
      </c>
      <c r="G6" s="37">
        <v>10</v>
      </c>
      <c r="I6" s="29"/>
      <c r="J6" s="11" t="s">
        <v>12</v>
      </c>
      <c r="K6" s="37">
        <v>8.5</v>
      </c>
      <c r="M6" s="42"/>
      <c r="N6" s="43" t="s">
        <v>14</v>
      </c>
      <c r="O6" s="45" t="s">
        <v>17</v>
      </c>
    </row>
    <row r="7" spans="1:15" ht="14.25" x14ac:dyDescent="0.45">
      <c r="A7" s="26">
        <v>45765</v>
      </c>
      <c r="B7" s="9" t="s">
        <v>8</v>
      </c>
      <c r="C7" s="34">
        <v>37.450000000000003</v>
      </c>
      <c r="E7" s="29">
        <v>45765</v>
      </c>
      <c r="F7" s="9" t="s">
        <v>9</v>
      </c>
      <c r="G7" s="37">
        <v>30</v>
      </c>
      <c r="I7" s="29"/>
      <c r="J7" s="11" t="s">
        <v>11</v>
      </c>
      <c r="K7" s="37">
        <v>27</v>
      </c>
      <c r="M7" s="42"/>
      <c r="N7" s="44" t="s">
        <v>8</v>
      </c>
      <c r="O7" s="41">
        <f>SUMIF(B6:B124,"Ginger",C6:C124)</f>
        <v>147.44999999999999</v>
      </c>
    </row>
    <row r="8" spans="1:15" ht="14.25" x14ac:dyDescent="0.45">
      <c r="A8" s="26">
        <v>45765</v>
      </c>
      <c r="B8" s="9" t="s">
        <v>9</v>
      </c>
      <c r="C8" s="34">
        <v>87</v>
      </c>
      <c r="E8" s="29">
        <v>45765</v>
      </c>
      <c r="F8" s="9" t="s">
        <v>8</v>
      </c>
      <c r="G8" s="37">
        <v>7</v>
      </c>
      <c r="I8" s="29"/>
      <c r="J8" s="11" t="s">
        <v>12</v>
      </c>
      <c r="K8" s="37">
        <v>6.1</v>
      </c>
      <c r="M8" s="42"/>
      <c r="N8" s="44" t="s">
        <v>9</v>
      </c>
      <c r="O8" s="41">
        <f>SUMIF(B7:B125,"Garlic",C7:C125)</f>
        <v>317.5</v>
      </c>
    </row>
    <row r="9" spans="1:15" ht="14.25" x14ac:dyDescent="0.45">
      <c r="A9" s="26">
        <v>45770</v>
      </c>
      <c r="B9" s="9" t="s">
        <v>9</v>
      </c>
      <c r="C9" s="34">
        <v>192</v>
      </c>
      <c r="E9" s="29">
        <v>45766</v>
      </c>
      <c r="F9" s="9" t="s">
        <v>9</v>
      </c>
      <c r="G9" s="37">
        <v>20</v>
      </c>
      <c r="I9" s="29"/>
      <c r="J9" s="11" t="s">
        <v>11</v>
      </c>
      <c r="K9" s="37">
        <v>17.5</v>
      </c>
      <c r="M9" s="42"/>
      <c r="N9" s="44" t="s">
        <v>13</v>
      </c>
      <c r="O9" s="41">
        <f>SUMIF(B8:B126,"Broken Garlic",C8:C126)</f>
        <v>37.4</v>
      </c>
    </row>
    <row r="10" spans="1:15" ht="14.25" x14ac:dyDescent="0.45">
      <c r="A10" s="26">
        <v>45770</v>
      </c>
      <c r="B10" s="9" t="s">
        <v>8</v>
      </c>
      <c r="C10" s="34">
        <v>56</v>
      </c>
      <c r="E10" s="29">
        <v>45766</v>
      </c>
      <c r="F10" s="9" t="s">
        <v>8</v>
      </c>
      <c r="G10" s="37">
        <v>15</v>
      </c>
      <c r="I10" s="29"/>
      <c r="J10" s="11" t="s">
        <v>12</v>
      </c>
      <c r="K10" s="37">
        <v>13.1</v>
      </c>
      <c r="N10" s="2"/>
    </row>
    <row r="11" spans="1:15" ht="14.25" x14ac:dyDescent="0.45">
      <c r="A11" s="26"/>
      <c r="B11" s="9"/>
      <c r="C11" s="34"/>
      <c r="E11" s="29">
        <v>45767</v>
      </c>
      <c r="F11" s="9" t="s">
        <v>8</v>
      </c>
      <c r="G11" s="37">
        <v>15</v>
      </c>
      <c r="I11" s="29"/>
      <c r="J11" s="11" t="s">
        <v>12</v>
      </c>
      <c r="K11" s="37">
        <v>13.7</v>
      </c>
    </row>
    <row r="12" spans="1:15" ht="14.25" x14ac:dyDescent="0.45">
      <c r="A12" s="26"/>
      <c r="B12" s="9"/>
      <c r="C12" s="34"/>
      <c r="E12" s="29">
        <v>45767</v>
      </c>
      <c r="F12" s="9" t="s">
        <v>9</v>
      </c>
      <c r="G12" s="37">
        <v>30</v>
      </c>
      <c r="I12" s="29"/>
      <c r="J12" s="11" t="s">
        <v>11</v>
      </c>
      <c r="K12" s="37">
        <v>26</v>
      </c>
      <c r="N12" s="43" t="s">
        <v>3</v>
      </c>
      <c r="O12" s="45" t="s">
        <v>17</v>
      </c>
    </row>
    <row r="13" spans="1:15" ht="14.25" x14ac:dyDescent="0.45">
      <c r="A13" s="26"/>
      <c r="B13" s="9"/>
      <c r="C13" s="34"/>
      <c r="E13" s="29">
        <v>45767</v>
      </c>
      <c r="F13" s="9" t="s">
        <v>8</v>
      </c>
      <c r="G13" s="37">
        <v>6</v>
      </c>
      <c r="I13" s="29"/>
      <c r="J13" s="11" t="s">
        <v>12</v>
      </c>
      <c r="K13" s="37">
        <v>5.0999999999999996</v>
      </c>
      <c r="N13" s="44" t="s">
        <v>8</v>
      </c>
      <c r="O13" s="41">
        <f>SUMIF(F6:F130,"Ginger",G6:G130)</f>
        <v>153</v>
      </c>
    </row>
    <row r="14" spans="1:15" ht="14.25" x14ac:dyDescent="0.45">
      <c r="A14" s="26"/>
      <c r="B14" s="9"/>
      <c r="C14" s="34"/>
      <c r="E14" s="29">
        <v>45768</v>
      </c>
      <c r="F14" s="9" t="s">
        <v>8</v>
      </c>
      <c r="G14" s="37">
        <v>10</v>
      </c>
      <c r="I14" s="29"/>
      <c r="J14" s="11" t="s">
        <v>12</v>
      </c>
      <c r="K14" s="37">
        <v>9</v>
      </c>
      <c r="M14" s="46"/>
      <c r="N14" s="44" t="s">
        <v>9</v>
      </c>
      <c r="O14" s="41">
        <f>SUMIF(F6:F124,"Garlic",G6:G124)</f>
        <v>180.3</v>
      </c>
    </row>
    <row r="15" spans="1:15" x14ac:dyDescent="0.25">
      <c r="A15" s="26"/>
      <c r="B15" s="9"/>
      <c r="C15" s="34"/>
      <c r="E15" s="29">
        <v>45769</v>
      </c>
      <c r="F15" s="9" t="s">
        <v>9</v>
      </c>
      <c r="G15" s="37">
        <v>20</v>
      </c>
      <c r="I15" s="29"/>
      <c r="J15" s="11" t="s">
        <v>11</v>
      </c>
      <c r="K15" s="37">
        <v>18</v>
      </c>
      <c r="N15" s="44" t="s">
        <v>13</v>
      </c>
      <c r="O15" s="41">
        <f>SUMIF(F6:F124,"Broken Garlic",G6:G124)</f>
        <v>22</v>
      </c>
    </row>
    <row r="16" spans="1:15" x14ac:dyDescent="0.25">
      <c r="A16" s="26"/>
      <c r="B16" s="9"/>
      <c r="C16" s="34"/>
      <c r="E16" s="29">
        <v>45769</v>
      </c>
      <c r="F16" s="9" t="s">
        <v>9</v>
      </c>
      <c r="G16" s="37">
        <v>34.5</v>
      </c>
      <c r="I16" s="29"/>
      <c r="J16" s="11" t="s">
        <v>11</v>
      </c>
      <c r="K16" s="37">
        <v>29</v>
      </c>
    </row>
    <row r="17" spans="1:15" x14ac:dyDescent="0.25">
      <c r="A17" s="26"/>
      <c r="B17" s="9"/>
      <c r="C17" s="34"/>
      <c r="E17" s="29">
        <v>45771</v>
      </c>
      <c r="F17" s="9" t="s">
        <v>8</v>
      </c>
      <c r="G17" s="37">
        <v>20</v>
      </c>
      <c r="I17" s="29"/>
      <c r="J17" s="11" t="s">
        <v>11</v>
      </c>
      <c r="K17" s="37">
        <v>18.5</v>
      </c>
    </row>
    <row r="18" spans="1:15" x14ac:dyDescent="0.25">
      <c r="A18" s="26"/>
      <c r="B18" s="9"/>
      <c r="C18" s="34"/>
      <c r="E18" s="29">
        <v>45771</v>
      </c>
      <c r="F18" s="9" t="s">
        <v>9</v>
      </c>
      <c r="G18" s="37">
        <v>20</v>
      </c>
      <c r="I18" s="29"/>
      <c r="J18" s="11" t="s">
        <v>11</v>
      </c>
      <c r="K18" s="37">
        <v>16.149999999999999</v>
      </c>
      <c r="N18" s="43" t="s">
        <v>4</v>
      </c>
      <c r="O18" s="45" t="s">
        <v>17</v>
      </c>
    </row>
    <row r="19" spans="1:15" x14ac:dyDescent="0.25">
      <c r="A19" s="26">
        <v>45771</v>
      </c>
      <c r="B19" s="9" t="s">
        <v>13</v>
      </c>
      <c r="C19" s="34">
        <v>3</v>
      </c>
      <c r="E19" s="29">
        <v>45772</v>
      </c>
      <c r="F19" s="9" t="s">
        <v>8</v>
      </c>
      <c r="G19" s="37">
        <v>20</v>
      </c>
      <c r="I19" s="29">
        <v>45772</v>
      </c>
      <c r="J19" s="11" t="s">
        <v>12</v>
      </c>
      <c r="K19" s="37">
        <v>17.5</v>
      </c>
      <c r="N19" s="44" t="s">
        <v>12</v>
      </c>
      <c r="O19" s="41">
        <f>SUMIF(J6:J124,"Ginger Peeled",K6:K124)</f>
        <v>73</v>
      </c>
    </row>
    <row r="20" spans="1:15" x14ac:dyDescent="0.25">
      <c r="A20" s="26"/>
      <c r="B20" s="9" t="s">
        <v>13</v>
      </c>
      <c r="C20" s="34">
        <v>10</v>
      </c>
      <c r="E20" s="29"/>
      <c r="F20" s="9"/>
      <c r="G20" s="37"/>
      <c r="I20" s="29">
        <v>45773</v>
      </c>
      <c r="J20" s="11" t="s">
        <v>10</v>
      </c>
      <c r="K20" s="37">
        <v>15.73</v>
      </c>
      <c r="N20" s="44" t="s">
        <v>11</v>
      </c>
      <c r="O20" s="41">
        <f>SUMIF(J6:J124,"Garlic Peeled",K6:K124)</f>
        <v>156.15</v>
      </c>
    </row>
    <row r="21" spans="1:15" x14ac:dyDescent="0.25">
      <c r="A21" s="26"/>
      <c r="B21" s="9" t="s">
        <v>13</v>
      </c>
      <c r="C21" s="34">
        <v>8.9</v>
      </c>
      <c r="E21" s="29"/>
      <c r="F21" s="9"/>
      <c r="G21" s="37"/>
      <c r="I21" s="29">
        <v>45773</v>
      </c>
      <c r="J21" s="11" t="s">
        <v>11</v>
      </c>
      <c r="K21" s="37">
        <v>4</v>
      </c>
      <c r="N21" s="44" t="s">
        <v>10</v>
      </c>
      <c r="O21" s="41">
        <f>SUMIF(J6:J124,"Ginger Garlic Paste",K6:K124)</f>
        <v>135.32</v>
      </c>
    </row>
    <row r="22" spans="1:15" x14ac:dyDescent="0.25">
      <c r="A22" s="26"/>
      <c r="B22" s="9" t="s">
        <v>8</v>
      </c>
      <c r="C22" s="34">
        <v>54</v>
      </c>
      <c r="E22" s="29"/>
      <c r="F22" s="9"/>
      <c r="G22" s="37"/>
      <c r="I22" s="29">
        <v>45773</v>
      </c>
      <c r="J22" s="11" t="s">
        <v>10</v>
      </c>
      <c r="K22" s="37">
        <v>11.7</v>
      </c>
    </row>
    <row r="23" spans="1:15" x14ac:dyDescent="0.25">
      <c r="A23" s="26"/>
      <c r="B23" s="9"/>
      <c r="C23" s="34"/>
      <c r="E23" s="29">
        <v>45775</v>
      </c>
      <c r="F23" s="9" t="s">
        <v>13</v>
      </c>
      <c r="G23" s="37">
        <v>22</v>
      </c>
      <c r="I23" s="29">
        <v>45775</v>
      </c>
      <c r="J23" s="11" t="s">
        <v>10</v>
      </c>
      <c r="K23" s="37">
        <v>20.13</v>
      </c>
    </row>
    <row r="24" spans="1:15" x14ac:dyDescent="0.25">
      <c r="A24" s="26"/>
      <c r="B24" s="9"/>
      <c r="C24" s="34"/>
      <c r="E24" s="29">
        <v>45775</v>
      </c>
      <c r="F24" s="9" t="s">
        <v>8</v>
      </c>
      <c r="G24" s="37">
        <v>18</v>
      </c>
      <c r="I24" s="29">
        <v>45775</v>
      </c>
      <c r="J24" s="11" t="s">
        <v>10</v>
      </c>
      <c r="K24" s="37">
        <v>23.36</v>
      </c>
    </row>
    <row r="25" spans="1:15" x14ac:dyDescent="0.25">
      <c r="A25" s="26"/>
      <c r="B25" s="9"/>
      <c r="C25" s="34"/>
      <c r="E25" s="29">
        <v>45775</v>
      </c>
      <c r="F25" s="9" t="s">
        <v>8</v>
      </c>
      <c r="G25" s="37">
        <v>6</v>
      </c>
      <c r="I25" s="29">
        <v>45775</v>
      </c>
      <c r="J25" s="11" t="s">
        <v>10</v>
      </c>
      <c r="K25" s="37">
        <v>11.5</v>
      </c>
    </row>
    <row r="26" spans="1:15" x14ac:dyDescent="0.25">
      <c r="A26" s="26"/>
      <c r="B26" s="9"/>
      <c r="C26" s="34"/>
      <c r="E26" s="29" t="s">
        <v>15</v>
      </c>
      <c r="F26" s="9" t="s">
        <v>8</v>
      </c>
      <c r="G26" s="37">
        <v>15.5</v>
      </c>
      <c r="I26" s="29" t="s">
        <v>15</v>
      </c>
      <c r="J26" s="11" t="s">
        <v>10</v>
      </c>
      <c r="K26" s="37">
        <v>17.3</v>
      </c>
    </row>
    <row r="27" spans="1:15" x14ac:dyDescent="0.25">
      <c r="A27" s="26"/>
      <c r="B27" s="9"/>
      <c r="C27" s="34"/>
      <c r="E27" s="29" t="s">
        <v>15</v>
      </c>
      <c r="F27" s="9" t="s">
        <v>9</v>
      </c>
      <c r="G27" s="37">
        <v>15</v>
      </c>
      <c r="I27" s="29" t="s">
        <v>15</v>
      </c>
      <c r="J27" s="11" t="s">
        <v>10</v>
      </c>
      <c r="K27" s="37">
        <v>12.4</v>
      </c>
    </row>
    <row r="28" spans="1:15" x14ac:dyDescent="0.25">
      <c r="A28" s="26">
        <v>45777</v>
      </c>
      <c r="B28" s="9" t="s">
        <v>13</v>
      </c>
      <c r="C28" s="34">
        <v>15.5</v>
      </c>
      <c r="E28" s="29" t="s">
        <v>16</v>
      </c>
      <c r="F28" s="9" t="s">
        <v>8</v>
      </c>
      <c r="G28" s="37">
        <v>10.5</v>
      </c>
      <c r="I28" s="29" t="s">
        <v>16</v>
      </c>
      <c r="J28" s="11" t="s">
        <v>10</v>
      </c>
      <c r="K28" s="37">
        <v>23.2</v>
      </c>
    </row>
    <row r="29" spans="1:15" x14ac:dyDescent="0.25">
      <c r="A29" s="26"/>
      <c r="B29" s="9" t="s">
        <v>9</v>
      </c>
      <c r="C29" s="34">
        <v>38.5</v>
      </c>
      <c r="E29" s="29" t="s">
        <v>16</v>
      </c>
      <c r="F29" s="9" t="s">
        <v>9</v>
      </c>
      <c r="G29" s="37">
        <v>10.8</v>
      </c>
      <c r="I29" s="29"/>
      <c r="J29" s="11"/>
      <c r="K29" s="37"/>
    </row>
    <row r="30" spans="1:15" x14ac:dyDescent="0.25">
      <c r="A30" s="26"/>
      <c r="B30" s="9"/>
      <c r="C30" s="34"/>
      <c r="E30" s="29"/>
      <c r="F30" s="9"/>
      <c r="G30" s="37"/>
      <c r="I30" s="29"/>
      <c r="J30" s="11"/>
      <c r="K30" s="37"/>
    </row>
    <row r="31" spans="1:15" x14ac:dyDescent="0.25">
      <c r="A31" s="26"/>
      <c r="B31" s="9"/>
      <c r="C31" s="34"/>
      <c r="E31" s="29"/>
      <c r="F31" s="9"/>
      <c r="G31" s="37"/>
      <c r="I31" s="29"/>
      <c r="J31" s="11"/>
      <c r="K31" s="37"/>
    </row>
    <row r="32" spans="1:15" x14ac:dyDescent="0.25">
      <c r="A32" s="26"/>
      <c r="B32" s="9"/>
      <c r="C32" s="34"/>
      <c r="E32" s="29"/>
      <c r="F32" s="9"/>
      <c r="G32" s="37"/>
      <c r="I32" s="29"/>
      <c r="J32" s="11"/>
      <c r="K32" s="37"/>
    </row>
    <row r="33" spans="1:11" x14ac:dyDescent="0.25">
      <c r="A33" s="26"/>
      <c r="B33" s="9"/>
      <c r="C33" s="34"/>
      <c r="E33" s="29"/>
      <c r="F33" s="9"/>
      <c r="G33" s="37"/>
      <c r="I33" s="29"/>
      <c r="J33" s="11"/>
      <c r="K33" s="37"/>
    </row>
    <row r="34" spans="1:11" x14ac:dyDescent="0.25">
      <c r="A34" s="26"/>
      <c r="B34" s="9"/>
      <c r="C34" s="34"/>
      <c r="E34" s="29"/>
      <c r="F34" s="9"/>
      <c r="G34" s="37"/>
      <c r="I34" s="29"/>
      <c r="J34" s="11"/>
      <c r="K34" s="37"/>
    </row>
    <row r="35" spans="1:11" x14ac:dyDescent="0.25">
      <c r="A35" s="26"/>
      <c r="B35" s="9"/>
      <c r="C35" s="34"/>
      <c r="E35" s="29"/>
      <c r="F35" s="9"/>
      <c r="G35" s="37"/>
      <c r="I35" s="29"/>
      <c r="J35" s="11"/>
      <c r="K35" s="37"/>
    </row>
    <row r="36" spans="1:11" x14ac:dyDescent="0.25">
      <c r="A36" s="26"/>
      <c r="B36" s="9"/>
      <c r="C36" s="34"/>
      <c r="E36" s="29"/>
      <c r="F36" s="9"/>
      <c r="G36" s="37"/>
      <c r="I36" s="29"/>
      <c r="J36" s="11"/>
      <c r="K36" s="37"/>
    </row>
    <row r="37" spans="1:11" x14ac:dyDescent="0.25">
      <c r="A37" s="26"/>
      <c r="B37" s="9"/>
      <c r="C37" s="34"/>
      <c r="E37" s="29"/>
      <c r="F37" s="9"/>
      <c r="G37" s="37"/>
      <c r="I37" s="29"/>
      <c r="J37" s="23"/>
      <c r="K37" s="37"/>
    </row>
    <row r="38" spans="1:11" x14ac:dyDescent="0.25">
      <c r="A38" s="26"/>
      <c r="B38" s="9"/>
      <c r="C38" s="34"/>
      <c r="E38" s="29"/>
      <c r="F38" s="9"/>
      <c r="G38" s="37"/>
      <c r="I38" s="29"/>
      <c r="J38" s="11"/>
      <c r="K38" s="37"/>
    </row>
    <row r="39" spans="1:11" x14ac:dyDescent="0.25">
      <c r="A39" s="26"/>
      <c r="B39" s="9"/>
      <c r="C39" s="34"/>
      <c r="E39" s="29"/>
      <c r="F39" s="9"/>
      <c r="G39" s="37"/>
      <c r="I39" s="29"/>
      <c r="J39" s="11"/>
      <c r="K39" s="37"/>
    </row>
    <row r="40" spans="1:11" x14ac:dyDescent="0.25">
      <c r="A40" s="26"/>
      <c r="B40" s="9"/>
      <c r="C40" s="34"/>
      <c r="E40" s="29"/>
      <c r="F40" s="9"/>
      <c r="G40" s="37"/>
      <c r="I40" s="29"/>
      <c r="J40" s="23"/>
      <c r="K40" s="37"/>
    </row>
    <row r="41" spans="1:11" x14ac:dyDescent="0.25">
      <c r="A41" s="26"/>
      <c r="B41" s="9"/>
      <c r="C41" s="34"/>
      <c r="E41" s="29"/>
      <c r="F41" s="9"/>
      <c r="G41" s="37"/>
      <c r="I41" s="29"/>
      <c r="J41" s="11"/>
      <c r="K41" s="37"/>
    </row>
    <row r="42" spans="1:11" x14ac:dyDescent="0.25">
      <c r="A42" s="26"/>
      <c r="B42" s="9"/>
      <c r="C42" s="34"/>
      <c r="E42" s="29"/>
      <c r="F42" s="9"/>
      <c r="G42" s="37"/>
      <c r="I42" s="29"/>
      <c r="J42" s="11"/>
      <c r="K42" s="37"/>
    </row>
    <row r="43" spans="1:11" x14ac:dyDescent="0.25">
      <c r="A43" s="26"/>
      <c r="B43" s="9"/>
      <c r="C43" s="34"/>
      <c r="E43" s="29"/>
      <c r="F43" s="9"/>
      <c r="G43" s="37"/>
      <c r="I43" s="29"/>
      <c r="J43" s="23"/>
      <c r="K43" s="37"/>
    </row>
    <row r="44" spans="1:11" x14ac:dyDescent="0.25">
      <c r="A44" s="26"/>
      <c r="B44" s="9"/>
      <c r="C44" s="34"/>
      <c r="E44" s="29"/>
      <c r="F44" s="9"/>
      <c r="G44" s="37"/>
      <c r="I44" s="29"/>
      <c r="J44" s="11"/>
      <c r="K44" s="37"/>
    </row>
    <row r="45" spans="1:11" x14ac:dyDescent="0.25">
      <c r="A45" s="26"/>
      <c r="B45" s="9"/>
      <c r="C45" s="34"/>
      <c r="E45" s="29"/>
      <c r="F45" s="9"/>
      <c r="G45" s="37"/>
      <c r="I45" s="29"/>
      <c r="J45" s="11"/>
      <c r="K45" s="37"/>
    </row>
    <row r="46" spans="1:11" x14ac:dyDescent="0.25">
      <c r="A46" s="26"/>
      <c r="B46" s="9"/>
      <c r="C46" s="34"/>
      <c r="E46" s="29"/>
      <c r="F46" s="9"/>
      <c r="G46" s="37"/>
      <c r="I46" s="29"/>
      <c r="J46" s="23"/>
      <c r="K46" s="37"/>
    </row>
    <row r="47" spans="1:11" x14ac:dyDescent="0.25">
      <c r="A47" s="26"/>
      <c r="B47" s="9"/>
      <c r="C47" s="34"/>
      <c r="E47" s="29"/>
      <c r="F47" s="9"/>
      <c r="G47" s="37"/>
      <c r="I47" s="29"/>
      <c r="J47" s="11"/>
      <c r="K47" s="37"/>
    </row>
    <row r="48" spans="1:11" x14ac:dyDescent="0.25">
      <c r="A48" s="26"/>
      <c r="B48" s="9"/>
      <c r="C48" s="34"/>
      <c r="E48" s="29"/>
      <c r="F48" s="9"/>
      <c r="G48" s="37"/>
      <c r="I48" s="29"/>
      <c r="J48" s="11"/>
      <c r="K48" s="37"/>
    </row>
    <row r="49" spans="1:11" x14ac:dyDescent="0.25">
      <c r="A49" s="26"/>
      <c r="B49" s="9"/>
      <c r="C49" s="34"/>
      <c r="E49" s="29"/>
      <c r="F49" s="9"/>
      <c r="G49" s="37"/>
      <c r="I49" s="29"/>
      <c r="J49" s="23"/>
      <c r="K49" s="37"/>
    </row>
    <row r="50" spans="1:11" x14ac:dyDescent="0.25">
      <c r="A50" s="26"/>
      <c r="B50" s="9"/>
      <c r="C50" s="34"/>
      <c r="E50" s="29"/>
      <c r="F50" s="9"/>
      <c r="G50" s="37"/>
      <c r="I50" s="29"/>
      <c r="J50" s="11"/>
      <c r="K50" s="37"/>
    </row>
    <row r="51" spans="1:11" x14ac:dyDescent="0.25">
      <c r="A51" s="26"/>
      <c r="B51" s="9"/>
      <c r="C51" s="34"/>
      <c r="E51" s="29"/>
      <c r="F51" s="9"/>
      <c r="G51" s="37"/>
      <c r="I51" s="29"/>
      <c r="J51" s="11"/>
      <c r="K51" s="37"/>
    </row>
    <row r="52" spans="1:11" x14ac:dyDescent="0.25">
      <c r="A52" s="26"/>
      <c r="B52" s="9"/>
      <c r="C52" s="34"/>
      <c r="E52" s="29"/>
      <c r="F52" s="9"/>
      <c r="G52" s="37"/>
      <c r="I52" s="29"/>
      <c r="J52" s="23"/>
      <c r="K52" s="37"/>
    </row>
    <row r="53" spans="1:11" x14ac:dyDescent="0.25">
      <c r="A53" s="26"/>
      <c r="B53" s="9"/>
      <c r="C53" s="34"/>
      <c r="E53" s="29"/>
      <c r="F53" s="9"/>
      <c r="G53" s="37"/>
      <c r="I53" s="29"/>
      <c r="J53" s="11"/>
      <c r="K53" s="37"/>
    </row>
    <row r="54" spans="1:11" x14ac:dyDescent="0.25">
      <c r="A54" s="26"/>
      <c r="B54" s="9"/>
      <c r="C54" s="34"/>
      <c r="E54" s="29"/>
      <c r="F54" s="9"/>
      <c r="G54" s="37"/>
      <c r="I54" s="29"/>
      <c r="J54" s="11"/>
      <c r="K54" s="37"/>
    </row>
    <row r="55" spans="1:11" x14ac:dyDescent="0.25">
      <c r="A55" s="26"/>
      <c r="B55" s="9"/>
      <c r="C55" s="34"/>
      <c r="E55" s="29"/>
      <c r="F55" s="9"/>
      <c r="G55" s="37"/>
      <c r="I55" s="29"/>
      <c r="J55" s="23"/>
      <c r="K55" s="37"/>
    </row>
    <row r="56" spans="1:11" x14ac:dyDescent="0.25">
      <c r="A56" s="26"/>
      <c r="B56" s="9"/>
      <c r="C56" s="34"/>
      <c r="E56" s="29"/>
      <c r="F56" s="9"/>
      <c r="G56" s="37"/>
      <c r="I56" s="29"/>
      <c r="J56" s="11"/>
      <c r="K56" s="37"/>
    </row>
    <row r="57" spans="1:11" x14ac:dyDescent="0.25">
      <c r="A57" s="26"/>
      <c r="B57" s="9"/>
      <c r="C57" s="34"/>
      <c r="E57" s="29"/>
      <c r="F57" s="9"/>
      <c r="G57" s="37"/>
      <c r="I57" s="29"/>
      <c r="J57" s="11"/>
      <c r="K57" s="37"/>
    </row>
    <row r="58" spans="1:11" x14ac:dyDescent="0.25">
      <c r="A58" s="26"/>
      <c r="B58" s="9"/>
      <c r="C58" s="34"/>
      <c r="E58" s="29"/>
      <c r="F58" s="9"/>
      <c r="G58" s="37"/>
      <c r="I58" s="29"/>
      <c r="J58" s="23"/>
      <c r="K58" s="37"/>
    </row>
    <row r="59" spans="1:11" x14ac:dyDescent="0.25">
      <c r="A59" s="26"/>
      <c r="B59" s="9"/>
      <c r="C59" s="34"/>
      <c r="E59" s="29"/>
      <c r="F59" s="9"/>
      <c r="G59" s="37"/>
      <c r="I59" s="29"/>
      <c r="J59" s="11"/>
      <c r="K59" s="37"/>
    </row>
    <row r="60" spans="1:11" x14ac:dyDescent="0.25">
      <c r="A60" s="26"/>
      <c r="B60" s="9"/>
      <c r="C60" s="34"/>
      <c r="E60" s="29"/>
      <c r="F60" s="9"/>
      <c r="G60" s="37"/>
      <c r="I60" s="29"/>
      <c r="J60" s="11"/>
      <c r="K60" s="37"/>
    </row>
    <row r="61" spans="1:11" x14ac:dyDescent="0.25">
      <c r="A61" s="26"/>
      <c r="B61" s="9"/>
      <c r="C61" s="34"/>
      <c r="E61" s="29"/>
      <c r="F61" s="9"/>
      <c r="G61" s="37"/>
      <c r="I61" s="29"/>
      <c r="J61" s="23"/>
      <c r="K61" s="37"/>
    </row>
    <row r="62" spans="1:11" x14ac:dyDescent="0.25">
      <c r="A62" s="26"/>
      <c r="B62" s="9"/>
      <c r="C62" s="34"/>
      <c r="E62" s="29"/>
      <c r="F62" s="9"/>
      <c r="G62" s="37"/>
      <c r="I62" s="29"/>
      <c r="J62" s="11"/>
      <c r="K62" s="37"/>
    </row>
    <row r="63" spans="1:11" x14ac:dyDescent="0.25">
      <c r="A63" s="26"/>
      <c r="B63" s="9"/>
      <c r="C63" s="34"/>
      <c r="E63" s="29"/>
      <c r="F63" s="9"/>
      <c r="G63" s="37"/>
      <c r="I63" s="29"/>
      <c r="J63" s="11"/>
      <c r="K63" s="37"/>
    </row>
    <row r="64" spans="1:11" x14ac:dyDescent="0.25">
      <c r="A64" s="26"/>
      <c r="B64" s="9"/>
      <c r="C64" s="34"/>
      <c r="E64" s="29"/>
      <c r="F64" s="9"/>
      <c r="G64" s="37"/>
      <c r="I64" s="29"/>
      <c r="J64" s="23"/>
      <c r="K64" s="37"/>
    </row>
    <row r="65" spans="1:11" x14ac:dyDescent="0.25">
      <c r="A65" s="26"/>
      <c r="B65" s="9"/>
      <c r="C65" s="34"/>
      <c r="E65" s="29"/>
      <c r="F65" s="9"/>
      <c r="G65" s="37"/>
      <c r="I65" s="29"/>
      <c r="J65" s="11"/>
      <c r="K65" s="37"/>
    </row>
    <row r="66" spans="1:11" x14ac:dyDescent="0.25">
      <c r="A66" s="26"/>
      <c r="B66" s="9"/>
      <c r="C66" s="34"/>
      <c r="E66" s="29"/>
      <c r="F66" s="9"/>
      <c r="G66" s="37"/>
      <c r="I66" s="29"/>
      <c r="J66" s="11"/>
      <c r="K66" s="37"/>
    </row>
    <row r="67" spans="1:11" x14ac:dyDescent="0.25">
      <c r="A67" s="26"/>
      <c r="B67" s="9"/>
      <c r="C67" s="34"/>
      <c r="E67" s="29"/>
      <c r="F67" s="9"/>
      <c r="G67" s="37"/>
      <c r="I67" s="29"/>
      <c r="J67" s="23"/>
      <c r="K67" s="37"/>
    </row>
    <row r="68" spans="1:11" x14ac:dyDescent="0.25">
      <c r="A68" s="26"/>
      <c r="B68" s="9"/>
      <c r="C68" s="34"/>
      <c r="E68" s="29"/>
      <c r="F68" s="9"/>
      <c r="G68" s="37"/>
      <c r="I68" s="29"/>
      <c r="J68" s="11"/>
      <c r="K68" s="37"/>
    </row>
    <row r="69" spans="1:11" x14ac:dyDescent="0.25">
      <c r="A69" s="26"/>
      <c r="B69" s="9"/>
      <c r="C69" s="34"/>
      <c r="E69" s="29"/>
      <c r="F69" s="9"/>
      <c r="G69" s="37"/>
      <c r="I69" s="29"/>
      <c r="J69" s="11"/>
      <c r="K69" s="37"/>
    </row>
    <row r="70" spans="1:11" x14ac:dyDescent="0.25">
      <c r="A70" s="26"/>
      <c r="B70" s="9"/>
      <c r="C70" s="34"/>
      <c r="E70" s="29"/>
      <c r="F70" s="9"/>
      <c r="G70" s="37"/>
      <c r="I70" s="29"/>
      <c r="J70" s="23"/>
      <c r="K70" s="37"/>
    </row>
    <row r="71" spans="1:11" x14ac:dyDescent="0.25">
      <c r="A71" s="26"/>
      <c r="B71" s="9"/>
      <c r="C71" s="34"/>
      <c r="E71" s="29"/>
      <c r="F71" s="9"/>
      <c r="G71" s="37"/>
      <c r="I71" s="29"/>
      <c r="J71" s="11"/>
      <c r="K71" s="37"/>
    </row>
    <row r="72" spans="1:11" x14ac:dyDescent="0.25">
      <c r="A72" s="26"/>
      <c r="B72" s="9"/>
      <c r="C72" s="34"/>
      <c r="E72" s="29"/>
      <c r="F72" s="9"/>
      <c r="G72" s="37"/>
      <c r="I72" s="29"/>
      <c r="J72" s="11"/>
      <c r="K72" s="37"/>
    </row>
    <row r="73" spans="1:11" x14ac:dyDescent="0.25">
      <c r="A73" s="26"/>
      <c r="B73" s="9"/>
      <c r="C73" s="34"/>
      <c r="E73" s="29"/>
      <c r="F73" s="9"/>
      <c r="G73" s="37"/>
      <c r="I73" s="29"/>
      <c r="J73" s="23"/>
      <c r="K73" s="37"/>
    </row>
    <row r="74" spans="1:11" x14ac:dyDescent="0.25">
      <c r="A74" s="26"/>
      <c r="B74" s="9"/>
      <c r="C74" s="34"/>
      <c r="E74" s="29"/>
      <c r="F74" s="9"/>
      <c r="G74" s="37"/>
      <c r="I74" s="29"/>
      <c r="J74" s="11"/>
      <c r="K74" s="37"/>
    </row>
    <row r="75" spans="1:11" x14ac:dyDescent="0.25">
      <c r="A75" s="26"/>
      <c r="B75" s="9"/>
      <c r="C75" s="34"/>
      <c r="E75" s="29"/>
      <c r="F75" s="9"/>
      <c r="G75" s="37"/>
      <c r="I75" s="29"/>
      <c r="J75" s="11"/>
      <c r="K75" s="37"/>
    </row>
    <row r="76" spans="1:11" x14ac:dyDescent="0.25">
      <c r="A76" s="26"/>
      <c r="B76" s="9"/>
      <c r="C76" s="34"/>
      <c r="E76" s="29"/>
      <c r="F76" s="9"/>
      <c r="G76" s="37"/>
      <c r="I76" s="29"/>
      <c r="J76" s="23"/>
      <c r="K76" s="37"/>
    </row>
    <row r="77" spans="1:11" x14ac:dyDescent="0.25">
      <c r="A77" s="26"/>
      <c r="B77" s="9"/>
      <c r="C77" s="34"/>
      <c r="E77" s="29"/>
      <c r="F77" s="9"/>
      <c r="G77" s="37"/>
      <c r="I77" s="29"/>
      <c r="J77" s="11"/>
      <c r="K77" s="37"/>
    </row>
    <row r="78" spans="1:11" x14ac:dyDescent="0.25">
      <c r="A78" s="26"/>
      <c r="B78" s="9"/>
      <c r="C78" s="34"/>
      <c r="E78" s="29"/>
      <c r="F78" s="9"/>
      <c r="G78" s="37"/>
      <c r="I78" s="29"/>
      <c r="J78" s="11"/>
      <c r="K78" s="37"/>
    </row>
    <row r="79" spans="1:11" x14ac:dyDescent="0.25">
      <c r="A79" s="26"/>
      <c r="B79" s="9"/>
      <c r="C79" s="34"/>
      <c r="E79" s="29"/>
      <c r="F79" s="9"/>
      <c r="G79" s="37"/>
      <c r="I79" s="29"/>
      <c r="J79" s="23"/>
      <c r="K79" s="37"/>
    </row>
    <row r="80" spans="1:11" x14ac:dyDescent="0.25">
      <c r="A80" s="26"/>
      <c r="B80" s="9"/>
      <c r="C80" s="34"/>
      <c r="E80" s="29"/>
      <c r="F80" s="9"/>
      <c r="G80" s="37"/>
      <c r="I80" s="29"/>
      <c r="J80" s="11"/>
      <c r="K80" s="37"/>
    </row>
    <row r="81" spans="1:11" x14ac:dyDescent="0.25">
      <c r="A81" s="26"/>
      <c r="B81" s="9"/>
      <c r="C81" s="34"/>
      <c r="E81" s="29"/>
      <c r="F81" s="9"/>
      <c r="G81" s="37"/>
      <c r="I81" s="29"/>
      <c r="J81" s="11"/>
      <c r="K81" s="37"/>
    </row>
    <row r="82" spans="1:11" x14ac:dyDescent="0.25">
      <c r="A82" s="26"/>
      <c r="B82" s="9"/>
      <c r="C82" s="34"/>
      <c r="E82" s="29"/>
      <c r="F82" s="9"/>
      <c r="G82" s="37"/>
      <c r="I82" s="29"/>
      <c r="J82" s="23"/>
      <c r="K82" s="37"/>
    </row>
    <row r="83" spans="1:11" x14ac:dyDescent="0.25">
      <c r="A83" s="26"/>
      <c r="B83" s="9"/>
      <c r="C83" s="34"/>
      <c r="E83" s="29"/>
      <c r="F83" s="9"/>
      <c r="G83" s="37"/>
      <c r="I83" s="29"/>
      <c r="J83" s="11"/>
      <c r="K83" s="37"/>
    </row>
    <row r="84" spans="1:11" x14ac:dyDescent="0.25">
      <c r="A84" s="26"/>
      <c r="B84" s="9"/>
      <c r="C84" s="34"/>
      <c r="E84" s="29"/>
      <c r="F84" s="9"/>
      <c r="G84" s="37"/>
      <c r="I84" s="29"/>
      <c r="J84" s="11"/>
      <c r="K84" s="37"/>
    </row>
    <row r="85" spans="1:11" x14ac:dyDescent="0.25">
      <c r="A85" s="26"/>
      <c r="B85" s="9"/>
      <c r="C85" s="34"/>
      <c r="E85" s="29"/>
      <c r="F85" s="9"/>
      <c r="G85" s="37"/>
      <c r="I85" s="29"/>
      <c r="J85" s="23"/>
      <c r="K85" s="37"/>
    </row>
    <row r="86" spans="1:11" x14ac:dyDescent="0.25">
      <c r="A86" s="26"/>
      <c r="B86" s="9"/>
      <c r="C86" s="34"/>
      <c r="E86" s="29"/>
      <c r="F86" s="9"/>
      <c r="G86" s="37"/>
      <c r="I86" s="29"/>
      <c r="J86" s="11"/>
      <c r="K86" s="37"/>
    </row>
    <row r="87" spans="1:11" x14ac:dyDescent="0.25">
      <c r="A87" s="26"/>
      <c r="B87" s="9"/>
      <c r="C87" s="34"/>
      <c r="E87" s="29"/>
      <c r="F87" s="9"/>
      <c r="G87" s="37"/>
      <c r="I87" s="29"/>
      <c r="J87" s="11"/>
      <c r="K87" s="37"/>
    </row>
    <row r="88" spans="1:11" x14ac:dyDescent="0.25">
      <c r="A88" s="26"/>
      <c r="B88" s="9"/>
      <c r="C88" s="34"/>
      <c r="E88" s="29"/>
      <c r="F88" s="9"/>
      <c r="G88" s="37"/>
      <c r="I88" s="29"/>
      <c r="J88" s="23"/>
      <c r="K88" s="37"/>
    </row>
    <row r="89" spans="1:11" x14ac:dyDescent="0.25">
      <c r="A89" s="26"/>
      <c r="B89" s="9"/>
      <c r="C89" s="34"/>
      <c r="E89" s="29"/>
      <c r="F89" s="9"/>
      <c r="G89" s="37"/>
      <c r="I89" s="29"/>
      <c r="J89" s="11"/>
      <c r="K89" s="37"/>
    </row>
    <row r="90" spans="1:11" x14ac:dyDescent="0.25">
      <c r="A90" s="26"/>
      <c r="B90" s="9"/>
      <c r="C90" s="34"/>
      <c r="E90" s="29"/>
      <c r="F90" s="9"/>
      <c r="G90" s="37"/>
      <c r="I90" s="29"/>
      <c r="J90" s="11"/>
      <c r="K90" s="37"/>
    </row>
    <row r="91" spans="1:11" x14ac:dyDescent="0.25">
      <c r="A91" s="26"/>
      <c r="B91" s="9"/>
      <c r="C91" s="34"/>
      <c r="E91" s="29"/>
      <c r="F91" s="9"/>
      <c r="G91" s="37"/>
      <c r="I91" s="29"/>
      <c r="J91" s="23"/>
      <c r="K91" s="37"/>
    </row>
    <row r="92" spans="1:11" x14ac:dyDescent="0.25">
      <c r="A92" s="26"/>
      <c r="B92" s="9"/>
      <c r="C92" s="34"/>
      <c r="E92" s="29"/>
      <c r="F92" s="9"/>
      <c r="G92" s="37"/>
      <c r="I92" s="29"/>
      <c r="J92" s="11"/>
      <c r="K92" s="37"/>
    </row>
    <row r="93" spans="1:11" x14ac:dyDescent="0.25">
      <c r="A93" s="26"/>
      <c r="B93" s="9"/>
      <c r="C93" s="34"/>
      <c r="E93" s="29"/>
      <c r="F93" s="9"/>
      <c r="G93" s="37"/>
      <c r="I93" s="29"/>
      <c r="J93" s="11"/>
      <c r="K93" s="37"/>
    </row>
    <row r="94" spans="1:11" x14ac:dyDescent="0.25">
      <c r="A94" s="26"/>
      <c r="B94" s="9"/>
      <c r="C94" s="34"/>
      <c r="E94" s="29"/>
      <c r="F94" s="9"/>
      <c r="G94" s="37"/>
      <c r="I94" s="29"/>
      <c r="J94" s="23"/>
      <c r="K94" s="37"/>
    </row>
    <row r="95" spans="1:11" x14ac:dyDescent="0.25">
      <c r="A95" s="26"/>
      <c r="B95" s="9"/>
      <c r="C95" s="34"/>
      <c r="E95" s="29"/>
      <c r="F95" s="9"/>
      <c r="G95" s="37"/>
      <c r="I95" s="29"/>
      <c r="J95" s="11"/>
      <c r="K95" s="37"/>
    </row>
    <row r="96" spans="1:11" x14ac:dyDescent="0.25">
      <c r="A96" s="26"/>
      <c r="B96" s="9"/>
      <c r="C96" s="34"/>
      <c r="E96" s="29"/>
      <c r="F96" s="9"/>
      <c r="G96" s="37"/>
      <c r="I96" s="29"/>
      <c r="J96" s="11"/>
      <c r="K96" s="37"/>
    </row>
    <row r="97" spans="1:11" x14ac:dyDescent="0.25">
      <c r="A97" s="26"/>
      <c r="B97" s="9"/>
      <c r="C97" s="34"/>
      <c r="E97" s="29"/>
      <c r="F97" s="9"/>
      <c r="G97" s="37"/>
      <c r="I97" s="29"/>
      <c r="J97" s="23"/>
      <c r="K97" s="37"/>
    </row>
    <row r="98" spans="1:11" x14ac:dyDescent="0.25">
      <c r="A98" s="26"/>
      <c r="B98" s="9"/>
      <c r="C98" s="34"/>
      <c r="E98" s="29"/>
      <c r="F98" s="9"/>
      <c r="G98" s="37"/>
      <c r="I98" s="29"/>
      <c r="J98" s="11"/>
      <c r="K98" s="37"/>
    </row>
    <row r="99" spans="1:11" x14ac:dyDescent="0.25">
      <c r="A99" s="26"/>
      <c r="B99" s="9"/>
      <c r="C99" s="34"/>
      <c r="E99" s="29"/>
      <c r="F99" s="9"/>
      <c r="G99" s="37"/>
      <c r="I99" s="29"/>
      <c r="J99" s="11"/>
      <c r="K99" s="37"/>
    </row>
    <row r="100" spans="1:11" x14ac:dyDescent="0.25">
      <c r="A100" s="26"/>
      <c r="B100" s="9"/>
      <c r="C100" s="34"/>
      <c r="E100" s="29"/>
      <c r="F100" s="9"/>
      <c r="G100" s="37"/>
      <c r="I100" s="29"/>
      <c r="J100" s="23"/>
      <c r="K100" s="37"/>
    </row>
    <row r="101" spans="1:11" x14ac:dyDescent="0.25">
      <c r="A101" s="26"/>
      <c r="B101" s="9"/>
      <c r="C101" s="34"/>
      <c r="E101" s="29"/>
      <c r="F101" s="9"/>
      <c r="G101" s="37"/>
      <c r="I101" s="29"/>
      <c r="J101" s="11"/>
      <c r="K101" s="37"/>
    </row>
    <row r="102" spans="1:11" x14ac:dyDescent="0.25">
      <c r="A102" s="26"/>
      <c r="B102" s="9"/>
      <c r="C102" s="34"/>
      <c r="E102" s="29"/>
      <c r="F102" s="9"/>
      <c r="G102" s="37"/>
      <c r="I102" s="29"/>
      <c r="J102" s="11"/>
      <c r="K102" s="37"/>
    </row>
    <row r="103" spans="1:11" x14ac:dyDescent="0.25">
      <c r="A103" s="26"/>
      <c r="B103" s="9"/>
      <c r="C103" s="34"/>
      <c r="E103" s="29"/>
      <c r="F103" s="9"/>
      <c r="G103" s="37"/>
      <c r="I103" s="29"/>
      <c r="J103" s="23"/>
      <c r="K103" s="37"/>
    </row>
    <row r="104" spans="1:11" x14ac:dyDescent="0.25">
      <c r="A104" s="26"/>
      <c r="B104" s="9"/>
      <c r="C104" s="34"/>
      <c r="E104" s="29"/>
      <c r="F104" s="9"/>
      <c r="G104" s="37"/>
      <c r="I104" s="29"/>
      <c r="J104" s="11"/>
      <c r="K104" s="37"/>
    </row>
    <row r="105" spans="1:11" x14ac:dyDescent="0.25">
      <c r="A105" s="26"/>
      <c r="B105" s="9"/>
      <c r="C105" s="34"/>
      <c r="E105" s="29"/>
      <c r="F105" s="9"/>
      <c r="G105" s="37"/>
      <c r="I105" s="29"/>
      <c r="J105" s="11"/>
      <c r="K105" s="37"/>
    </row>
    <row r="106" spans="1:11" x14ac:dyDescent="0.25">
      <c r="A106" s="26"/>
      <c r="B106" s="9"/>
      <c r="C106" s="34"/>
      <c r="E106" s="29"/>
      <c r="F106" s="9"/>
      <c r="G106" s="37"/>
      <c r="I106" s="29"/>
      <c r="J106" s="23"/>
      <c r="K106" s="37"/>
    </row>
    <row r="107" spans="1:11" x14ac:dyDescent="0.25">
      <c r="A107" s="26"/>
      <c r="B107" s="9"/>
      <c r="C107" s="34"/>
      <c r="E107" s="29"/>
      <c r="F107" s="9"/>
      <c r="G107" s="37"/>
      <c r="I107" s="29"/>
      <c r="J107" s="11"/>
      <c r="K107" s="37"/>
    </row>
    <row r="108" spans="1:11" x14ac:dyDescent="0.25">
      <c r="A108" s="26"/>
      <c r="B108" s="9"/>
      <c r="C108" s="34"/>
      <c r="E108" s="29"/>
      <c r="F108" s="9"/>
      <c r="G108" s="37"/>
      <c r="I108" s="29"/>
      <c r="J108" s="11"/>
      <c r="K108" s="37"/>
    </row>
    <row r="109" spans="1:11" x14ac:dyDescent="0.25">
      <c r="A109" s="26"/>
      <c r="B109" s="9"/>
      <c r="C109" s="34"/>
      <c r="E109" s="29"/>
      <c r="F109" s="9"/>
      <c r="G109" s="37"/>
      <c r="I109" s="29"/>
      <c r="J109" s="23"/>
      <c r="K109" s="37"/>
    </row>
    <row r="110" spans="1:11" x14ac:dyDescent="0.25">
      <c r="A110" s="26"/>
      <c r="B110" s="9"/>
      <c r="C110" s="34"/>
      <c r="E110" s="29"/>
      <c r="F110" s="9"/>
      <c r="G110" s="37"/>
      <c r="I110" s="29"/>
      <c r="J110" s="11"/>
      <c r="K110" s="37"/>
    </row>
    <row r="111" spans="1:11" x14ac:dyDescent="0.25">
      <c r="A111" s="26"/>
      <c r="B111" s="9"/>
      <c r="C111" s="34"/>
      <c r="E111" s="29"/>
      <c r="F111" s="9"/>
      <c r="G111" s="37"/>
      <c r="I111" s="29"/>
      <c r="J111" s="11"/>
      <c r="K111" s="37"/>
    </row>
    <row r="112" spans="1:11" x14ac:dyDescent="0.25">
      <c r="A112" s="26"/>
      <c r="B112" s="9"/>
      <c r="C112" s="34"/>
      <c r="E112" s="29"/>
      <c r="F112" s="9"/>
      <c r="G112" s="37"/>
      <c r="I112" s="29"/>
      <c r="J112" s="23"/>
      <c r="K112" s="37"/>
    </row>
    <row r="113" spans="1:11" x14ac:dyDescent="0.25">
      <c r="A113" s="26"/>
      <c r="B113" s="9"/>
      <c r="C113" s="34"/>
      <c r="E113" s="29"/>
      <c r="F113" s="9"/>
      <c r="G113" s="37"/>
      <c r="I113" s="29"/>
      <c r="J113" s="11"/>
      <c r="K113" s="37"/>
    </row>
    <row r="114" spans="1:11" x14ac:dyDescent="0.25">
      <c r="A114" s="26"/>
      <c r="B114" s="9"/>
      <c r="C114" s="34"/>
      <c r="E114" s="29"/>
      <c r="F114" s="9"/>
      <c r="G114" s="37"/>
      <c r="I114" s="29"/>
      <c r="J114" s="11"/>
      <c r="K114" s="37"/>
    </row>
    <row r="115" spans="1:11" x14ac:dyDescent="0.25">
      <c r="A115" s="26"/>
      <c r="B115" s="9"/>
      <c r="C115" s="34"/>
      <c r="E115" s="29"/>
      <c r="F115" s="9"/>
      <c r="G115" s="37"/>
      <c r="I115" s="29"/>
      <c r="J115" s="23"/>
      <c r="K115" s="37"/>
    </row>
    <row r="116" spans="1:11" x14ac:dyDescent="0.25">
      <c r="A116" s="26"/>
      <c r="B116" s="9"/>
      <c r="C116" s="34"/>
      <c r="E116" s="29"/>
      <c r="F116" s="9"/>
      <c r="G116" s="37"/>
      <c r="I116" s="29"/>
      <c r="J116" s="11"/>
      <c r="K116" s="37"/>
    </row>
    <row r="117" spans="1:11" x14ac:dyDescent="0.25">
      <c r="A117" s="26"/>
      <c r="B117" s="9"/>
      <c r="C117" s="34"/>
      <c r="E117" s="29"/>
      <c r="F117" s="9"/>
      <c r="G117" s="37"/>
      <c r="I117" s="29"/>
      <c r="J117" s="11"/>
      <c r="K117" s="37"/>
    </row>
    <row r="118" spans="1:11" x14ac:dyDescent="0.25">
      <c r="A118" s="26"/>
      <c r="B118" s="9"/>
      <c r="C118" s="34"/>
      <c r="E118" s="29"/>
      <c r="F118" s="9"/>
      <c r="G118" s="37"/>
      <c r="I118" s="29"/>
      <c r="J118" s="23"/>
      <c r="K118" s="37"/>
    </row>
    <row r="119" spans="1:11" x14ac:dyDescent="0.25">
      <c r="A119" s="26"/>
      <c r="B119" s="9"/>
      <c r="C119" s="34"/>
      <c r="E119" s="29"/>
      <c r="F119" s="9"/>
      <c r="G119" s="37"/>
      <c r="I119" s="29"/>
      <c r="J119" s="11"/>
      <c r="K119" s="37"/>
    </row>
    <row r="120" spans="1:11" x14ac:dyDescent="0.25">
      <c r="A120" s="26"/>
      <c r="B120" s="9"/>
      <c r="C120" s="34"/>
      <c r="E120" s="29"/>
      <c r="F120" s="9"/>
      <c r="G120" s="37"/>
      <c r="I120" s="29"/>
      <c r="J120" s="11"/>
      <c r="K120" s="37"/>
    </row>
    <row r="121" spans="1:11" x14ac:dyDescent="0.25">
      <c r="A121" s="26"/>
      <c r="B121" s="9"/>
      <c r="C121" s="34"/>
      <c r="E121" s="29"/>
      <c r="F121" s="9"/>
      <c r="G121" s="37"/>
      <c r="I121" s="29"/>
      <c r="J121" s="23"/>
      <c r="K121" s="37"/>
    </row>
    <row r="122" spans="1:11" x14ac:dyDescent="0.25">
      <c r="A122" s="26"/>
      <c r="B122" s="9"/>
      <c r="C122" s="34"/>
      <c r="E122" s="29"/>
      <c r="F122" s="9"/>
      <c r="G122" s="37"/>
      <c r="I122" s="29"/>
      <c r="J122" s="11"/>
      <c r="K122" s="37"/>
    </row>
    <row r="123" spans="1:11" x14ac:dyDescent="0.25">
      <c r="A123" s="26"/>
      <c r="B123" s="9"/>
      <c r="C123" s="34"/>
      <c r="E123" s="29"/>
      <c r="F123" s="9"/>
      <c r="G123" s="37"/>
      <c r="I123" s="29"/>
      <c r="J123" s="11"/>
      <c r="K123" s="37"/>
    </row>
    <row r="124" spans="1:11" ht="15.75" thickBot="1" x14ac:dyDescent="0.3">
      <c r="A124" s="27"/>
      <c r="B124" s="10"/>
      <c r="C124" s="35"/>
      <c r="E124" s="30"/>
      <c r="F124" s="10"/>
      <c r="G124" s="38"/>
      <c r="I124" s="30"/>
      <c r="J124" s="8"/>
      <c r="K124" s="38"/>
    </row>
  </sheetData>
  <sheetProtection password="EF1F" sheet="1" insertColumns="0" insertRows="0" insertHyperlinks="0" deleteColumns="0" deleteRows="0"/>
  <autoFilter ref="A5:K10"/>
  <mergeCells count="4">
    <mergeCell ref="E1:G1"/>
    <mergeCell ref="A4:C4"/>
    <mergeCell ref="E4:G4"/>
    <mergeCell ref="I4:K4"/>
  </mergeCells>
  <dataValidations count="1">
    <dataValidation type="list" allowBlank="1" showInputMessage="1" showErrorMessage="1" sqref="F6:F124">
      <formula1>$A$2:$A$4</formula1>
    </dataValidation>
  </dataValidations>
  <printOptions horizontalCentered="1"/>
  <pageMargins left="0.23622047244094491" right="0.23622047244094491" top="0.15748031496062992" bottom="0.15748031496062992" header="0.11811023622047245" footer="0.19685039370078741"/>
  <pageSetup paperSize="9" fitToWidth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Sheet2!$B$2:$B$4</xm:f>
          </x14:formula1>
          <xm:sqref>J6:J124</xm:sqref>
        </x14:dataValidation>
        <x14:dataValidation type="list" allowBlank="1" showInputMessage="1" showErrorMessage="1">
          <x14:formula1>
            <xm:f>Sheet2!$A$2:$A$3</xm:f>
          </x14:formula1>
          <xm:sqref>B6:B124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4"/>
  <sheetViews>
    <sheetView zoomScale="80" zoomScaleNormal="80" workbookViewId="0"/>
  </sheetViews>
  <sheetFormatPr defaultColWidth="9.140625" defaultRowHeight="15" x14ac:dyDescent="0.25"/>
  <cols>
    <col min="1" max="1" width="13.42578125" style="25" customWidth="1"/>
    <col min="2" max="2" width="22" style="1" customWidth="1"/>
    <col min="3" max="3" width="12.7109375" style="2" bestFit="1" customWidth="1"/>
    <col min="4" max="4" width="0.5703125" style="3" customWidth="1"/>
    <col min="5" max="5" width="14.7109375" style="28" customWidth="1"/>
    <col min="6" max="6" width="21.85546875" style="1" customWidth="1"/>
    <col min="7" max="7" width="12.7109375" style="2" bestFit="1" customWidth="1"/>
    <col min="8" max="8" width="0.5703125" style="3" customWidth="1"/>
    <col min="9" max="9" width="15.85546875" style="28" customWidth="1"/>
    <col min="10" max="10" width="22.140625" style="1" customWidth="1"/>
    <col min="11" max="11" width="12.85546875" style="1" customWidth="1"/>
    <col min="12" max="13" width="9.140625" style="1"/>
    <col min="14" max="14" width="18.42578125" style="1" customWidth="1"/>
    <col min="15" max="15" width="13.42578125" style="1" customWidth="1"/>
    <col min="16" max="16" width="9.85546875" style="1" bestFit="1" customWidth="1"/>
    <col min="17" max="20" width="9.140625" style="1"/>
    <col min="21" max="21" width="35.28515625" style="1" customWidth="1"/>
    <col min="22" max="22" width="9.140625" style="1"/>
    <col min="23" max="23" width="11.5703125" style="1" bestFit="1" customWidth="1"/>
    <col min="24" max="24" width="13.140625" style="1" bestFit="1" customWidth="1"/>
    <col min="25" max="16384" width="9.140625" style="1"/>
  </cols>
  <sheetData>
    <row r="1" spans="1:24" ht="24" thickBot="1" x14ac:dyDescent="0.4">
      <c r="E1" s="172" t="s">
        <v>0</v>
      </c>
      <c r="F1" s="173"/>
      <c r="G1" s="174"/>
    </row>
    <row r="2" spans="1:24" ht="15.75" x14ac:dyDescent="0.25">
      <c r="A2" s="31" t="s">
        <v>1</v>
      </c>
      <c r="C2" s="24">
        <v>45778</v>
      </c>
    </row>
    <row r="3" spans="1:24" ht="15.75" thickBot="1" x14ac:dyDescent="0.3"/>
    <row r="4" spans="1:24" ht="18.75" x14ac:dyDescent="0.3">
      <c r="A4" s="175" t="s">
        <v>2</v>
      </c>
      <c r="B4" s="176"/>
      <c r="C4" s="177"/>
      <c r="D4" s="12"/>
      <c r="E4" s="178" t="s">
        <v>3</v>
      </c>
      <c r="F4" s="179"/>
      <c r="G4" s="180"/>
      <c r="H4" s="12"/>
      <c r="I4" s="181" t="s">
        <v>4</v>
      </c>
      <c r="J4" s="182"/>
      <c r="K4" s="183"/>
    </row>
    <row r="5" spans="1:24" ht="21" customHeight="1" x14ac:dyDescent="0.25">
      <c r="A5" s="13" t="s">
        <v>5</v>
      </c>
      <c r="B5" s="14" t="s">
        <v>6</v>
      </c>
      <c r="C5" s="15" t="s">
        <v>7</v>
      </c>
      <c r="D5" s="16"/>
      <c r="E5" s="17" t="s">
        <v>5</v>
      </c>
      <c r="F5" s="18" t="s">
        <v>6</v>
      </c>
      <c r="G5" s="19" t="s">
        <v>7</v>
      </c>
      <c r="H5" s="16"/>
      <c r="I5" s="20" t="s">
        <v>5</v>
      </c>
      <c r="J5" s="21" t="s">
        <v>6</v>
      </c>
      <c r="K5" s="22" t="s">
        <v>7</v>
      </c>
    </row>
    <row r="6" spans="1:24" x14ac:dyDescent="0.25">
      <c r="A6" s="65">
        <v>45778</v>
      </c>
      <c r="B6" s="51" t="s">
        <v>19</v>
      </c>
      <c r="C6" s="4">
        <v>77</v>
      </c>
      <c r="E6" s="67">
        <v>45778</v>
      </c>
      <c r="F6" s="9" t="s">
        <v>9</v>
      </c>
      <c r="G6" s="5">
        <v>38.5</v>
      </c>
      <c r="I6" s="65">
        <v>45778</v>
      </c>
      <c r="J6" s="11" t="s">
        <v>10</v>
      </c>
      <c r="K6" s="5">
        <v>30.5</v>
      </c>
    </row>
    <row r="7" spans="1:24" x14ac:dyDescent="0.25">
      <c r="A7" s="65"/>
      <c r="B7" s="9" t="s">
        <v>8</v>
      </c>
      <c r="C7" s="4">
        <v>8</v>
      </c>
      <c r="E7" s="67">
        <v>45779</v>
      </c>
      <c r="F7" s="9" t="s">
        <v>8</v>
      </c>
      <c r="G7" s="5">
        <v>16.5</v>
      </c>
      <c r="I7" s="65">
        <v>45779</v>
      </c>
      <c r="J7" s="11" t="s">
        <v>10</v>
      </c>
      <c r="K7" s="5">
        <v>35.369999999999997</v>
      </c>
      <c r="T7" s="69" t="s">
        <v>52</v>
      </c>
      <c r="U7" s="69" t="s">
        <v>53</v>
      </c>
      <c r="V7" s="69" t="s">
        <v>54</v>
      </c>
      <c r="W7" s="69" t="s">
        <v>55</v>
      </c>
      <c r="X7" s="69" t="s">
        <v>56</v>
      </c>
    </row>
    <row r="8" spans="1:24" x14ac:dyDescent="0.25">
      <c r="A8" s="65"/>
      <c r="B8" s="9" t="s">
        <v>8</v>
      </c>
      <c r="C8" s="4">
        <v>54</v>
      </c>
      <c r="E8" s="67"/>
      <c r="F8" s="9"/>
      <c r="G8" s="5"/>
      <c r="I8" s="65">
        <v>45780</v>
      </c>
      <c r="J8" s="11" t="s">
        <v>10</v>
      </c>
      <c r="K8" s="5">
        <v>19.3</v>
      </c>
      <c r="N8" s="43" t="s">
        <v>14</v>
      </c>
      <c r="O8" s="45" t="s">
        <v>17</v>
      </c>
      <c r="T8" s="70">
        <v>1</v>
      </c>
      <c r="U8" s="70" t="s">
        <v>57</v>
      </c>
      <c r="V8" s="70">
        <v>845</v>
      </c>
      <c r="W8" s="70">
        <f>V8</f>
        <v>845</v>
      </c>
      <c r="X8" s="71">
        <v>99355</v>
      </c>
    </row>
    <row r="9" spans="1:24" ht="14.25" x14ac:dyDescent="0.45">
      <c r="A9" s="65">
        <v>45779</v>
      </c>
      <c r="B9" s="9" t="s">
        <v>13</v>
      </c>
      <c r="C9" s="4">
        <v>21.5</v>
      </c>
      <c r="E9" s="67"/>
      <c r="F9" s="9"/>
      <c r="G9" s="5"/>
      <c r="I9" s="65">
        <v>45782</v>
      </c>
      <c r="J9" s="11" t="s">
        <v>10</v>
      </c>
      <c r="K9" s="5">
        <v>22.1</v>
      </c>
      <c r="N9" s="56" t="s">
        <v>19</v>
      </c>
      <c r="O9" s="57">
        <f>SUMIF(B6:B124,"Os - Garlic",C6:C124)</f>
        <v>77</v>
      </c>
      <c r="T9" s="70">
        <v>2</v>
      </c>
      <c r="U9" s="70" t="s">
        <v>58</v>
      </c>
      <c r="V9" s="70">
        <v>170</v>
      </c>
      <c r="W9" s="70">
        <f>V9</f>
        <v>170</v>
      </c>
      <c r="X9" s="71">
        <v>23880</v>
      </c>
    </row>
    <row r="10" spans="1:24" ht="14.25" x14ac:dyDescent="0.45">
      <c r="A10" s="65">
        <v>45780</v>
      </c>
      <c r="B10" s="9" t="s">
        <v>13</v>
      </c>
      <c r="C10" s="4">
        <v>33.4</v>
      </c>
      <c r="E10" s="67"/>
      <c r="F10" s="9"/>
      <c r="G10" s="5"/>
      <c r="I10" s="65">
        <v>45782</v>
      </c>
      <c r="J10" s="11" t="s">
        <v>10</v>
      </c>
      <c r="K10" s="5">
        <v>16.8</v>
      </c>
      <c r="N10" s="56" t="s">
        <v>18</v>
      </c>
      <c r="O10" s="57">
        <f>SUMIF(B6:B124,"Os - Ginger",C6:C124)</f>
        <v>0</v>
      </c>
      <c r="T10" s="70">
        <v>3</v>
      </c>
      <c r="U10" s="70" t="s">
        <v>59</v>
      </c>
      <c r="V10" s="70">
        <v>77</v>
      </c>
      <c r="W10" s="70">
        <f>V10/4</f>
        <v>19.25</v>
      </c>
      <c r="X10" s="71">
        <v>2430</v>
      </c>
    </row>
    <row r="11" spans="1:24" ht="14.25" x14ac:dyDescent="0.45">
      <c r="A11" s="65">
        <v>45781</v>
      </c>
      <c r="B11" s="9" t="s">
        <v>9</v>
      </c>
      <c r="C11" s="4">
        <v>220</v>
      </c>
      <c r="E11" s="67"/>
      <c r="F11" s="9"/>
      <c r="G11" s="5"/>
      <c r="I11" s="67">
        <v>45783</v>
      </c>
      <c r="J11" s="11" t="s">
        <v>10</v>
      </c>
      <c r="K11" s="5">
        <v>21</v>
      </c>
      <c r="N11" s="44" t="s">
        <v>8</v>
      </c>
      <c r="O11" s="41">
        <f>SUMIF(B6:B124,"Ginger",C6:C124)</f>
        <v>402.5</v>
      </c>
      <c r="T11" s="70">
        <v>4</v>
      </c>
      <c r="U11" s="70" t="s">
        <v>60</v>
      </c>
      <c r="V11" s="70">
        <v>4</v>
      </c>
      <c r="W11" s="70">
        <f>V11</f>
        <v>4</v>
      </c>
      <c r="X11" s="71">
        <v>270</v>
      </c>
    </row>
    <row r="12" spans="1:24" ht="14.25" x14ac:dyDescent="0.45">
      <c r="A12" s="65">
        <v>45782</v>
      </c>
      <c r="B12" s="9" t="s">
        <v>13</v>
      </c>
      <c r="C12" s="4">
        <v>31.5</v>
      </c>
      <c r="E12" s="67">
        <v>45782</v>
      </c>
      <c r="F12" s="9" t="s">
        <v>8</v>
      </c>
      <c r="G12" s="5">
        <v>15.83</v>
      </c>
      <c r="I12" s="67">
        <v>45783</v>
      </c>
      <c r="J12" s="11" t="s">
        <v>10</v>
      </c>
      <c r="K12" s="5">
        <v>9.5</v>
      </c>
      <c r="N12" s="44" t="s">
        <v>9</v>
      </c>
      <c r="O12" s="41">
        <f>SUMIF(B6:B124,"Garlic",C6:C124)</f>
        <v>632</v>
      </c>
      <c r="T12" s="70">
        <v>5</v>
      </c>
      <c r="U12" s="70" t="s">
        <v>61</v>
      </c>
      <c r="V12" s="70">
        <v>2</v>
      </c>
      <c r="W12" s="70">
        <f>V12/2</f>
        <v>1</v>
      </c>
      <c r="X12" s="71">
        <v>165</v>
      </c>
    </row>
    <row r="13" spans="1:24" ht="14.25" x14ac:dyDescent="0.45">
      <c r="A13" s="65">
        <v>45783</v>
      </c>
      <c r="B13" s="9" t="s">
        <v>13</v>
      </c>
      <c r="C13" s="4">
        <v>18.5</v>
      </c>
      <c r="E13" s="67">
        <v>45783</v>
      </c>
      <c r="F13" s="9" t="s">
        <v>8</v>
      </c>
      <c r="G13" s="5">
        <v>18.86</v>
      </c>
      <c r="I13" s="67">
        <v>45784</v>
      </c>
      <c r="J13" s="11" t="s">
        <v>10</v>
      </c>
      <c r="K13" s="5">
        <v>15.34</v>
      </c>
      <c r="N13" s="44" t="s">
        <v>13</v>
      </c>
      <c r="O13" s="41">
        <f>SUMIF(B6:B124,"Broken Garlic",C6:C124)</f>
        <v>342.49999999999994</v>
      </c>
      <c r="T13" s="70">
        <v>6</v>
      </c>
      <c r="U13" s="70" t="s">
        <v>62</v>
      </c>
      <c r="V13" s="70">
        <v>26</v>
      </c>
      <c r="W13" s="70">
        <f>V13/2</f>
        <v>13</v>
      </c>
      <c r="X13" s="71">
        <v>1660</v>
      </c>
    </row>
    <row r="14" spans="1:24" ht="14.25" x14ac:dyDescent="0.45">
      <c r="A14" s="65">
        <v>45783</v>
      </c>
      <c r="B14" s="9" t="s">
        <v>8</v>
      </c>
      <c r="C14" s="4">
        <v>54</v>
      </c>
      <c r="E14" s="67">
        <v>45784</v>
      </c>
      <c r="F14" s="9" t="s">
        <v>13</v>
      </c>
      <c r="G14" s="5">
        <v>23.7</v>
      </c>
      <c r="I14" s="67">
        <v>45785</v>
      </c>
      <c r="J14" s="11" t="s">
        <v>10</v>
      </c>
      <c r="K14" s="5">
        <v>36.31</v>
      </c>
      <c r="T14" s="70">
        <v>7</v>
      </c>
      <c r="U14" s="70" t="s">
        <v>63</v>
      </c>
      <c r="V14" s="70">
        <v>28</v>
      </c>
      <c r="W14" s="70">
        <f>V14</f>
        <v>28</v>
      </c>
      <c r="X14" s="71">
        <v>4480</v>
      </c>
    </row>
    <row r="15" spans="1:24" ht="14.25" x14ac:dyDescent="0.45">
      <c r="A15" s="65">
        <v>45796</v>
      </c>
      <c r="B15" s="9" t="s">
        <v>8</v>
      </c>
      <c r="C15" s="4">
        <v>50</v>
      </c>
      <c r="E15" s="67">
        <v>45784</v>
      </c>
      <c r="F15" s="9" t="s">
        <v>9</v>
      </c>
      <c r="G15" s="5">
        <v>44</v>
      </c>
      <c r="I15" s="67">
        <v>45786</v>
      </c>
      <c r="J15" s="11" t="s">
        <v>10</v>
      </c>
      <c r="K15" s="5">
        <v>17.7</v>
      </c>
      <c r="N15" s="52" t="s">
        <v>3</v>
      </c>
      <c r="O15" s="53" t="s">
        <v>17</v>
      </c>
      <c r="P15" s="53" t="s">
        <v>17</v>
      </c>
      <c r="T15" s="70">
        <v>8</v>
      </c>
      <c r="U15" s="70" t="s">
        <v>64</v>
      </c>
      <c r="V15" s="70">
        <v>19</v>
      </c>
      <c r="W15" s="70">
        <f>V15</f>
        <v>19</v>
      </c>
      <c r="X15" s="71">
        <v>1520</v>
      </c>
    </row>
    <row r="16" spans="1:24" ht="14.25" x14ac:dyDescent="0.45">
      <c r="A16" s="65"/>
      <c r="B16" s="9"/>
      <c r="C16" s="4"/>
      <c r="E16" s="67">
        <v>45785</v>
      </c>
      <c r="F16" s="9" t="s">
        <v>8</v>
      </c>
      <c r="G16" s="5">
        <v>28.8</v>
      </c>
      <c r="I16" s="67">
        <v>45787</v>
      </c>
      <c r="J16" s="11" t="s">
        <v>10</v>
      </c>
      <c r="K16" s="5">
        <v>12.3</v>
      </c>
      <c r="N16" s="44" t="s">
        <v>8</v>
      </c>
      <c r="O16" s="62">
        <f>SUMIF(F6:F124,"Ginger",G6:G124)</f>
        <v>367.9</v>
      </c>
      <c r="P16" s="64">
        <f>O16</f>
        <v>367.9</v>
      </c>
      <c r="T16" s="70"/>
      <c r="U16" s="70"/>
      <c r="V16" s="70">
        <f>SUM(V8:V15)</f>
        <v>1171</v>
      </c>
      <c r="W16" s="70">
        <f>SUM(W8:W15)</f>
        <v>1099.25</v>
      </c>
      <c r="X16" s="70"/>
    </row>
    <row r="17" spans="1:24" x14ac:dyDescent="0.25">
      <c r="A17" s="65"/>
      <c r="B17" s="9"/>
      <c r="C17" s="4"/>
      <c r="E17" s="67">
        <v>45786</v>
      </c>
      <c r="F17" s="9" t="s">
        <v>8</v>
      </c>
      <c r="G17" s="5">
        <v>17.2</v>
      </c>
      <c r="I17" s="67">
        <v>45787</v>
      </c>
      <c r="J17" s="11" t="s">
        <v>10</v>
      </c>
      <c r="K17" s="5">
        <v>21</v>
      </c>
      <c r="N17" s="44" t="s">
        <v>9</v>
      </c>
      <c r="O17" s="63">
        <f>SUMIF(F6:F126,"Garlic",G6:G126)</f>
        <v>299</v>
      </c>
      <c r="P17" s="186">
        <f>SUM(O17:O18)</f>
        <v>642.4</v>
      </c>
      <c r="T17" s="70"/>
      <c r="U17" s="70"/>
      <c r="V17" s="70"/>
      <c r="W17" s="70"/>
      <c r="X17" s="70"/>
    </row>
    <row r="18" spans="1:24" x14ac:dyDescent="0.25">
      <c r="A18" s="65"/>
      <c r="B18" s="9"/>
      <c r="C18" s="4"/>
      <c r="E18" s="67">
        <v>45787</v>
      </c>
      <c r="F18" s="9" t="s">
        <v>8</v>
      </c>
      <c r="G18" s="5">
        <v>15</v>
      </c>
      <c r="I18" s="67">
        <v>45787</v>
      </c>
      <c r="J18" s="11" t="s">
        <v>10</v>
      </c>
      <c r="K18" s="5">
        <v>10</v>
      </c>
      <c r="N18" s="44" t="s">
        <v>13</v>
      </c>
      <c r="O18" s="63">
        <f>SUMIF(F6:F126,"Broken Garlic",G6:G126)</f>
        <v>343.4</v>
      </c>
      <c r="P18" s="186"/>
      <c r="T18" s="70"/>
      <c r="U18" s="70"/>
      <c r="V18" s="70"/>
      <c r="W18" s="70"/>
      <c r="X18" s="71">
        <f>SUM(X8:X17)</f>
        <v>133760</v>
      </c>
    </row>
    <row r="19" spans="1:24" x14ac:dyDescent="0.25">
      <c r="A19" s="65">
        <v>45787</v>
      </c>
      <c r="B19" s="9" t="s">
        <v>8</v>
      </c>
      <c r="C19" s="4">
        <v>54</v>
      </c>
      <c r="E19" s="67">
        <v>45785</v>
      </c>
      <c r="F19" s="9" t="s">
        <v>13</v>
      </c>
      <c r="G19" s="5">
        <v>38.1</v>
      </c>
      <c r="I19" s="67">
        <v>45789</v>
      </c>
      <c r="J19" s="11" t="s">
        <v>10</v>
      </c>
      <c r="K19" s="5">
        <v>22.67</v>
      </c>
    </row>
    <row r="20" spans="1:24" x14ac:dyDescent="0.25">
      <c r="A20" s="65">
        <v>45791</v>
      </c>
      <c r="B20" s="9" t="s">
        <v>8</v>
      </c>
      <c r="C20" s="4">
        <v>50</v>
      </c>
      <c r="E20" s="67">
        <v>45789</v>
      </c>
      <c r="F20" s="9" t="s">
        <v>8</v>
      </c>
      <c r="G20" s="5">
        <v>20</v>
      </c>
      <c r="I20" s="67"/>
      <c r="J20" s="11" t="s">
        <v>10</v>
      </c>
      <c r="K20" s="5">
        <v>10</v>
      </c>
    </row>
    <row r="21" spans="1:24" x14ac:dyDescent="0.25">
      <c r="A21" s="65">
        <v>45791</v>
      </c>
      <c r="B21" s="9" t="s">
        <v>13</v>
      </c>
      <c r="C21" s="4">
        <v>197</v>
      </c>
      <c r="E21" s="67">
        <v>45786</v>
      </c>
      <c r="F21" s="9" t="s">
        <v>13</v>
      </c>
      <c r="G21" s="5">
        <v>40.200000000000003</v>
      </c>
      <c r="I21" s="67"/>
      <c r="J21" s="11" t="s">
        <v>10</v>
      </c>
      <c r="K21" s="5">
        <v>20</v>
      </c>
      <c r="N21" s="54" t="s">
        <v>4</v>
      </c>
      <c r="O21" s="55" t="s">
        <v>17</v>
      </c>
    </row>
    <row r="22" spans="1:24" x14ac:dyDescent="0.25">
      <c r="A22" s="65">
        <v>45791</v>
      </c>
      <c r="B22" s="9" t="s">
        <v>9</v>
      </c>
      <c r="C22" s="4">
        <v>388</v>
      </c>
      <c r="E22" s="67">
        <v>45787</v>
      </c>
      <c r="F22" s="9" t="s">
        <v>13</v>
      </c>
      <c r="G22" s="5">
        <v>40.5</v>
      </c>
      <c r="I22" s="67">
        <v>45790</v>
      </c>
      <c r="J22" s="11" t="s">
        <v>11</v>
      </c>
      <c r="K22" s="5">
        <v>3</v>
      </c>
      <c r="N22" s="44" t="s">
        <v>12</v>
      </c>
      <c r="O22" s="41">
        <f>SUMIF(J6:J124,"Ginger Peeled",K6:K124)</f>
        <v>1.5</v>
      </c>
      <c r="T22" s="69" t="s">
        <v>52</v>
      </c>
      <c r="U22" s="69" t="s">
        <v>53</v>
      </c>
      <c r="V22" s="69" t="s">
        <v>54</v>
      </c>
      <c r="W22" s="69" t="s">
        <v>55</v>
      </c>
      <c r="X22" s="69" t="s">
        <v>66</v>
      </c>
    </row>
    <row r="23" spans="1:24" x14ac:dyDescent="0.25">
      <c r="A23" s="65">
        <v>45791</v>
      </c>
      <c r="B23" s="9" t="s">
        <v>13</v>
      </c>
      <c r="C23" s="4">
        <v>10.5</v>
      </c>
      <c r="E23" s="67">
        <v>45789</v>
      </c>
      <c r="F23" s="9" t="s">
        <v>13</v>
      </c>
      <c r="G23" s="5">
        <v>39.200000000000003</v>
      </c>
      <c r="I23" s="67">
        <v>45790</v>
      </c>
      <c r="J23" s="11" t="s">
        <v>10</v>
      </c>
      <c r="K23" s="5">
        <v>10</v>
      </c>
      <c r="N23" s="44" t="s">
        <v>11</v>
      </c>
      <c r="O23" s="41">
        <f>SUMIF(J6:J124,"Garlic Peeled",K6:K124)</f>
        <v>108.5</v>
      </c>
      <c r="T23" s="72">
        <v>1</v>
      </c>
      <c r="U23" s="73" t="s">
        <v>57</v>
      </c>
      <c r="V23" s="73">
        <v>66</v>
      </c>
      <c r="W23" s="73">
        <v>845</v>
      </c>
      <c r="X23" s="184">
        <f>SUM(W23:W25)</f>
        <v>877.25</v>
      </c>
    </row>
    <row r="24" spans="1:24" x14ac:dyDescent="0.25">
      <c r="A24" s="65">
        <v>45794</v>
      </c>
      <c r="B24" s="9" t="s">
        <v>13</v>
      </c>
      <c r="C24" s="4">
        <v>8.4</v>
      </c>
      <c r="E24" s="67">
        <v>45792</v>
      </c>
      <c r="F24" s="9" t="s">
        <v>8</v>
      </c>
      <c r="G24" s="5">
        <v>12</v>
      </c>
      <c r="I24" s="67">
        <v>45790</v>
      </c>
      <c r="J24" s="11" t="s">
        <v>10</v>
      </c>
      <c r="K24" s="5">
        <v>15.1</v>
      </c>
      <c r="N24" s="44" t="s">
        <v>10</v>
      </c>
      <c r="O24" s="41">
        <f>SUMIF(J6:J124,"Ginger Garlic Paste",K6:K124)</f>
        <v>896.21</v>
      </c>
      <c r="T24" s="72">
        <v>2</v>
      </c>
      <c r="U24" s="73" t="s">
        <v>59</v>
      </c>
      <c r="V24" s="73">
        <v>15</v>
      </c>
      <c r="W24" s="73">
        <v>19.25</v>
      </c>
      <c r="X24" s="184"/>
    </row>
    <row r="25" spans="1:24" x14ac:dyDescent="0.25">
      <c r="A25" s="65">
        <v>45794</v>
      </c>
      <c r="B25" s="9" t="s">
        <v>13</v>
      </c>
      <c r="C25" s="4">
        <v>7</v>
      </c>
      <c r="E25" s="67">
        <v>45794</v>
      </c>
      <c r="F25" s="9" t="s">
        <v>8</v>
      </c>
      <c r="G25" s="5">
        <v>21.6</v>
      </c>
      <c r="I25" s="67">
        <v>45790</v>
      </c>
      <c r="J25" s="11" t="s">
        <v>11</v>
      </c>
      <c r="K25" s="5">
        <v>4</v>
      </c>
      <c r="O25" s="1">
        <f>SUM(O22:O24)</f>
        <v>1006.21</v>
      </c>
      <c r="T25" s="72">
        <v>3</v>
      </c>
      <c r="U25" s="73" t="s">
        <v>62</v>
      </c>
      <c r="V25" s="73">
        <v>9</v>
      </c>
      <c r="W25" s="73">
        <v>13</v>
      </c>
      <c r="X25" s="184"/>
    </row>
    <row r="26" spans="1:24" x14ac:dyDescent="0.25">
      <c r="A26" s="65">
        <v>45798</v>
      </c>
      <c r="B26" s="9" t="s">
        <v>13</v>
      </c>
      <c r="C26" s="4">
        <v>3.5</v>
      </c>
      <c r="E26" s="67">
        <v>45794</v>
      </c>
      <c r="F26" s="9" t="s">
        <v>13</v>
      </c>
      <c r="G26" s="5">
        <v>31.6</v>
      </c>
      <c r="I26" s="67">
        <v>45791</v>
      </c>
      <c r="J26" s="11" t="s">
        <v>10</v>
      </c>
      <c r="K26" s="5">
        <v>21.5</v>
      </c>
      <c r="T26" s="74">
        <v>4</v>
      </c>
      <c r="U26" s="75" t="s">
        <v>63</v>
      </c>
      <c r="V26" s="75">
        <v>2</v>
      </c>
      <c r="W26" s="75">
        <v>28</v>
      </c>
      <c r="X26" s="83">
        <f>W26</f>
        <v>28</v>
      </c>
    </row>
    <row r="27" spans="1:24" x14ac:dyDescent="0.25">
      <c r="A27" s="65">
        <v>45800</v>
      </c>
      <c r="B27" s="9" t="s">
        <v>9</v>
      </c>
      <c r="C27" s="4">
        <v>20</v>
      </c>
      <c r="E27" s="67">
        <v>45796</v>
      </c>
      <c r="F27" s="9" t="s">
        <v>8</v>
      </c>
      <c r="G27" s="5">
        <v>15.21</v>
      </c>
      <c r="I27" s="67">
        <v>45792</v>
      </c>
      <c r="J27" s="11" t="s">
        <v>11</v>
      </c>
      <c r="K27" s="5">
        <v>7</v>
      </c>
      <c r="T27" s="81">
        <v>5</v>
      </c>
      <c r="U27" s="82" t="s">
        <v>64</v>
      </c>
      <c r="V27" s="76">
        <v>2</v>
      </c>
      <c r="W27" s="76">
        <v>19</v>
      </c>
      <c r="X27" s="84">
        <f>W27</f>
        <v>19</v>
      </c>
    </row>
    <row r="28" spans="1:24" x14ac:dyDescent="0.25">
      <c r="A28" s="65">
        <v>45802</v>
      </c>
      <c r="B28" s="9" t="s">
        <v>8</v>
      </c>
      <c r="C28" s="4">
        <v>50</v>
      </c>
      <c r="E28" s="67">
        <v>45796</v>
      </c>
      <c r="F28" s="9" t="s">
        <v>13</v>
      </c>
      <c r="G28" s="5">
        <v>20</v>
      </c>
      <c r="I28" s="67">
        <v>45792</v>
      </c>
      <c r="J28" s="11" t="s">
        <v>10</v>
      </c>
      <c r="K28" s="5">
        <v>23.45</v>
      </c>
      <c r="T28" s="77">
        <v>6</v>
      </c>
      <c r="U28" s="78" t="s">
        <v>61</v>
      </c>
      <c r="V28" s="78">
        <v>2</v>
      </c>
      <c r="W28" s="78">
        <v>1</v>
      </c>
      <c r="X28" s="185">
        <f>SUM(W28:W29)</f>
        <v>171</v>
      </c>
    </row>
    <row r="29" spans="1:24" x14ac:dyDescent="0.25">
      <c r="A29" s="65">
        <v>45802</v>
      </c>
      <c r="B29" s="9" t="s">
        <v>13</v>
      </c>
      <c r="C29" s="4">
        <v>7</v>
      </c>
      <c r="E29" s="67">
        <v>45797</v>
      </c>
      <c r="F29" s="9" t="s">
        <v>9</v>
      </c>
      <c r="G29" s="5">
        <v>39</v>
      </c>
      <c r="I29" s="67">
        <v>45793</v>
      </c>
      <c r="J29" s="11" t="s">
        <v>10</v>
      </c>
      <c r="K29" s="5">
        <v>16.37</v>
      </c>
      <c r="T29" s="77">
        <v>7</v>
      </c>
      <c r="U29" s="78" t="s">
        <v>58</v>
      </c>
      <c r="V29" s="78">
        <v>26</v>
      </c>
      <c r="W29" s="78">
        <v>170</v>
      </c>
      <c r="X29" s="185"/>
    </row>
    <row r="30" spans="1:24" x14ac:dyDescent="0.25">
      <c r="A30" s="65">
        <v>45802</v>
      </c>
      <c r="B30" s="9" t="s">
        <v>13</v>
      </c>
      <c r="C30" s="4">
        <v>4.2</v>
      </c>
      <c r="E30" s="67">
        <v>45798</v>
      </c>
      <c r="F30" s="9" t="s">
        <v>8</v>
      </c>
      <c r="G30" s="5">
        <v>10</v>
      </c>
      <c r="I30" s="67">
        <v>45793</v>
      </c>
      <c r="J30" s="11" t="s">
        <v>11</v>
      </c>
      <c r="K30" s="5">
        <v>6</v>
      </c>
      <c r="T30" s="79">
        <v>8</v>
      </c>
      <c r="U30" s="80" t="s">
        <v>60</v>
      </c>
      <c r="V30" s="80">
        <v>4</v>
      </c>
      <c r="W30" s="80"/>
      <c r="X30" s="85">
        <f>W30</f>
        <v>0</v>
      </c>
    </row>
    <row r="31" spans="1:24" x14ac:dyDescent="0.25">
      <c r="A31" s="65">
        <v>45807</v>
      </c>
      <c r="B31" s="9" t="s">
        <v>8</v>
      </c>
      <c r="C31" s="4">
        <v>7.5</v>
      </c>
      <c r="E31" s="67">
        <v>45799</v>
      </c>
      <c r="F31" s="9" t="s">
        <v>13</v>
      </c>
      <c r="G31" s="5">
        <v>15</v>
      </c>
      <c r="I31" s="67">
        <v>45794</v>
      </c>
      <c r="J31" s="11" t="s">
        <v>10</v>
      </c>
      <c r="K31" s="5">
        <v>24.15</v>
      </c>
      <c r="T31" s="41"/>
      <c r="U31" s="86" t="s">
        <v>65</v>
      </c>
      <c r="V31" s="86">
        <v>126</v>
      </c>
      <c r="W31" s="86">
        <v>1095.25</v>
      </c>
      <c r="X31" s="87">
        <f>SUM(X23:X30)</f>
        <v>1095.25</v>
      </c>
    </row>
    <row r="32" spans="1:24" x14ac:dyDescent="0.25">
      <c r="A32" s="65">
        <v>45807</v>
      </c>
      <c r="B32" s="9" t="s">
        <v>8</v>
      </c>
      <c r="C32" s="4">
        <v>25</v>
      </c>
      <c r="E32" s="67">
        <v>45799</v>
      </c>
      <c r="F32" s="9" t="s">
        <v>13</v>
      </c>
      <c r="G32" s="5">
        <v>14</v>
      </c>
      <c r="I32" s="67">
        <v>45794</v>
      </c>
      <c r="J32" s="11" t="s">
        <v>10</v>
      </c>
      <c r="K32" s="5">
        <v>10</v>
      </c>
    </row>
    <row r="33" spans="1:11" x14ac:dyDescent="0.25">
      <c r="A33" s="65">
        <v>45807</v>
      </c>
      <c r="B33" s="9" t="s">
        <v>9</v>
      </c>
      <c r="C33" s="4">
        <v>4</v>
      </c>
      <c r="E33" s="67">
        <v>45800</v>
      </c>
      <c r="F33" s="9" t="s">
        <v>8</v>
      </c>
      <c r="G33" s="5">
        <v>15</v>
      </c>
      <c r="I33" s="67">
        <v>45794</v>
      </c>
      <c r="J33" s="11" t="s">
        <v>11</v>
      </c>
      <c r="K33" s="5">
        <v>2</v>
      </c>
    </row>
    <row r="34" spans="1:11" x14ac:dyDescent="0.25">
      <c r="A34" s="65">
        <v>45808</v>
      </c>
      <c r="B34" s="9" t="s">
        <v>8</v>
      </c>
      <c r="C34" s="4">
        <v>50</v>
      </c>
      <c r="E34" s="67">
        <v>45801</v>
      </c>
      <c r="F34" s="9" t="s">
        <v>8</v>
      </c>
      <c r="G34" s="5">
        <v>25</v>
      </c>
      <c r="I34" s="67">
        <v>45794</v>
      </c>
      <c r="J34" s="11" t="s">
        <v>10</v>
      </c>
      <c r="K34" s="5">
        <v>12.41</v>
      </c>
    </row>
    <row r="35" spans="1:11" x14ac:dyDescent="0.25">
      <c r="A35" s="65"/>
      <c r="B35" s="9"/>
      <c r="C35" s="4"/>
      <c r="E35" s="67">
        <v>45802</v>
      </c>
      <c r="F35" s="9" t="s">
        <v>8</v>
      </c>
      <c r="G35" s="5">
        <v>15</v>
      </c>
      <c r="I35" s="67">
        <v>45796</v>
      </c>
      <c r="J35" s="23" t="s">
        <v>11</v>
      </c>
      <c r="K35" s="5">
        <v>11</v>
      </c>
    </row>
    <row r="36" spans="1:11" x14ac:dyDescent="0.25">
      <c r="A36" s="65"/>
      <c r="B36" s="9"/>
      <c r="C36" s="4"/>
      <c r="E36" s="67">
        <v>45800</v>
      </c>
      <c r="F36" s="9" t="s">
        <v>9</v>
      </c>
      <c r="G36" s="5">
        <v>38</v>
      </c>
      <c r="I36" s="67">
        <v>45797</v>
      </c>
      <c r="J36" s="11" t="s">
        <v>10</v>
      </c>
      <c r="K36" s="5">
        <v>28.7</v>
      </c>
    </row>
    <row r="37" spans="1:11" x14ac:dyDescent="0.25">
      <c r="A37" s="65"/>
      <c r="B37" s="9"/>
      <c r="C37" s="4"/>
      <c r="E37" s="67">
        <v>45801</v>
      </c>
      <c r="F37" s="9" t="s">
        <v>9</v>
      </c>
      <c r="G37" s="5">
        <v>20</v>
      </c>
      <c r="I37" s="67">
        <v>45797</v>
      </c>
      <c r="J37" s="11" t="s">
        <v>11</v>
      </c>
      <c r="K37" s="5">
        <v>28</v>
      </c>
    </row>
    <row r="38" spans="1:11" x14ac:dyDescent="0.25">
      <c r="A38" s="65"/>
      <c r="B38" s="9"/>
      <c r="C38" s="4"/>
      <c r="E38" s="67">
        <v>45802</v>
      </c>
      <c r="F38" s="9" t="s">
        <v>9</v>
      </c>
      <c r="G38" s="5">
        <v>39</v>
      </c>
      <c r="I38" s="67">
        <v>45798</v>
      </c>
      <c r="J38" s="23" t="s">
        <v>10</v>
      </c>
      <c r="K38" s="5">
        <v>16.8</v>
      </c>
    </row>
    <row r="39" spans="1:11" x14ac:dyDescent="0.25">
      <c r="A39" s="65"/>
      <c r="B39" s="9"/>
      <c r="C39" s="4"/>
      <c r="E39" s="67">
        <v>45802</v>
      </c>
      <c r="F39" s="9" t="s">
        <v>8</v>
      </c>
      <c r="G39" s="5">
        <v>8</v>
      </c>
      <c r="I39" s="67">
        <v>45798</v>
      </c>
      <c r="J39" s="11" t="s">
        <v>10</v>
      </c>
      <c r="K39" s="5">
        <v>15.7</v>
      </c>
    </row>
    <row r="40" spans="1:11" x14ac:dyDescent="0.25">
      <c r="A40" s="65"/>
      <c r="B40" s="9"/>
      <c r="C40" s="4"/>
      <c r="E40" s="67">
        <v>45803</v>
      </c>
      <c r="F40" s="9" t="s">
        <v>8</v>
      </c>
      <c r="G40" s="5">
        <v>26</v>
      </c>
      <c r="I40" s="67">
        <v>45798</v>
      </c>
      <c r="J40" s="11" t="s">
        <v>11</v>
      </c>
      <c r="K40" s="5">
        <v>5</v>
      </c>
    </row>
    <row r="41" spans="1:11" x14ac:dyDescent="0.25">
      <c r="A41" s="65"/>
      <c r="B41" s="9"/>
      <c r="C41" s="4"/>
      <c r="E41" s="67">
        <v>45803</v>
      </c>
      <c r="F41" s="9" t="s">
        <v>13</v>
      </c>
      <c r="G41" s="5">
        <v>36</v>
      </c>
      <c r="I41" s="67">
        <v>45799</v>
      </c>
      <c r="J41" s="23" t="s">
        <v>10</v>
      </c>
      <c r="K41" s="5">
        <v>10.199999999999999</v>
      </c>
    </row>
    <row r="42" spans="1:11" x14ac:dyDescent="0.25">
      <c r="A42" s="65"/>
      <c r="B42" s="9"/>
      <c r="C42" s="4"/>
      <c r="E42" s="67">
        <v>45803</v>
      </c>
      <c r="F42" s="9" t="s">
        <v>8</v>
      </c>
      <c r="G42" s="5">
        <v>8.1999999999999993</v>
      </c>
      <c r="I42" s="67">
        <v>45800</v>
      </c>
      <c r="J42" s="11" t="s">
        <v>10</v>
      </c>
      <c r="K42" s="5">
        <v>30.8</v>
      </c>
    </row>
    <row r="43" spans="1:11" x14ac:dyDescent="0.25">
      <c r="A43" s="65"/>
      <c r="B43" s="9"/>
      <c r="C43" s="4"/>
      <c r="E43" s="67">
        <v>45804</v>
      </c>
      <c r="F43" s="9" t="s">
        <v>13</v>
      </c>
      <c r="G43" s="5">
        <v>31</v>
      </c>
      <c r="I43" s="67">
        <v>45801</v>
      </c>
      <c r="J43" s="11" t="s">
        <v>10</v>
      </c>
      <c r="K43" s="5">
        <v>14.5</v>
      </c>
    </row>
    <row r="44" spans="1:11" x14ac:dyDescent="0.25">
      <c r="A44" s="65"/>
      <c r="B44" s="9"/>
      <c r="C44" s="4"/>
      <c r="E44" s="67">
        <v>45804</v>
      </c>
      <c r="F44" s="9" t="s">
        <v>9</v>
      </c>
      <c r="G44" s="5">
        <v>38</v>
      </c>
      <c r="I44" s="67"/>
      <c r="J44" s="23" t="s">
        <v>10</v>
      </c>
      <c r="K44" s="5">
        <v>9.4499999999999993</v>
      </c>
    </row>
    <row r="45" spans="1:11" x14ac:dyDescent="0.25">
      <c r="A45" s="65"/>
      <c r="B45" s="9"/>
      <c r="C45" s="4"/>
      <c r="E45" s="67">
        <v>45805</v>
      </c>
      <c r="F45" s="9" t="s">
        <v>8</v>
      </c>
      <c r="G45" s="5">
        <v>12.2</v>
      </c>
      <c r="I45" s="67"/>
      <c r="J45" s="11" t="s">
        <v>11</v>
      </c>
      <c r="K45" s="5">
        <v>11</v>
      </c>
    </row>
    <row r="46" spans="1:11" x14ac:dyDescent="0.25">
      <c r="A46" s="65"/>
      <c r="B46" s="9"/>
      <c r="C46" s="4"/>
      <c r="E46" s="67">
        <v>45805</v>
      </c>
      <c r="F46" s="9" t="s">
        <v>13</v>
      </c>
      <c r="G46" s="5">
        <v>14.1</v>
      </c>
      <c r="I46" s="67"/>
      <c r="J46" s="11" t="s">
        <v>10</v>
      </c>
      <c r="K46" s="5">
        <v>31</v>
      </c>
    </row>
    <row r="47" spans="1:11" x14ac:dyDescent="0.25">
      <c r="A47" s="65"/>
      <c r="B47" s="9"/>
      <c r="C47" s="4"/>
      <c r="E47" s="67">
        <v>45806</v>
      </c>
      <c r="F47" s="9" t="s">
        <v>8</v>
      </c>
      <c r="G47" s="5">
        <v>9</v>
      </c>
      <c r="I47" s="67">
        <v>45802</v>
      </c>
      <c r="J47" s="23" t="s">
        <v>10</v>
      </c>
      <c r="K47" s="5">
        <v>20</v>
      </c>
    </row>
    <row r="48" spans="1:11" x14ac:dyDescent="0.25">
      <c r="A48" s="65"/>
      <c r="B48" s="9"/>
      <c r="C48" s="4"/>
      <c r="E48" s="67">
        <v>45807</v>
      </c>
      <c r="F48" s="9" t="s">
        <v>8</v>
      </c>
      <c r="G48" s="5">
        <v>16.649999999999999</v>
      </c>
      <c r="I48" s="67">
        <v>45802</v>
      </c>
      <c r="J48" s="11" t="s">
        <v>10</v>
      </c>
      <c r="K48" s="5">
        <v>11.6</v>
      </c>
    </row>
    <row r="49" spans="1:11" x14ac:dyDescent="0.25">
      <c r="A49" s="65"/>
      <c r="B49" s="9"/>
      <c r="C49" s="4"/>
      <c r="E49" s="67">
        <v>45808</v>
      </c>
      <c r="F49" s="9" t="s">
        <v>8</v>
      </c>
      <c r="G49" s="5">
        <v>16.350000000000001</v>
      </c>
      <c r="I49" s="67">
        <v>45803</v>
      </c>
      <c r="J49" s="11" t="s">
        <v>10</v>
      </c>
      <c r="K49" s="5">
        <v>20</v>
      </c>
    </row>
    <row r="50" spans="1:11" x14ac:dyDescent="0.25">
      <c r="A50" s="65"/>
      <c r="B50" s="9"/>
      <c r="C50" s="4"/>
      <c r="E50" s="67">
        <v>45808</v>
      </c>
      <c r="F50" s="9" t="s">
        <v>9</v>
      </c>
      <c r="G50" s="5">
        <v>38.5</v>
      </c>
      <c r="I50" s="67">
        <v>45803</v>
      </c>
      <c r="J50" s="23" t="s">
        <v>10</v>
      </c>
      <c r="K50" s="5">
        <v>20</v>
      </c>
    </row>
    <row r="51" spans="1:11" x14ac:dyDescent="0.25">
      <c r="A51" s="65"/>
      <c r="B51" s="9"/>
      <c r="C51" s="4"/>
      <c r="E51" s="67">
        <v>45808</v>
      </c>
      <c r="F51" s="9" t="s">
        <v>8</v>
      </c>
      <c r="G51" s="5">
        <v>14.5</v>
      </c>
      <c r="I51" s="67">
        <v>45803</v>
      </c>
      <c r="J51" s="11" t="s">
        <v>10</v>
      </c>
      <c r="K51" s="5">
        <v>17.899999999999999</v>
      </c>
    </row>
    <row r="52" spans="1:11" x14ac:dyDescent="0.25">
      <c r="A52" s="65"/>
      <c r="B52" s="9"/>
      <c r="C52" s="4"/>
      <c r="E52" s="67">
        <v>45808</v>
      </c>
      <c r="F52" s="9" t="s">
        <v>8</v>
      </c>
      <c r="G52" s="5">
        <v>11</v>
      </c>
      <c r="I52" s="67">
        <v>45803</v>
      </c>
      <c r="J52" s="11" t="s">
        <v>12</v>
      </c>
      <c r="K52" s="5">
        <v>1.5</v>
      </c>
    </row>
    <row r="53" spans="1:11" x14ac:dyDescent="0.25">
      <c r="A53" s="65"/>
      <c r="B53" s="9"/>
      <c r="C53" s="4"/>
      <c r="E53" s="67">
        <v>45808</v>
      </c>
      <c r="F53" s="9" t="s">
        <v>9</v>
      </c>
      <c r="G53" s="5">
        <v>4</v>
      </c>
      <c r="I53" s="67">
        <v>45803</v>
      </c>
      <c r="J53" s="23" t="s">
        <v>11</v>
      </c>
      <c r="K53" s="5">
        <v>0.5</v>
      </c>
    </row>
    <row r="54" spans="1:11" x14ac:dyDescent="0.25">
      <c r="A54" s="65"/>
      <c r="B54" s="9"/>
      <c r="C54" s="4"/>
      <c r="E54" s="67"/>
      <c r="F54" s="9"/>
      <c r="G54" s="5"/>
      <c r="I54" s="67">
        <v>45803</v>
      </c>
      <c r="J54" s="11" t="s">
        <v>10</v>
      </c>
      <c r="K54" s="5">
        <v>14.8</v>
      </c>
    </row>
    <row r="55" spans="1:11" x14ac:dyDescent="0.25">
      <c r="A55" s="65"/>
      <c r="B55" s="9"/>
      <c r="C55" s="4"/>
      <c r="E55" s="67"/>
      <c r="F55" s="9"/>
      <c r="G55" s="5"/>
      <c r="I55" s="67">
        <v>45804</v>
      </c>
      <c r="J55" s="11" t="s">
        <v>11</v>
      </c>
      <c r="K55" s="5">
        <v>20</v>
      </c>
    </row>
    <row r="56" spans="1:11" x14ac:dyDescent="0.25">
      <c r="A56" s="65"/>
      <c r="B56" s="9"/>
      <c r="C56" s="4"/>
      <c r="E56" s="67"/>
      <c r="F56" s="9"/>
      <c r="G56" s="5"/>
      <c r="I56" s="67">
        <v>45805</v>
      </c>
      <c r="J56" s="23" t="s">
        <v>10</v>
      </c>
      <c r="K56" s="5">
        <v>23.3</v>
      </c>
    </row>
    <row r="57" spans="1:11" x14ac:dyDescent="0.25">
      <c r="A57" s="65"/>
      <c r="B57" s="9"/>
      <c r="C57" s="4"/>
      <c r="E57" s="67"/>
      <c r="F57" s="9"/>
      <c r="G57" s="5"/>
      <c r="I57" s="67">
        <v>45805</v>
      </c>
      <c r="J57" s="11" t="s">
        <v>10</v>
      </c>
      <c r="K57" s="5">
        <v>9.6</v>
      </c>
    </row>
    <row r="58" spans="1:11" x14ac:dyDescent="0.25">
      <c r="A58" s="65"/>
      <c r="B58" s="9"/>
      <c r="C58" s="4"/>
      <c r="E58" s="67"/>
      <c r="F58" s="9"/>
      <c r="G58" s="5"/>
      <c r="I58" s="67">
        <v>45806</v>
      </c>
      <c r="J58" s="11" t="s">
        <v>10</v>
      </c>
      <c r="K58" s="5">
        <v>14.5</v>
      </c>
    </row>
    <row r="59" spans="1:11" x14ac:dyDescent="0.25">
      <c r="A59" s="65"/>
      <c r="B59" s="9"/>
      <c r="C59" s="4"/>
      <c r="E59" s="67"/>
      <c r="F59" s="9"/>
      <c r="G59" s="5"/>
      <c r="I59" s="67">
        <v>45807</v>
      </c>
      <c r="J59" s="23" t="s">
        <v>10</v>
      </c>
      <c r="K59" s="5">
        <v>25</v>
      </c>
    </row>
    <row r="60" spans="1:11" x14ac:dyDescent="0.25">
      <c r="A60" s="65"/>
      <c r="B60" s="9"/>
      <c r="C60" s="4"/>
      <c r="E60" s="67"/>
      <c r="F60" s="9"/>
      <c r="G60" s="5"/>
      <c r="I60" s="67">
        <v>45807</v>
      </c>
      <c r="J60" s="11" t="s">
        <v>10</v>
      </c>
      <c r="K60" s="5">
        <v>20.5</v>
      </c>
    </row>
    <row r="61" spans="1:11" x14ac:dyDescent="0.25">
      <c r="A61" s="65"/>
      <c r="B61" s="9"/>
      <c r="C61" s="4"/>
      <c r="E61" s="67"/>
      <c r="F61" s="9"/>
      <c r="G61" s="5"/>
      <c r="I61" s="67">
        <v>45807</v>
      </c>
      <c r="J61" s="11" t="s">
        <v>10</v>
      </c>
      <c r="K61" s="5">
        <v>11.8</v>
      </c>
    </row>
    <row r="62" spans="1:11" x14ac:dyDescent="0.25">
      <c r="A62" s="65"/>
      <c r="B62" s="9"/>
      <c r="C62" s="4"/>
      <c r="E62" s="67"/>
      <c r="F62" s="9"/>
      <c r="G62" s="5"/>
      <c r="I62" s="67">
        <v>45807</v>
      </c>
      <c r="J62" s="23" t="s">
        <v>11</v>
      </c>
      <c r="K62" s="5">
        <v>11</v>
      </c>
    </row>
    <row r="63" spans="1:11" x14ac:dyDescent="0.25">
      <c r="A63" s="65"/>
      <c r="B63" s="9"/>
      <c r="C63" s="4"/>
      <c r="E63" s="67"/>
      <c r="F63" s="9"/>
      <c r="G63" s="5"/>
      <c r="I63" s="67">
        <v>45808</v>
      </c>
      <c r="J63" s="11" t="s">
        <v>10</v>
      </c>
      <c r="K63" s="5">
        <v>22.1</v>
      </c>
    </row>
    <row r="64" spans="1:11" x14ac:dyDescent="0.25">
      <c r="A64" s="65"/>
      <c r="B64" s="9"/>
      <c r="C64" s="4"/>
      <c r="E64" s="67"/>
      <c r="F64" s="9"/>
      <c r="G64" s="5"/>
      <c r="I64" s="67">
        <v>45808</v>
      </c>
      <c r="J64" s="11" t="s">
        <v>10</v>
      </c>
      <c r="K64" s="5">
        <v>25.5</v>
      </c>
    </row>
    <row r="65" spans="1:11" x14ac:dyDescent="0.25">
      <c r="A65" s="65"/>
      <c r="B65" s="9"/>
      <c r="C65" s="4"/>
      <c r="E65" s="67"/>
      <c r="F65" s="9"/>
      <c r="G65" s="5"/>
      <c r="I65" s="67">
        <v>45808</v>
      </c>
      <c r="J65" s="23" t="s">
        <v>10</v>
      </c>
      <c r="K65" s="5">
        <v>14.35</v>
      </c>
    </row>
    <row r="66" spans="1:11" x14ac:dyDescent="0.25">
      <c r="A66" s="65"/>
      <c r="B66" s="9"/>
      <c r="C66" s="4"/>
      <c r="E66" s="67"/>
      <c r="F66" s="9"/>
      <c r="G66" s="5"/>
      <c r="I66" s="67">
        <v>45808</v>
      </c>
      <c r="J66" s="11" t="s">
        <v>10</v>
      </c>
      <c r="K66" s="5">
        <v>15.24</v>
      </c>
    </row>
    <row r="67" spans="1:11" x14ac:dyDescent="0.25">
      <c r="A67" s="65"/>
      <c r="B67" s="9"/>
      <c r="C67" s="4"/>
      <c r="E67" s="67"/>
      <c r="F67" s="9"/>
      <c r="G67" s="5"/>
      <c r="I67" s="67"/>
      <c r="J67" s="11"/>
      <c r="K67" s="5"/>
    </row>
    <row r="68" spans="1:11" x14ac:dyDescent="0.25">
      <c r="A68" s="65"/>
      <c r="B68" s="9"/>
      <c r="C68" s="4"/>
      <c r="E68" s="67"/>
      <c r="F68" s="9"/>
      <c r="G68" s="5"/>
      <c r="I68" s="67"/>
      <c r="J68" s="11"/>
      <c r="K68" s="5"/>
    </row>
    <row r="69" spans="1:11" x14ac:dyDescent="0.25">
      <c r="A69" s="65"/>
      <c r="B69" s="9"/>
      <c r="C69" s="4"/>
      <c r="E69" s="67"/>
      <c r="F69" s="9"/>
      <c r="G69" s="5"/>
      <c r="I69" s="67"/>
      <c r="J69" s="23"/>
      <c r="K69" s="5"/>
    </row>
    <row r="70" spans="1:11" x14ac:dyDescent="0.25">
      <c r="A70" s="65"/>
      <c r="B70" s="9"/>
      <c r="C70" s="4"/>
      <c r="E70" s="67"/>
      <c r="F70" s="9"/>
      <c r="G70" s="5"/>
      <c r="I70" s="67"/>
      <c r="J70" s="11"/>
      <c r="K70" s="5"/>
    </row>
    <row r="71" spans="1:11" x14ac:dyDescent="0.25">
      <c r="A71" s="65"/>
      <c r="B71" s="9"/>
      <c r="C71" s="4"/>
      <c r="E71" s="67"/>
      <c r="F71" s="9"/>
      <c r="G71" s="5"/>
      <c r="I71" s="67"/>
      <c r="J71" s="11"/>
      <c r="K71" s="5"/>
    </row>
    <row r="72" spans="1:11" x14ac:dyDescent="0.25">
      <c r="A72" s="65"/>
      <c r="B72" s="9"/>
      <c r="C72" s="4"/>
      <c r="E72" s="67"/>
      <c r="F72" s="9"/>
      <c r="G72" s="5"/>
      <c r="I72" s="67"/>
      <c r="J72" s="11"/>
      <c r="K72" s="5"/>
    </row>
    <row r="73" spans="1:11" x14ac:dyDescent="0.25">
      <c r="A73" s="65"/>
      <c r="B73" s="9"/>
      <c r="C73" s="4"/>
      <c r="E73" s="67"/>
      <c r="F73" s="9"/>
      <c r="G73" s="5"/>
      <c r="I73" s="67"/>
      <c r="J73" s="23"/>
      <c r="K73" s="5"/>
    </row>
    <row r="74" spans="1:11" x14ac:dyDescent="0.25">
      <c r="A74" s="65"/>
      <c r="B74" s="9"/>
      <c r="C74" s="4"/>
      <c r="E74" s="67"/>
      <c r="F74" s="9"/>
      <c r="G74" s="5"/>
      <c r="I74" s="67"/>
      <c r="J74" s="11"/>
      <c r="K74" s="5"/>
    </row>
    <row r="75" spans="1:11" x14ac:dyDescent="0.25">
      <c r="A75" s="65"/>
      <c r="B75" s="9"/>
      <c r="C75" s="4"/>
      <c r="E75" s="67"/>
      <c r="F75" s="9"/>
      <c r="G75" s="5"/>
      <c r="I75" s="67"/>
      <c r="J75" s="11"/>
      <c r="K75" s="5"/>
    </row>
    <row r="76" spans="1:11" x14ac:dyDescent="0.25">
      <c r="A76" s="65"/>
      <c r="B76" s="9"/>
      <c r="C76" s="4"/>
      <c r="E76" s="67"/>
      <c r="F76" s="9"/>
      <c r="G76" s="5"/>
      <c r="I76" s="67"/>
      <c r="J76" s="23"/>
      <c r="K76" s="5"/>
    </row>
    <row r="77" spans="1:11" x14ac:dyDescent="0.25">
      <c r="A77" s="65"/>
      <c r="B77" s="9"/>
      <c r="C77" s="4"/>
      <c r="E77" s="67"/>
      <c r="F77" s="9"/>
      <c r="G77" s="5"/>
      <c r="I77" s="67"/>
      <c r="J77" s="11"/>
      <c r="K77" s="5"/>
    </row>
    <row r="78" spans="1:11" x14ac:dyDescent="0.25">
      <c r="A78" s="65"/>
      <c r="B78" s="9"/>
      <c r="C78" s="4"/>
      <c r="E78" s="67"/>
      <c r="F78" s="9"/>
      <c r="G78" s="5"/>
      <c r="I78" s="67"/>
      <c r="J78" s="11"/>
      <c r="K78" s="5"/>
    </row>
    <row r="79" spans="1:11" x14ac:dyDescent="0.25">
      <c r="A79" s="65"/>
      <c r="B79" s="9"/>
      <c r="C79" s="4"/>
      <c r="E79" s="67"/>
      <c r="F79" s="9"/>
      <c r="G79" s="5"/>
      <c r="I79" s="67"/>
      <c r="J79" s="23"/>
      <c r="K79" s="5"/>
    </row>
    <row r="80" spans="1:11" x14ac:dyDescent="0.25">
      <c r="A80" s="65"/>
      <c r="B80" s="9"/>
      <c r="C80" s="4"/>
      <c r="E80" s="67"/>
      <c r="F80" s="9"/>
      <c r="G80" s="5"/>
      <c r="I80" s="67"/>
      <c r="J80" s="11"/>
      <c r="K80" s="5"/>
    </row>
    <row r="81" spans="1:11" x14ac:dyDescent="0.25">
      <c r="A81" s="65"/>
      <c r="B81" s="9"/>
      <c r="C81" s="4"/>
      <c r="E81" s="67"/>
      <c r="F81" s="9"/>
      <c r="G81" s="5"/>
      <c r="I81" s="67"/>
      <c r="J81" s="11"/>
      <c r="K81" s="5"/>
    </row>
    <row r="82" spans="1:11" x14ac:dyDescent="0.25">
      <c r="A82" s="65"/>
      <c r="B82" s="9"/>
      <c r="C82" s="4"/>
      <c r="E82" s="67"/>
      <c r="F82" s="9"/>
      <c r="G82" s="5"/>
      <c r="I82" s="67"/>
      <c r="J82" s="23"/>
      <c r="K82" s="5"/>
    </row>
    <row r="83" spans="1:11" x14ac:dyDescent="0.25">
      <c r="A83" s="65"/>
      <c r="B83" s="9"/>
      <c r="C83" s="4"/>
      <c r="E83" s="67"/>
      <c r="F83" s="9"/>
      <c r="G83" s="5"/>
      <c r="I83" s="67"/>
      <c r="J83" s="11"/>
      <c r="K83" s="5"/>
    </row>
    <row r="84" spans="1:11" x14ac:dyDescent="0.25">
      <c r="A84" s="65"/>
      <c r="B84" s="9"/>
      <c r="C84" s="4"/>
      <c r="E84" s="67"/>
      <c r="F84" s="9"/>
      <c r="G84" s="5"/>
      <c r="I84" s="67"/>
      <c r="J84" s="11"/>
      <c r="K84" s="5"/>
    </row>
    <row r="85" spans="1:11" x14ac:dyDescent="0.25">
      <c r="A85" s="65"/>
      <c r="B85" s="9"/>
      <c r="C85" s="4"/>
      <c r="E85" s="67"/>
      <c r="F85" s="9"/>
      <c r="G85" s="5"/>
      <c r="I85" s="67"/>
      <c r="J85" s="23"/>
      <c r="K85" s="5"/>
    </row>
    <row r="86" spans="1:11" x14ac:dyDescent="0.25">
      <c r="A86" s="65"/>
      <c r="B86" s="9"/>
      <c r="C86" s="4"/>
      <c r="E86" s="67"/>
      <c r="F86" s="9"/>
      <c r="G86" s="5"/>
      <c r="I86" s="67"/>
      <c r="J86" s="11"/>
      <c r="K86" s="5"/>
    </row>
    <row r="87" spans="1:11" x14ac:dyDescent="0.25">
      <c r="A87" s="65"/>
      <c r="B87" s="9"/>
      <c r="C87" s="4"/>
      <c r="E87" s="67"/>
      <c r="F87" s="9"/>
      <c r="G87" s="5"/>
      <c r="I87" s="67"/>
      <c r="J87" s="11"/>
      <c r="K87" s="5"/>
    </row>
    <row r="88" spans="1:11" x14ac:dyDescent="0.25">
      <c r="A88" s="65"/>
      <c r="B88" s="9"/>
      <c r="C88" s="4"/>
      <c r="E88" s="67"/>
      <c r="F88" s="9"/>
      <c r="G88" s="5"/>
      <c r="I88" s="67"/>
      <c r="J88" s="23"/>
      <c r="K88" s="5"/>
    </row>
    <row r="89" spans="1:11" x14ac:dyDescent="0.25">
      <c r="A89" s="65"/>
      <c r="B89" s="9"/>
      <c r="C89" s="4"/>
      <c r="E89" s="67"/>
      <c r="F89" s="9"/>
      <c r="G89" s="5"/>
      <c r="I89" s="67"/>
      <c r="J89" s="11"/>
      <c r="K89" s="5"/>
    </row>
    <row r="90" spans="1:11" x14ac:dyDescent="0.25">
      <c r="A90" s="65"/>
      <c r="B90" s="9"/>
      <c r="C90" s="4"/>
      <c r="E90" s="67"/>
      <c r="F90" s="9"/>
      <c r="G90" s="5"/>
      <c r="I90" s="67"/>
      <c r="J90" s="11"/>
      <c r="K90" s="5"/>
    </row>
    <row r="91" spans="1:11" x14ac:dyDescent="0.25">
      <c r="A91" s="65"/>
      <c r="B91" s="9"/>
      <c r="C91" s="4"/>
      <c r="E91" s="67"/>
      <c r="F91" s="9"/>
      <c r="G91" s="5"/>
      <c r="I91" s="67"/>
      <c r="J91" s="23"/>
      <c r="K91" s="5"/>
    </row>
    <row r="92" spans="1:11" x14ac:dyDescent="0.25">
      <c r="A92" s="65"/>
      <c r="B92" s="9"/>
      <c r="C92" s="4"/>
      <c r="E92" s="67"/>
      <c r="F92" s="9"/>
      <c r="G92" s="5"/>
      <c r="I92" s="67"/>
      <c r="J92" s="11"/>
      <c r="K92" s="5"/>
    </row>
    <row r="93" spans="1:11" x14ac:dyDescent="0.25">
      <c r="A93" s="65"/>
      <c r="B93" s="9"/>
      <c r="C93" s="4"/>
      <c r="E93" s="67"/>
      <c r="F93" s="9"/>
      <c r="G93" s="5"/>
      <c r="I93" s="67"/>
      <c r="J93" s="11"/>
      <c r="K93" s="5"/>
    </row>
    <row r="94" spans="1:11" x14ac:dyDescent="0.25">
      <c r="A94" s="65"/>
      <c r="B94" s="9"/>
      <c r="C94" s="4"/>
      <c r="E94" s="67"/>
      <c r="F94" s="9"/>
      <c r="G94" s="5"/>
      <c r="I94" s="67"/>
      <c r="J94" s="23"/>
      <c r="K94" s="5"/>
    </row>
    <row r="95" spans="1:11" x14ac:dyDescent="0.25">
      <c r="A95" s="65"/>
      <c r="B95" s="9"/>
      <c r="C95" s="4"/>
      <c r="E95" s="67"/>
      <c r="F95" s="9"/>
      <c r="G95" s="5"/>
      <c r="I95" s="67"/>
      <c r="J95" s="11"/>
      <c r="K95" s="5"/>
    </row>
    <row r="96" spans="1:11" x14ac:dyDescent="0.25">
      <c r="A96" s="65"/>
      <c r="B96" s="9"/>
      <c r="C96" s="4"/>
      <c r="E96" s="67"/>
      <c r="F96" s="9"/>
      <c r="G96" s="5"/>
      <c r="I96" s="67"/>
      <c r="J96" s="11"/>
      <c r="K96" s="5"/>
    </row>
    <row r="97" spans="1:11" x14ac:dyDescent="0.25">
      <c r="A97" s="65"/>
      <c r="B97" s="9"/>
      <c r="C97" s="4"/>
      <c r="E97" s="67"/>
      <c r="F97" s="9"/>
      <c r="G97" s="5"/>
      <c r="I97" s="67"/>
      <c r="J97" s="23"/>
      <c r="K97" s="5"/>
    </row>
    <row r="98" spans="1:11" x14ac:dyDescent="0.25">
      <c r="A98" s="65"/>
      <c r="B98" s="9"/>
      <c r="C98" s="4"/>
      <c r="E98" s="67"/>
      <c r="F98" s="9"/>
      <c r="G98" s="5"/>
      <c r="I98" s="67"/>
      <c r="J98" s="11"/>
      <c r="K98" s="5"/>
    </row>
    <row r="99" spans="1:11" x14ac:dyDescent="0.25">
      <c r="A99" s="65"/>
      <c r="B99" s="9"/>
      <c r="C99" s="4"/>
      <c r="E99" s="67"/>
      <c r="F99" s="9"/>
      <c r="G99" s="5"/>
      <c r="I99" s="67"/>
      <c r="J99" s="11"/>
      <c r="K99" s="5"/>
    </row>
    <row r="100" spans="1:11" x14ac:dyDescent="0.25">
      <c r="A100" s="65"/>
      <c r="B100" s="9"/>
      <c r="C100" s="4"/>
      <c r="E100" s="67"/>
      <c r="F100" s="9"/>
      <c r="G100" s="5"/>
      <c r="I100" s="67"/>
      <c r="J100" s="23"/>
      <c r="K100" s="5"/>
    </row>
    <row r="101" spans="1:11" x14ac:dyDescent="0.25">
      <c r="A101" s="65"/>
      <c r="B101" s="9"/>
      <c r="C101" s="4"/>
      <c r="E101" s="67"/>
      <c r="F101" s="9"/>
      <c r="G101" s="5"/>
      <c r="I101" s="67"/>
      <c r="J101" s="11"/>
      <c r="K101" s="5"/>
    </row>
    <row r="102" spans="1:11" x14ac:dyDescent="0.25">
      <c r="A102" s="65"/>
      <c r="B102" s="9"/>
      <c r="C102" s="4"/>
      <c r="E102" s="67"/>
      <c r="F102" s="9"/>
      <c r="G102" s="5"/>
      <c r="I102" s="67"/>
      <c r="J102" s="11"/>
      <c r="K102" s="5"/>
    </row>
    <row r="103" spans="1:11" x14ac:dyDescent="0.25">
      <c r="A103" s="65"/>
      <c r="B103" s="9"/>
      <c r="C103" s="4"/>
      <c r="E103" s="67"/>
      <c r="F103" s="9"/>
      <c r="G103" s="5"/>
      <c r="I103" s="67"/>
      <c r="J103" s="23"/>
      <c r="K103" s="5"/>
    </row>
    <row r="104" spans="1:11" x14ac:dyDescent="0.25">
      <c r="A104" s="65"/>
      <c r="B104" s="9"/>
      <c r="C104" s="4"/>
      <c r="E104" s="67"/>
      <c r="F104" s="9"/>
      <c r="G104" s="5"/>
      <c r="I104" s="67"/>
      <c r="J104" s="11"/>
      <c r="K104" s="5"/>
    </row>
    <row r="105" spans="1:11" x14ac:dyDescent="0.25">
      <c r="A105" s="65"/>
      <c r="B105" s="9"/>
      <c r="C105" s="4"/>
      <c r="E105" s="67"/>
      <c r="F105" s="9"/>
      <c r="G105" s="5"/>
      <c r="I105" s="67"/>
      <c r="J105" s="11"/>
      <c r="K105" s="5"/>
    </row>
    <row r="106" spans="1:11" x14ac:dyDescent="0.25">
      <c r="A106" s="65"/>
      <c r="B106" s="9"/>
      <c r="C106" s="4"/>
      <c r="E106" s="67"/>
      <c r="F106" s="9"/>
      <c r="G106" s="5"/>
      <c r="I106" s="67"/>
      <c r="J106" s="23"/>
      <c r="K106" s="5"/>
    </row>
    <row r="107" spans="1:11" x14ac:dyDescent="0.25">
      <c r="A107" s="65"/>
      <c r="B107" s="9"/>
      <c r="C107" s="4"/>
      <c r="E107" s="67"/>
      <c r="F107" s="9"/>
      <c r="G107" s="5"/>
      <c r="I107" s="67"/>
      <c r="J107" s="11"/>
      <c r="K107" s="5"/>
    </row>
    <row r="108" spans="1:11" x14ac:dyDescent="0.25">
      <c r="A108" s="65"/>
      <c r="B108" s="9"/>
      <c r="C108" s="4"/>
      <c r="E108" s="67"/>
      <c r="F108" s="9"/>
      <c r="G108" s="5"/>
      <c r="I108" s="67"/>
      <c r="J108" s="11"/>
      <c r="K108" s="5"/>
    </row>
    <row r="109" spans="1:11" x14ac:dyDescent="0.25">
      <c r="A109" s="65"/>
      <c r="B109" s="9"/>
      <c r="C109" s="4"/>
      <c r="E109" s="67"/>
      <c r="F109" s="9"/>
      <c r="G109" s="5"/>
      <c r="I109" s="67"/>
      <c r="J109" s="23"/>
      <c r="K109" s="5"/>
    </row>
    <row r="110" spans="1:11" x14ac:dyDescent="0.25">
      <c r="A110" s="65"/>
      <c r="B110" s="9"/>
      <c r="C110" s="4"/>
      <c r="E110" s="67"/>
      <c r="F110" s="9"/>
      <c r="G110" s="5"/>
      <c r="I110" s="67"/>
      <c r="J110" s="11"/>
      <c r="K110" s="5"/>
    </row>
    <row r="111" spans="1:11" x14ac:dyDescent="0.25">
      <c r="A111" s="65"/>
      <c r="B111" s="9"/>
      <c r="C111" s="4"/>
      <c r="E111" s="67"/>
      <c r="F111" s="9"/>
      <c r="G111" s="5"/>
      <c r="I111" s="67"/>
      <c r="J111" s="11"/>
      <c r="K111" s="5"/>
    </row>
    <row r="112" spans="1:11" x14ac:dyDescent="0.25">
      <c r="A112" s="65"/>
      <c r="B112" s="9"/>
      <c r="C112" s="4"/>
      <c r="E112" s="67"/>
      <c r="F112" s="9"/>
      <c r="G112" s="5"/>
      <c r="I112" s="67"/>
      <c r="J112" s="23"/>
      <c r="K112" s="5"/>
    </row>
    <row r="113" spans="1:11" x14ac:dyDescent="0.25">
      <c r="A113" s="65"/>
      <c r="B113" s="9"/>
      <c r="C113" s="4"/>
      <c r="E113" s="67"/>
      <c r="F113" s="9"/>
      <c r="G113" s="5"/>
      <c r="I113" s="67"/>
      <c r="J113" s="11"/>
      <c r="K113" s="5"/>
    </row>
    <row r="114" spans="1:11" x14ac:dyDescent="0.25">
      <c r="A114" s="65"/>
      <c r="B114" s="9"/>
      <c r="C114" s="4"/>
      <c r="E114" s="67"/>
      <c r="F114" s="9"/>
      <c r="G114" s="5"/>
      <c r="I114" s="67"/>
      <c r="J114" s="11"/>
      <c r="K114" s="5"/>
    </row>
    <row r="115" spans="1:11" x14ac:dyDescent="0.25">
      <c r="A115" s="65"/>
      <c r="B115" s="9"/>
      <c r="C115" s="4"/>
      <c r="E115" s="67"/>
      <c r="F115" s="9"/>
      <c r="G115" s="5"/>
      <c r="I115" s="67"/>
      <c r="J115" s="23"/>
      <c r="K115" s="5"/>
    </row>
    <row r="116" spans="1:11" x14ac:dyDescent="0.25">
      <c r="A116" s="65"/>
      <c r="B116" s="9"/>
      <c r="C116" s="4"/>
      <c r="E116" s="67"/>
      <c r="F116" s="9"/>
      <c r="G116" s="5"/>
      <c r="I116" s="67"/>
      <c r="J116" s="11"/>
      <c r="K116" s="5"/>
    </row>
    <row r="117" spans="1:11" x14ac:dyDescent="0.25">
      <c r="A117" s="65"/>
      <c r="B117" s="9"/>
      <c r="C117" s="4"/>
      <c r="E117" s="67"/>
      <c r="F117" s="9"/>
      <c r="G117" s="5"/>
      <c r="I117" s="67"/>
      <c r="J117" s="11"/>
      <c r="K117" s="5"/>
    </row>
    <row r="118" spans="1:11" x14ac:dyDescent="0.25">
      <c r="A118" s="65"/>
      <c r="B118" s="9"/>
      <c r="C118" s="4"/>
      <c r="E118" s="67"/>
      <c r="F118" s="9"/>
      <c r="G118" s="5"/>
      <c r="I118" s="67"/>
      <c r="J118" s="23"/>
      <c r="K118" s="5"/>
    </row>
    <row r="119" spans="1:11" x14ac:dyDescent="0.25">
      <c r="A119" s="65"/>
      <c r="B119" s="9"/>
      <c r="C119" s="4"/>
      <c r="E119" s="67"/>
      <c r="F119" s="9"/>
      <c r="G119" s="5"/>
      <c r="I119" s="67"/>
      <c r="J119" s="11"/>
      <c r="K119" s="5"/>
    </row>
    <row r="120" spans="1:11" x14ac:dyDescent="0.25">
      <c r="A120" s="65"/>
      <c r="B120" s="9"/>
      <c r="C120" s="4"/>
      <c r="E120" s="67"/>
      <c r="F120" s="9"/>
      <c r="G120" s="5"/>
      <c r="I120" s="67"/>
      <c r="J120" s="11"/>
      <c r="K120" s="5"/>
    </row>
    <row r="121" spans="1:11" x14ac:dyDescent="0.25">
      <c r="A121" s="65"/>
      <c r="B121" s="9"/>
      <c r="C121" s="4"/>
      <c r="E121" s="67"/>
      <c r="F121" s="9"/>
      <c r="G121" s="5"/>
      <c r="I121" s="67"/>
      <c r="J121" s="23"/>
      <c r="K121" s="5"/>
    </row>
    <row r="122" spans="1:11" x14ac:dyDescent="0.25">
      <c r="A122" s="65"/>
      <c r="B122" s="9"/>
      <c r="C122" s="4"/>
      <c r="E122" s="67"/>
      <c r="F122" s="9"/>
      <c r="G122" s="5"/>
      <c r="I122" s="67"/>
      <c r="J122" s="11"/>
      <c r="K122" s="5"/>
    </row>
    <row r="123" spans="1:11" x14ac:dyDescent="0.25">
      <c r="A123" s="65"/>
      <c r="B123" s="9"/>
      <c r="C123" s="4"/>
      <c r="E123" s="67"/>
      <c r="F123" s="9"/>
      <c r="G123" s="5"/>
      <c r="I123" s="67"/>
      <c r="J123" s="11"/>
      <c r="K123" s="5"/>
    </row>
    <row r="124" spans="1:11" ht="15.75" thickBot="1" x14ac:dyDescent="0.3">
      <c r="A124" s="66"/>
      <c r="B124" s="10"/>
      <c r="C124" s="6"/>
      <c r="E124" s="68"/>
      <c r="F124" s="10"/>
      <c r="G124" s="7"/>
      <c r="I124" s="68"/>
      <c r="J124" s="8"/>
      <c r="K124" s="7"/>
    </row>
  </sheetData>
  <sheetProtection sheet="1" objects="1" scenarios="1" formatCells="0" formatColumns="0" formatRows="0" insertColumns="0" insertRows="0" insertHyperlinks="0" deleteColumns="0" deleteRows="0" sort="0" autoFilter="0" pivotTables="0"/>
  <autoFilter ref="I5:K66"/>
  <sortState ref="T23:W30">
    <sortCondition sortBy="cellColor" ref="U23:U30" dxfId="0"/>
  </sortState>
  <mergeCells count="7">
    <mergeCell ref="X23:X25"/>
    <mergeCell ref="X28:X29"/>
    <mergeCell ref="E1:G1"/>
    <mergeCell ref="A4:C4"/>
    <mergeCell ref="E4:G4"/>
    <mergeCell ref="I4:K4"/>
    <mergeCell ref="P17:P18"/>
  </mergeCells>
  <dataValidations count="1">
    <dataValidation type="list" allowBlank="1" showInputMessage="1" showErrorMessage="1" sqref="F6:F124">
      <formula1>$A$2:$A$6</formula1>
    </dataValidation>
  </dataValidations>
  <printOptions horizontalCentered="1"/>
  <pageMargins left="0.23622047244094491" right="0.23622047244094491" top="0.15748031496062992" bottom="0.15748031496062992" header="0.11811023622047245" footer="0.19685039370078741"/>
  <pageSetup paperSize="9" fitToWidth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Sheet2!$B$2:$B$4</xm:f>
          </x14:formula1>
          <xm:sqref>J6:J124</xm:sqref>
        </x14:dataValidation>
        <x14:dataValidation type="list" allowBlank="1" showInputMessage="1" showErrorMessage="1">
          <x14:formula1>
            <xm:f>Sheet2!$A$2:$A$5</xm:f>
          </x14:formula1>
          <xm:sqref>B6:B124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4"/>
  <sheetViews>
    <sheetView zoomScale="80" zoomScaleNormal="80" workbookViewId="0"/>
  </sheetViews>
  <sheetFormatPr defaultColWidth="9.140625" defaultRowHeight="15" x14ac:dyDescent="0.25"/>
  <cols>
    <col min="1" max="1" width="13.42578125" style="25" customWidth="1"/>
    <col min="2" max="2" width="22" style="1" customWidth="1"/>
    <col min="3" max="3" width="12.7109375" style="2" bestFit="1" customWidth="1"/>
    <col min="4" max="4" width="0.5703125" style="3" customWidth="1"/>
    <col min="5" max="5" width="14.7109375" style="28" customWidth="1"/>
    <col min="6" max="6" width="21.85546875" style="1" customWidth="1"/>
    <col min="7" max="7" width="12.7109375" style="2" bestFit="1" customWidth="1"/>
    <col min="8" max="8" width="0.5703125" style="3" customWidth="1"/>
    <col min="9" max="9" width="15.85546875" style="28" customWidth="1"/>
    <col min="10" max="10" width="22.140625" style="1" customWidth="1"/>
    <col min="11" max="11" width="12.85546875" style="1" customWidth="1"/>
    <col min="12" max="13" width="9.140625" style="1"/>
    <col min="14" max="14" width="18.42578125" style="1" customWidth="1"/>
    <col min="15" max="15" width="13.42578125" style="1" customWidth="1"/>
    <col min="16" max="16" width="9.85546875" style="1" bestFit="1" customWidth="1"/>
    <col min="17" max="23" width="9.140625" style="1"/>
    <col min="24" max="24" width="20" style="1" customWidth="1"/>
    <col min="25" max="25" width="18.42578125" style="1" bestFit="1" customWidth="1"/>
    <col min="26" max="26" width="19.5703125" style="1" bestFit="1" customWidth="1"/>
    <col min="27" max="16384" width="9.140625" style="1"/>
  </cols>
  <sheetData>
    <row r="1" spans="1:16" ht="24" thickBot="1" x14ac:dyDescent="0.4">
      <c r="E1" s="172" t="s">
        <v>0</v>
      </c>
      <c r="F1" s="173"/>
      <c r="G1" s="174"/>
    </row>
    <row r="2" spans="1:16" ht="15.75" x14ac:dyDescent="0.25">
      <c r="A2" s="31" t="s">
        <v>1</v>
      </c>
      <c r="C2" s="24">
        <v>45809</v>
      </c>
    </row>
    <row r="3" spans="1:16" ht="15.75" thickBot="1" x14ac:dyDescent="0.3"/>
    <row r="4" spans="1:16" ht="18.75" x14ac:dyDescent="0.3">
      <c r="A4" s="175" t="s">
        <v>2</v>
      </c>
      <c r="B4" s="176"/>
      <c r="C4" s="177"/>
      <c r="D4" s="12"/>
      <c r="E4" s="178" t="s">
        <v>3</v>
      </c>
      <c r="F4" s="179"/>
      <c r="G4" s="180"/>
      <c r="H4" s="12"/>
      <c r="I4" s="181" t="s">
        <v>4</v>
      </c>
      <c r="J4" s="182"/>
      <c r="K4" s="183"/>
    </row>
    <row r="5" spans="1:16" ht="21" customHeight="1" x14ac:dyDescent="0.25">
      <c r="A5" s="13" t="s">
        <v>5</v>
      </c>
      <c r="B5" s="14" t="s">
        <v>6</v>
      </c>
      <c r="C5" s="15" t="s">
        <v>7</v>
      </c>
      <c r="D5" s="16"/>
      <c r="E5" s="17" t="s">
        <v>5</v>
      </c>
      <c r="F5" s="18" t="s">
        <v>6</v>
      </c>
      <c r="G5" s="19" t="s">
        <v>7</v>
      </c>
      <c r="H5" s="16"/>
      <c r="I5" s="20" t="s">
        <v>5</v>
      </c>
      <c r="J5" s="21" t="s">
        <v>6</v>
      </c>
      <c r="K5" s="22" t="s">
        <v>7</v>
      </c>
    </row>
    <row r="6" spans="1:16" x14ac:dyDescent="0.25">
      <c r="A6" s="65">
        <v>45811</v>
      </c>
      <c r="B6" s="9" t="s">
        <v>8</v>
      </c>
      <c r="C6" s="4">
        <v>50</v>
      </c>
      <c r="E6" s="67">
        <v>45809</v>
      </c>
      <c r="F6" s="9" t="s">
        <v>9</v>
      </c>
      <c r="G6" s="5">
        <v>38.5</v>
      </c>
      <c r="I6" s="65">
        <v>45809</v>
      </c>
      <c r="J6" s="11" t="s">
        <v>10</v>
      </c>
      <c r="K6" s="5">
        <v>20</v>
      </c>
    </row>
    <row r="7" spans="1:16" x14ac:dyDescent="0.25">
      <c r="A7" s="65">
        <v>45813</v>
      </c>
      <c r="B7" s="9" t="s">
        <v>9</v>
      </c>
      <c r="C7" s="4">
        <v>452</v>
      </c>
      <c r="E7" s="67">
        <v>45809</v>
      </c>
      <c r="F7" s="9" t="s">
        <v>8</v>
      </c>
      <c r="G7" s="5">
        <v>17.5</v>
      </c>
      <c r="I7" s="65">
        <v>45809</v>
      </c>
      <c r="J7" s="11" t="s">
        <v>10</v>
      </c>
      <c r="K7" s="5">
        <v>11.15</v>
      </c>
    </row>
    <row r="8" spans="1:16" x14ac:dyDescent="0.25">
      <c r="A8" s="65">
        <v>45814</v>
      </c>
      <c r="B8" s="9" t="s">
        <v>8</v>
      </c>
      <c r="C8" s="4">
        <v>50</v>
      </c>
      <c r="E8" s="67">
        <v>45810</v>
      </c>
      <c r="F8" s="9" t="s">
        <v>9</v>
      </c>
      <c r="G8" s="5">
        <v>79</v>
      </c>
      <c r="I8" s="65">
        <v>45810</v>
      </c>
      <c r="J8" s="11" t="s">
        <v>10</v>
      </c>
      <c r="K8" s="5">
        <v>26.5</v>
      </c>
      <c r="N8" s="43" t="s">
        <v>14</v>
      </c>
      <c r="O8" s="45" t="s">
        <v>17</v>
      </c>
    </row>
    <row r="9" spans="1:16" ht="14.25" x14ac:dyDescent="0.45">
      <c r="A9" s="65">
        <v>45817</v>
      </c>
      <c r="B9" s="9" t="s">
        <v>8</v>
      </c>
      <c r="C9" s="4">
        <v>50</v>
      </c>
      <c r="E9" s="67">
        <v>45812</v>
      </c>
      <c r="F9" s="9" t="s">
        <v>8</v>
      </c>
      <c r="G9" s="5">
        <v>23.2</v>
      </c>
      <c r="I9" s="67">
        <v>45811</v>
      </c>
      <c r="J9" s="11" t="s">
        <v>10</v>
      </c>
      <c r="K9" s="5">
        <v>23.23</v>
      </c>
      <c r="N9" s="56" t="s">
        <v>19</v>
      </c>
      <c r="O9" s="57">
        <f>SUMIF(B6:B124,"Os - Ginger",C6:C124)</f>
        <v>0</v>
      </c>
    </row>
    <row r="10" spans="1:16" ht="14.25" x14ac:dyDescent="0.45">
      <c r="A10" s="65">
        <v>45822</v>
      </c>
      <c r="B10" s="9" t="s">
        <v>8</v>
      </c>
      <c r="C10" s="4">
        <v>50</v>
      </c>
      <c r="E10" s="67">
        <v>45813</v>
      </c>
      <c r="F10" s="9" t="s">
        <v>8</v>
      </c>
      <c r="G10" s="5">
        <v>13</v>
      </c>
      <c r="I10" s="67">
        <v>45811</v>
      </c>
      <c r="J10" s="11" t="s">
        <v>11</v>
      </c>
      <c r="K10" s="5">
        <v>14</v>
      </c>
      <c r="N10" s="56" t="s">
        <v>18</v>
      </c>
      <c r="O10" s="57">
        <f>SUMIF(B6:B124,"Os - Garlic",C6:C124)</f>
        <v>0</v>
      </c>
    </row>
    <row r="11" spans="1:16" ht="14.25" x14ac:dyDescent="0.45">
      <c r="A11" s="65">
        <v>45829</v>
      </c>
      <c r="B11" s="9" t="s">
        <v>8</v>
      </c>
      <c r="C11" s="4">
        <v>50</v>
      </c>
      <c r="E11" s="67">
        <v>45813</v>
      </c>
      <c r="F11" s="9" t="s">
        <v>9</v>
      </c>
      <c r="G11" s="5">
        <v>75</v>
      </c>
      <c r="I11" s="65">
        <v>45812</v>
      </c>
      <c r="J11" s="11" t="s">
        <v>10</v>
      </c>
      <c r="K11" s="5">
        <v>26</v>
      </c>
      <c r="N11" s="44" t="s">
        <v>8</v>
      </c>
      <c r="O11" s="41">
        <f>SUMIF(B6:B124,"Ginger",C6:C124)</f>
        <v>350</v>
      </c>
    </row>
    <row r="12" spans="1:16" ht="14.25" x14ac:dyDescent="0.45">
      <c r="A12" s="65">
        <v>45828</v>
      </c>
      <c r="B12" s="9" t="s">
        <v>9</v>
      </c>
      <c r="C12" s="4">
        <v>19</v>
      </c>
      <c r="E12" s="67">
        <v>45814</v>
      </c>
      <c r="F12" s="9" t="s">
        <v>8</v>
      </c>
      <c r="G12" s="5">
        <v>21.9</v>
      </c>
      <c r="I12" s="65">
        <v>45813</v>
      </c>
      <c r="J12" s="11" t="s">
        <v>10</v>
      </c>
      <c r="K12" s="5">
        <v>19.22</v>
      </c>
      <c r="N12" s="44" t="s">
        <v>9</v>
      </c>
      <c r="O12" s="41">
        <f>SUMIF(B6:B124,"Garlic",C6:C124)</f>
        <v>1381</v>
      </c>
    </row>
    <row r="13" spans="1:16" ht="14.25" x14ac:dyDescent="0.45">
      <c r="A13" s="65">
        <v>45829</v>
      </c>
      <c r="B13" s="9" t="s">
        <v>9</v>
      </c>
      <c r="C13" s="4">
        <v>189</v>
      </c>
      <c r="E13" s="67">
        <v>45815</v>
      </c>
      <c r="F13" s="9" t="s">
        <v>8</v>
      </c>
      <c r="G13" s="5">
        <v>26</v>
      </c>
      <c r="I13" s="67">
        <v>45813</v>
      </c>
      <c r="J13" s="11" t="s">
        <v>11</v>
      </c>
      <c r="K13" s="5">
        <v>26</v>
      </c>
      <c r="N13" s="44" t="s">
        <v>13</v>
      </c>
      <c r="O13" s="41">
        <f>SUMIF(B6:B124,"Broken Garlic",C6:C124)</f>
        <v>0</v>
      </c>
    </row>
    <row r="14" spans="1:16" ht="14.25" x14ac:dyDescent="0.45">
      <c r="A14" s="65">
        <v>45832</v>
      </c>
      <c r="B14" s="9" t="s">
        <v>8</v>
      </c>
      <c r="C14" s="4">
        <v>50</v>
      </c>
      <c r="E14" s="67">
        <v>45815</v>
      </c>
      <c r="F14" s="9" t="s">
        <v>9</v>
      </c>
      <c r="G14" s="5">
        <v>38</v>
      </c>
      <c r="I14" s="67">
        <v>45814</v>
      </c>
      <c r="J14" s="11" t="s">
        <v>10</v>
      </c>
      <c r="K14" s="5">
        <v>10</v>
      </c>
    </row>
    <row r="15" spans="1:16" ht="14.25" x14ac:dyDescent="0.45">
      <c r="A15" s="65">
        <v>45832</v>
      </c>
      <c r="B15" s="9" t="s">
        <v>9</v>
      </c>
      <c r="C15" s="4">
        <v>721</v>
      </c>
      <c r="E15" s="67">
        <v>45817</v>
      </c>
      <c r="F15" s="9" t="s">
        <v>8</v>
      </c>
      <c r="G15" s="5">
        <v>17</v>
      </c>
      <c r="I15" s="67">
        <v>45814</v>
      </c>
      <c r="J15" s="11" t="s">
        <v>10</v>
      </c>
      <c r="K15" s="5">
        <v>20.399999999999999</v>
      </c>
      <c r="N15" s="52" t="s">
        <v>3</v>
      </c>
      <c r="O15" s="53" t="s">
        <v>17</v>
      </c>
      <c r="P15" s="53" t="s">
        <v>17</v>
      </c>
    </row>
    <row r="16" spans="1:16" ht="14.25" x14ac:dyDescent="0.45">
      <c r="A16" s="65">
        <v>45836</v>
      </c>
      <c r="B16" s="9" t="s">
        <v>8</v>
      </c>
      <c r="C16" s="4">
        <v>50</v>
      </c>
      <c r="E16" s="67">
        <v>45817</v>
      </c>
      <c r="F16" s="9" t="s">
        <v>9</v>
      </c>
      <c r="G16" s="5">
        <v>38</v>
      </c>
      <c r="I16" s="67">
        <v>45814</v>
      </c>
      <c r="J16" s="11" t="s">
        <v>10</v>
      </c>
      <c r="K16" s="5">
        <v>10.130000000000001</v>
      </c>
      <c r="N16" s="93" t="s">
        <v>8</v>
      </c>
      <c r="O16" s="62">
        <f>SUMIF(F6:F124,"Ginger",G6:G124)</f>
        <v>373.05</v>
      </c>
      <c r="P16" s="64">
        <f>O16</f>
        <v>373.05</v>
      </c>
    </row>
    <row r="17" spans="1:16" x14ac:dyDescent="0.25">
      <c r="A17" s="65"/>
      <c r="B17" s="9"/>
      <c r="C17" s="4"/>
      <c r="E17" s="67">
        <v>45818</v>
      </c>
      <c r="F17" s="9" t="s">
        <v>8</v>
      </c>
      <c r="G17" s="5">
        <v>14.25</v>
      </c>
      <c r="I17" s="67">
        <v>45814</v>
      </c>
      <c r="J17" s="11" t="s">
        <v>10</v>
      </c>
      <c r="K17" s="5">
        <v>11</v>
      </c>
      <c r="N17" s="98" t="s">
        <v>9</v>
      </c>
      <c r="O17" s="99">
        <f>SUMIF(F6:F126,"Garlic",G6:G126)</f>
        <v>819.4</v>
      </c>
      <c r="P17" s="190">
        <f>SUM(O17:O18)</f>
        <v>858.4</v>
      </c>
    </row>
    <row r="18" spans="1:16" x14ac:dyDescent="0.25">
      <c r="A18" s="65"/>
      <c r="B18" s="9"/>
      <c r="C18" s="4"/>
      <c r="E18" s="67">
        <v>45820</v>
      </c>
      <c r="F18" s="9" t="s">
        <v>8</v>
      </c>
      <c r="G18" s="5">
        <v>8.4</v>
      </c>
      <c r="I18" s="67">
        <v>45814</v>
      </c>
      <c r="J18" s="11" t="s">
        <v>10</v>
      </c>
      <c r="K18" s="5">
        <v>10.9</v>
      </c>
      <c r="N18" s="98" t="s">
        <v>13</v>
      </c>
      <c r="O18" s="99">
        <f>SUMIF(F6:F126,"Broken Garlic",G6:G126)</f>
        <v>39</v>
      </c>
      <c r="P18" s="190"/>
    </row>
    <row r="19" spans="1:16" x14ac:dyDescent="0.25">
      <c r="A19" s="65"/>
      <c r="B19" s="9"/>
      <c r="C19" s="4"/>
      <c r="E19" s="67">
        <v>45821</v>
      </c>
      <c r="F19" s="9" t="s">
        <v>9</v>
      </c>
      <c r="G19" s="5">
        <v>76</v>
      </c>
      <c r="I19" s="67">
        <v>45815</v>
      </c>
      <c r="J19" s="11" t="s">
        <v>10</v>
      </c>
      <c r="K19" s="5">
        <v>14.78</v>
      </c>
    </row>
    <row r="20" spans="1:16" x14ac:dyDescent="0.25">
      <c r="A20" s="65"/>
      <c r="B20" s="9"/>
      <c r="C20" s="4"/>
      <c r="E20" s="67">
        <v>45822</v>
      </c>
      <c r="F20" s="9" t="s">
        <v>8</v>
      </c>
      <c r="G20" s="5">
        <v>13.8</v>
      </c>
      <c r="I20" s="67">
        <v>45815</v>
      </c>
      <c r="J20" s="11" t="s">
        <v>10</v>
      </c>
      <c r="K20" s="5">
        <v>13.6</v>
      </c>
    </row>
    <row r="21" spans="1:16" x14ac:dyDescent="0.25">
      <c r="A21" s="65"/>
      <c r="B21" s="9"/>
      <c r="C21" s="4"/>
      <c r="E21" s="67">
        <v>45822</v>
      </c>
      <c r="F21" s="9" t="s">
        <v>8</v>
      </c>
      <c r="G21" s="5">
        <v>16</v>
      </c>
      <c r="I21" s="67">
        <v>45816</v>
      </c>
      <c r="J21" s="11" t="s">
        <v>10</v>
      </c>
      <c r="K21" s="5">
        <v>14.35</v>
      </c>
      <c r="N21" s="54" t="s">
        <v>4</v>
      </c>
      <c r="O21" s="55" t="s">
        <v>17</v>
      </c>
      <c r="P21" s="55" t="s">
        <v>17</v>
      </c>
    </row>
    <row r="22" spans="1:16" x14ac:dyDescent="0.25">
      <c r="A22" s="65"/>
      <c r="B22" s="9"/>
      <c r="C22" s="4"/>
      <c r="E22" s="67">
        <v>45823</v>
      </c>
      <c r="F22" s="9" t="s">
        <v>8</v>
      </c>
      <c r="G22" s="5">
        <v>43</v>
      </c>
      <c r="I22" s="67">
        <v>45817</v>
      </c>
      <c r="J22" s="11" t="s">
        <v>10</v>
      </c>
      <c r="K22" s="5">
        <v>22.6</v>
      </c>
      <c r="N22" s="44" t="s">
        <v>12</v>
      </c>
      <c r="O22" s="41">
        <f>SUMIF(J6:J124,"Ginger Peeled",K6:K124)</f>
        <v>0.5</v>
      </c>
      <c r="P22" s="187">
        <f>SUM(O22:O24)</f>
        <v>1005.01</v>
      </c>
    </row>
    <row r="23" spans="1:16" x14ac:dyDescent="0.25">
      <c r="A23" s="65"/>
      <c r="B23" s="9"/>
      <c r="C23" s="4"/>
      <c r="E23" s="67"/>
      <c r="F23" s="9" t="s">
        <v>9</v>
      </c>
      <c r="G23" s="5">
        <v>76</v>
      </c>
      <c r="I23" s="67">
        <v>45817</v>
      </c>
      <c r="J23" s="11" t="s">
        <v>10</v>
      </c>
      <c r="K23" s="5">
        <v>10</v>
      </c>
      <c r="N23" s="44" t="s">
        <v>11</v>
      </c>
      <c r="O23" s="41">
        <f>SUMIF(J6:J124,"Garlic Peeled",K6:K124)</f>
        <v>186.5</v>
      </c>
      <c r="P23" s="188"/>
    </row>
    <row r="24" spans="1:16" x14ac:dyDescent="0.25">
      <c r="A24" s="65"/>
      <c r="B24" s="9"/>
      <c r="C24" s="4"/>
      <c r="E24" s="67"/>
      <c r="F24" s="9" t="s">
        <v>8</v>
      </c>
      <c r="G24" s="5">
        <v>39</v>
      </c>
      <c r="I24" s="67">
        <v>45818</v>
      </c>
      <c r="J24" s="11" t="s">
        <v>11</v>
      </c>
      <c r="K24" s="5">
        <v>8</v>
      </c>
      <c r="N24" s="44" t="s">
        <v>10</v>
      </c>
      <c r="O24" s="41">
        <f>SUMIF(J6:J124,"Ginger Garlic Paste",K6:K124)</f>
        <v>818.01</v>
      </c>
      <c r="P24" s="189"/>
    </row>
    <row r="25" spans="1:16" x14ac:dyDescent="0.25">
      <c r="A25" s="65"/>
      <c r="B25" s="9"/>
      <c r="C25" s="4"/>
      <c r="E25" s="67">
        <v>45825</v>
      </c>
      <c r="F25" s="9" t="s">
        <v>9</v>
      </c>
      <c r="G25" s="5">
        <v>89</v>
      </c>
      <c r="I25" s="67">
        <v>45819</v>
      </c>
      <c r="J25" s="11" t="s">
        <v>10</v>
      </c>
      <c r="K25" s="5">
        <v>46.6</v>
      </c>
    </row>
    <row r="26" spans="1:16" x14ac:dyDescent="0.25">
      <c r="A26" s="65"/>
      <c r="B26" s="9"/>
      <c r="C26" s="4"/>
      <c r="E26" s="67"/>
      <c r="F26" s="9" t="s">
        <v>8</v>
      </c>
      <c r="G26" s="5">
        <v>32</v>
      </c>
      <c r="I26" s="67">
        <v>45821</v>
      </c>
      <c r="J26" s="11" t="s">
        <v>10</v>
      </c>
      <c r="K26" s="5">
        <v>16</v>
      </c>
    </row>
    <row r="27" spans="1:16" x14ac:dyDescent="0.25">
      <c r="A27" s="65"/>
      <c r="B27" s="9"/>
      <c r="C27" s="4"/>
      <c r="E27" s="67">
        <v>45829</v>
      </c>
      <c r="F27" s="9" t="s">
        <v>9</v>
      </c>
      <c r="G27" s="5">
        <v>38</v>
      </c>
      <c r="I27" s="67">
        <v>45821</v>
      </c>
      <c r="J27" s="11" t="s">
        <v>11</v>
      </c>
      <c r="K27" s="5">
        <v>16</v>
      </c>
    </row>
    <row r="28" spans="1:16" x14ac:dyDescent="0.25">
      <c r="A28" s="65"/>
      <c r="B28" s="9"/>
      <c r="C28" s="4"/>
      <c r="E28" s="67"/>
      <c r="F28" s="9" t="s">
        <v>9</v>
      </c>
      <c r="G28" s="5">
        <v>19</v>
      </c>
      <c r="I28" s="67">
        <v>45822</v>
      </c>
      <c r="J28" s="11" t="s">
        <v>10</v>
      </c>
      <c r="K28" s="5">
        <v>65</v>
      </c>
    </row>
    <row r="29" spans="1:16" x14ac:dyDescent="0.25">
      <c r="A29" s="65"/>
      <c r="B29" s="9"/>
      <c r="C29" s="4"/>
      <c r="E29" s="67">
        <v>45830</v>
      </c>
      <c r="F29" s="9" t="s">
        <v>8</v>
      </c>
      <c r="G29" s="5">
        <v>6</v>
      </c>
      <c r="I29" s="67">
        <v>45822</v>
      </c>
      <c r="J29" s="11" t="s">
        <v>11</v>
      </c>
      <c r="K29" s="5">
        <v>9</v>
      </c>
    </row>
    <row r="30" spans="1:16" x14ac:dyDescent="0.25">
      <c r="A30" s="65"/>
      <c r="B30" s="9"/>
      <c r="C30" s="4"/>
      <c r="E30" s="67">
        <v>45831</v>
      </c>
      <c r="F30" s="9" t="s">
        <v>9</v>
      </c>
      <c r="G30" s="5">
        <v>77</v>
      </c>
      <c r="I30" s="67">
        <v>45823</v>
      </c>
      <c r="J30" s="11" t="s">
        <v>10</v>
      </c>
      <c r="K30" s="5">
        <v>8.75</v>
      </c>
    </row>
    <row r="31" spans="1:16" x14ac:dyDescent="0.25">
      <c r="A31" s="65"/>
      <c r="B31" s="9"/>
      <c r="C31" s="4"/>
      <c r="E31" s="67"/>
      <c r="F31" s="9" t="s">
        <v>8</v>
      </c>
      <c r="G31" s="5">
        <v>15</v>
      </c>
      <c r="I31" s="67">
        <v>45823</v>
      </c>
      <c r="J31" s="11" t="s">
        <v>10</v>
      </c>
      <c r="K31" s="5">
        <v>79</v>
      </c>
    </row>
    <row r="32" spans="1:16" x14ac:dyDescent="0.25">
      <c r="A32" s="65"/>
      <c r="B32" s="9"/>
      <c r="C32" s="4"/>
      <c r="E32" s="67">
        <v>45832</v>
      </c>
      <c r="F32" s="9" t="s">
        <v>9</v>
      </c>
      <c r="G32" s="5">
        <v>39</v>
      </c>
      <c r="I32" s="67">
        <v>45823</v>
      </c>
      <c r="J32" s="11" t="s">
        <v>11</v>
      </c>
      <c r="K32" s="5">
        <v>27</v>
      </c>
    </row>
    <row r="33" spans="1:11" x14ac:dyDescent="0.25">
      <c r="A33" s="65"/>
      <c r="B33" s="9"/>
      <c r="C33" s="4"/>
      <c r="E33" s="67"/>
      <c r="F33" s="9" t="s">
        <v>8</v>
      </c>
      <c r="G33" s="5">
        <v>16</v>
      </c>
      <c r="I33" s="67">
        <v>45824</v>
      </c>
      <c r="J33" s="11" t="s">
        <v>10</v>
      </c>
      <c r="K33" s="5">
        <v>15</v>
      </c>
    </row>
    <row r="34" spans="1:11" x14ac:dyDescent="0.25">
      <c r="A34" s="65"/>
      <c r="B34" s="9"/>
      <c r="C34" s="4"/>
      <c r="E34" s="67">
        <v>45834</v>
      </c>
      <c r="F34" s="9" t="s">
        <v>9</v>
      </c>
      <c r="G34" s="5">
        <v>48</v>
      </c>
      <c r="I34" s="67">
        <v>45828</v>
      </c>
      <c r="J34" s="11" t="s">
        <v>11</v>
      </c>
      <c r="K34" s="5">
        <v>20</v>
      </c>
    </row>
    <row r="35" spans="1:11" x14ac:dyDescent="0.25">
      <c r="A35" s="65"/>
      <c r="B35" s="9"/>
      <c r="C35" s="4"/>
      <c r="E35" s="67">
        <v>45834</v>
      </c>
      <c r="F35" s="9" t="s">
        <v>8</v>
      </c>
      <c r="G35" s="5">
        <v>16.5</v>
      </c>
      <c r="I35" s="67">
        <v>45828</v>
      </c>
      <c r="J35" s="11" t="s">
        <v>12</v>
      </c>
      <c r="K35" s="5">
        <v>0.5</v>
      </c>
    </row>
    <row r="36" spans="1:11" x14ac:dyDescent="0.25">
      <c r="A36" s="65"/>
      <c r="B36" s="9"/>
      <c r="C36" s="4"/>
      <c r="E36" s="67">
        <v>45835</v>
      </c>
      <c r="F36" s="9" t="s">
        <v>8</v>
      </c>
      <c r="G36" s="5">
        <v>14</v>
      </c>
      <c r="I36" s="67">
        <v>45828</v>
      </c>
      <c r="J36" s="11" t="s">
        <v>11</v>
      </c>
      <c r="K36" s="5">
        <v>0.5</v>
      </c>
    </row>
    <row r="37" spans="1:11" x14ac:dyDescent="0.25">
      <c r="A37" s="65"/>
      <c r="B37" s="9"/>
      <c r="C37" s="4"/>
      <c r="E37" s="67">
        <v>45836</v>
      </c>
      <c r="F37" s="9" t="s">
        <v>8</v>
      </c>
      <c r="G37" s="5">
        <v>19.5</v>
      </c>
      <c r="I37" s="67">
        <v>45828</v>
      </c>
      <c r="J37" s="23" t="s">
        <v>10</v>
      </c>
      <c r="K37" s="5">
        <v>3</v>
      </c>
    </row>
    <row r="38" spans="1:11" x14ac:dyDescent="0.25">
      <c r="A38" s="65"/>
      <c r="B38" s="9"/>
      <c r="C38" s="4"/>
      <c r="E38" s="67">
        <v>45836</v>
      </c>
      <c r="F38" s="9" t="s">
        <v>9</v>
      </c>
      <c r="G38" s="5">
        <v>31</v>
      </c>
      <c r="I38" s="67">
        <v>45828</v>
      </c>
      <c r="J38" s="11" t="s">
        <v>10</v>
      </c>
      <c r="K38" s="5">
        <v>53</v>
      </c>
    </row>
    <row r="39" spans="1:11" x14ac:dyDescent="0.25">
      <c r="A39" s="65"/>
      <c r="B39" s="9"/>
      <c r="C39" s="4"/>
      <c r="E39" s="67">
        <v>45838</v>
      </c>
      <c r="F39" s="9" t="s">
        <v>8</v>
      </c>
      <c r="G39" s="5">
        <v>1</v>
      </c>
      <c r="I39" s="67">
        <v>45829</v>
      </c>
      <c r="J39" s="11" t="s">
        <v>11</v>
      </c>
      <c r="K39" s="5">
        <v>11</v>
      </c>
    </row>
    <row r="40" spans="1:11" x14ac:dyDescent="0.25">
      <c r="A40" s="65"/>
      <c r="B40" s="9"/>
      <c r="C40" s="4"/>
      <c r="E40" s="67">
        <v>45838</v>
      </c>
      <c r="F40" s="9" t="s">
        <v>13</v>
      </c>
      <c r="G40" s="5">
        <v>31</v>
      </c>
      <c r="I40" s="67">
        <v>45829</v>
      </c>
      <c r="J40" s="23" t="s">
        <v>10</v>
      </c>
      <c r="K40" s="5">
        <v>69</v>
      </c>
    </row>
    <row r="41" spans="1:11" x14ac:dyDescent="0.25">
      <c r="A41" s="65"/>
      <c r="B41" s="9"/>
      <c r="C41" s="4"/>
      <c r="E41" s="67">
        <v>45838</v>
      </c>
      <c r="F41" s="9" t="s">
        <v>13</v>
      </c>
      <c r="G41" s="5">
        <v>8</v>
      </c>
      <c r="I41" s="67">
        <v>45831</v>
      </c>
      <c r="J41" s="11" t="s">
        <v>10</v>
      </c>
      <c r="K41" s="5">
        <v>42</v>
      </c>
    </row>
    <row r="42" spans="1:11" x14ac:dyDescent="0.25">
      <c r="A42" s="65"/>
      <c r="B42" s="9"/>
      <c r="C42" s="4"/>
      <c r="E42" s="67">
        <v>45838</v>
      </c>
      <c r="F42" s="9" t="s">
        <v>9</v>
      </c>
      <c r="G42" s="5">
        <v>46.4</v>
      </c>
      <c r="I42" s="67">
        <v>45831</v>
      </c>
      <c r="J42" s="11" t="s">
        <v>11</v>
      </c>
      <c r="K42" s="5">
        <v>19</v>
      </c>
    </row>
    <row r="43" spans="1:11" x14ac:dyDescent="0.25">
      <c r="A43" s="65"/>
      <c r="B43" s="9"/>
      <c r="C43" s="4"/>
      <c r="E43" s="67">
        <v>45838</v>
      </c>
      <c r="F43" s="9" t="s">
        <v>9</v>
      </c>
      <c r="G43" s="5">
        <v>11.5</v>
      </c>
      <c r="I43" s="67">
        <v>45832</v>
      </c>
      <c r="J43" s="23" t="s">
        <v>10</v>
      </c>
      <c r="K43" s="5">
        <v>25</v>
      </c>
    </row>
    <row r="44" spans="1:11" x14ac:dyDescent="0.25">
      <c r="A44" s="65"/>
      <c r="B44" s="9"/>
      <c r="C44" s="4"/>
      <c r="E44" s="67"/>
      <c r="F44" s="9"/>
      <c r="G44" s="5"/>
      <c r="I44" s="67">
        <v>45832</v>
      </c>
      <c r="J44" s="11" t="s">
        <v>11</v>
      </c>
      <c r="K44" s="5">
        <v>11</v>
      </c>
    </row>
    <row r="45" spans="1:11" x14ac:dyDescent="0.25">
      <c r="A45" s="65"/>
      <c r="B45" s="9"/>
      <c r="C45" s="4"/>
      <c r="E45" s="67"/>
      <c r="F45" s="9"/>
      <c r="G45" s="5"/>
      <c r="I45" s="67">
        <v>45834</v>
      </c>
      <c r="J45" s="11" t="s">
        <v>10</v>
      </c>
      <c r="K45" s="5">
        <v>30</v>
      </c>
    </row>
    <row r="46" spans="1:11" x14ac:dyDescent="0.25">
      <c r="A46" s="65"/>
      <c r="B46" s="9"/>
      <c r="C46" s="4"/>
      <c r="E46" s="67"/>
      <c r="F46" s="9"/>
      <c r="G46" s="5"/>
      <c r="I46" s="67">
        <v>45834</v>
      </c>
      <c r="J46" s="23" t="s">
        <v>10</v>
      </c>
      <c r="K46" s="5">
        <v>10</v>
      </c>
    </row>
    <row r="47" spans="1:11" x14ac:dyDescent="0.25">
      <c r="A47" s="65"/>
      <c r="B47" s="9"/>
      <c r="C47" s="4"/>
      <c r="E47" s="67"/>
      <c r="F47" s="9"/>
      <c r="G47" s="5"/>
      <c r="I47" s="67">
        <v>45835</v>
      </c>
      <c r="J47" s="11" t="s">
        <v>11</v>
      </c>
      <c r="K47" s="5">
        <v>6</v>
      </c>
    </row>
    <row r="48" spans="1:11" x14ac:dyDescent="0.25">
      <c r="A48" s="65"/>
      <c r="B48" s="9"/>
      <c r="C48" s="4"/>
      <c r="E48" s="67"/>
      <c r="F48" s="9"/>
      <c r="G48" s="5"/>
      <c r="I48" s="67">
        <v>45835</v>
      </c>
      <c r="J48" s="11" t="s">
        <v>10</v>
      </c>
      <c r="K48" s="5">
        <v>48</v>
      </c>
    </row>
    <row r="49" spans="1:11" x14ac:dyDescent="0.25">
      <c r="A49" s="65"/>
      <c r="B49" s="9"/>
      <c r="C49" s="4"/>
      <c r="E49" s="67"/>
      <c r="F49" s="9"/>
      <c r="G49" s="5"/>
      <c r="I49" s="67">
        <v>45836</v>
      </c>
      <c r="J49" s="23" t="s">
        <v>10</v>
      </c>
      <c r="K49" s="5">
        <v>11.8</v>
      </c>
    </row>
    <row r="50" spans="1:11" x14ac:dyDescent="0.25">
      <c r="A50" s="65"/>
      <c r="B50" s="9"/>
      <c r="C50" s="4"/>
      <c r="E50" s="67"/>
      <c r="F50" s="9"/>
      <c r="G50" s="5"/>
      <c r="I50" s="67">
        <v>45836</v>
      </c>
      <c r="J50" s="11" t="s">
        <v>11</v>
      </c>
      <c r="K50" s="5">
        <v>14</v>
      </c>
    </row>
    <row r="51" spans="1:11" x14ac:dyDescent="0.25">
      <c r="A51" s="65"/>
      <c r="B51" s="9"/>
      <c r="C51" s="4"/>
      <c r="E51" s="67"/>
      <c r="F51" s="9"/>
      <c r="G51" s="5"/>
      <c r="I51" s="67">
        <v>45838</v>
      </c>
      <c r="J51" s="11" t="s">
        <v>10</v>
      </c>
      <c r="K51" s="5">
        <v>32</v>
      </c>
    </row>
    <row r="52" spans="1:11" x14ac:dyDescent="0.25">
      <c r="A52" s="65"/>
      <c r="B52" s="9"/>
      <c r="C52" s="4"/>
      <c r="E52" s="67"/>
      <c r="F52" s="9"/>
      <c r="G52" s="5"/>
      <c r="I52" s="67">
        <v>45838</v>
      </c>
      <c r="J52" s="23" t="s">
        <v>11</v>
      </c>
      <c r="K52" s="5">
        <v>5</v>
      </c>
    </row>
    <row r="53" spans="1:11" x14ac:dyDescent="0.25">
      <c r="A53" s="65"/>
      <c r="B53" s="9"/>
      <c r="C53" s="4"/>
      <c r="E53" s="67"/>
      <c r="F53" s="9"/>
      <c r="G53" s="5"/>
      <c r="I53" s="67"/>
      <c r="J53" s="11"/>
      <c r="K53" s="5"/>
    </row>
    <row r="54" spans="1:11" x14ac:dyDescent="0.25">
      <c r="A54" s="65"/>
      <c r="B54" s="9"/>
      <c r="C54" s="4"/>
      <c r="E54" s="67"/>
      <c r="F54" s="9"/>
      <c r="G54" s="5"/>
      <c r="I54" s="67"/>
      <c r="J54" s="11"/>
      <c r="K54" s="5"/>
    </row>
    <row r="55" spans="1:11" x14ac:dyDescent="0.25">
      <c r="A55" s="65"/>
      <c r="B55" s="9"/>
      <c r="C55" s="4"/>
      <c r="E55" s="67"/>
      <c r="F55" s="9"/>
      <c r="G55" s="5"/>
      <c r="I55" s="67"/>
      <c r="J55" s="23"/>
      <c r="K55" s="5"/>
    </row>
    <row r="56" spans="1:11" x14ac:dyDescent="0.25">
      <c r="A56" s="65"/>
      <c r="B56" s="9"/>
      <c r="C56" s="4"/>
      <c r="E56" s="67"/>
      <c r="F56" s="9"/>
      <c r="G56" s="5"/>
      <c r="I56" s="67"/>
      <c r="J56" s="11"/>
      <c r="K56" s="5"/>
    </row>
    <row r="57" spans="1:11" x14ac:dyDescent="0.25">
      <c r="A57" s="65"/>
      <c r="B57" s="9"/>
      <c r="C57" s="4"/>
      <c r="E57" s="67"/>
      <c r="F57" s="9"/>
      <c r="G57" s="5"/>
      <c r="I57" s="67"/>
      <c r="J57" s="11"/>
      <c r="K57" s="5"/>
    </row>
    <row r="58" spans="1:11" x14ac:dyDescent="0.25">
      <c r="A58" s="65"/>
      <c r="B58" s="9"/>
      <c r="C58" s="4"/>
      <c r="E58" s="67"/>
      <c r="F58" s="9"/>
      <c r="G58" s="5"/>
      <c r="I58" s="67"/>
      <c r="J58" s="23"/>
      <c r="K58" s="5"/>
    </row>
    <row r="59" spans="1:11" x14ac:dyDescent="0.25">
      <c r="A59" s="65"/>
      <c r="B59" s="9"/>
      <c r="C59" s="4"/>
      <c r="E59" s="67"/>
      <c r="F59" s="9"/>
      <c r="G59" s="5"/>
      <c r="I59" s="67"/>
      <c r="J59" s="11"/>
      <c r="K59" s="5"/>
    </row>
    <row r="60" spans="1:11" x14ac:dyDescent="0.25">
      <c r="A60" s="65"/>
      <c r="B60" s="9"/>
      <c r="C60" s="4"/>
      <c r="E60" s="67"/>
      <c r="F60" s="9"/>
      <c r="G60" s="5"/>
      <c r="I60" s="67"/>
      <c r="J60" s="11"/>
      <c r="K60" s="5"/>
    </row>
    <row r="61" spans="1:11" x14ac:dyDescent="0.25">
      <c r="A61" s="65"/>
      <c r="B61" s="9"/>
      <c r="C61" s="4"/>
      <c r="E61" s="67"/>
      <c r="F61" s="9"/>
      <c r="G61" s="5"/>
      <c r="I61" s="67"/>
      <c r="J61" s="23"/>
      <c r="K61" s="5"/>
    </row>
    <row r="62" spans="1:11" x14ac:dyDescent="0.25">
      <c r="A62" s="65"/>
      <c r="B62" s="9"/>
      <c r="C62" s="4"/>
      <c r="E62" s="67"/>
      <c r="F62" s="9"/>
      <c r="G62" s="5"/>
      <c r="I62" s="67"/>
      <c r="J62" s="11"/>
      <c r="K62" s="5"/>
    </row>
    <row r="63" spans="1:11" x14ac:dyDescent="0.25">
      <c r="A63" s="65"/>
      <c r="B63" s="9"/>
      <c r="C63" s="4"/>
      <c r="E63" s="67"/>
      <c r="F63" s="9"/>
      <c r="G63" s="5"/>
      <c r="I63" s="67"/>
      <c r="J63" s="11"/>
      <c r="K63" s="5"/>
    </row>
    <row r="64" spans="1:11" x14ac:dyDescent="0.25">
      <c r="A64" s="65"/>
      <c r="B64" s="9"/>
      <c r="C64" s="4"/>
      <c r="E64" s="67"/>
      <c r="F64" s="9"/>
      <c r="G64" s="5"/>
      <c r="I64" s="67"/>
      <c r="J64" s="23"/>
      <c r="K64" s="5"/>
    </row>
    <row r="65" spans="1:11" x14ac:dyDescent="0.25">
      <c r="A65" s="65"/>
      <c r="B65" s="9"/>
      <c r="C65" s="4"/>
      <c r="E65" s="67"/>
      <c r="F65" s="9"/>
      <c r="G65" s="5"/>
      <c r="I65" s="67"/>
      <c r="J65" s="11"/>
      <c r="K65" s="5"/>
    </row>
    <row r="66" spans="1:11" x14ac:dyDescent="0.25">
      <c r="A66" s="65"/>
      <c r="B66" s="9"/>
      <c r="C66" s="4"/>
      <c r="E66" s="67"/>
      <c r="F66" s="9"/>
      <c r="G66" s="5"/>
      <c r="I66" s="67"/>
      <c r="J66" s="11"/>
      <c r="K66" s="5"/>
    </row>
    <row r="67" spans="1:11" x14ac:dyDescent="0.25">
      <c r="A67" s="65"/>
      <c r="B67" s="9"/>
      <c r="C67" s="4"/>
      <c r="E67" s="67"/>
      <c r="F67" s="9"/>
      <c r="G67" s="5"/>
      <c r="I67" s="67"/>
      <c r="J67" s="23"/>
      <c r="K67" s="5"/>
    </row>
    <row r="68" spans="1:11" x14ac:dyDescent="0.25">
      <c r="A68" s="65"/>
      <c r="B68" s="9"/>
      <c r="C68" s="4"/>
      <c r="E68" s="67"/>
      <c r="F68" s="9"/>
      <c r="G68" s="5"/>
      <c r="I68" s="67"/>
      <c r="J68" s="11"/>
      <c r="K68" s="5"/>
    </row>
    <row r="69" spans="1:11" x14ac:dyDescent="0.25">
      <c r="A69" s="65"/>
      <c r="B69" s="9"/>
      <c r="C69" s="4"/>
      <c r="E69" s="67"/>
      <c r="F69" s="9"/>
      <c r="G69" s="5"/>
      <c r="I69" s="67"/>
      <c r="J69" s="11"/>
      <c r="K69" s="5"/>
    </row>
    <row r="70" spans="1:11" x14ac:dyDescent="0.25">
      <c r="A70" s="65"/>
      <c r="B70" s="9"/>
      <c r="C70" s="4"/>
      <c r="E70" s="67"/>
      <c r="F70" s="9"/>
      <c r="G70" s="5"/>
      <c r="I70" s="67"/>
      <c r="J70" s="23"/>
      <c r="K70" s="5"/>
    </row>
    <row r="71" spans="1:11" x14ac:dyDescent="0.25">
      <c r="A71" s="65"/>
      <c r="B71" s="9"/>
      <c r="C71" s="4"/>
      <c r="E71" s="67"/>
      <c r="F71" s="9"/>
      <c r="G71" s="5"/>
      <c r="I71" s="67"/>
      <c r="J71" s="11"/>
      <c r="K71" s="5"/>
    </row>
    <row r="72" spans="1:11" x14ac:dyDescent="0.25">
      <c r="A72" s="65"/>
      <c r="B72" s="9"/>
      <c r="C72" s="4"/>
      <c r="E72" s="67"/>
      <c r="F72" s="9"/>
      <c r="G72" s="5"/>
      <c r="I72" s="67"/>
      <c r="J72" s="11"/>
      <c r="K72" s="5"/>
    </row>
    <row r="73" spans="1:11" x14ac:dyDescent="0.25">
      <c r="A73" s="65"/>
      <c r="B73" s="9"/>
      <c r="C73" s="4"/>
      <c r="E73" s="67"/>
      <c r="F73" s="9"/>
      <c r="G73" s="5"/>
      <c r="I73" s="67"/>
      <c r="J73" s="23"/>
      <c r="K73" s="5"/>
    </row>
    <row r="74" spans="1:11" x14ac:dyDescent="0.25">
      <c r="A74" s="65"/>
      <c r="B74" s="9"/>
      <c r="C74" s="4"/>
      <c r="E74" s="67"/>
      <c r="F74" s="9"/>
      <c r="G74" s="5"/>
      <c r="I74" s="67"/>
      <c r="J74" s="11"/>
      <c r="K74" s="5"/>
    </row>
    <row r="75" spans="1:11" x14ac:dyDescent="0.25">
      <c r="A75" s="65"/>
      <c r="B75" s="9"/>
      <c r="C75" s="4"/>
      <c r="E75" s="67"/>
      <c r="F75" s="9"/>
      <c r="G75" s="5"/>
      <c r="I75" s="67"/>
      <c r="J75" s="11"/>
      <c r="K75" s="5"/>
    </row>
    <row r="76" spans="1:11" x14ac:dyDescent="0.25">
      <c r="A76" s="65"/>
      <c r="B76" s="9"/>
      <c r="C76" s="4"/>
      <c r="E76" s="67"/>
      <c r="F76" s="9"/>
      <c r="G76" s="5"/>
      <c r="I76" s="67"/>
      <c r="J76" s="23"/>
      <c r="K76" s="5"/>
    </row>
    <row r="77" spans="1:11" x14ac:dyDescent="0.25">
      <c r="A77" s="65"/>
      <c r="B77" s="9"/>
      <c r="C77" s="4"/>
      <c r="E77" s="67"/>
      <c r="F77" s="9"/>
      <c r="G77" s="5"/>
      <c r="I77" s="67"/>
      <c r="J77" s="11"/>
      <c r="K77" s="5"/>
    </row>
    <row r="78" spans="1:11" x14ac:dyDescent="0.25">
      <c r="A78" s="65"/>
      <c r="B78" s="9"/>
      <c r="C78" s="4"/>
      <c r="E78" s="67"/>
      <c r="F78" s="9"/>
      <c r="G78" s="5"/>
      <c r="I78" s="67"/>
      <c r="J78" s="11"/>
      <c r="K78" s="5"/>
    </row>
    <row r="79" spans="1:11" x14ac:dyDescent="0.25">
      <c r="A79" s="65"/>
      <c r="B79" s="9"/>
      <c r="C79" s="4"/>
      <c r="E79" s="67"/>
      <c r="F79" s="9"/>
      <c r="G79" s="5"/>
      <c r="I79" s="67"/>
      <c r="J79" s="23"/>
      <c r="K79" s="5"/>
    </row>
    <row r="80" spans="1:11" x14ac:dyDescent="0.25">
      <c r="A80" s="65"/>
      <c r="B80" s="9"/>
      <c r="C80" s="4"/>
      <c r="E80" s="67"/>
      <c r="F80" s="9"/>
      <c r="G80" s="5"/>
      <c r="I80" s="67"/>
      <c r="J80" s="11"/>
      <c r="K80" s="5"/>
    </row>
    <row r="81" spans="1:11" x14ac:dyDescent="0.25">
      <c r="A81" s="65"/>
      <c r="B81" s="9"/>
      <c r="C81" s="4"/>
      <c r="E81" s="67"/>
      <c r="F81" s="9"/>
      <c r="G81" s="5"/>
      <c r="I81" s="67"/>
      <c r="J81" s="11"/>
      <c r="K81" s="5"/>
    </row>
    <row r="82" spans="1:11" x14ac:dyDescent="0.25">
      <c r="A82" s="65"/>
      <c r="B82" s="9"/>
      <c r="C82" s="4"/>
      <c r="E82" s="67"/>
      <c r="F82" s="9"/>
      <c r="G82" s="5"/>
      <c r="I82" s="67"/>
      <c r="J82" s="23"/>
      <c r="K82" s="5"/>
    </row>
    <row r="83" spans="1:11" x14ac:dyDescent="0.25">
      <c r="A83" s="65"/>
      <c r="B83" s="9"/>
      <c r="C83" s="4"/>
      <c r="E83" s="67"/>
      <c r="F83" s="9"/>
      <c r="G83" s="5"/>
      <c r="I83" s="67"/>
      <c r="J83" s="11"/>
      <c r="K83" s="5"/>
    </row>
    <row r="84" spans="1:11" x14ac:dyDescent="0.25">
      <c r="A84" s="65"/>
      <c r="B84" s="9"/>
      <c r="C84" s="4"/>
      <c r="E84" s="67"/>
      <c r="F84" s="9"/>
      <c r="G84" s="5"/>
      <c r="I84" s="67"/>
      <c r="J84" s="11"/>
      <c r="K84" s="5"/>
    </row>
    <row r="85" spans="1:11" x14ac:dyDescent="0.25">
      <c r="A85" s="65"/>
      <c r="B85" s="9"/>
      <c r="C85" s="4"/>
      <c r="E85" s="67"/>
      <c r="F85" s="9"/>
      <c r="G85" s="5"/>
      <c r="I85" s="67"/>
      <c r="J85" s="23"/>
      <c r="K85" s="5"/>
    </row>
    <row r="86" spans="1:11" x14ac:dyDescent="0.25">
      <c r="A86" s="65"/>
      <c r="B86" s="9"/>
      <c r="C86" s="4"/>
      <c r="E86" s="67"/>
      <c r="F86" s="9"/>
      <c r="G86" s="5"/>
      <c r="I86" s="67"/>
      <c r="J86" s="11"/>
      <c r="K86" s="5"/>
    </row>
    <row r="87" spans="1:11" x14ac:dyDescent="0.25">
      <c r="A87" s="65"/>
      <c r="B87" s="9"/>
      <c r="C87" s="4"/>
      <c r="E87" s="67"/>
      <c r="F87" s="9"/>
      <c r="G87" s="5"/>
      <c r="I87" s="67"/>
      <c r="J87" s="11"/>
      <c r="K87" s="5"/>
    </row>
    <row r="88" spans="1:11" x14ac:dyDescent="0.25">
      <c r="A88" s="65"/>
      <c r="B88" s="9"/>
      <c r="C88" s="4"/>
      <c r="E88" s="67"/>
      <c r="F88" s="9"/>
      <c r="G88" s="5"/>
      <c r="I88" s="67"/>
      <c r="J88" s="23"/>
      <c r="K88" s="5"/>
    </row>
    <row r="89" spans="1:11" x14ac:dyDescent="0.25">
      <c r="A89" s="65"/>
      <c r="B89" s="9"/>
      <c r="C89" s="4"/>
      <c r="E89" s="67"/>
      <c r="F89" s="9"/>
      <c r="G89" s="5"/>
      <c r="I89" s="67"/>
      <c r="J89" s="11"/>
      <c r="K89" s="5"/>
    </row>
    <row r="90" spans="1:11" x14ac:dyDescent="0.25">
      <c r="A90" s="65"/>
      <c r="B90" s="9"/>
      <c r="C90" s="4"/>
      <c r="E90" s="67"/>
      <c r="F90" s="9"/>
      <c r="G90" s="5"/>
      <c r="I90" s="67"/>
      <c r="J90" s="11"/>
      <c r="K90" s="5"/>
    </row>
    <row r="91" spans="1:11" x14ac:dyDescent="0.25">
      <c r="A91" s="65"/>
      <c r="B91" s="9"/>
      <c r="C91" s="4"/>
      <c r="E91" s="67"/>
      <c r="F91" s="9"/>
      <c r="G91" s="5"/>
      <c r="I91" s="67"/>
      <c r="J91" s="23"/>
      <c r="K91" s="5"/>
    </row>
    <row r="92" spans="1:11" x14ac:dyDescent="0.25">
      <c r="A92" s="65"/>
      <c r="B92" s="9"/>
      <c r="C92" s="4"/>
      <c r="E92" s="67"/>
      <c r="F92" s="9"/>
      <c r="G92" s="5"/>
      <c r="I92" s="67"/>
      <c r="J92" s="11"/>
      <c r="K92" s="5"/>
    </row>
    <row r="93" spans="1:11" x14ac:dyDescent="0.25">
      <c r="A93" s="65"/>
      <c r="B93" s="9"/>
      <c r="C93" s="4"/>
      <c r="E93" s="67"/>
      <c r="F93" s="9"/>
      <c r="G93" s="5"/>
      <c r="I93" s="67"/>
      <c r="J93" s="11"/>
      <c r="K93" s="5"/>
    </row>
    <row r="94" spans="1:11" x14ac:dyDescent="0.25">
      <c r="A94" s="65"/>
      <c r="B94" s="9"/>
      <c r="C94" s="4"/>
      <c r="E94" s="67"/>
      <c r="F94" s="9"/>
      <c r="G94" s="5"/>
      <c r="I94" s="67"/>
      <c r="J94" s="23"/>
      <c r="K94" s="5"/>
    </row>
    <row r="95" spans="1:11" x14ac:dyDescent="0.25">
      <c r="A95" s="65"/>
      <c r="B95" s="9"/>
      <c r="C95" s="4"/>
      <c r="E95" s="67"/>
      <c r="F95" s="9"/>
      <c r="G95" s="5"/>
      <c r="I95" s="67"/>
      <c r="J95" s="11"/>
      <c r="K95" s="5"/>
    </row>
    <row r="96" spans="1:11" x14ac:dyDescent="0.25">
      <c r="A96" s="65"/>
      <c r="B96" s="9"/>
      <c r="C96" s="4"/>
      <c r="E96" s="67"/>
      <c r="F96" s="9"/>
      <c r="G96" s="5"/>
      <c r="I96" s="67"/>
      <c r="J96" s="11"/>
      <c r="K96" s="5"/>
    </row>
    <row r="97" spans="1:11" x14ac:dyDescent="0.25">
      <c r="A97" s="65"/>
      <c r="B97" s="9"/>
      <c r="C97" s="4"/>
      <c r="E97" s="67"/>
      <c r="F97" s="9"/>
      <c r="G97" s="5"/>
      <c r="I97" s="67"/>
      <c r="J97" s="23"/>
      <c r="K97" s="5"/>
    </row>
    <row r="98" spans="1:11" x14ac:dyDescent="0.25">
      <c r="A98" s="65"/>
      <c r="B98" s="9"/>
      <c r="C98" s="4"/>
      <c r="E98" s="67"/>
      <c r="F98" s="9"/>
      <c r="G98" s="5"/>
      <c r="I98" s="67"/>
      <c r="J98" s="11"/>
      <c r="K98" s="5"/>
    </row>
    <row r="99" spans="1:11" x14ac:dyDescent="0.25">
      <c r="A99" s="65"/>
      <c r="B99" s="9"/>
      <c r="C99" s="4"/>
      <c r="E99" s="67"/>
      <c r="F99" s="9"/>
      <c r="G99" s="5"/>
      <c r="I99" s="67"/>
      <c r="J99" s="11"/>
      <c r="K99" s="5"/>
    </row>
    <row r="100" spans="1:11" x14ac:dyDescent="0.25">
      <c r="A100" s="65"/>
      <c r="B100" s="9"/>
      <c r="C100" s="4"/>
      <c r="E100" s="67"/>
      <c r="F100" s="9"/>
      <c r="G100" s="5"/>
      <c r="I100" s="67"/>
      <c r="J100" s="23"/>
      <c r="K100" s="5"/>
    </row>
    <row r="101" spans="1:11" x14ac:dyDescent="0.25">
      <c r="A101" s="65"/>
      <c r="B101" s="9"/>
      <c r="C101" s="4"/>
      <c r="E101" s="67"/>
      <c r="F101" s="9"/>
      <c r="G101" s="5"/>
      <c r="I101" s="67"/>
      <c r="J101" s="11"/>
      <c r="K101" s="5"/>
    </row>
    <row r="102" spans="1:11" x14ac:dyDescent="0.25">
      <c r="A102" s="65"/>
      <c r="B102" s="9"/>
      <c r="C102" s="4"/>
      <c r="E102" s="67"/>
      <c r="F102" s="9"/>
      <c r="G102" s="5"/>
      <c r="I102" s="67"/>
      <c r="J102" s="11"/>
      <c r="K102" s="5"/>
    </row>
    <row r="103" spans="1:11" x14ac:dyDescent="0.25">
      <c r="A103" s="65"/>
      <c r="B103" s="9"/>
      <c r="C103" s="4"/>
      <c r="E103" s="67"/>
      <c r="F103" s="9"/>
      <c r="G103" s="5"/>
      <c r="I103" s="67"/>
      <c r="J103" s="23"/>
      <c r="K103" s="5"/>
    </row>
    <row r="104" spans="1:11" x14ac:dyDescent="0.25">
      <c r="A104" s="65"/>
      <c r="B104" s="9"/>
      <c r="C104" s="4"/>
      <c r="E104" s="67"/>
      <c r="F104" s="9"/>
      <c r="G104" s="5"/>
      <c r="I104" s="67"/>
      <c r="J104" s="11"/>
      <c r="K104" s="5"/>
    </row>
    <row r="105" spans="1:11" x14ac:dyDescent="0.25">
      <c r="A105" s="65"/>
      <c r="B105" s="9"/>
      <c r="C105" s="4"/>
      <c r="E105" s="67"/>
      <c r="F105" s="9"/>
      <c r="G105" s="5"/>
      <c r="I105" s="67"/>
      <c r="J105" s="11"/>
      <c r="K105" s="5"/>
    </row>
    <row r="106" spans="1:11" x14ac:dyDescent="0.25">
      <c r="A106" s="65"/>
      <c r="B106" s="9"/>
      <c r="C106" s="4"/>
      <c r="E106" s="67"/>
      <c r="F106" s="9"/>
      <c r="G106" s="5"/>
      <c r="I106" s="67"/>
      <c r="J106" s="23"/>
      <c r="K106" s="5"/>
    </row>
    <row r="107" spans="1:11" x14ac:dyDescent="0.25">
      <c r="A107" s="65"/>
      <c r="B107" s="9"/>
      <c r="C107" s="4"/>
      <c r="E107" s="67"/>
      <c r="F107" s="9"/>
      <c r="G107" s="5"/>
      <c r="I107" s="67"/>
      <c r="J107" s="11"/>
      <c r="K107" s="5"/>
    </row>
    <row r="108" spans="1:11" x14ac:dyDescent="0.25">
      <c r="A108" s="65"/>
      <c r="B108" s="9"/>
      <c r="C108" s="4"/>
      <c r="E108" s="67"/>
      <c r="F108" s="9"/>
      <c r="G108" s="5"/>
      <c r="I108" s="67"/>
      <c r="J108" s="11"/>
      <c r="K108" s="5"/>
    </row>
    <row r="109" spans="1:11" x14ac:dyDescent="0.25">
      <c r="A109" s="65"/>
      <c r="B109" s="9"/>
      <c r="C109" s="4"/>
      <c r="E109" s="67"/>
      <c r="F109" s="9"/>
      <c r="G109" s="5"/>
      <c r="I109" s="67"/>
      <c r="J109" s="23"/>
      <c r="K109" s="5"/>
    </row>
    <row r="110" spans="1:11" x14ac:dyDescent="0.25">
      <c r="A110" s="65"/>
      <c r="B110" s="9"/>
      <c r="C110" s="4"/>
      <c r="E110" s="67"/>
      <c r="F110" s="9"/>
      <c r="G110" s="5"/>
      <c r="I110" s="67"/>
      <c r="J110" s="11"/>
      <c r="K110" s="5"/>
    </row>
    <row r="111" spans="1:11" x14ac:dyDescent="0.25">
      <c r="A111" s="65"/>
      <c r="B111" s="9"/>
      <c r="C111" s="4"/>
      <c r="E111" s="67"/>
      <c r="F111" s="9"/>
      <c r="G111" s="5"/>
      <c r="I111" s="67"/>
      <c r="J111" s="11"/>
      <c r="K111" s="5"/>
    </row>
    <row r="112" spans="1:11" x14ac:dyDescent="0.25">
      <c r="A112" s="65"/>
      <c r="B112" s="9"/>
      <c r="C112" s="4"/>
      <c r="E112" s="67"/>
      <c r="F112" s="9"/>
      <c r="G112" s="5"/>
      <c r="I112" s="67"/>
      <c r="J112" s="23"/>
      <c r="K112" s="5"/>
    </row>
    <row r="113" spans="1:11" x14ac:dyDescent="0.25">
      <c r="A113" s="65"/>
      <c r="B113" s="9"/>
      <c r="C113" s="4"/>
      <c r="E113" s="67"/>
      <c r="F113" s="9"/>
      <c r="G113" s="5"/>
      <c r="I113" s="67"/>
      <c r="J113" s="11"/>
      <c r="K113" s="5"/>
    </row>
    <row r="114" spans="1:11" x14ac:dyDescent="0.25">
      <c r="A114" s="65"/>
      <c r="B114" s="9"/>
      <c r="C114" s="4"/>
      <c r="E114" s="67"/>
      <c r="F114" s="9"/>
      <c r="G114" s="5"/>
      <c r="I114" s="67"/>
      <c r="J114" s="11"/>
      <c r="K114" s="5"/>
    </row>
    <row r="115" spans="1:11" x14ac:dyDescent="0.25">
      <c r="A115" s="65"/>
      <c r="B115" s="9"/>
      <c r="C115" s="4"/>
      <c r="E115" s="67"/>
      <c r="F115" s="9"/>
      <c r="G115" s="5"/>
      <c r="I115" s="67"/>
      <c r="J115" s="23"/>
      <c r="K115" s="5"/>
    </row>
    <row r="116" spans="1:11" x14ac:dyDescent="0.25">
      <c r="A116" s="65"/>
      <c r="B116" s="9"/>
      <c r="C116" s="4"/>
      <c r="E116" s="67"/>
      <c r="F116" s="9"/>
      <c r="G116" s="5"/>
      <c r="I116" s="67"/>
      <c r="J116" s="11"/>
      <c r="K116" s="5"/>
    </row>
    <row r="117" spans="1:11" x14ac:dyDescent="0.25">
      <c r="A117" s="65"/>
      <c r="B117" s="9"/>
      <c r="C117" s="4"/>
      <c r="E117" s="67"/>
      <c r="F117" s="9"/>
      <c r="G117" s="5"/>
      <c r="I117" s="67"/>
      <c r="J117" s="11"/>
      <c r="K117" s="5"/>
    </row>
    <row r="118" spans="1:11" x14ac:dyDescent="0.25">
      <c r="A118" s="65"/>
      <c r="B118" s="9"/>
      <c r="C118" s="4"/>
      <c r="E118" s="67"/>
      <c r="F118" s="9"/>
      <c r="G118" s="5"/>
      <c r="I118" s="67"/>
      <c r="J118" s="23"/>
      <c r="K118" s="5"/>
    </row>
    <row r="119" spans="1:11" x14ac:dyDescent="0.25">
      <c r="A119" s="65"/>
      <c r="B119" s="9"/>
      <c r="C119" s="4"/>
      <c r="E119" s="67"/>
      <c r="F119" s="9"/>
      <c r="G119" s="5"/>
      <c r="I119" s="67"/>
      <c r="J119" s="11"/>
      <c r="K119" s="5"/>
    </row>
    <row r="120" spans="1:11" x14ac:dyDescent="0.25">
      <c r="A120" s="65"/>
      <c r="B120" s="9"/>
      <c r="C120" s="4"/>
      <c r="E120" s="67"/>
      <c r="F120" s="9"/>
      <c r="G120" s="5"/>
      <c r="I120" s="67"/>
      <c r="J120" s="11"/>
      <c r="K120" s="5"/>
    </row>
    <row r="121" spans="1:11" x14ac:dyDescent="0.25">
      <c r="A121" s="65"/>
      <c r="B121" s="9"/>
      <c r="C121" s="4"/>
      <c r="E121" s="67"/>
      <c r="F121" s="9"/>
      <c r="G121" s="5"/>
      <c r="I121" s="67"/>
      <c r="J121" s="23"/>
      <c r="K121" s="5"/>
    </row>
    <row r="122" spans="1:11" x14ac:dyDescent="0.25">
      <c r="A122" s="65"/>
      <c r="B122" s="9"/>
      <c r="C122" s="4"/>
      <c r="E122" s="67"/>
      <c r="F122" s="9"/>
      <c r="G122" s="5"/>
      <c r="I122" s="67"/>
      <c r="J122" s="11"/>
      <c r="K122" s="5"/>
    </row>
    <row r="123" spans="1:11" x14ac:dyDescent="0.25">
      <c r="A123" s="65"/>
      <c r="B123" s="9"/>
      <c r="C123" s="4"/>
      <c r="E123" s="67"/>
      <c r="F123" s="9"/>
      <c r="G123" s="5"/>
      <c r="I123" s="67"/>
      <c r="J123" s="11"/>
      <c r="K123" s="5"/>
    </row>
    <row r="124" spans="1:11" ht="15.75" thickBot="1" x14ac:dyDescent="0.3">
      <c r="A124" s="66"/>
      <c r="B124" s="10"/>
      <c r="C124" s="6"/>
      <c r="E124" s="68"/>
      <c r="F124" s="10"/>
      <c r="G124" s="7"/>
      <c r="I124" s="68"/>
      <c r="J124" s="8"/>
      <c r="K124" s="7"/>
    </row>
  </sheetData>
  <sheetProtection password="EF1F" sheet="1" formatCells="0" formatColumns="0" formatRows="0" insertColumns="0" insertRows="0" insertHyperlinks="0" deleteColumns="0" deleteRows="0" sort="0" autoFilter="0" pivotTables="0"/>
  <mergeCells count="6">
    <mergeCell ref="P22:P24"/>
    <mergeCell ref="E1:G1"/>
    <mergeCell ref="A4:C4"/>
    <mergeCell ref="E4:G4"/>
    <mergeCell ref="I4:K4"/>
    <mergeCell ref="P17:P18"/>
  </mergeCells>
  <dataValidations count="1">
    <dataValidation type="list" allowBlank="1" showInputMessage="1" showErrorMessage="1" sqref="F6:F124">
      <formula1>$A$2:$A$6</formula1>
    </dataValidation>
  </dataValidations>
  <printOptions horizontalCentered="1"/>
  <pageMargins left="0.23622047244094491" right="0.23622047244094491" top="0.15748031496062992" bottom="0.15748031496062992" header="0.11811023622047245" footer="0.19685039370078741"/>
  <pageSetup paperSize="9" fitToWidth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Sheet2!$B$2:$B$4</xm:f>
          </x14:formula1>
          <xm:sqref>J6:J124</xm:sqref>
        </x14:dataValidation>
        <x14:dataValidation type="list" allowBlank="1" showInputMessage="1" showErrorMessage="1">
          <x14:formula1>
            <xm:f>Sheet2!$A$2:$A$5</xm:f>
          </x14:formula1>
          <xm:sqref>B6:B124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4"/>
  <sheetViews>
    <sheetView workbookViewId="0">
      <selection activeCell="F34" sqref="F34"/>
    </sheetView>
  </sheetViews>
  <sheetFormatPr defaultColWidth="9.140625" defaultRowHeight="15" x14ac:dyDescent="0.25"/>
  <cols>
    <col min="1" max="1" width="26" style="25" bestFit="1" customWidth="1"/>
    <col min="2" max="2" width="22" style="1" customWidth="1"/>
    <col min="3" max="3" width="12.7109375" style="2" bestFit="1" customWidth="1"/>
    <col min="4" max="4" width="0.5703125" style="3" customWidth="1"/>
    <col min="5" max="5" width="23.42578125" style="28" bestFit="1" customWidth="1"/>
    <col min="6" max="6" width="21.85546875" style="1" customWidth="1"/>
    <col min="7" max="7" width="12.7109375" style="2" bestFit="1" customWidth="1"/>
    <col min="8" max="8" width="0.5703125" style="3" customWidth="1"/>
    <col min="9" max="9" width="16.85546875" style="28" customWidth="1"/>
    <col min="10" max="10" width="22.140625" style="1" customWidth="1"/>
    <col min="11" max="11" width="12.85546875" style="1" customWidth="1"/>
    <col min="12" max="13" width="9.140625" style="1"/>
    <col min="14" max="14" width="18.42578125" style="1" customWidth="1"/>
    <col min="15" max="15" width="13.42578125" style="1" customWidth="1"/>
    <col min="16" max="16384" width="9.140625" style="1"/>
  </cols>
  <sheetData>
    <row r="1" spans="1:15" ht="24" thickBot="1" x14ac:dyDescent="0.4">
      <c r="E1" s="172" t="s">
        <v>0</v>
      </c>
      <c r="F1" s="173"/>
      <c r="G1" s="174"/>
    </row>
    <row r="2" spans="1:15" ht="15.75" x14ac:dyDescent="0.25">
      <c r="A2" s="31" t="s">
        <v>1</v>
      </c>
      <c r="C2" s="24">
        <v>45778</v>
      </c>
    </row>
    <row r="3" spans="1:15" ht="15.75" thickBot="1" x14ac:dyDescent="0.3"/>
    <row r="4" spans="1:15" ht="18.75" x14ac:dyDescent="0.3">
      <c r="A4" s="175" t="s">
        <v>2</v>
      </c>
      <c r="B4" s="176"/>
      <c r="C4" s="177"/>
      <c r="D4" s="12"/>
      <c r="E4" s="178" t="s">
        <v>3</v>
      </c>
      <c r="F4" s="179"/>
      <c r="G4" s="180"/>
      <c r="H4" s="12"/>
      <c r="I4" s="181" t="s">
        <v>4</v>
      </c>
      <c r="J4" s="182"/>
      <c r="K4" s="183"/>
    </row>
    <row r="5" spans="1:15" ht="21" customHeight="1" x14ac:dyDescent="0.25">
      <c r="A5" s="13" t="s">
        <v>5</v>
      </c>
      <c r="B5" s="14" t="s">
        <v>6</v>
      </c>
      <c r="C5" s="15" t="s">
        <v>7</v>
      </c>
      <c r="D5" s="16"/>
      <c r="E5" s="17" t="s">
        <v>5</v>
      </c>
      <c r="F5" s="18" t="s">
        <v>6</v>
      </c>
      <c r="G5" s="19" t="s">
        <v>7</v>
      </c>
      <c r="H5" s="16"/>
      <c r="I5" s="20" t="s">
        <v>5</v>
      </c>
      <c r="J5" s="21" t="s">
        <v>6</v>
      </c>
      <c r="K5" s="22" t="s">
        <v>7</v>
      </c>
    </row>
    <row r="6" spans="1:15" x14ac:dyDescent="0.25">
      <c r="A6" s="48">
        <v>45811</v>
      </c>
      <c r="B6" s="51" t="s">
        <v>8</v>
      </c>
      <c r="C6" s="4">
        <v>50</v>
      </c>
      <c r="E6" s="49">
        <v>45809</v>
      </c>
      <c r="F6" s="9" t="s">
        <v>9</v>
      </c>
      <c r="G6" s="5">
        <v>38.5</v>
      </c>
      <c r="I6" s="48">
        <v>45809</v>
      </c>
      <c r="J6" s="11" t="s">
        <v>10</v>
      </c>
      <c r="K6" s="5">
        <v>20</v>
      </c>
    </row>
    <row r="7" spans="1:15" ht="14.25" x14ac:dyDescent="0.45">
      <c r="A7" s="48"/>
      <c r="B7" s="9" t="s">
        <v>9</v>
      </c>
      <c r="C7" s="4">
        <v>452</v>
      </c>
      <c r="E7" s="49">
        <v>45809</v>
      </c>
      <c r="F7" s="9" t="s">
        <v>8</v>
      </c>
      <c r="G7" s="5">
        <v>17.5</v>
      </c>
      <c r="I7" s="48">
        <v>45809</v>
      </c>
      <c r="J7" s="11" t="s">
        <v>10</v>
      </c>
      <c r="K7" s="5">
        <v>11.15</v>
      </c>
    </row>
    <row r="8" spans="1:15" ht="14.25" x14ac:dyDescent="0.45">
      <c r="A8" s="48"/>
      <c r="B8" s="9"/>
      <c r="C8" s="4"/>
      <c r="E8" s="49">
        <v>45810</v>
      </c>
      <c r="F8" s="9" t="s">
        <v>9</v>
      </c>
      <c r="G8" s="5">
        <v>79</v>
      </c>
      <c r="I8" s="48">
        <v>45810</v>
      </c>
      <c r="J8" s="11" t="s">
        <v>10</v>
      </c>
      <c r="K8" s="5">
        <v>26.5</v>
      </c>
      <c r="N8" s="43" t="s">
        <v>14</v>
      </c>
      <c r="O8" s="45" t="s">
        <v>17</v>
      </c>
    </row>
    <row r="9" spans="1:15" ht="14.25" x14ac:dyDescent="0.45">
      <c r="A9" s="48"/>
      <c r="B9" s="9"/>
      <c r="C9" s="4"/>
      <c r="E9" s="49">
        <v>45812</v>
      </c>
      <c r="F9" s="9" t="s">
        <v>8</v>
      </c>
      <c r="G9" s="5">
        <v>23.2</v>
      </c>
      <c r="I9" s="49">
        <v>45811</v>
      </c>
      <c r="J9" s="11" t="s">
        <v>10</v>
      </c>
      <c r="K9" s="5">
        <v>23.23</v>
      </c>
      <c r="N9" s="56" t="s">
        <v>19</v>
      </c>
      <c r="O9" s="57">
        <f>SUMIF(B6:B124,"Os - Ginger",C6:C124)</f>
        <v>0</v>
      </c>
    </row>
    <row r="10" spans="1:15" ht="14.25" x14ac:dyDescent="0.45">
      <c r="A10" s="48"/>
      <c r="B10" s="9"/>
      <c r="C10" s="4"/>
      <c r="E10" s="49">
        <v>45813</v>
      </c>
      <c r="F10" s="9" t="s">
        <v>8</v>
      </c>
      <c r="G10" s="5">
        <v>13</v>
      </c>
      <c r="I10" s="49">
        <v>45811</v>
      </c>
      <c r="J10" s="11" t="s">
        <v>11</v>
      </c>
      <c r="K10" s="5">
        <v>14</v>
      </c>
      <c r="N10" s="56" t="s">
        <v>18</v>
      </c>
      <c r="O10" s="57">
        <f>SUMIF(B6:B124,"Os - Garlic",C6:C124)</f>
        <v>0</v>
      </c>
    </row>
    <row r="11" spans="1:15" ht="14.25" x14ac:dyDescent="0.45">
      <c r="A11" s="48"/>
      <c r="B11" s="9"/>
      <c r="C11" s="4"/>
      <c r="E11" s="49">
        <v>45813</v>
      </c>
      <c r="F11" s="9" t="s">
        <v>9</v>
      </c>
      <c r="G11" s="5">
        <v>75</v>
      </c>
      <c r="I11" s="48">
        <v>45812</v>
      </c>
      <c r="J11" s="11" t="s">
        <v>10</v>
      </c>
      <c r="K11" s="5">
        <v>26</v>
      </c>
      <c r="N11" s="44" t="s">
        <v>8</v>
      </c>
      <c r="O11" s="41">
        <f>SUMIF(B6:B124,"Ginger",C6:C124)</f>
        <v>50</v>
      </c>
    </row>
    <row r="12" spans="1:15" ht="14.25" x14ac:dyDescent="0.45">
      <c r="A12" s="48"/>
      <c r="B12" s="9"/>
      <c r="C12" s="4"/>
      <c r="E12" s="49"/>
      <c r="F12" s="9"/>
      <c r="G12" s="5"/>
      <c r="I12" s="48">
        <v>45813</v>
      </c>
      <c r="J12" s="11" t="s">
        <v>10</v>
      </c>
      <c r="K12" s="5">
        <v>19.22</v>
      </c>
      <c r="N12" s="44" t="s">
        <v>9</v>
      </c>
      <c r="O12" s="41">
        <f>SUMIF(B6:B124,"Garlic",C6:C124)</f>
        <v>452</v>
      </c>
    </row>
    <row r="13" spans="1:15" ht="14.25" x14ac:dyDescent="0.45">
      <c r="A13" s="48"/>
      <c r="B13" s="9"/>
      <c r="C13" s="4"/>
      <c r="E13" s="49"/>
      <c r="F13" s="9"/>
      <c r="G13" s="5"/>
      <c r="I13" s="49">
        <v>45813</v>
      </c>
      <c r="J13" s="11" t="s">
        <v>11</v>
      </c>
      <c r="K13" s="5">
        <v>26</v>
      </c>
      <c r="N13" s="44" t="s">
        <v>13</v>
      </c>
      <c r="O13" s="41">
        <f>SUMIF(B6:B124,"Broken Garlic",C6:C124)</f>
        <v>0</v>
      </c>
    </row>
    <row r="14" spans="1:15" ht="14.25" x14ac:dyDescent="0.45">
      <c r="A14" s="48"/>
      <c r="B14" s="9"/>
      <c r="C14" s="4"/>
      <c r="E14" s="49"/>
      <c r="F14" s="9"/>
      <c r="G14" s="5"/>
      <c r="I14" s="49"/>
      <c r="J14" s="11"/>
      <c r="K14" s="5"/>
    </row>
    <row r="15" spans="1:15" x14ac:dyDescent="0.25">
      <c r="A15" s="48"/>
      <c r="B15" s="9"/>
      <c r="C15" s="4"/>
      <c r="E15" s="49"/>
      <c r="F15" s="9"/>
      <c r="G15" s="5"/>
      <c r="I15" s="49"/>
      <c r="J15" s="11"/>
      <c r="K15" s="5"/>
      <c r="N15" s="52" t="s">
        <v>3</v>
      </c>
      <c r="O15" s="53" t="s">
        <v>17</v>
      </c>
    </row>
    <row r="16" spans="1:15" x14ac:dyDescent="0.25">
      <c r="A16" s="48"/>
      <c r="B16" s="9"/>
      <c r="C16" s="4"/>
      <c r="E16" s="49"/>
      <c r="F16" s="9"/>
      <c r="G16" s="5"/>
      <c r="I16" s="49"/>
      <c r="J16" s="11"/>
      <c r="K16" s="5"/>
      <c r="N16" s="44" t="s">
        <v>8</v>
      </c>
      <c r="O16" s="41">
        <f>SUMIF(F6:F124,"Ginger",G6:G124)</f>
        <v>53.7</v>
      </c>
    </row>
    <row r="17" spans="1:15" x14ac:dyDescent="0.25">
      <c r="A17" s="48"/>
      <c r="B17" s="9"/>
      <c r="C17" s="4"/>
      <c r="E17" s="49"/>
      <c r="F17" s="9"/>
      <c r="G17" s="5"/>
      <c r="I17" s="49"/>
      <c r="J17" s="11"/>
      <c r="K17" s="5"/>
      <c r="N17" s="44" t="s">
        <v>9</v>
      </c>
      <c r="O17" s="41">
        <f>SUMIF(F8:F126,"Garlic",G8:G126)</f>
        <v>154</v>
      </c>
    </row>
    <row r="18" spans="1:15" x14ac:dyDescent="0.25">
      <c r="A18" s="48"/>
      <c r="B18" s="9"/>
      <c r="C18" s="4"/>
      <c r="E18" s="49"/>
      <c r="F18" s="9"/>
      <c r="G18" s="5"/>
      <c r="I18" s="49"/>
      <c r="J18" s="11"/>
      <c r="K18" s="5"/>
      <c r="N18" s="44" t="s">
        <v>13</v>
      </c>
      <c r="O18" s="41">
        <f>SUMIF(F8:F126,"Broken Garlic",G8:G126)</f>
        <v>0</v>
      </c>
    </row>
    <row r="19" spans="1:15" x14ac:dyDescent="0.25">
      <c r="A19" s="48"/>
      <c r="B19" s="9"/>
      <c r="C19" s="4"/>
      <c r="E19" s="49"/>
      <c r="F19" s="9"/>
      <c r="G19" s="5"/>
      <c r="I19" s="49"/>
      <c r="J19" s="11"/>
      <c r="K19" s="5"/>
    </row>
    <row r="20" spans="1:15" x14ac:dyDescent="0.25">
      <c r="A20" s="48"/>
      <c r="B20" s="9"/>
      <c r="C20" s="4"/>
      <c r="E20" s="49"/>
      <c r="F20" s="9"/>
      <c r="G20" s="5"/>
      <c r="I20" s="49"/>
      <c r="J20" s="11"/>
      <c r="K20" s="5"/>
    </row>
    <row r="21" spans="1:15" x14ac:dyDescent="0.25">
      <c r="A21" s="48"/>
      <c r="B21" s="9"/>
      <c r="C21" s="4"/>
      <c r="E21" s="49"/>
      <c r="F21" s="9"/>
      <c r="G21" s="5"/>
      <c r="I21" s="49"/>
      <c r="J21" s="11"/>
      <c r="K21" s="5"/>
      <c r="N21" s="54" t="s">
        <v>4</v>
      </c>
      <c r="O21" s="55" t="s">
        <v>17</v>
      </c>
    </row>
    <row r="22" spans="1:15" x14ac:dyDescent="0.25">
      <c r="A22" s="48"/>
      <c r="B22" s="9"/>
      <c r="C22" s="4"/>
      <c r="E22" s="49"/>
      <c r="F22" s="9"/>
      <c r="G22" s="5"/>
      <c r="I22" s="49"/>
      <c r="J22" s="11"/>
      <c r="K22" s="5"/>
      <c r="N22" s="44" t="s">
        <v>12</v>
      </c>
      <c r="O22" s="41">
        <f>SUMIF(J6:J124,"Ginger Peeled",K6:K124)</f>
        <v>0</v>
      </c>
    </row>
    <row r="23" spans="1:15" x14ac:dyDescent="0.25">
      <c r="A23" s="48"/>
      <c r="B23" s="9"/>
      <c r="C23" s="4"/>
      <c r="E23" s="49"/>
      <c r="F23" s="9"/>
      <c r="G23" s="5"/>
      <c r="I23" s="49"/>
      <c r="J23" s="11"/>
      <c r="K23" s="5"/>
      <c r="N23" s="44" t="s">
        <v>11</v>
      </c>
      <c r="O23" s="41">
        <f>SUMIF(J6:J124,"Garlic Peeled",K6:K124)</f>
        <v>40</v>
      </c>
    </row>
    <row r="24" spans="1:15" x14ac:dyDescent="0.25">
      <c r="A24" s="48"/>
      <c r="B24" s="9"/>
      <c r="C24" s="4"/>
      <c r="E24" s="49"/>
      <c r="F24" s="9"/>
      <c r="G24" s="5"/>
      <c r="I24" s="49"/>
      <c r="J24" s="11"/>
      <c r="K24" s="5"/>
      <c r="N24" s="44" t="s">
        <v>10</v>
      </c>
      <c r="O24" s="41">
        <f>SUMIF(J6:J124,"Ginger Garlic Paste",K6:K124)</f>
        <v>126.1</v>
      </c>
    </row>
    <row r="25" spans="1:15" x14ac:dyDescent="0.25">
      <c r="A25" s="48"/>
      <c r="B25" s="9"/>
      <c r="C25" s="4"/>
      <c r="E25" s="49"/>
      <c r="F25" s="9"/>
      <c r="G25" s="5"/>
      <c r="I25" s="49"/>
      <c r="J25" s="11"/>
      <c r="K25" s="5"/>
    </row>
    <row r="26" spans="1:15" x14ac:dyDescent="0.25">
      <c r="A26" s="48"/>
      <c r="B26" s="9"/>
      <c r="C26" s="4"/>
      <c r="E26" s="49"/>
      <c r="F26" s="9"/>
      <c r="G26" s="5"/>
      <c r="I26" s="49"/>
      <c r="J26" s="11"/>
      <c r="K26" s="5"/>
    </row>
    <row r="27" spans="1:15" x14ac:dyDescent="0.25">
      <c r="A27" s="48"/>
      <c r="B27" s="9"/>
      <c r="C27" s="4"/>
      <c r="E27" s="49"/>
      <c r="F27" s="9"/>
      <c r="G27" s="5"/>
      <c r="I27" s="49"/>
      <c r="J27" s="11"/>
      <c r="K27" s="5"/>
    </row>
    <row r="28" spans="1:15" x14ac:dyDescent="0.25">
      <c r="A28" s="48"/>
      <c r="B28" s="9"/>
      <c r="C28" s="4"/>
      <c r="E28" s="49"/>
      <c r="F28" s="9"/>
      <c r="G28" s="5"/>
      <c r="I28" s="49"/>
      <c r="J28" s="11"/>
      <c r="K28" s="5"/>
    </row>
    <row r="29" spans="1:15" x14ac:dyDescent="0.25">
      <c r="A29" s="48"/>
      <c r="B29" s="9"/>
      <c r="C29" s="4"/>
      <c r="E29" s="49"/>
      <c r="F29" s="9"/>
      <c r="G29" s="5"/>
      <c r="I29" s="49"/>
      <c r="J29" s="11"/>
      <c r="K29" s="5"/>
    </row>
    <row r="30" spans="1:15" x14ac:dyDescent="0.25">
      <c r="A30" s="48"/>
      <c r="B30" s="9"/>
      <c r="C30" s="4"/>
      <c r="E30" s="49"/>
      <c r="F30" s="9"/>
      <c r="G30" s="5"/>
      <c r="I30" s="49"/>
      <c r="J30" s="11"/>
      <c r="K30" s="5"/>
    </row>
    <row r="31" spans="1:15" x14ac:dyDescent="0.25">
      <c r="A31" s="48"/>
      <c r="B31" s="9"/>
      <c r="C31" s="4"/>
      <c r="E31" s="49"/>
      <c r="F31" s="9"/>
      <c r="G31" s="5"/>
      <c r="I31" s="49"/>
      <c r="J31" s="11"/>
      <c r="K31" s="5"/>
    </row>
    <row r="32" spans="1:15" x14ac:dyDescent="0.25">
      <c r="A32" s="48"/>
      <c r="B32" s="9"/>
      <c r="C32" s="4"/>
      <c r="E32" s="49"/>
      <c r="F32" s="9"/>
      <c r="G32" s="5"/>
      <c r="I32" s="49"/>
      <c r="J32" s="11"/>
      <c r="K32" s="5"/>
    </row>
    <row r="33" spans="1:11" x14ac:dyDescent="0.25">
      <c r="A33" s="48"/>
      <c r="B33" s="9"/>
      <c r="C33" s="4"/>
      <c r="E33" s="49"/>
      <c r="F33" s="9"/>
      <c r="G33" s="5"/>
      <c r="I33" s="49"/>
      <c r="J33" s="11"/>
      <c r="K33" s="5"/>
    </row>
    <row r="34" spans="1:11" x14ac:dyDescent="0.25">
      <c r="A34" s="48"/>
      <c r="B34" s="9"/>
      <c r="C34" s="4"/>
      <c r="E34" s="49"/>
      <c r="F34" s="9"/>
      <c r="G34" s="5"/>
      <c r="I34" s="49"/>
      <c r="J34" s="11"/>
      <c r="K34" s="5"/>
    </row>
    <row r="35" spans="1:11" x14ac:dyDescent="0.25">
      <c r="A35" s="48"/>
      <c r="B35" s="9"/>
      <c r="C35" s="4"/>
      <c r="E35" s="49"/>
      <c r="F35" s="9"/>
      <c r="G35" s="5"/>
      <c r="I35" s="49"/>
      <c r="J35" s="11"/>
      <c r="K35" s="5"/>
    </row>
    <row r="36" spans="1:11" x14ac:dyDescent="0.25">
      <c r="A36" s="48"/>
      <c r="B36" s="9"/>
      <c r="C36" s="4"/>
      <c r="E36" s="49"/>
      <c r="F36" s="9"/>
      <c r="G36" s="5"/>
      <c r="I36" s="49"/>
      <c r="J36" s="11"/>
      <c r="K36" s="5"/>
    </row>
    <row r="37" spans="1:11" x14ac:dyDescent="0.25">
      <c r="A37" s="48"/>
      <c r="B37" s="9"/>
      <c r="C37" s="4"/>
      <c r="E37" s="49"/>
      <c r="F37" s="9"/>
      <c r="G37" s="5"/>
      <c r="I37" s="49"/>
      <c r="J37" s="23"/>
      <c r="K37" s="5"/>
    </row>
    <row r="38" spans="1:11" x14ac:dyDescent="0.25">
      <c r="A38" s="48"/>
      <c r="B38" s="9"/>
      <c r="C38" s="4"/>
      <c r="E38" s="49"/>
      <c r="F38" s="9"/>
      <c r="G38" s="5"/>
      <c r="I38" s="49"/>
      <c r="J38" s="11"/>
      <c r="K38" s="5"/>
    </row>
    <row r="39" spans="1:11" x14ac:dyDescent="0.25">
      <c r="A39" s="48"/>
      <c r="B39" s="9"/>
      <c r="C39" s="4"/>
      <c r="E39" s="49"/>
      <c r="F39" s="9"/>
      <c r="G39" s="5"/>
      <c r="I39" s="49"/>
      <c r="J39" s="11"/>
      <c r="K39" s="5"/>
    </row>
    <row r="40" spans="1:11" x14ac:dyDescent="0.25">
      <c r="A40" s="48"/>
      <c r="B40" s="9"/>
      <c r="C40" s="4"/>
      <c r="E40" s="49"/>
      <c r="F40" s="9"/>
      <c r="G40" s="5"/>
      <c r="I40" s="49"/>
      <c r="J40" s="23"/>
      <c r="K40" s="5"/>
    </row>
    <row r="41" spans="1:11" x14ac:dyDescent="0.25">
      <c r="A41" s="48"/>
      <c r="B41" s="9"/>
      <c r="C41" s="4"/>
      <c r="E41" s="49"/>
      <c r="F41" s="9"/>
      <c r="G41" s="5"/>
      <c r="I41" s="49"/>
      <c r="J41" s="11"/>
      <c r="K41" s="5"/>
    </row>
    <row r="42" spans="1:11" x14ac:dyDescent="0.25">
      <c r="A42" s="48"/>
      <c r="B42" s="9"/>
      <c r="C42" s="4"/>
      <c r="E42" s="49"/>
      <c r="F42" s="9"/>
      <c r="G42" s="5"/>
      <c r="I42" s="49"/>
      <c r="J42" s="11"/>
      <c r="K42" s="5"/>
    </row>
    <row r="43" spans="1:11" x14ac:dyDescent="0.25">
      <c r="A43" s="48"/>
      <c r="B43" s="9"/>
      <c r="C43" s="4"/>
      <c r="E43" s="49"/>
      <c r="F43" s="9"/>
      <c r="G43" s="5"/>
      <c r="I43" s="49"/>
      <c r="J43" s="23"/>
      <c r="K43" s="5"/>
    </row>
    <row r="44" spans="1:11" x14ac:dyDescent="0.25">
      <c r="A44" s="48"/>
      <c r="B44" s="9"/>
      <c r="C44" s="4"/>
      <c r="E44" s="49"/>
      <c r="F44" s="9"/>
      <c r="G44" s="5"/>
      <c r="I44" s="49"/>
      <c r="J44" s="11"/>
      <c r="K44" s="5"/>
    </row>
    <row r="45" spans="1:11" x14ac:dyDescent="0.25">
      <c r="A45" s="48"/>
      <c r="B45" s="9"/>
      <c r="C45" s="4"/>
      <c r="E45" s="49"/>
      <c r="F45" s="9"/>
      <c r="G45" s="5"/>
      <c r="I45" s="49"/>
      <c r="J45" s="11"/>
      <c r="K45" s="5"/>
    </row>
    <row r="46" spans="1:11" x14ac:dyDescent="0.25">
      <c r="A46" s="48"/>
      <c r="B46" s="9"/>
      <c r="C46" s="4"/>
      <c r="E46" s="49"/>
      <c r="F46" s="9"/>
      <c r="G46" s="5"/>
      <c r="I46" s="49"/>
      <c r="J46" s="23"/>
      <c r="K46" s="5"/>
    </row>
    <row r="47" spans="1:11" x14ac:dyDescent="0.25">
      <c r="A47" s="48"/>
      <c r="B47" s="9"/>
      <c r="C47" s="4"/>
      <c r="E47" s="49"/>
      <c r="F47" s="9"/>
      <c r="G47" s="5"/>
      <c r="I47" s="49"/>
      <c r="J47" s="11"/>
      <c r="K47" s="5"/>
    </row>
    <row r="48" spans="1:11" x14ac:dyDescent="0.25">
      <c r="A48" s="48"/>
      <c r="B48" s="9"/>
      <c r="C48" s="4"/>
      <c r="E48" s="49"/>
      <c r="F48" s="9"/>
      <c r="G48" s="5"/>
      <c r="I48" s="49"/>
      <c r="J48" s="11"/>
      <c r="K48" s="5"/>
    </row>
    <row r="49" spans="1:11" x14ac:dyDescent="0.25">
      <c r="A49" s="48"/>
      <c r="B49" s="9"/>
      <c r="C49" s="4"/>
      <c r="E49" s="49"/>
      <c r="F49" s="9"/>
      <c r="G49" s="5"/>
      <c r="I49" s="49"/>
      <c r="J49" s="23"/>
      <c r="K49" s="5"/>
    </row>
    <row r="50" spans="1:11" x14ac:dyDescent="0.25">
      <c r="A50" s="48"/>
      <c r="B50" s="9"/>
      <c r="C50" s="4"/>
      <c r="E50" s="49"/>
      <c r="F50" s="9"/>
      <c r="G50" s="5"/>
      <c r="I50" s="49"/>
      <c r="J50" s="11"/>
      <c r="K50" s="5"/>
    </row>
    <row r="51" spans="1:11" x14ac:dyDescent="0.25">
      <c r="A51" s="48"/>
      <c r="B51" s="9"/>
      <c r="C51" s="4"/>
      <c r="E51" s="49"/>
      <c r="F51" s="9"/>
      <c r="G51" s="5"/>
      <c r="I51" s="49"/>
      <c r="J51" s="11"/>
      <c r="K51" s="5"/>
    </row>
    <row r="52" spans="1:11" x14ac:dyDescent="0.25">
      <c r="A52" s="48"/>
      <c r="B52" s="9"/>
      <c r="C52" s="4"/>
      <c r="E52" s="49"/>
      <c r="F52" s="9"/>
      <c r="G52" s="5"/>
      <c r="I52" s="49"/>
      <c r="J52" s="23"/>
      <c r="K52" s="5"/>
    </row>
    <row r="53" spans="1:11" x14ac:dyDescent="0.25">
      <c r="A53" s="48"/>
      <c r="B53" s="9"/>
      <c r="C53" s="4"/>
      <c r="E53" s="49"/>
      <c r="F53" s="9"/>
      <c r="G53" s="5"/>
      <c r="I53" s="49"/>
      <c r="J53" s="11"/>
      <c r="K53" s="5"/>
    </row>
    <row r="54" spans="1:11" x14ac:dyDescent="0.25">
      <c r="A54" s="48"/>
      <c r="B54" s="9"/>
      <c r="C54" s="4"/>
      <c r="E54" s="49"/>
      <c r="F54" s="9"/>
      <c r="G54" s="5"/>
      <c r="I54" s="49"/>
      <c r="J54" s="11"/>
      <c r="K54" s="5"/>
    </row>
    <row r="55" spans="1:11" x14ac:dyDescent="0.25">
      <c r="A55" s="48"/>
      <c r="B55" s="9"/>
      <c r="C55" s="4"/>
      <c r="E55" s="49"/>
      <c r="F55" s="9"/>
      <c r="G55" s="5"/>
      <c r="I55" s="49"/>
      <c r="J55" s="23"/>
      <c r="K55" s="5"/>
    </row>
    <row r="56" spans="1:11" x14ac:dyDescent="0.25">
      <c r="A56" s="48"/>
      <c r="B56" s="9"/>
      <c r="C56" s="4"/>
      <c r="E56" s="49"/>
      <c r="F56" s="9"/>
      <c r="G56" s="5"/>
      <c r="I56" s="49"/>
      <c r="J56" s="11"/>
      <c r="K56" s="5"/>
    </row>
    <row r="57" spans="1:11" x14ac:dyDescent="0.25">
      <c r="A57" s="48"/>
      <c r="B57" s="9"/>
      <c r="C57" s="4"/>
      <c r="E57" s="49"/>
      <c r="F57" s="9"/>
      <c r="G57" s="5"/>
      <c r="I57" s="49"/>
      <c r="J57" s="11"/>
      <c r="K57" s="5"/>
    </row>
    <row r="58" spans="1:11" x14ac:dyDescent="0.25">
      <c r="A58" s="48"/>
      <c r="B58" s="9"/>
      <c r="C58" s="4"/>
      <c r="E58" s="49"/>
      <c r="F58" s="9"/>
      <c r="G58" s="5"/>
      <c r="I58" s="49"/>
      <c r="J58" s="23"/>
      <c r="K58" s="5"/>
    </row>
    <row r="59" spans="1:11" x14ac:dyDescent="0.25">
      <c r="A59" s="48"/>
      <c r="B59" s="9"/>
      <c r="C59" s="4"/>
      <c r="E59" s="49"/>
      <c r="F59" s="9"/>
      <c r="G59" s="5"/>
      <c r="I59" s="49"/>
      <c r="J59" s="11"/>
      <c r="K59" s="5"/>
    </row>
    <row r="60" spans="1:11" x14ac:dyDescent="0.25">
      <c r="A60" s="48"/>
      <c r="B60" s="9"/>
      <c r="C60" s="4"/>
      <c r="E60" s="49"/>
      <c r="F60" s="9"/>
      <c r="G60" s="5"/>
      <c r="I60" s="49"/>
      <c r="J60" s="11"/>
      <c r="K60" s="5"/>
    </row>
    <row r="61" spans="1:11" x14ac:dyDescent="0.25">
      <c r="A61" s="48"/>
      <c r="B61" s="9"/>
      <c r="C61" s="4"/>
      <c r="E61" s="49"/>
      <c r="F61" s="9"/>
      <c r="G61" s="5"/>
      <c r="I61" s="49"/>
      <c r="J61" s="23"/>
      <c r="K61" s="5"/>
    </row>
    <row r="62" spans="1:11" x14ac:dyDescent="0.25">
      <c r="A62" s="48"/>
      <c r="B62" s="9"/>
      <c r="C62" s="4"/>
      <c r="E62" s="49"/>
      <c r="F62" s="9"/>
      <c r="G62" s="5"/>
      <c r="I62" s="49"/>
      <c r="J62" s="11"/>
      <c r="K62" s="5"/>
    </row>
    <row r="63" spans="1:11" x14ac:dyDescent="0.25">
      <c r="A63" s="48"/>
      <c r="B63" s="9"/>
      <c r="C63" s="4"/>
      <c r="E63" s="49"/>
      <c r="F63" s="9"/>
      <c r="G63" s="5"/>
      <c r="I63" s="49"/>
      <c r="J63" s="11"/>
      <c r="K63" s="5"/>
    </row>
    <row r="64" spans="1:11" x14ac:dyDescent="0.25">
      <c r="A64" s="48"/>
      <c r="B64" s="9"/>
      <c r="C64" s="4"/>
      <c r="E64" s="49"/>
      <c r="F64" s="9"/>
      <c r="G64" s="5"/>
      <c r="I64" s="49"/>
      <c r="J64" s="23"/>
      <c r="K64" s="5"/>
    </row>
    <row r="65" spans="1:11" x14ac:dyDescent="0.25">
      <c r="A65" s="48"/>
      <c r="B65" s="9"/>
      <c r="C65" s="4"/>
      <c r="E65" s="49"/>
      <c r="F65" s="9"/>
      <c r="G65" s="5"/>
      <c r="I65" s="49"/>
      <c r="J65" s="11"/>
      <c r="K65" s="5"/>
    </row>
    <row r="66" spans="1:11" x14ac:dyDescent="0.25">
      <c r="A66" s="48"/>
      <c r="B66" s="9"/>
      <c r="C66" s="4"/>
      <c r="E66" s="49"/>
      <c r="F66" s="9"/>
      <c r="G66" s="5"/>
      <c r="I66" s="49"/>
      <c r="J66" s="11"/>
      <c r="K66" s="5"/>
    </row>
    <row r="67" spans="1:11" x14ac:dyDescent="0.25">
      <c r="A67" s="48"/>
      <c r="B67" s="9"/>
      <c r="C67" s="4"/>
      <c r="E67" s="49"/>
      <c r="F67" s="9"/>
      <c r="G67" s="5"/>
      <c r="I67" s="49"/>
      <c r="J67" s="23"/>
      <c r="K67" s="5"/>
    </row>
    <row r="68" spans="1:11" x14ac:dyDescent="0.25">
      <c r="A68" s="48"/>
      <c r="B68" s="9"/>
      <c r="C68" s="4"/>
      <c r="E68" s="49"/>
      <c r="F68" s="9"/>
      <c r="G68" s="5"/>
      <c r="I68" s="49"/>
      <c r="J68" s="11"/>
      <c r="K68" s="5"/>
    </row>
    <row r="69" spans="1:11" x14ac:dyDescent="0.25">
      <c r="A69" s="48"/>
      <c r="B69" s="9"/>
      <c r="C69" s="4"/>
      <c r="E69" s="49"/>
      <c r="F69" s="9"/>
      <c r="G69" s="5"/>
      <c r="I69" s="49"/>
      <c r="J69" s="11"/>
      <c r="K69" s="5"/>
    </row>
    <row r="70" spans="1:11" x14ac:dyDescent="0.25">
      <c r="A70" s="48"/>
      <c r="B70" s="9"/>
      <c r="C70" s="4"/>
      <c r="E70" s="49"/>
      <c r="F70" s="9"/>
      <c r="G70" s="5"/>
      <c r="I70" s="49"/>
      <c r="J70" s="23"/>
      <c r="K70" s="5"/>
    </row>
    <row r="71" spans="1:11" x14ac:dyDescent="0.25">
      <c r="A71" s="48"/>
      <c r="B71" s="9"/>
      <c r="C71" s="4"/>
      <c r="E71" s="49"/>
      <c r="F71" s="9"/>
      <c r="G71" s="5"/>
      <c r="I71" s="49"/>
      <c r="J71" s="11"/>
      <c r="K71" s="5"/>
    </row>
    <row r="72" spans="1:11" x14ac:dyDescent="0.25">
      <c r="A72" s="48"/>
      <c r="B72" s="9"/>
      <c r="C72" s="4"/>
      <c r="E72" s="49"/>
      <c r="F72" s="9"/>
      <c r="G72" s="5"/>
      <c r="I72" s="49"/>
      <c r="J72" s="11"/>
      <c r="K72" s="5"/>
    </row>
    <row r="73" spans="1:11" x14ac:dyDescent="0.25">
      <c r="A73" s="48"/>
      <c r="B73" s="9"/>
      <c r="C73" s="4"/>
      <c r="E73" s="49"/>
      <c r="F73" s="9"/>
      <c r="G73" s="5"/>
      <c r="I73" s="49"/>
      <c r="J73" s="23"/>
      <c r="K73" s="5"/>
    </row>
    <row r="74" spans="1:11" x14ac:dyDescent="0.25">
      <c r="A74" s="48"/>
      <c r="B74" s="9"/>
      <c r="C74" s="4"/>
      <c r="E74" s="49"/>
      <c r="F74" s="9"/>
      <c r="G74" s="5"/>
      <c r="I74" s="49"/>
      <c r="J74" s="11"/>
      <c r="K74" s="5"/>
    </row>
    <row r="75" spans="1:11" x14ac:dyDescent="0.25">
      <c r="A75" s="48"/>
      <c r="B75" s="9"/>
      <c r="C75" s="4"/>
      <c r="E75" s="49"/>
      <c r="F75" s="9"/>
      <c r="G75" s="5"/>
      <c r="I75" s="49"/>
      <c r="J75" s="11"/>
      <c r="K75" s="5"/>
    </row>
    <row r="76" spans="1:11" x14ac:dyDescent="0.25">
      <c r="A76" s="48"/>
      <c r="B76" s="9"/>
      <c r="C76" s="4"/>
      <c r="E76" s="49"/>
      <c r="F76" s="9"/>
      <c r="G76" s="5"/>
      <c r="I76" s="49"/>
      <c r="J76" s="23"/>
      <c r="K76" s="5"/>
    </row>
    <row r="77" spans="1:11" x14ac:dyDescent="0.25">
      <c r="A77" s="48"/>
      <c r="B77" s="9"/>
      <c r="C77" s="4"/>
      <c r="E77" s="49"/>
      <c r="F77" s="9"/>
      <c r="G77" s="5"/>
      <c r="I77" s="49"/>
      <c r="J77" s="11"/>
      <c r="K77" s="5"/>
    </row>
    <row r="78" spans="1:11" x14ac:dyDescent="0.25">
      <c r="A78" s="48"/>
      <c r="B78" s="9"/>
      <c r="C78" s="4"/>
      <c r="E78" s="49"/>
      <c r="F78" s="9"/>
      <c r="G78" s="5"/>
      <c r="I78" s="49"/>
      <c r="J78" s="11"/>
      <c r="K78" s="5"/>
    </row>
    <row r="79" spans="1:11" x14ac:dyDescent="0.25">
      <c r="A79" s="48"/>
      <c r="B79" s="9"/>
      <c r="C79" s="4"/>
      <c r="E79" s="49"/>
      <c r="F79" s="9"/>
      <c r="G79" s="5"/>
      <c r="I79" s="49"/>
      <c r="J79" s="23"/>
      <c r="K79" s="5"/>
    </row>
    <row r="80" spans="1:11" x14ac:dyDescent="0.25">
      <c r="A80" s="48"/>
      <c r="B80" s="9"/>
      <c r="C80" s="4"/>
      <c r="E80" s="49"/>
      <c r="F80" s="9"/>
      <c r="G80" s="5"/>
      <c r="I80" s="49"/>
      <c r="J80" s="11"/>
      <c r="K80" s="5"/>
    </row>
    <row r="81" spans="1:11" x14ac:dyDescent="0.25">
      <c r="A81" s="48"/>
      <c r="B81" s="9"/>
      <c r="C81" s="4"/>
      <c r="E81" s="49"/>
      <c r="F81" s="9"/>
      <c r="G81" s="5"/>
      <c r="I81" s="49"/>
      <c r="J81" s="11"/>
      <c r="K81" s="5"/>
    </row>
    <row r="82" spans="1:11" x14ac:dyDescent="0.25">
      <c r="A82" s="48"/>
      <c r="B82" s="9"/>
      <c r="C82" s="4"/>
      <c r="E82" s="49"/>
      <c r="F82" s="9"/>
      <c r="G82" s="5"/>
      <c r="I82" s="49"/>
      <c r="J82" s="23"/>
      <c r="K82" s="5"/>
    </row>
    <row r="83" spans="1:11" x14ac:dyDescent="0.25">
      <c r="A83" s="48"/>
      <c r="B83" s="9"/>
      <c r="C83" s="4"/>
      <c r="E83" s="49"/>
      <c r="F83" s="9"/>
      <c r="G83" s="5"/>
      <c r="I83" s="49"/>
      <c r="J83" s="11"/>
      <c r="K83" s="5"/>
    </row>
    <row r="84" spans="1:11" x14ac:dyDescent="0.25">
      <c r="A84" s="48"/>
      <c r="B84" s="9"/>
      <c r="C84" s="4"/>
      <c r="E84" s="49"/>
      <c r="F84" s="9"/>
      <c r="G84" s="5"/>
      <c r="I84" s="49"/>
      <c r="J84" s="11"/>
      <c r="K84" s="5"/>
    </row>
    <row r="85" spans="1:11" x14ac:dyDescent="0.25">
      <c r="A85" s="48"/>
      <c r="B85" s="9"/>
      <c r="C85" s="4"/>
      <c r="E85" s="49"/>
      <c r="F85" s="9"/>
      <c r="G85" s="5"/>
      <c r="I85" s="49"/>
      <c r="J85" s="23"/>
      <c r="K85" s="5"/>
    </row>
    <row r="86" spans="1:11" x14ac:dyDescent="0.25">
      <c r="A86" s="48"/>
      <c r="B86" s="9"/>
      <c r="C86" s="4"/>
      <c r="E86" s="49"/>
      <c r="F86" s="9"/>
      <c r="G86" s="5"/>
      <c r="I86" s="49"/>
      <c r="J86" s="11"/>
      <c r="K86" s="5"/>
    </row>
    <row r="87" spans="1:11" x14ac:dyDescent="0.25">
      <c r="A87" s="48"/>
      <c r="B87" s="9"/>
      <c r="C87" s="4"/>
      <c r="E87" s="49"/>
      <c r="F87" s="9"/>
      <c r="G87" s="5"/>
      <c r="I87" s="49"/>
      <c r="J87" s="11"/>
      <c r="K87" s="5"/>
    </row>
    <row r="88" spans="1:11" x14ac:dyDescent="0.25">
      <c r="A88" s="48"/>
      <c r="B88" s="9"/>
      <c r="C88" s="4"/>
      <c r="E88" s="49"/>
      <c r="F88" s="9"/>
      <c r="G88" s="5"/>
      <c r="I88" s="49"/>
      <c r="J88" s="23"/>
      <c r="K88" s="5"/>
    </row>
    <row r="89" spans="1:11" x14ac:dyDescent="0.25">
      <c r="A89" s="48"/>
      <c r="B89" s="9"/>
      <c r="C89" s="4"/>
      <c r="E89" s="49"/>
      <c r="F89" s="9"/>
      <c r="G89" s="5"/>
      <c r="I89" s="49"/>
      <c r="J89" s="11"/>
      <c r="K89" s="5"/>
    </row>
    <row r="90" spans="1:11" x14ac:dyDescent="0.25">
      <c r="A90" s="48"/>
      <c r="B90" s="9"/>
      <c r="C90" s="4"/>
      <c r="E90" s="49"/>
      <c r="F90" s="9"/>
      <c r="G90" s="5"/>
      <c r="I90" s="49"/>
      <c r="J90" s="11"/>
      <c r="K90" s="5"/>
    </row>
    <row r="91" spans="1:11" x14ac:dyDescent="0.25">
      <c r="A91" s="48"/>
      <c r="B91" s="9"/>
      <c r="C91" s="4"/>
      <c r="E91" s="49"/>
      <c r="F91" s="9"/>
      <c r="G91" s="5"/>
      <c r="I91" s="49"/>
      <c r="J91" s="23"/>
      <c r="K91" s="5"/>
    </row>
    <row r="92" spans="1:11" x14ac:dyDescent="0.25">
      <c r="A92" s="48"/>
      <c r="B92" s="9"/>
      <c r="C92" s="4"/>
      <c r="E92" s="49"/>
      <c r="F92" s="9"/>
      <c r="G92" s="5"/>
      <c r="I92" s="49"/>
      <c r="J92" s="11"/>
      <c r="K92" s="5"/>
    </row>
    <row r="93" spans="1:11" x14ac:dyDescent="0.25">
      <c r="A93" s="48"/>
      <c r="B93" s="9"/>
      <c r="C93" s="4"/>
      <c r="E93" s="49"/>
      <c r="F93" s="9"/>
      <c r="G93" s="5"/>
      <c r="I93" s="49"/>
      <c r="J93" s="11"/>
      <c r="K93" s="5"/>
    </row>
    <row r="94" spans="1:11" x14ac:dyDescent="0.25">
      <c r="A94" s="48"/>
      <c r="B94" s="9"/>
      <c r="C94" s="4"/>
      <c r="E94" s="49"/>
      <c r="F94" s="9"/>
      <c r="G94" s="5"/>
      <c r="I94" s="49"/>
      <c r="J94" s="23"/>
      <c r="K94" s="5"/>
    </row>
    <row r="95" spans="1:11" x14ac:dyDescent="0.25">
      <c r="A95" s="48"/>
      <c r="B95" s="9"/>
      <c r="C95" s="4"/>
      <c r="E95" s="49"/>
      <c r="F95" s="9"/>
      <c r="G95" s="5"/>
      <c r="I95" s="49"/>
      <c r="J95" s="11"/>
      <c r="K95" s="5"/>
    </row>
    <row r="96" spans="1:11" x14ac:dyDescent="0.25">
      <c r="A96" s="48"/>
      <c r="B96" s="9"/>
      <c r="C96" s="4"/>
      <c r="E96" s="49"/>
      <c r="F96" s="9"/>
      <c r="G96" s="5"/>
      <c r="I96" s="49"/>
      <c r="J96" s="11"/>
      <c r="K96" s="5"/>
    </row>
    <row r="97" spans="1:11" x14ac:dyDescent="0.25">
      <c r="A97" s="48"/>
      <c r="B97" s="9"/>
      <c r="C97" s="4"/>
      <c r="E97" s="49"/>
      <c r="F97" s="9"/>
      <c r="G97" s="5"/>
      <c r="I97" s="49"/>
      <c r="J97" s="23"/>
      <c r="K97" s="5"/>
    </row>
    <row r="98" spans="1:11" x14ac:dyDescent="0.25">
      <c r="A98" s="48"/>
      <c r="B98" s="9"/>
      <c r="C98" s="4"/>
      <c r="E98" s="49"/>
      <c r="F98" s="9"/>
      <c r="G98" s="5"/>
      <c r="I98" s="49"/>
      <c r="J98" s="11"/>
      <c r="K98" s="5"/>
    </row>
    <row r="99" spans="1:11" x14ac:dyDescent="0.25">
      <c r="A99" s="48"/>
      <c r="B99" s="9"/>
      <c r="C99" s="4"/>
      <c r="E99" s="49"/>
      <c r="F99" s="9"/>
      <c r="G99" s="5"/>
      <c r="I99" s="49"/>
      <c r="J99" s="11"/>
      <c r="K99" s="5"/>
    </row>
    <row r="100" spans="1:11" x14ac:dyDescent="0.25">
      <c r="A100" s="48"/>
      <c r="B100" s="9"/>
      <c r="C100" s="4"/>
      <c r="E100" s="49"/>
      <c r="F100" s="9"/>
      <c r="G100" s="5"/>
      <c r="I100" s="49"/>
      <c r="J100" s="23"/>
      <c r="K100" s="5"/>
    </row>
    <row r="101" spans="1:11" x14ac:dyDescent="0.25">
      <c r="A101" s="48"/>
      <c r="B101" s="9"/>
      <c r="C101" s="4"/>
      <c r="E101" s="49"/>
      <c r="F101" s="9"/>
      <c r="G101" s="5"/>
      <c r="I101" s="49"/>
      <c r="J101" s="11"/>
      <c r="K101" s="5"/>
    </row>
    <row r="102" spans="1:11" x14ac:dyDescent="0.25">
      <c r="A102" s="48"/>
      <c r="B102" s="9"/>
      <c r="C102" s="4"/>
      <c r="E102" s="49"/>
      <c r="F102" s="9"/>
      <c r="G102" s="5"/>
      <c r="I102" s="49"/>
      <c r="J102" s="11"/>
      <c r="K102" s="5"/>
    </row>
    <row r="103" spans="1:11" x14ac:dyDescent="0.25">
      <c r="A103" s="48"/>
      <c r="B103" s="9"/>
      <c r="C103" s="4"/>
      <c r="E103" s="49"/>
      <c r="F103" s="9"/>
      <c r="G103" s="5"/>
      <c r="I103" s="49"/>
      <c r="J103" s="23"/>
      <c r="K103" s="5"/>
    </row>
    <row r="104" spans="1:11" x14ac:dyDescent="0.25">
      <c r="A104" s="48"/>
      <c r="B104" s="9"/>
      <c r="C104" s="4"/>
      <c r="E104" s="49"/>
      <c r="F104" s="9"/>
      <c r="G104" s="5"/>
      <c r="I104" s="49"/>
      <c r="J104" s="11"/>
      <c r="K104" s="5"/>
    </row>
    <row r="105" spans="1:11" x14ac:dyDescent="0.25">
      <c r="A105" s="48"/>
      <c r="B105" s="9"/>
      <c r="C105" s="4"/>
      <c r="E105" s="49"/>
      <c r="F105" s="9"/>
      <c r="G105" s="5"/>
      <c r="I105" s="49"/>
      <c r="J105" s="11"/>
      <c r="K105" s="5"/>
    </row>
    <row r="106" spans="1:11" x14ac:dyDescent="0.25">
      <c r="A106" s="48"/>
      <c r="B106" s="9"/>
      <c r="C106" s="4"/>
      <c r="E106" s="49"/>
      <c r="F106" s="9"/>
      <c r="G106" s="5"/>
      <c r="I106" s="49"/>
      <c r="J106" s="23"/>
      <c r="K106" s="5"/>
    </row>
    <row r="107" spans="1:11" x14ac:dyDescent="0.25">
      <c r="A107" s="48"/>
      <c r="B107" s="9"/>
      <c r="C107" s="4"/>
      <c r="E107" s="49"/>
      <c r="F107" s="9"/>
      <c r="G107" s="5"/>
      <c r="I107" s="49"/>
      <c r="J107" s="11"/>
      <c r="K107" s="5"/>
    </row>
    <row r="108" spans="1:11" x14ac:dyDescent="0.25">
      <c r="A108" s="48"/>
      <c r="B108" s="9"/>
      <c r="C108" s="4"/>
      <c r="E108" s="49"/>
      <c r="F108" s="9"/>
      <c r="G108" s="5"/>
      <c r="I108" s="49"/>
      <c r="J108" s="11"/>
      <c r="K108" s="5"/>
    </row>
    <row r="109" spans="1:11" x14ac:dyDescent="0.25">
      <c r="A109" s="48"/>
      <c r="B109" s="9"/>
      <c r="C109" s="4"/>
      <c r="E109" s="49"/>
      <c r="F109" s="9"/>
      <c r="G109" s="5"/>
      <c r="I109" s="49"/>
      <c r="J109" s="23"/>
      <c r="K109" s="5"/>
    </row>
    <row r="110" spans="1:11" x14ac:dyDescent="0.25">
      <c r="A110" s="48"/>
      <c r="B110" s="9"/>
      <c r="C110" s="4"/>
      <c r="E110" s="49"/>
      <c r="F110" s="9"/>
      <c r="G110" s="5"/>
      <c r="I110" s="49"/>
      <c r="J110" s="11"/>
      <c r="K110" s="5"/>
    </row>
    <row r="111" spans="1:11" x14ac:dyDescent="0.25">
      <c r="A111" s="48"/>
      <c r="B111" s="9"/>
      <c r="C111" s="4"/>
      <c r="E111" s="49"/>
      <c r="F111" s="9"/>
      <c r="G111" s="5"/>
      <c r="I111" s="49"/>
      <c r="J111" s="11"/>
      <c r="K111" s="5"/>
    </row>
    <row r="112" spans="1:11" x14ac:dyDescent="0.25">
      <c r="A112" s="48"/>
      <c r="B112" s="9"/>
      <c r="C112" s="4"/>
      <c r="E112" s="49"/>
      <c r="F112" s="9"/>
      <c r="G112" s="5"/>
      <c r="I112" s="49"/>
      <c r="J112" s="23"/>
      <c r="K112" s="5"/>
    </row>
    <row r="113" spans="1:11" x14ac:dyDescent="0.25">
      <c r="A113" s="48"/>
      <c r="B113" s="9"/>
      <c r="C113" s="4"/>
      <c r="E113" s="49"/>
      <c r="F113" s="9"/>
      <c r="G113" s="5"/>
      <c r="I113" s="49"/>
      <c r="J113" s="11"/>
      <c r="K113" s="5"/>
    </row>
    <row r="114" spans="1:11" x14ac:dyDescent="0.25">
      <c r="A114" s="48"/>
      <c r="B114" s="9"/>
      <c r="C114" s="4"/>
      <c r="E114" s="49"/>
      <c r="F114" s="9"/>
      <c r="G114" s="5"/>
      <c r="I114" s="49"/>
      <c r="J114" s="11"/>
      <c r="K114" s="5"/>
    </row>
    <row r="115" spans="1:11" x14ac:dyDescent="0.25">
      <c r="A115" s="48"/>
      <c r="B115" s="9"/>
      <c r="C115" s="4"/>
      <c r="E115" s="49"/>
      <c r="F115" s="9"/>
      <c r="G115" s="5"/>
      <c r="I115" s="49"/>
      <c r="J115" s="23"/>
      <c r="K115" s="5"/>
    </row>
    <row r="116" spans="1:11" x14ac:dyDescent="0.25">
      <c r="A116" s="48"/>
      <c r="B116" s="9"/>
      <c r="C116" s="4"/>
      <c r="E116" s="49"/>
      <c r="F116" s="9"/>
      <c r="G116" s="5"/>
      <c r="I116" s="49"/>
      <c r="J116" s="11"/>
      <c r="K116" s="5"/>
    </row>
    <row r="117" spans="1:11" x14ac:dyDescent="0.25">
      <c r="A117" s="48"/>
      <c r="B117" s="9"/>
      <c r="C117" s="4"/>
      <c r="E117" s="49"/>
      <c r="F117" s="9"/>
      <c r="G117" s="5"/>
      <c r="I117" s="49"/>
      <c r="J117" s="11"/>
      <c r="K117" s="5"/>
    </row>
    <row r="118" spans="1:11" x14ac:dyDescent="0.25">
      <c r="A118" s="48"/>
      <c r="B118" s="9"/>
      <c r="C118" s="4"/>
      <c r="E118" s="49"/>
      <c r="F118" s="9"/>
      <c r="G118" s="5"/>
      <c r="I118" s="49"/>
      <c r="J118" s="23"/>
      <c r="K118" s="5"/>
    </row>
    <row r="119" spans="1:11" x14ac:dyDescent="0.25">
      <c r="A119" s="48"/>
      <c r="B119" s="9"/>
      <c r="C119" s="4"/>
      <c r="E119" s="49"/>
      <c r="F119" s="9"/>
      <c r="G119" s="5"/>
      <c r="I119" s="49"/>
      <c r="J119" s="11"/>
      <c r="K119" s="5"/>
    </row>
    <row r="120" spans="1:11" x14ac:dyDescent="0.25">
      <c r="A120" s="48"/>
      <c r="B120" s="9"/>
      <c r="C120" s="4"/>
      <c r="E120" s="49"/>
      <c r="F120" s="9"/>
      <c r="G120" s="5"/>
      <c r="I120" s="49"/>
      <c r="J120" s="11"/>
      <c r="K120" s="5"/>
    </row>
    <row r="121" spans="1:11" x14ac:dyDescent="0.25">
      <c r="A121" s="48"/>
      <c r="B121" s="9"/>
      <c r="C121" s="4"/>
      <c r="E121" s="49"/>
      <c r="F121" s="9"/>
      <c r="G121" s="5"/>
      <c r="I121" s="49"/>
      <c r="J121" s="23"/>
      <c r="K121" s="5"/>
    </row>
    <row r="122" spans="1:11" x14ac:dyDescent="0.25">
      <c r="A122" s="48"/>
      <c r="B122" s="9"/>
      <c r="C122" s="4"/>
      <c r="E122" s="49"/>
      <c r="F122" s="9"/>
      <c r="G122" s="5"/>
      <c r="I122" s="49"/>
      <c r="J122" s="11"/>
      <c r="K122" s="5"/>
    </row>
    <row r="123" spans="1:11" x14ac:dyDescent="0.25">
      <c r="A123" s="48"/>
      <c r="B123" s="9"/>
      <c r="C123" s="4"/>
      <c r="E123" s="49"/>
      <c r="F123" s="9"/>
      <c r="G123" s="5"/>
      <c r="I123" s="49"/>
      <c r="J123" s="11"/>
      <c r="K123" s="5"/>
    </row>
    <row r="124" spans="1:11" ht="15.75" thickBot="1" x14ac:dyDescent="0.3">
      <c r="A124" s="27"/>
      <c r="B124" s="10"/>
      <c r="C124" s="6"/>
      <c r="E124" s="50"/>
      <c r="F124" s="10"/>
      <c r="G124" s="7"/>
      <c r="I124" s="50"/>
      <c r="J124" s="8"/>
      <c r="K124" s="7"/>
    </row>
  </sheetData>
  <mergeCells count="4">
    <mergeCell ref="E1:G1"/>
    <mergeCell ref="A4:C4"/>
    <mergeCell ref="E4:G4"/>
    <mergeCell ref="I4:K4"/>
  </mergeCells>
  <dataValidations count="1">
    <dataValidation type="list" allowBlank="1" showInputMessage="1" showErrorMessage="1" sqref="F6:F124">
      <formula1>$A$2:$A$6</formula1>
    </dataValidation>
  </dataValidations>
  <printOptions horizontalCentered="1"/>
  <pageMargins left="0.23622047244094491" right="0.23622047244094491" top="0.15748031496062992" bottom="0.15748031496062992" header="0.11811023622047245" footer="0.19685039370078741"/>
  <pageSetup paperSize="9" fitToWidth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Sheet2!$B$2:$B$4</xm:f>
          </x14:formula1>
          <xm:sqref>J6:J124</xm:sqref>
        </x14:dataValidation>
        <x14:dataValidation type="list" allowBlank="1" showInputMessage="1" showErrorMessage="1">
          <x14:formula1>
            <xm:f>Sheet2!$A$2:$A$5</xm:f>
          </x14:formula1>
          <xm:sqref>B6:B124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24"/>
  <sheetViews>
    <sheetView topLeftCell="A7" zoomScaleNormal="100" workbookViewId="0">
      <selection activeCell="P28" sqref="P28:P32"/>
    </sheetView>
  </sheetViews>
  <sheetFormatPr defaultColWidth="9.140625" defaultRowHeight="15" x14ac:dyDescent="0.25"/>
  <cols>
    <col min="1" max="1" width="13.42578125" style="25" customWidth="1"/>
    <col min="2" max="2" width="24.5703125" style="1" bestFit="1" customWidth="1"/>
    <col min="3" max="3" width="12.7109375" style="2" bestFit="1" customWidth="1"/>
    <col min="4" max="4" width="0.5703125" style="3" customWidth="1"/>
    <col min="5" max="5" width="14.7109375" style="28" customWidth="1"/>
    <col min="6" max="6" width="21.85546875" style="1" customWidth="1"/>
    <col min="7" max="7" width="12.7109375" style="2" bestFit="1" customWidth="1"/>
    <col min="8" max="8" width="0.5703125" style="3" customWidth="1"/>
    <col min="9" max="9" width="15.85546875" style="28" customWidth="1"/>
    <col min="10" max="10" width="22.140625" style="1" customWidth="1"/>
    <col min="11" max="11" width="12.85546875" style="1" customWidth="1"/>
    <col min="12" max="13" width="9.140625" style="1"/>
    <col min="14" max="14" width="23.7109375" style="1" bestFit="1" customWidth="1"/>
    <col min="15" max="15" width="13.42578125" style="1" customWidth="1"/>
    <col min="16" max="16" width="18" style="1" bestFit="1" customWidth="1"/>
    <col min="17" max="16384" width="9.140625" style="1"/>
  </cols>
  <sheetData>
    <row r="1" spans="1:19" ht="24" thickBot="1" x14ac:dyDescent="0.4">
      <c r="E1" s="172" t="s">
        <v>0</v>
      </c>
      <c r="F1" s="173"/>
      <c r="G1" s="174"/>
    </row>
    <row r="2" spans="1:19" ht="15.75" x14ac:dyDescent="0.25">
      <c r="A2" s="31" t="s">
        <v>1</v>
      </c>
      <c r="C2" s="24">
        <v>45839</v>
      </c>
    </row>
    <row r="3" spans="1:19" ht="15.75" thickBot="1" x14ac:dyDescent="0.3"/>
    <row r="4" spans="1:19" ht="18.75" x14ac:dyDescent="0.3">
      <c r="A4" s="175" t="s">
        <v>2</v>
      </c>
      <c r="B4" s="176"/>
      <c r="C4" s="177"/>
      <c r="D4" s="12"/>
      <c r="E4" s="178" t="s">
        <v>3</v>
      </c>
      <c r="F4" s="179"/>
      <c r="G4" s="180"/>
      <c r="H4" s="12"/>
      <c r="I4" s="181" t="s">
        <v>4</v>
      </c>
      <c r="J4" s="182"/>
      <c r="K4" s="183"/>
    </row>
    <row r="5" spans="1:19" ht="21" customHeight="1" x14ac:dyDescent="0.25">
      <c r="A5" s="13" t="s">
        <v>5</v>
      </c>
      <c r="B5" s="14" t="s">
        <v>6</v>
      </c>
      <c r="C5" s="15" t="s">
        <v>7</v>
      </c>
      <c r="D5" s="16"/>
      <c r="E5" s="17" t="s">
        <v>5</v>
      </c>
      <c r="F5" s="18" t="s">
        <v>6</v>
      </c>
      <c r="G5" s="19" t="s">
        <v>7</v>
      </c>
      <c r="H5" s="16"/>
      <c r="I5" s="20" t="s">
        <v>5</v>
      </c>
      <c r="J5" s="21" t="s">
        <v>6</v>
      </c>
      <c r="K5" s="22" t="s">
        <v>7</v>
      </c>
    </row>
    <row r="6" spans="1:19" x14ac:dyDescent="0.25">
      <c r="A6" s="95">
        <v>45839</v>
      </c>
      <c r="B6" s="96" t="s">
        <v>18</v>
      </c>
      <c r="C6" s="97">
        <v>35.42</v>
      </c>
      <c r="E6" s="67">
        <v>45839</v>
      </c>
      <c r="F6" s="9" t="s">
        <v>13</v>
      </c>
      <c r="G6" s="5">
        <v>51</v>
      </c>
      <c r="I6" s="65">
        <v>45839</v>
      </c>
      <c r="J6" s="11" t="s">
        <v>10</v>
      </c>
      <c r="K6" s="5">
        <v>45.3</v>
      </c>
    </row>
    <row r="7" spans="1:19" x14ac:dyDescent="0.25">
      <c r="A7" s="95">
        <v>45839</v>
      </c>
      <c r="B7" s="96" t="s">
        <v>19</v>
      </c>
      <c r="C7" s="97">
        <v>660.91</v>
      </c>
      <c r="E7" s="67">
        <v>45839</v>
      </c>
      <c r="F7" s="9" t="s">
        <v>8</v>
      </c>
      <c r="G7" s="5">
        <v>17.5</v>
      </c>
      <c r="I7" s="65">
        <v>45839</v>
      </c>
      <c r="J7" s="11" t="s">
        <v>11</v>
      </c>
      <c r="K7" s="5">
        <v>8</v>
      </c>
    </row>
    <row r="8" spans="1:19" ht="15.75" x14ac:dyDescent="0.5">
      <c r="A8" s="95">
        <v>45839</v>
      </c>
      <c r="B8" s="96" t="s">
        <v>67</v>
      </c>
      <c r="C8" s="97">
        <v>37.5</v>
      </c>
      <c r="E8" s="104">
        <v>45839</v>
      </c>
      <c r="F8" s="101" t="s">
        <v>9</v>
      </c>
      <c r="G8" s="105">
        <v>48.37</v>
      </c>
      <c r="I8" s="65">
        <v>45840</v>
      </c>
      <c r="J8" s="11" t="s">
        <v>10</v>
      </c>
      <c r="K8" s="5">
        <v>27</v>
      </c>
      <c r="N8" s="109" t="s">
        <v>72</v>
      </c>
      <c r="O8" s="110" t="s">
        <v>17</v>
      </c>
      <c r="P8" s="110" t="s">
        <v>70</v>
      </c>
      <c r="R8" s="1" t="s">
        <v>82</v>
      </c>
    </row>
    <row r="9" spans="1:19" x14ac:dyDescent="0.25">
      <c r="A9" s="95">
        <v>45839</v>
      </c>
      <c r="B9" s="96" t="s">
        <v>68</v>
      </c>
      <c r="C9" s="97">
        <v>10.5</v>
      </c>
      <c r="E9" s="67">
        <v>45840</v>
      </c>
      <c r="F9" s="9" t="s">
        <v>8</v>
      </c>
      <c r="G9" s="5">
        <v>11.4</v>
      </c>
      <c r="I9" s="67">
        <v>45840</v>
      </c>
      <c r="J9" s="11" t="s">
        <v>11</v>
      </c>
      <c r="K9" s="5">
        <v>2</v>
      </c>
      <c r="N9" s="91" t="s">
        <v>18</v>
      </c>
      <c r="O9" s="82">
        <f>SUMIF(B6:B124,"OS - Ginger",C6:C124)</f>
        <v>35.42</v>
      </c>
      <c r="P9" s="192">
        <f>SUM(O9:O10)</f>
        <v>553.41999999999996</v>
      </c>
      <c r="R9" s="1">
        <f>P9</f>
        <v>553.41999999999996</v>
      </c>
    </row>
    <row r="10" spans="1:19" x14ac:dyDescent="0.25">
      <c r="A10" s="95">
        <v>45839</v>
      </c>
      <c r="B10" s="96" t="s">
        <v>69</v>
      </c>
      <c r="C10" s="97"/>
      <c r="E10" s="67">
        <v>45840</v>
      </c>
      <c r="F10" s="9" t="s">
        <v>13</v>
      </c>
      <c r="G10" s="5">
        <v>8</v>
      </c>
      <c r="I10" s="67">
        <v>45841</v>
      </c>
      <c r="J10" s="11" t="s">
        <v>11</v>
      </c>
      <c r="K10" s="5">
        <v>11</v>
      </c>
      <c r="N10" s="92" t="s">
        <v>81</v>
      </c>
      <c r="O10" s="76">
        <f>SUMIF(B6:B124,"Ginger",C6:C124)</f>
        <v>518</v>
      </c>
      <c r="P10" s="193"/>
    </row>
    <row r="11" spans="1:19" x14ac:dyDescent="0.25">
      <c r="A11" s="95">
        <v>45839</v>
      </c>
      <c r="B11" s="96" t="s">
        <v>71</v>
      </c>
      <c r="C11" s="97">
        <v>55.5</v>
      </c>
      <c r="E11" s="67">
        <v>45842</v>
      </c>
      <c r="F11" s="9" t="s">
        <v>8</v>
      </c>
      <c r="G11" s="5">
        <v>17.5</v>
      </c>
      <c r="I11" s="65">
        <v>45842</v>
      </c>
      <c r="J11" s="11" t="s">
        <v>10</v>
      </c>
      <c r="K11" s="5">
        <v>49.5</v>
      </c>
      <c r="N11" s="56" t="s">
        <v>19</v>
      </c>
      <c r="O11" s="57">
        <f>SUMIF(B6:B124,"OS - Garlic",C6:C124)</f>
        <v>660.91</v>
      </c>
      <c r="P11" s="194">
        <f>SUM(O11:O12)</f>
        <v>989.78</v>
      </c>
      <c r="Q11" s="198">
        <f>SUM(P11:P14)</f>
        <v>1045.28</v>
      </c>
      <c r="R11" s="1">
        <f>O11</f>
        <v>660.91</v>
      </c>
      <c r="S11" s="1">
        <f>SUM(R11:R15)</f>
        <v>983.78</v>
      </c>
    </row>
    <row r="12" spans="1:19" x14ac:dyDescent="0.25">
      <c r="A12" s="95">
        <v>45839</v>
      </c>
      <c r="B12" s="96" t="s">
        <v>13</v>
      </c>
      <c r="C12" s="97"/>
      <c r="E12" s="67">
        <v>45842</v>
      </c>
      <c r="F12" s="9" t="s">
        <v>9</v>
      </c>
      <c r="G12" s="5">
        <v>95.43</v>
      </c>
      <c r="I12" s="65">
        <v>45843</v>
      </c>
      <c r="J12" s="11" t="s">
        <v>11</v>
      </c>
      <c r="K12" s="5">
        <v>11</v>
      </c>
      <c r="N12" s="88" t="s">
        <v>74</v>
      </c>
      <c r="O12" s="78">
        <f>SUMIF(B6:B124,"Garlic",C6:C124)</f>
        <v>328.87000000000006</v>
      </c>
      <c r="P12" s="195"/>
      <c r="Q12" s="198"/>
      <c r="R12" s="1">
        <f>O12-'Aug 2025'!C8</f>
        <v>256.87000000000006</v>
      </c>
    </row>
    <row r="13" spans="1:19" x14ac:dyDescent="0.25">
      <c r="A13" s="65">
        <v>45840</v>
      </c>
      <c r="B13" s="9" t="s">
        <v>8</v>
      </c>
      <c r="C13" s="4">
        <v>54</v>
      </c>
      <c r="E13" s="103">
        <v>45843</v>
      </c>
      <c r="F13" s="9" t="s">
        <v>8</v>
      </c>
      <c r="G13" s="107">
        <v>14</v>
      </c>
      <c r="H13" s="108"/>
      <c r="I13" s="103">
        <v>45843</v>
      </c>
      <c r="J13" s="11" t="s">
        <v>10</v>
      </c>
      <c r="K13" s="107">
        <v>35</v>
      </c>
      <c r="N13" s="93" t="s">
        <v>71</v>
      </c>
      <c r="O13" s="62">
        <f>SUMIF(B6:B124,"OS - Broken Garlic",C6:C124)</f>
        <v>55.5</v>
      </c>
      <c r="P13" s="196">
        <f>SUM(O13:O14)</f>
        <v>55.5</v>
      </c>
      <c r="Q13" s="198"/>
      <c r="R13" s="1">
        <f>P13</f>
        <v>55.5</v>
      </c>
    </row>
    <row r="14" spans="1:19" x14ac:dyDescent="0.25">
      <c r="A14" s="65">
        <v>45846</v>
      </c>
      <c r="B14" s="9" t="s">
        <v>9</v>
      </c>
      <c r="C14" s="4">
        <v>20</v>
      </c>
      <c r="E14" s="103">
        <v>45845</v>
      </c>
      <c r="F14" s="9" t="s">
        <v>8</v>
      </c>
      <c r="G14" s="107">
        <v>0.6</v>
      </c>
      <c r="H14" s="108"/>
      <c r="I14" s="103">
        <v>45845</v>
      </c>
      <c r="J14" s="11" t="s">
        <v>11</v>
      </c>
      <c r="K14" s="107">
        <v>9</v>
      </c>
      <c r="N14" s="94" t="s">
        <v>13</v>
      </c>
      <c r="O14" s="73">
        <f>SUMIF(B6:B124,"Broken Garlic",C6:C124)</f>
        <v>0</v>
      </c>
      <c r="P14" s="197"/>
      <c r="Q14" s="198"/>
    </row>
    <row r="15" spans="1:19" ht="14.25" x14ac:dyDescent="0.45">
      <c r="A15" s="65">
        <v>45849</v>
      </c>
      <c r="B15" s="9" t="s">
        <v>9</v>
      </c>
      <c r="C15" s="4">
        <v>44</v>
      </c>
      <c r="E15" s="103">
        <v>45846</v>
      </c>
      <c r="F15" s="9" t="s">
        <v>8</v>
      </c>
      <c r="G15" s="107">
        <v>14.8</v>
      </c>
      <c r="H15" s="108"/>
      <c r="I15" s="103">
        <v>45845</v>
      </c>
      <c r="J15" s="11" t="s">
        <v>12</v>
      </c>
      <c r="K15" s="107">
        <v>0.5</v>
      </c>
      <c r="N15" s="89" t="s">
        <v>68</v>
      </c>
      <c r="O15" s="90">
        <f>SUMIF(B6:B124,"OS - Garlic Peeled",C6:C124)</f>
        <v>10.5</v>
      </c>
      <c r="P15" s="111">
        <f>O15</f>
        <v>10.5</v>
      </c>
      <c r="R15" s="1">
        <f>P15</f>
        <v>10.5</v>
      </c>
    </row>
    <row r="16" spans="1:19" ht="14.25" x14ac:dyDescent="0.45">
      <c r="A16" s="65">
        <v>45849</v>
      </c>
      <c r="B16" s="9" t="s">
        <v>8</v>
      </c>
      <c r="C16" s="4">
        <v>100</v>
      </c>
      <c r="E16" s="103">
        <v>45846</v>
      </c>
      <c r="F16" s="9" t="s">
        <v>9</v>
      </c>
      <c r="G16" s="107">
        <v>20</v>
      </c>
      <c r="H16" s="108"/>
      <c r="I16" s="103">
        <v>45846</v>
      </c>
      <c r="J16" s="11" t="s">
        <v>11</v>
      </c>
      <c r="K16" s="107">
        <v>7</v>
      </c>
      <c r="N16" s="89" t="s">
        <v>69</v>
      </c>
      <c r="O16" s="90">
        <f>SUMIF(B6:B124,"OS - Ginger Peeled",C6:C124)</f>
        <v>0</v>
      </c>
      <c r="P16" s="90"/>
    </row>
    <row r="17" spans="1:16" ht="14.25" x14ac:dyDescent="0.45">
      <c r="A17" s="65">
        <v>45850</v>
      </c>
      <c r="B17" s="9" t="s">
        <v>9</v>
      </c>
      <c r="C17" s="4">
        <v>10</v>
      </c>
      <c r="E17" s="103">
        <v>45848</v>
      </c>
      <c r="F17" s="9" t="s">
        <v>9</v>
      </c>
      <c r="G17" s="107">
        <v>48.35</v>
      </c>
      <c r="H17" s="108"/>
      <c r="I17" s="103">
        <v>45846</v>
      </c>
      <c r="J17" s="11" t="s">
        <v>10</v>
      </c>
      <c r="K17" s="107">
        <v>33.299999999999997</v>
      </c>
      <c r="N17" s="89" t="s">
        <v>67</v>
      </c>
      <c r="O17" s="90">
        <f>SUMIF(B6:B124,"OS - Ginger Garlic Paste",C6:C124)</f>
        <v>37.5</v>
      </c>
      <c r="P17" s="90"/>
    </row>
    <row r="18" spans="1:16" ht="14.25" x14ac:dyDescent="0.45">
      <c r="A18" s="65">
        <v>45850</v>
      </c>
      <c r="B18" s="9" t="s">
        <v>8</v>
      </c>
      <c r="C18" s="4">
        <v>50</v>
      </c>
      <c r="E18" s="103">
        <v>45848</v>
      </c>
      <c r="F18" s="9" t="s">
        <v>9</v>
      </c>
      <c r="G18" s="107">
        <v>47.5</v>
      </c>
      <c r="H18" s="108"/>
      <c r="I18" s="103">
        <v>45848</v>
      </c>
      <c r="J18" s="11" t="s">
        <v>11</v>
      </c>
      <c r="K18" s="107">
        <v>7</v>
      </c>
      <c r="N18" s="89" t="s">
        <v>76</v>
      </c>
      <c r="O18" s="90">
        <f>SUMIF(B6:B124,"OS - Ginger Paste",C6:C124)</f>
        <v>0</v>
      </c>
      <c r="P18" s="90"/>
    </row>
    <row r="19" spans="1:16" ht="14.25" x14ac:dyDescent="0.45">
      <c r="A19" s="65">
        <v>45852</v>
      </c>
      <c r="B19" s="9" t="s">
        <v>8</v>
      </c>
      <c r="C19" s="4">
        <v>50</v>
      </c>
      <c r="E19" s="103">
        <v>45849</v>
      </c>
      <c r="F19" s="9" t="s">
        <v>9</v>
      </c>
      <c r="G19" s="107">
        <v>44</v>
      </c>
      <c r="H19" s="108"/>
      <c r="I19" s="103">
        <v>45849</v>
      </c>
      <c r="J19" s="11" t="s">
        <v>11</v>
      </c>
      <c r="K19" s="107">
        <v>32</v>
      </c>
      <c r="N19" s="89" t="s">
        <v>75</v>
      </c>
      <c r="O19" s="90">
        <f>SUMIF(B6:B124,"OS - Garlic Paste",C6:C124)</f>
        <v>0</v>
      </c>
      <c r="P19" s="90"/>
    </row>
    <row r="20" spans="1:16" ht="14.25" x14ac:dyDescent="0.45">
      <c r="A20" s="65">
        <v>45853</v>
      </c>
      <c r="B20" s="9" t="s">
        <v>9</v>
      </c>
      <c r="C20" s="4">
        <v>10</v>
      </c>
      <c r="E20" s="103">
        <v>45849</v>
      </c>
      <c r="F20" s="9" t="s">
        <v>8</v>
      </c>
      <c r="G20" s="107">
        <v>50</v>
      </c>
      <c r="H20" s="108"/>
      <c r="I20" s="103">
        <v>45849</v>
      </c>
      <c r="J20" s="11" t="s">
        <v>10</v>
      </c>
      <c r="K20" s="107">
        <v>86</v>
      </c>
    </row>
    <row r="21" spans="1:16" ht="15.75" x14ac:dyDescent="0.5">
      <c r="A21" s="65">
        <v>45857</v>
      </c>
      <c r="B21" s="9" t="s">
        <v>9</v>
      </c>
      <c r="C21" s="4">
        <v>10</v>
      </c>
      <c r="E21" s="103">
        <v>45850</v>
      </c>
      <c r="F21" s="9" t="s">
        <v>8</v>
      </c>
      <c r="G21" s="107">
        <v>50</v>
      </c>
      <c r="H21" s="108"/>
      <c r="I21" s="103">
        <v>45850</v>
      </c>
      <c r="J21" s="11" t="s">
        <v>10</v>
      </c>
      <c r="K21" s="107">
        <v>35</v>
      </c>
      <c r="N21" s="109" t="s">
        <v>3</v>
      </c>
      <c r="O21" s="110" t="s">
        <v>17</v>
      </c>
      <c r="P21" s="110" t="s">
        <v>17</v>
      </c>
    </row>
    <row r="22" spans="1:16" x14ac:dyDescent="0.25">
      <c r="A22" s="65">
        <v>45857</v>
      </c>
      <c r="B22" s="9" t="s">
        <v>8</v>
      </c>
      <c r="C22" s="4">
        <v>50</v>
      </c>
      <c r="E22" s="104">
        <v>45850</v>
      </c>
      <c r="F22" s="101" t="s">
        <v>9</v>
      </c>
      <c r="G22" s="105">
        <v>30</v>
      </c>
      <c r="H22" s="108"/>
      <c r="I22" s="103">
        <v>45850</v>
      </c>
      <c r="J22" s="11" t="s">
        <v>10</v>
      </c>
      <c r="K22" s="107">
        <v>65</v>
      </c>
      <c r="N22" s="44" t="s">
        <v>8</v>
      </c>
      <c r="O22" s="62">
        <f>SUMIF(F6:F124,"Ginger",G6:G124)</f>
        <v>519.7700000000001</v>
      </c>
      <c r="P22" s="100">
        <f>O22</f>
        <v>519.7700000000001</v>
      </c>
    </row>
    <row r="23" spans="1:16" x14ac:dyDescent="0.25">
      <c r="A23" s="65">
        <v>45859</v>
      </c>
      <c r="B23" s="9" t="s">
        <v>8</v>
      </c>
      <c r="C23" s="4">
        <v>50</v>
      </c>
      <c r="E23" s="103">
        <v>45850</v>
      </c>
      <c r="F23" s="9" t="s">
        <v>9</v>
      </c>
      <c r="G23" s="107">
        <v>47.47</v>
      </c>
      <c r="H23" s="108"/>
      <c r="I23" s="103">
        <v>45850</v>
      </c>
      <c r="J23" s="11" t="s">
        <v>11</v>
      </c>
      <c r="K23" s="107">
        <v>9</v>
      </c>
      <c r="N23" s="44" t="s">
        <v>9</v>
      </c>
      <c r="O23" s="63">
        <f>SUMIF(F6:F126,"Garlic",G6:G126)</f>
        <v>789.81999999999982</v>
      </c>
      <c r="P23" s="191">
        <f>SUM(O23:O24)</f>
        <v>848.81999999999982</v>
      </c>
    </row>
    <row r="24" spans="1:16" x14ac:dyDescent="0.25">
      <c r="A24" s="65">
        <v>45859</v>
      </c>
      <c r="B24" s="9" t="s">
        <v>9</v>
      </c>
      <c r="C24" s="4">
        <v>10</v>
      </c>
      <c r="E24" s="103">
        <v>45850</v>
      </c>
      <c r="F24" s="9" t="s">
        <v>9</v>
      </c>
      <c r="G24" s="107">
        <v>47.3</v>
      </c>
      <c r="H24" s="108"/>
      <c r="I24" s="112">
        <v>45850</v>
      </c>
      <c r="J24" s="114" t="s">
        <v>10</v>
      </c>
      <c r="K24" s="115">
        <v>46.5</v>
      </c>
      <c r="N24" s="44" t="s">
        <v>13</v>
      </c>
      <c r="O24" s="63">
        <f>SUMIF(F6:F126,"Broken Garlic",G6:G126)</f>
        <v>59</v>
      </c>
      <c r="P24" s="191"/>
    </row>
    <row r="25" spans="1:16" x14ac:dyDescent="0.25">
      <c r="A25" s="65">
        <v>45861</v>
      </c>
      <c r="B25" s="9" t="s">
        <v>9</v>
      </c>
      <c r="C25" s="4">
        <v>37.11</v>
      </c>
      <c r="E25" s="103">
        <v>45850</v>
      </c>
      <c r="F25" s="9" t="s">
        <v>9</v>
      </c>
      <c r="G25" s="107">
        <v>47.9</v>
      </c>
      <c r="H25" s="108"/>
      <c r="I25" s="103">
        <v>45851</v>
      </c>
      <c r="J25" s="11" t="s">
        <v>10</v>
      </c>
      <c r="K25" s="107">
        <v>56.5</v>
      </c>
    </row>
    <row r="26" spans="1:16" x14ac:dyDescent="0.25">
      <c r="A26" s="65">
        <v>45861</v>
      </c>
      <c r="B26" s="9" t="s">
        <v>9</v>
      </c>
      <c r="C26" s="4">
        <v>37.43</v>
      </c>
      <c r="E26" s="103">
        <v>45850</v>
      </c>
      <c r="F26" s="9" t="s">
        <v>8</v>
      </c>
      <c r="G26" s="107">
        <v>19</v>
      </c>
      <c r="H26" s="108"/>
      <c r="I26" s="103">
        <v>45851</v>
      </c>
      <c r="J26" s="11" t="s">
        <v>11</v>
      </c>
      <c r="K26" s="107">
        <v>5</v>
      </c>
    </row>
    <row r="27" spans="1:16" ht="15.75" x14ac:dyDescent="0.25">
      <c r="A27" s="65">
        <v>45861</v>
      </c>
      <c r="B27" s="9" t="s">
        <v>9</v>
      </c>
      <c r="C27" s="4">
        <v>37.700000000000003</v>
      </c>
      <c r="E27" s="103">
        <v>45851</v>
      </c>
      <c r="F27" s="9" t="s">
        <v>8</v>
      </c>
      <c r="G27" s="107">
        <v>25.7</v>
      </c>
      <c r="H27" s="108"/>
      <c r="I27" s="103">
        <v>45852</v>
      </c>
      <c r="J27" s="11" t="s">
        <v>11</v>
      </c>
      <c r="K27" s="107">
        <v>5</v>
      </c>
      <c r="N27" s="109" t="s">
        <v>4</v>
      </c>
      <c r="O27" s="110" t="s">
        <v>17</v>
      </c>
      <c r="P27" s="110" t="s">
        <v>79</v>
      </c>
    </row>
    <row r="28" spans="1:16" x14ac:dyDescent="0.25">
      <c r="A28" s="65">
        <v>45861</v>
      </c>
      <c r="B28" s="9" t="s">
        <v>9</v>
      </c>
      <c r="C28" s="4">
        <v>37.520000000000003</v>
      </c>
      <c r="E28" s="103">
        <v>45852</v>
      </c>
      <c r="F28" s="9" t="s">
        <v>8</v>
      </c>
      <c r="G28" s="107">
        <v>16.5</v>
      </c>
      <c r="H28" s="108"/>
      <c r="I28" s="103">
        <v>45852</v>
      </c>
      <c r="J28" s="11" t="s">
        <v>10</v>
      </c>
      <c r="K28" s="107">
        <v>59.5</v>
      </c>
      <c r="N28" s="44" t="s">
        <v>12</v>
      </c>
      <c r="O28" s="86">
        <f>SUMIF(J6:J124,"Ginger Peeled",K6:K124)</f>
        <v>0.5</v>
      </c>
      <c r="P28" s="87">
        <f>SUM(O28,O16)</f>
        <v>0.5</v>
      </c>
    </row>
    <row r="29" spans="1:16" x14ac:dyDescent="0.25">
      <c r="A29" s="65">
        <v>45861</v>
      </c>
      <c r="B29" s="9" t="s">
        <v>9</v>
      </c>
      <c r="C29" s="4">
        <v>37.51</v>
      </c>
      <c r="E29" s="104">
        <v>45852</v>
      </c>
      <c r="F29" s="101" t="s">
        <v>9</v>
      </c>
      <c r="G29" s="105">
        <v>48.23</v>
      </c>
      <c r="H29" s="108"/>
      <c r="I29" s="103">
        <v>45853</v>
      </c>
      <c r="J29" s="11" t="s">
        <v>11</v>
      </c>
      <c r="K29" s="107">
        <v>12</v>
      </c>
      <c r="N29" s="44" t="s">
        <v>11</v>
      </c>
      <c r="O29" s="86">
        <f>SUMIF(J6:J124,"Garlic Peeled",K6:K124)</f>
        <v>175</v>
      </c>
      <c r="P29" s="87">
        <f>SUM(O29,O15)</f>
        <v>185.5</v>
      </c>
    </row>
    <row r="30" spans="1:16" x14ac:dyDescent="0.25">
      <c r="A30" s="65">
        <v>45861</v>
      </c>
      <c r="B30" s="9" t="s">
        <v>9</v>
      </c>
      <c r="C30" s="4">
        <v>37.6</v>
      </c>
      <c r="E30" s="104">
        <v>45853</v>
      </c>
      <c r="F30" s="101" t="s">
        <v>9</v>
      </c>
      <c r="G30" s="105">
        <v>48.43</v>
      </c>
      <c r="H30" s="108"/>
      <c r="I30" s="103">
        <v>45855</v>
      </c>
      <c r="J30" s="11" t="s">
        <v>10</v>
      </c>
      <c r="K30" s="107">
        <v>49</v>
      </c>
      <c r="N30" s="44" t="s">
        <v>10</v>
      </c>
      <c r="O30" s="86">
        <f>SUMIF(J6:J124,"Ginger Garlic Paste",K6:K124)</f>
        <v>1146.8000000000002</v>
      </c>
      <c r="P30" s="87">
        <f>SUM(O30,O17)</f>
        <v>1184.3000000000002</v>
      </c>
    </row>
    <row r="31" spans="1:16" x14ac:dyDescent="0.25">
      <c r="A31" s="65">
        <v>45862</v>
      </c>
      <c r="B31" s="9" t="s">
        <v>8</v>
      </c>
      <c r="C31" s="4">
        <v>53.1</v>
      </c>
      <c r="E31" s="103">
        <v>45855</v>
      </c>
      <c r="F31" s="9" t="s">
        <v>8</v>
      </c>
      <c r="G31" s="107">
        <v>29.85</v>
      </c>
      <c r="H31" s="108"/>
      <c r="I31" s="103">
        <v>45855</v>
      </c>
      <c r="J31" s="11" t="s">
        <v>10</v>
      </c>
      <c r="K31" s="107">
        <v>12</v>
      </c>
      <c r="N31" s="44" t="s">
        <v>76</v>
      </c>
      <c r="O31" s="86">
        <f>SUMIF(J6:J124,"Ginger Paste",K6:K124)</f>
        <v>2</v>
      </c>
      <c r="P31" s="87">
        <f>SUM(O31,O18)</f>
        <v>2</v>
      </c>
    </row>
    <row r="32" spans="1:16" x14ac:dyDescent="0.25">
      <c r="A32" s="67">
        <v>45865</v>
      </c>
      <c r="B32" s="9" t="s">
        <v>8</v>
      </c>
      <c r="C32" s="4">
        <v>56.7</v>
      </c>
      <c r="E32" s="103">
        <v>45857</v>
      </c>
      <c r="F32" s="9" t="s">
        <v>8</v>
      </c>
      <c r="G32" s="107">
        <v>57.8</v>
      </c>
      <c r="H32" s="108"/>
      <c r="I32" s="103">
        <v>45855</v>
      </c>
      <c r="J32" s="11" t="s">
        <v>11</v>
      </c>
      <c r="K32" s="107">
        <v>7</v>
      </c>
      <c r="N32" s="44" t="s">
        <v>75</v>
      </c>
      <c r="O32" s="86">
        <f>SUMIF(J6:J124,"Garlic Paste",K6:K124)</f>
        <v>0</v>
      </c>
      <c r="P32" s="87">
        <f>SUM(O32,O19)</f>
        <v>0</v>
      </c>
    </row>
    <row r="33" spans="1:16" x14ac:dyDescent="0.25">
      <c r="A33" s="67">
        <v>45867</v>
      </c>
      <c r="B33" s="9" t="s">
        <v>8</v>
      </c>
      <c r="C33" s="4">
        <v>54.2</v>
      </c>
      <c r="E33" s="103">
        <v>45859</v>
      </c>
      <c r="F33" s="9" t="s">
        <v>9</v>
      </c>
      <c r="G33" s="107">
        <v>47.8</v>
      </c>
      <c r="H33" s="108"/>
      <c r="I33" s="103">
        <v>45857</v>
      </c>
      <c r="J33" s="11" t="s">
        <v>10</v>
      </c>
      <c r="K33" s="107">
        <v>122.2</v>
      </c>
      <c r="P33" s="2"/>
    </row>
    <row r="34" spans="1:16" ht="15.75" x14ac:dyDescent="0.25">
      <c r="A34" s="65"/>
      <c r="B34" s="9"/>
      <c r="C34" s="4"/>
      <c r="E34" s="103">
        <v>45859</v>
      </c>
      <c r="F34" s="9" t="s">
        <v>8</v>
      </c>
      <c r="G34" s="107">
        <v>22.6</v>
      </c>
      <c r="H34" s="108"/>
      <c r="I34" s="103">
        <v>45857</v>
      </c>
      <c r="J34" s="11" t="s">
        <v>11</v>
      </c>
      <c r="K34" s="107">
        <v>9</v>
      </c>
      <c r="N34" s="110" t="s">
        <v>14</v>
      </c>
      <c r="O34" s="110" t="s">
        <v>17</v>
      </c>
      <c r="P34" s="2"/>
    </row>
    <row r="35" spans="1:16" x14ac:dyDescent="0.25">
      <c r="A35" s="65"/>
      <c r="B35" s="9"/>
      <c r="C35" s="4"/>
      <c r="E35" s="103">
        <v>45860</v>
      </c>
      <c r="F35" s="9" t="s">
        <v>9</v>
      </c>
      <c r="G35" s="107">
        <v>47.8</v>
      </c>
      <c r="H35" s="108"/>
      <c r="I35" s="103">
        <v>45859</v>
      </c>
      <c r="J35" s="11" t="s">
        <v>10</v>
      </c>
      <c r="K35" s="107">
        <v>59</v>
      </c>
      <c r="N35" s="102" t="s">
        <v>73</v>
      </c>
      <c r="O35" s="87">
        <f>P9-P22</f>
        <v>33.649999999999864</v>
      </c>
      <c r="P35" s="2"/>
    </row>
    <row r="36" spans="1:16" x14ac:dyDescent="0.25">
      <c r="A36" s="65"/>
      <c r="B36" s="9"/>
      <c r="C36" s="4"/>
      <c r="E36" s="103">
        <v>45860</v>
      </c>
      <c r="F36" s="9" t="s">
        <v>9</v>
      </c>
      <c r="G36" s="107">
        <v>46.7</v>
      </c>
      <c r="H36" s="108"/>
      <c r="I36" s="103">
        <v>45860</v>
      </c>
      <c r="J36" s="11" t="s">
        <v>11</v>
      </c>
      <c r="K36" s="107">
        <v>7</v>
      </c>
      <c r="N36" s="102" t="s">
        <v>9</v>
      </c>
      <c r="O36" s="87">
        <f>Q11-P23</f>
        <v>196.46000000000015</v>
      </c>
      <c r="P36" s="2"/>
    </row>
    <row r="37" spans="1:16" x14ac:dyDescent="0.25">
      <c r="A37" s="65"/>
      <c r="B37" s="9"/>
      <c r="C37" s="4"/>
      <c r="E37" s="103">
        <v>45860</v>
      </c>
      <c r="F37" s="9" t="s">
        <v>8</v>
      </c>
      <c r="G37" s="107">
        <v>19.5</v>
      </c>
      <c r="H37" s="108"/>
      <c r="I37" s="103">
        <v>45860</v>
      </c>
      <c r="J37" s="11" t="s">
        <v>10</v>
      </c>
      <c r="K37" s="107">
        <v>56.5</v>
      </c>
    </row>
    <row r="38" spans="1:16" x14ac:dyDescent="0.25">
      <c r="A38" s="65"/>
      <c r="B38" s="9"/>
      <c r="C38" s="4"/>
      <c r="E38" s="103">
        <v>45863</v>
      </c>
      <c r="F38" s="9" t="s">
        <v>8</v>
      </c>
      <c r="G38" s="5">
        <v>26</v>
      </c>
      <c r="I38" s="65">
        <v>45861</v>
      </c>
      <c r="J38" s="11" t="s">
        <v>11</v>
      </c>
      <c r="K38" s="5">
        <v>7</v>
      </c>
    </row>
    <row r="39" spans="1:16" x14ac:dyDescent="0.25">
      <c r="A39" s="65"/>
      <c r="B39" s="9"/>
      <c r="C39" s="4"/>
      <c r="E39" s="67">
        <v>45864</v>
      </c>
      <c r="F39" s="9" t="s">
        <v>9</v>
      </c>
      <c r="G39" s="5">
        <v>37.11</v>
      </c>
      <c r="I39" s="103">
        <v>45863</v>
      </c>
      <c r="J39" s="11" t="s">
        <v>10</v>
      </c>
      <c r="K39" s="5">
        <v>61</v>
      </c>
    </row>
    <row r="40" spans="1:16" x14ac:dyDescent="0.25">
      <c r="A40" s="65"/>
      <c r="B40" s="9"/>
      <c r="C40" s="4"/>
      <c r="E40" s="67">
        <v>45864</v>
      </c>
      <c r="F40" s="9" t="s">
        <v>9</v>
      </c>
      <c r="G40" s="5">
        <v>37.43</v>
      </c>
      <c r="I40" s="103">
        <v>45863</v>
      </c>
      <c r="J40" s="11" t="s">
        <v>11</v>
      </c>
      <c r="K40" s="5">
        <v>5</v>
      </c>
    </row>
    <row r="41" spans="1:16" x14ac:dyDescent="0.25">
      <c r="A41" s="65"/>
      <c r="B41" s="9"/>
      <c r="C41" s="4"/>
      <c r="E41" s="67">
        <v>45864</v>
      </c>
      <c r="F41" s="9" t="s">
        <v>8</v>
      </c>
      <c r="G41" s="5">
        <v>33.799999999999997</v>
      </c>
      <c r="I41" s="67">
        <v>45864</v>
      </c>
      <c r="J41" s="11" t="s">
        <v>10</v>
      </c>
      <c r="K41" s="5">
        <v>68</v>
      </c>
    </row>
    <row r="42" spans="1:16" x14ac:dyDescent="0.25">
      <c r="A42" s="65"/>
      <c r="B42" s="9"/>
      <c r="C42" s="4"/>
      <c r="E42" s="67">
        <v>45865</v>
      </c>
      <c r="F42" s="9" t="s">
        <v>8</v>
      </c>
      <c r="G42" s="5">
        <v>34.119999999999997</v>
      </c>
      <c r="I42" s="67">
        <v>45864</v>
      </c>
      <c r="J42" s="11" t="s">
        <v>11</v>
      </c>
      <c r="K42" s="5">
        <v>10</v>
      </c>
    </row>
    <row r="43" spans="1:16" x14ac:dyDescent="0.25">
      <c r="A43" s="65"/>
      <c r="B43" s="9"/>
      <c r="C43" s="4"/>
      <c r="E43" s="67">
        <v>45865</v>
      </c>
      <c r="F43" s="9" t="s">
        <v>8</v>
      </c>
      <c r="G43" s="5">
        <v>9.1</v>
      </c>
      <c r="I43" s="67">
        <v>45865</v>
      </c>
      <c r="J43" s="11" t="s">
        <v>10</v>
      </c>
      <c r="K43" s="5">
        <v>83.5</v>
      </c>
    </row>
    <row r="44" spans="1:16" x14ac:dyDescent="0.25">
      <c r="A44" s="65"/>
      <c r="B44" s="9"/>
      <c r="C44" s="4"/>
      <c r="E44" s="67">
        <v>45867</v>
      </c>
      <c r="F44" s="9" t="s">
        <v>8</v>
      </c>
      <c r="G44" s="5">
        <v>32</v>
      </c>
      <c r="I44" s="67">
        <v>45867</v>
      </c>
      <c r="J44" s="11" t="s">
        <v>76</v>
      </c>
      <c r="K44" s="5">
        <v>2</v>
      </c>
    </row>
    <row r="45" spans="1:16" x14ac:dyDescent="0.25">
      <c r="A45" s="65"/>
      <c r="B45" s="9"/>
      <c r="C45" s="4"/>
      <c r="E45" s="67">
        <v>45869</v>
      </c>
      <c r="F45" s="9" t="s">
        <v>8</v>
      </c>
      <c r="G45" s="5">
        <v>18</v>
      </c>
      <c r="I45" s="67">
        <v>45868</v>
      </c>
      <c r="J45" s="11" t="s">
        <v>10</v>
      </c>
      <c r="K45" s="5">
        <v>54</v>
      </c>
    </row>
    <row r="46" spans="1:16" x14ac:dyDescent="0.25">
      <c r="A46" s="65"/>
      <c r="B46" s="9"/>
      <c r="C46" s="4"/>
      <c r="E46" s="67"/>
      <c r="F46" s="9"/>
      <c r="G46" s="5"/>
      <c r="I46" s="67">
        <v>45868</v>
      </c>
      <c r="J46" s="23" t="s">
        <v>11</v>
      </c>
      <c r="K46" s="5">
        <v>12</v>
      </c>
    </row>
    <row r="47" spans="1:16" x14ac:dyDescent="0.25">
      <c r="A47" s="65"/>
      <c r="B47" s="9"/>
      <c r="C47" s="4"/>
      <c r="E47" s="67"/>
      <c r="F47" s="9"/>
      <c r="G47" s="5"/>
      <c r="I47" s="67">
        <v>45869</v>
      </c>
      <c r="J47" s="11" t="s">
        <v>10</v>
      </c>
      <c r="K47" s="5">
        <v>43</v>
      </c>
    </row>
    <row r="48" spans="1:16" x14ac:dyDescent="0.25">
      <c r="A48" s="65"/>
      <c r="B48" s="9"/>
      <c r="C48" s="4"/>
      <c r="E48" s="67"/>
      <c r="F48" s="9"/>
      <c r="G48" s="5"/>
      <c r="I48" s="67"/>
      <c r="J48" s="11"/>
      <c r="K48" s="5"/>
    </row>
    <row r="49" spans="1:11" x14ac:dyDescent="0.25">
      <c r="A49" s="65"/>
      <c r="B49" s="9"/>
      <c r="C49" s="4"/>
      <c r="E49" s="67"/>
      <c r="F49" s="9"/>
      <c r="G49" s="5"/>
      <c r="I49" s="67"/>
      <c r="J49" s="23"/>
      <c r="K49" s="5"/>
    </row>
    <row r="50" spans="1:11" x14ac:dyDescent="0.25">
      <c r="A50" s="65"/>
      <c r="B50" s="9"/>
      <c r="C50" s="4"/>
      <c r="E50" s="67"/>
      <c r="F50" s="9"/>
      <c r="G50" s="5"/>
      <c r="I50" s="67"/>
      <c r="J50" s="11"/>
      <c r="K50" s="5"/>
    </row>
    <row r="51" spans="1:11" x14ac:dyDescent="0.25">
      <c r="A51" s="65"/>
      <c r="B51" s="9"/>
      <c r="C51" s="4"/>
      <c r="E51" s="67"/>
      <c r="F51" s="9"/>
      <c r="G51" s="5"/>
      <c r="I51" s="67"/>
      <c r="J51" s="11"/>
      <c r="K51" s="5"/>
    </row>
    <row r="52" spans="1:11" x14ac:dyDescent="0.25">
      <c r="A52" s="65"/>
      <c r="B52" s="9"/>
      <c r="C52" s="4"/>
      <c r="E52" s="67"/>
      <c r="F52" s="9"/>
      <c r="G52" s="5"/>
      <c r="I52" s="67"/>
      <c r="J52" s="23"/>
      <c r="K52" s="5"/>
    </row>
    <row r="53" spans="1:11" x14ac:dyDescent="0.25">
      <c r="A53" s="65"/>
      <c r="B53" s="9"/>
      <c r="C53" s="4"/>
      <c r="E53" s="67"/>
      <c r="F53" s="9"/>
      <c r="G53" s="5"/>
      <c r="I53" s="67"/>
      <c r="J53" s="11"/>
      <c r="K53" s="5"/>
    </row>
    <row r="54" spans="1:11" x14ac:dyDescent="0.25">
      <c r="A54" s="65"/>
      <c r="B54" s="9"/>
      <c r="C54" s="4"/>
      <c r="E54" s="67"/>
      <c r="F54" s="9"/>
      <c r="G54" s="5"/>
      <c r="I54" s="67"/>
      <c r="J54" s="11"/>
      <c r="K54" s="5"/>
    </row>
    <row r="55" spans="1:11" x14ac:dyDescent="0.25">
      <c r="A55" s="65"/>
      <c r="B55" s="9"/>
      <c r="C55" s="4"/>
      <c r="E55" s="67"/>
      <c r="F55" s="9"/>
      <c r="G55" s="5"/>
      <c r="I55" s="67"/>
      <c r="J55" s="23"/>
      <c r="K55" s="5"/>
    </row>
    <row r="56" spans="1:11" x14ac:dyDescent="0.25">
      <c r="A56" s="65"/>
      <c r="B56" s="9"/>
      <c r="C56" s="4"/>
      <c r="E56" s="67"/>
      <c r="F56" s="9"/>
      <c r="G56" s="5"/>
      <c r="I56" s="67"/>
      <c r="J56" s="11"/>
      <c r="K56" s="5"/>
    </row>
    <row r="57" spans="1:11" x14ac:dyDescent="0.25">
      <c r="A57" s="65"/>
      <c r="B57" s="9"/>
      <c r="C57" s="4"/>
      <c r="E57" s="67"/>
      <c r="F57" s="9"/>
      <c r="G57" s="5"/>
      <c r="I57" s="67"/>
      <c r="J57" s="11"/>
      <c r="K57" s="5"/>
    </row>
    <row r="58" spans="1:11" x14ac:dyDescent="0.25">
      <c r="A58" s="65"/>
      <c r="B58" s="9"/>
      <c r="C58" s="4"/>
      <c r="E58" s="67"/>
      <c r="F58" s="9"/>
      <c r="G58" s="5"/>
      <c r="I58" s="67"/>
      <c r="J58" s="23"/>
      <c r="K58" s="5"/>
    </row>
    <row r="59" spans="1:11" x14ac:dyDescent="0.25">
      <c r="A59" s="65"/>
      <c r="B59" s="9"/>
      <c r="C59" s="4"/>
      <c r="E59" s="67"/>
      <c r="F59" s="9"/>
      <c r="G59" s="5"/>
      <c r="I59" s="67"/>
      <c r="J59" s="11"/>
      <c r="K59" s="5"/>
    </row>
    <row r="60" spans="1:11" x14ac:dyDescent="0.25">
      <c r="A60" s="65"/>
      <c r="B60" s="9"/>
      <c r="C60" s="4"/>
      <c r="E60" s="67"/>
      <c r="F60" s="9"/>
      <c r="G60" s="5"/>
      <c r="I60" s="67"/>
      <c r="J60" s="11"/>
      <c r="K60" s="5"/>
    </row>
    <row r="61" spans="1:11" x14ac:dyDescent="0.25">
      <c r="A61" s="65"/>
      <c r="B61" s="9"/>
      <c r="C61" s="4"/>
      <c r="E61" s="67"/>
      <c r="F61" s="9"/>
      <c r="G61" s="5"/>
      <c r="I61" s="67"/>
      <c r="J61" s="23"/>
      <c r="K61" s="5"/>
    </row>
    <row r="62" spans="1:11" x14ac:dyDescent="0.25">
      <c r="A62" s="65"/>
      <c r="B62" s="9"/>
      <c r="C62" s="4"/>
      <c r="E62" s="67"/>
      <c r="F62" s="9"/>
      <c r="G62" s="5"/>
      <c r="I62" s="67"/>
      <c r="J62" s="11"/>
      <c r="K62" s="5"/>
    </row>
    <row r="63" spans="1:11" x14ac:dyDescent="0.25">
      <c r="A63" s="65"/>
      <c r="B63" s="9"/>
      <c r="C63" s="4"/>
      <c r="E63" s="67"/>
      <c r="F63" s="9"/>
      <c r="G63" s="5"/>
      <c r="I63" s="67"/>
      <c r="J63" s="11"/>
      <c r="K63" s="5"/>
    </row>
    <row r="64" spans="1:11" x14ac:dyDescent="0.25">
      <c r="A64" s="65"/>
      <c r="B64" s="9"/>
      <c r="C64" s="4"/>
      <c r="E64" s="67"/>
      <c r="F64" s="9"/>
      <c r="G64" s="5"/>
      <c r="I64" s="67"/>
      <c r="J64" s="23"/>
      <c r="K64" s="5"/>
    </row>
    <row r="65" spans="1:11" x14ac:dyDescent="0.25">
      <c r="A65" s="65"/>
      <c r="B65" s="9"/>
      <c r="C65" s="4"/>
      <c r="E65" s="67"/>
      <c r="F65" s="9"/>
      <c r="G65" s="5"/>
      <c r="I65" s="67"/>
      <c r="J65" s="11"/>
      <c r="K65" s="5"/>
    </row>
    <row r="66" spans="1:11" x14ac:dyDescent="0.25">
      <c r="A66" s="65"/>
      <c r="B66" s="9"/>
      <c r="C66" s="4"/>
      <c r="E66" s="67"/>
      <c r="F66" s="9"/>
      <c r="G66" s="5"/>
      <c r="I66" s="67"/>
      <c r="J66" s="11"/>
      <c r="K66" s="5"/>
    </row>
    <row r="67" spans="1:11" x14ac:dyDescent="0.25">
      <c r="A67" s="65"/>
      <c r="B67" s="9"/>
      <c r="C67" s="4"/>
      <c r="E67" s="67"/>
      <c r="F67" s="9"/>
      <c r="G67" s="5"/>
      <c r="I67" s="67"/>
      <c r="J67" s="23"/>
      <c r="K67" s="5"/>
    </row>
    <row r="68" spans="1:11" x14ac:dyDescent="0.25">
      <c r="A68" s="65"/>
      <c r="B68" s="9"/>
      <c r="C68" s="4"/>
      <c r="E68" s="67"/>
      <c r="F68" s="9"/>
      <c r="G68" s="5"/>
      <c r="I68" s="67"/>
      <c r="J68" s="11"/>
      <c r="K68" s="5"/>
    </row>
    <row r="69" spans="1:11" x14ac:dyDescent="0.25">
      <c r="A69" s="65"/>
      <c r="B69" s="9"/>
      <c r="C69" s="4"/>
      <c r="E69" s="67"/>
      <c r="F69" s="9"/>
      <c r="G69" s="5"/>
      <c r="I69" s="67"/>
      <c r="J69" s="11"/>
      <c r="K69" s="5"/>
    </row>
    <row r="70" spans="1:11" x14ac:dyDescent="0.25">
      <c r="A70" s="65"/>
      <c r="B70" s="9"/>
      <c r="C70" s="4"/>
      <c r="E70" s="67"/>
      <c r="F70" s="9"/>
      <c r="G70" s="5"/>
      <c r="I70" s="67"/>
      <c r="J70" s="23"/>
      <c r="K70" s="5"/>
    </row>
    <row r="71" spans="1:11" x14ac:dyDescent="0.25">
      <c r="A71" s="65"/>
      <c r="B71" s="9"/>
      <c r="C71" s="4"/>
      <c r="E71" s="67"/>
      <c r="F71" s="9"/>
      <c r="G71" s="5"/>
      <c r="I71" s="67"/>
      <c r="J71" s="11"/>
      <c r="K71" s="5"/>
    </row>
    <row r="72" spans="1:11" x14ac:dyDescent="0.25">
      <c r="A72" s="65"/>
      <c r="B72" s="9"/>
      <c r="C72" s="4"/>
      <c r="E72" s="67"/>
      <c r="F72" s="9"/>
      <c r="G72" s="5"/>
      <c r="I72" s="67"/>
      <c r="J72" s="11"/>
      <c r="K72" s="5"/>
    </row>
    <row r="73" spans="1:11" x14ac:dyDescent="0.25">
      <c r="A73" s="65"/>
      <c r="B73" s="9"/>
      <c r="C73" s="4"/>
      <c r="E73" s="67"/>
      <c r="F73" s="9"/>
      <c r="G73" s="5"/>
      <c r="I73" s="67"/>
      <c r="J73" s="23"/>
      <c r="K73" s="5"/>
    </row>
    <row r="74" spans="1:11" x14ac:dyDescent="0.25">
      <c r="A74" s="65"/>
      <c r="B74" s="9"/>
      <c r="C74" s="4"/>
      <c r="E74" s="67"/>
      <c r="F74" s="9"/>
      <c r="G74" s="5"/>
      <c r="I74" s="67"/>
      <c r="J74" s="11"/>
      <c r="K74" s="5"/>
    </row>
    <row r="75" spans="1:11" x14ac:dyDescent="0.25">
      <c r="A75" s="65"/>
      <c r="B75" s="9"/>
      <c r="C75" s="4"/>
      <c r="E75" s="67"/>
      <c r="F75" s="9"/>
      <c r="G75" s="5"/>
      <c r="I75" s="67"/>
      <c r="J75" s="11"/>
      <c r="K75" s="5"/>
    </row>
    <row r="76" spans="1:11" x14ac:dyDescent="0.25">
      <c r="A76" s="65"/>
      <c r="B76" s="9"/>
      <c r="C76" s="4"/>
      <c r="E76" s="67"/>
      <c r="F76" s="9"/>
      <c r="G76" s="5"/>
      <c r="I76" s="67"/>
      <c r="J76" s="23"/>
      <c r="K76" s="5"/>
    </row>
    <row r="77" spans="1:11" x14ac:dyDescent="0.25">
      <c r="A77" s="65"/>
      <c r="B77" s="9"/>
      <c r="C77" s="4"/>
      <c r="E77" s="67"/>
      <c r="F77" s="9"/>
      <c r="G77" s="5"/>
      <c r="I77" s="67"/>
      <c r="J77" s="11"/>
      <c r="K77" s="5"/>
    </row>
    <row r="78" spans="1:11" x14ac:dyDescent="0.25">
      <c r="A78" s="65"/>
      <c r="B78" s="9"/>
      <c r="C78" s="4"/>
      <c r="E78" s="67"/>
      <c r="F78" s="9"/>
      <c r="G78" s="5"/>
      <c r="I78" s="67"/>
      <c r="J78" s="11"/>
      <c r="K78" s="5"/>
    </row>
    <row r="79" spans="1:11" x14ac:dyDescent="0.25">
      <c r="A79" s="65"/>
      <c r="B79" s="9"/>
      <c r="C79" s="4"/>
      <c r="E79" s="67"/>
      <c r="F79" s="9"/>
      <c r="G79" s="5"/>
      <c r="I79" s="67"/>
      <c r="J79" s="23"/>
      <c r="K79" s="5"/>
    </row>
    <row r="80" spans="1:11" x14ac:dyDescent="0.25">
      <c r="A80" s="65"/>
      <c r="B80" s="9"/>
      <c r="C80" s="4"/>
      <c r="E80" s="67"/>
      <c r="F80" s="9"/>
      <c r="G80" s="5"/>
      <c r="I80" s="67"/>
      <c r="J80" s="11"/>
      <c r="K80" s="5"/>
    </row>
    <row r="81" spans="1:11" x14ac:dyDescent="0.25">
      <c r="A81" s="65"/>
      <c r="B81" s="9"/>
      <c r="C81" s="4"/>
      <c r="E81" s="67"/>
      <c r="F81" s="9"/>
      <c r="G81" s="5"/>
      <c r="I81" s="67"/>
      <c r="J81" s="11"/>
      <c r="K81" s="5"/>
    </row>
    <row r="82" spans="1:11" x14ac:dyDescent="0.25">
      <c r="A82" s="65"/>
      <c r="B82" s="9"/>
      <c r="C82" s="4"/>
      <c r="E82" s="67"/>
      <c r="F82" s="9"/>
      <c r="G82" s="5"/>
      <c r="I82" s="67"/>
      <c r="J82" s="23"/>
      <c r="K82" s="5"/>
    </row>
    <row r="83" spans="1:11" x14ac:dyDescent="0.25">
      <c r="A83" s="65"/>
      <c r="B83" s="9"/>
      <c r="C83" s="4"/>
      <c r="E83" s="67"/>
      <c r="F83" s="9"/>
      <c r="G83" s="5"/>
      <c r="I83" s="67"/>
      <c r="J83" s="11"/>
      <c r="K83" s="5"/>
    </row>
    <row r="84" spans="1:11" x14ac:dyDescent="0.25">
      <c r="A84" s="65"/>
      <c r="B84" s="9"/>
      <c r="C84" s="4"/>
      <c r="E84" s="67"/>
      <c r="F84" s="9"/>
      <c r="G84" s="5"/>
      <c r="I84" s="67"/>
      <c r="J84" s="11"/>
      <c r="K84" s="5"/>
    </row>
    <row r="85" spans="1:11" x14ac:dyDescent="0.25">
      <c r="A85" s="65"/>
      <c r="B85" s="9"/>
      <c r="C85" s="4"/>
      <c r="E85" s="67"/>
      <c r="F85" s="9"/>
      <c r="G85" s="5"/>
      <c r="I85" s="67"/>
      <c r="J85" s="23"/>
      <c r="K85" s="5"/>
    </row>
    <row r="86" spans="1:11" x14ac:dyDescent="0.25">
      <c r="A86" s="65"/>
      <c r="B86" s="9"/>
      <c r="C86" s="4"/>
      <c r="E86" s="67"/>
      <c r="F86" s="9"/>
      <c r="G86" s="5"/>
      <c r="I86" s="67"/>
      <c r="J86" s="11"/>
      <c r="K86" s="5"/>
    </row>
    <row r="87" spans="1:11" x14ac:dyDescent="0.25">
      <c r="A87" s="65"/>
      <c r="B87" s="9"/>
      <c r="C87" s="4"/>
      <c r="E87" s="67"/>
      <c r="F87" s="9"/>
      <c r="G87" s="5"/>
      <c r="I87" s="67"/>
      <c r="J87" s="11"/>
      <c r="K87" s="5"/>
    </row>
    <row r="88" spans="1:11" x14ac:dyDescent="0.25">
      <c r="A88" s="65"/>
      <c r="B88" s="9"/>
      <c r="C88" s="4"/>
      <c r="E88" s="67"/>
      <c r="F88" s="9"/>
      <c r="G88" s="5"/>
      <c r="I88" s="67"/>
      <c r="J88" s="23"/>
      <c r="K88" s="5"/>
    </row>
    <row r="89" spans="1:11" x14ac:dyDescent="0.25">
      <c r="A89" s="65"/>
      <c r="B89" s="9"/>
      <c r="C89" s="4"/>
      <c r="E89" s="67"/>
      <c r="F89" s="9"/>
      <c r="G89" s="5"/>
      <c r="I89" s="67"/>
      <c r="J89" s="11"/>
      <c r="K89" s="5"/>
    </row>
    <row r="90" spans="1:11" x14ac:dyDescent="0.25">
      <c r="A90" s="65"/>
      <c r="B90" s="9"/>
      <c r="C90" s="4"/>
      <c r="E90" s="67"/>
      <c r="F90" s="9"/>
      <c r="G90" s="5"/>
      <c r="I90" s="67"/>
      <c r="J90" s="11"/>
      <c r="K90" s="5"/>
    </row>
    <row r="91" spans="1:11" x14ac:dyDescent="0.25">
      <c r="A91" s="65"/>
      <c r="B91" s="9"/>
      <c r="C91" s="4"/>
      <c r="E91" s="67"/>
      <c r="F91" s="9"/>
      <c r="G91" s="5"/>
      <c r="I91" s="67"/>
      <c r="J91" s="23"/>
      <c r="K91" s="5"/>
    </row>
    <row r="92" spans="1:11" x14ac:dyDescent="0.25">
      <c r="A92" s="65"/>
      <c r="B92" s="9"/>
      <c r="C92" s="4"/>
      <c r="E92" s="67"/>
      <c r="F92" s="9"/>
      <c r="G92" s="5"/>
      <c r="I92" s="67"/>
      <c r="J92" s="11"/>
      <c r="K92" s="5"/>
    </row>
    <row r="93" spans="1:11" x14ac:dyDescent="0.25">
      <c r="A93" s="65"/>
      <c r="B93" s="9"/>
      <c r="C93" s="4"/>
      <c r="E93" s="67"/>
      <c r="F93" s="9"/>
      <c r="G93" s="5"/>
      <c r="I93" s="67"/>
      <c r="J93" s="11"/>
      <c r="K93" s="5"/>
    </row>
    <row r="94" spans="1:11" x14ac:dyDescent="0.25">
      <c r="A94" s="65"/>
      <c r="B94" s="9"/>
      <c r="C94" s="4"/>
      <c r="E94" s="67"/>
      <c r="F94" s="9"/>
      <c r="G94" s="5"/>
      <c r="I94" s="67"/>
      <c r="J94" s="23"/>
      <c r="K94" s="5"/>
    </row>
    <row r="95" spans="1:11" x14ac:dyDescent="0.25">
      <c r="A95" s="65"/>
      <c r="B95" s="9"/>
      <c r="C95" s="4"/>
      <c r="E95" s="67"/>
      <c r="F95" s="9"/>
      <c r="G95" s="5"/>
      <c r="I95" s="67"/>
      <c r="J95" s="11"/>
      <c r="K95" s="5"/>
    </row>
    <row r="96" spans="1:11" x14ac:dyDescent="0.25">
      <c r="A96" s="65"/>
      <c r="B96" s="9"/>
      <c r="C96" s="4"/>
      <c r="E96" s="67"/>
      <c r="F96" s="9"/>
      <c r="G96" s="5"/>
      <c r="I96" s="67"/>
      <c r="J96" s="11"/>
      <c r="K96" s="5"/>
    </row>
    <row r="97" spans="1:11" x14ac:dyDescent="0.25">
      <c r="A97" s="65"/>
      <c r="B97" s="9"/>
      <c r="C97" s="4"/>
      <c r="E97" s="67"/>
      <c r="F97" s="9"/>
      <c r="G97" s="5"/>
      <c r="I97" s="67"/>
      <c r="J97" s="23"/>
      <c r="K97" s="5"/>
    </row>
    <row r="98" spans="1:11" x14ac:dyDescent="0.25">
      <c r="A98" s="65"/>
      <c r="B98" s="9"/>
      <c r="C98" s="4"/>
      <c r="E98" s="67"/>
      <c r="F98" s="9"/>
      <c r="G98" s="5"/>
      <c r="I98" s="67"/>
      <c r="J98" s="11"/>
      <c r="K98" s="5"/>
    </row>
    <row r="99" spans="1:11" x14ac:dyDescent="0.25">
      <c r="A99" s="65"/>
      <c r="B99" s="9"/>
      <c r="C99" s="4"/>
      <c r="E99" s="67"/>
      <c r="F99" s="9"/>
      <c r="G99" s="5"/>
      <c r="I99" s="67"/>
      <c r="J99" s="11"/>
      <c r="K99" s="5"/>
    </row>
    <row r="100" spans="1:11" x14ac:dyDescent="0.25">
      <c r="A100" s="65"/>
      <c r="B100" s="9"/>
      <c r="C100" s="4"/>
      <c r="E100" s="67"/>
      <c r="F100" s="9"/>
      <c r="G100" s="5"/>
      <c r="I100" s="67"/>
      <c r="J100" s="23"/>
      <c r="K100" s="5"/>
    </row>
    <row r="101" spans="1:11" x14ac:dyDescent="0.25">
      <c r="A101" s="65"/>
      <c r="B101" s="9"/>
      <c r="C101" s="4"/>
      <c r="E101" s="67"/>
      <c r="F101" s="9"/>
      <c r="G101" s="5"/>
      <c r="I101" s="67"/>
      <c r="J101" s="11"/>
      <c r="K101" s="5"/>
    </row>
    <row r="102" spans="1:11" x14ac:dyDescent="0.25">
      <c r="A102" s="65"/>
      <c r="B102" s="9"/>
      <c r="C102" s="4"/>
      <c r="E102" s="67"/>
      <c r="F102" s="9"/>
      <c r="G102" s="5"/>
      <c r="I102" s="67"/>
      <c r="J102" s="11"/>
      <c r="K102" s="5"/>
    </row>
    <row r="103" spans="1:11" x14ac:dyDescent="0.25">
      <c r="A103" s="65"/>
      <c r="B103" s="9"/>
      <c r="C103" s="4"/>
      <c r="E103" s="67"/>
      <c r="F103" s="9"/>
      <c r="G103" s="5"/>
      <c r="I103" s="67"/>
      <c r="J103" s="23"/>
      <c r="K103" s="5"/>
    </row>
    <row r="104" spans="1:11" x14ac:dyDescent="0.25">
      <c r="A104" s="65"/>
      <c r="B104" s="9"/>
      <c r="C104" s="4"/>
      <c r="E104" s="67"/>
      <c r="F104" s="9"/>
      <c r="G104" s="5"/>
      <c r="I104" s="67"/>
      <c r="J104" s="11"/>
      <c r="K104" s="5"/>
    </row>
    <row r="105" spans="1:11" x14ac:dyDescent="0.25">
      <c r="A105" s="65"/>
      <c r="B105" s="9"/>
      <c r="C105" s="4"/>
      <c r="E105" s="67"/>
      <c r="F105" s="9"/>
      <c r="G105" s="5"/>
      <c r="I105" s="67"/>
      <c r="J105" s="11"/>
      <c r="K105" s="5"/>
    </row>
    <row r="106" spans="1:11" x14ac:dyDescent="0.25">
      <c r="A106" s="65"/>
      <c r="B106" s="9"/>
      <c r="C106" s="4"/>
      <c r="E106" s="67"/>
      <c r="F106" s="9"/>
      <c r="G106" s="5"/>
      <c r="I106" s="67"/>
      <c r="J106" s="23"/>
      <c r="K106" s="5"/>
    </row>
    <row r="107" spans="1:11" x14ac:dyDescent="0.25">
      <c r="A107" s="65"/>
      <c r="B107" s="9"/>
      <c r="C107" s="4"/>
      <c r="E107" s="67"/>
      <c r="F107" s="9"/>
      <c r="G107" s="5"/>
      <c r="I107" s="67"/>
      <c r="J107" s="11"/>
      <c r="K107" s="5"/>
    </row>
    <row r="108" spans="1:11" x14ac:dyDescent="0.25">
      <c r="A108" s="65"/>
      <c r="B108" s="9"/>
      <c r="C108" s="4"/>
      <c r="E108" s="67"/>
      <c r="F108" s="9"/>
      <c r="G108" s="5"/>
      <c r="I108" s="67"/>
      <c r="J108" s="11"/>
      <c r="K108" s="5"/>
    </row>
    <row r="109" spans="1:11" x14ac:dyDescent="0.25">
      <c r="A109" s="65"/>
      <c r="B109" s="9"/>
      <c r="C109" s="4"/>
      <c r="E109" s="67"/>
      <c r="F109" s="9"/>
      <c r="G109" s="5"/>
      <c r="I109" s="67"/>
      <c r="J109" s="23"/>
      <c r="K109" s="5"/>
    </row>
    <row r="110" spans="1:11" x14ac:dyDescent="0.25">
      <c r="A110" s="65"/>
      <c r="B110" s="9"/>
      <c r="C110" s="4"/>
      <c r="E110" s="67"/>
      <c r="F110" s="9"/>
      <c r="G110" s="5"/>
      <c r="I110" s="67"/>
      <c r="J110" s="11"/>
      <c r="K110" s="5"/>
    </row>
    <row r="111" spans="1:11" x14ac:dyDescent="0.25">
      <c r="A111" s="65"/>
      <c r="B111" s="9"/>
      <c r="C111" s="4"/>
      <c r="E111" s="67"/>
      <c r="F111" s="9"/>
      <c r="G111" s="5"/>
      <c r="I111" s="67"/>
      <c r="J111" s="11"/>
      <c r="K111" s="5"/>
    </row>
    <row r="112" spans="1:11" x14ac:dyDescent="0.25">
      <c r="A112" s="65"/>
      <c r="B112" s="9"/>
      <c r="C112" s="4"/>
      <c r="E112" s="67"/>
      <c r="F112" s="9"/>
      <c r="G112" s="5"/>
      <c r="I112" s="67"/>
      <c r="J112" s="23"/>
      <c r="K112" s="5"/>
    </row>
    <row r="113" spans="1:11" x14ac:dyDescent="0.25">
      <c r="A113" s="65"/>
      <c r="B113" s="9"/>
      <c r="C113" s="4"/>
      <c r="E113" s="67"/>
      <c r="F113" s="9"/>
      <c r="G113" s="5"/>
      <c r="I113" s="67"/>
      <c r="J113" s="11"/>
      <c r="K113" s="5"/>
    </row>
    <row r="114" spans="1:11" x14ac:dyDescent="0.25">
      <c r="A114" s="65"/>
      <c r="B114" s="9"/>
      <c r="C114" s="4"/>
      <c r="E114" s="67"/>
      <c r="F114" s="9"/>
      <c r="G114" s="5"/>
      <c r="I114" s="67"/>
      <c r="J114" s="11"/>
      <c r="K114" s="5"/>
    </row>
    <row r="115" spans="1:11" x14ac:dyDescent="0.25">
      <c r="A115" s="65"/>
      <c r="B115" s="9"/>
      <c r="C115" s="4"/>
      <c r="E115" s="67"/>
      <c r="F115" s="9"/>
      <c r="G115" s="5"/>
      <c r="I115" s="67"/>
      <c r="J115" s="23"/>
      <c r="K115" s="5"/>
    </row>
    <row r="116" spans="1:11" x14ac:dyDescent="0.25">
      <c r="A116" s="65"/>
      <c r="B116" s="9"/>
      <c r="C116" s="4"/>
      <c r="E116" s="67"/>
      <c r="F116" s="9"/>
      <c r="G116" s="5"/>
      <c r="I116" s="67"/>
      <c r="J116" s="11"/>
      <c r="K116" s="5"/>
    </row>
    <row r="117" spans="1:11" x14ac:dyDescent="0.25">
      <c r="A117" s="65"/>
      <c r="B117" s="9"/>
      <c r="C117" s="4"/>
      <c r="E117" s="67"/>
      <c r="F117" s="9"/>
      <c r="G117" s="5"/>
      <c r="I117" s="67"/>
      <c r="J117" s="11"/>
      <c r="K117" s="5"/>
    </row>
    <row r="118" spans="1:11" x14ac:dyDescent="0.25">
      <c r="A118" s="65"/>
      <c r="B118" s="9"/>
      <c r="C118" s="4"/>
      <c r="E118" s="67"/>
      <c r="F118" s="9"/>
      <c r="G118" s="5"/>
      <c r="I118" s="67"/>
      <c r="J118" s="23"/>
      <c r="K118" s="5"/>
    </row>
    <row r="119" spans="1:11" x14ac:dyDescent="0.25">
      <c r="A119" s="65"/>
      <c r="B119" s="9"/>
      <c r="C119" s="4"/>
      <c r="E119" s="67"/>
      <c r="F119" s="9"/>
      <c r="G119" s="5"/>
      <c r="I119" s="67"/>
      <c r="J119" s="11"/>
      <c r="K119" s="5"/>
    </row>
    <row r="120" spans="1:11" x14ac:dyDescent="0.25">
      <c r="A120" s="65"/>
      <c r="B120" s="9"/>
      <c r="C120" s="4"/>
      <c r="E120" s="67"/>
      <c r="F120" s="9"/>
      <c r="G120" s="5"/>
      <c r="I120" s="67"/>
      <c r="J120" s="11"/>
      <c r="K120" s="5"/>
    </row>
    <row r="121" spans="1:11" x14ac:dyDescent="0.25">
      <c r="A121" s="65"/>
      <c r="B121" s="9"/>
      <c r="C121" s="4"/>
      <c r="E121" s="67"/>
      <c r="F121" s="9"/>
      <c r="G121" s="5"/>
      <c r="I121" s="67"/>
      <c r="J121" s="23"/>
      <c r="K121" s="5"/>
    </row>
    <row r="122" spans="1:11" x14ac:dyDescent="0.25">
      <c r="A122" s="65"/>
      <c r="B122" s="9"/>
      <c r="C122" s="4"/>
      <c r="E122" s="67"/>
      <c r="F122" s="9"/>
      <c r="G122" s="5"/>
      <c r="I122" s="67"/>
      <c r="J122" s="11"/>
      <c r="K122" s="5"/>
    </row>
    <row r="123" spans="1:11" x14ac:dyDescent="0.25">
      <c r="A123" s="65"/>
      <c r="B123" s="9"/>
      <c r="C123" s="4"/>
      <c r="E123" s="67"/>
      <c r="F123" s="9"/>
      <c r="G123" s="5"/>
      <c r="I123" s="67"/>
      <c r="J123" s="11"/>
      <c r="K123" s="5"/>
    </row>
    <row r="124" spans="1:11" ht="15.75" thickBot="1" x14ac:dyDescent="0.3">
      <c r="A124" s="66"/>
      <c r="B124" s="10"/>
      <c r="C124" s="6"/>
      <c r="E124" s="68"/>
      <c r="F124" s="10"/>
      <c r="G124" s="7"/>
      <c r="I124" s="68"/>
      <c r="J124" s="8"/>
      <c r="K124" s="7"/>
    </row>
  </sheetData>
  <sheetProtection password="EF1F" sheet="1" objects="1" scenarios="1"/>
  <mergeCells count="9">
    <mergeCell ref="E1:G1"/>
    <mergeCell ref="A4:C4"/>
    <mergeCell ref="E4:G4"/>
    <mergeCell ref="I4:K4"/>
    <mergeCell ref="P23:P24"/>
    <mergeCell ref="P9:P10"/>
    <mergeCell ref="P11:P12"/>
    <mergeCell ref="P13:P14"/>
    <mergeCell ref="Q11:Q14"/>
  </mergeCells>
  <printOptions horizontalCentered="1"/>
  <pageMargins left="0.23622047244094491" right="0.23622047244094491" top="0.15748031496062992" bottom="0.15748031496062992" header="0.11811023622047245" footer="0.19685039370078741"/>
  <pageSetup paperSize="9" fitToWidth="0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InputMessage="1" showErrorMessage="1">
          <x14:formula1>
            <xm:f>Sheet2!$B$2:$B$4</xm:f>
          </x14:formula1>
          <xm:sqref>J6:J43</xm:sqref>
        </x14:dataValidation>
        <x14:dataValidation type="list" allowBlank="1" showInputMessage="1" showErrorMessage="1">
          <x14:formula1>
            <xm:f>Sheet2!$B$2:$B$6</xm:f>
          </x14:formula1>
          <xm:sqref>J44:J124</xm:sqref>
        </x14:dataValidation>
        <x14:dataValidation type="list" allowBlank="1" showInputMessage="1" showErrorMessage="1">
          <x14:formula1>
            <xm:f>Sheet2!$A$2:$A$5</xm:f>
          </x14:formula1>
          <xm:sqref>F6:F124</xm:sqref>
        </x14:dataValidation>
        <x14:dataValidation type="list" allowBlank="1" showInputMessage="1" showErrorMessage="1">
          <x14:formula1>
            <xm:f>Sheet2!$A$2:$A$11</xm:f>
          </x14:formula1>
          <xm:sqref>B6:B124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24"/>
  <sheetViews>
    <sheetView zoomScale="90" zoomScaleNormal="90" workbookViewId="0">
      <selection activeCell="J27" sqref="J27"/>
    </sheetView>
  </sheetViews>
  <sheetFormatPr defaultColWidth="9.140625" defaultRowHeight="15" x14ac:dyDescent="0.25"/>
  <cols>
    <col min="1" max="1" width="13.42578125" style="25" customWidth="1"/>
    <col min="2" max="2" width="24.5703125" style="1" bestFit="1" customWidth="1"/>
    <col min="3" max="3" width="12.7109375" style="2" bestFit="1" customWidth="1"/>
    <col min="4" max="4" width="0.5703125" style="3" customWidth="1"/>
    <col min="5" max="5" width="14.7109375" style="28" customWidth="1"/>
    <col min="6" max="6" width="21.85546875" style="1" customWidth="1"/>
    <col min="7" max="7" width="12.7109375" style="2" bestFit="1" customWidth="1"/>
    <col min="8" max="8" width="0.5703125" style="3" customWidth="1"/>
    <col min="9" max="9" width="15.85546875" style="28" customWidth="1"/>
    <col min="10" max="10" width="22.140625" style="1" customWidth="1"/>
    <col min="11" max="11" width="12.85546875" style="1" customWidth="1"/>
    <col min="12" max="13" width="9.140625" style="1"/>
    <col min="14" max="14" width="23.7109375" style="1" bestFit="1" customWidth="1"/>
    <col min="15" max="15" width="13.42578125" style="1" customWidth="1"/>
    <col min="16" max="16" width="9.85546875" style="1" bestFit="1" customWidth="1"/>
    <col min="17" max="16384" width="9.140625" style="1"/>
  </cols>
  <sheetData>
    <row r="1" spans="1:17" ht="23.65" thickBot="1" x14ac:dyDescent="0.75">
      <c r="E1" s="172" t="s">
        <v>0</v>
      </c>
      <c r="F1" s="173"/>
      <c r="G1" s="174"/>
    </row>
    <row r="2" spans="1:17" ht="15.75" x14ac:dyDescent="0.5">
      <c r="A2" s="31" t="s">
        <v>1</v>
      </c>
      <c r="C2" s="24">
        <v>45839</v>
      </c>
    </row>
    <row r="3" spans="1:17" ht="14.65" thickBot="1" x14ac:dyDescent="0.5"/>
    <row r="4" spans="1:17" ht="18" x14ac:dyDescent="0.55000000000000004">
      <c r="A4" s="175" t="s">
        <v>2</v>
      </c>
      <c r="B4" s="176"/>
      <c r="C4" s="177"/>
      <c r="D4" s="12"/>
      <c r="E4" s="178" t="s">
        <v>3</v>
      </c>
      <c r="F4" s="179"/>
      <c r="G4" s="180"/>
      <c r="H4" s="12"/>
      <c r="I4" s="181" t="s">
        <v>4</v>
      </c>
      <c r="J4" s="182"/>
      <c r="K4" s="183"/>
    </row>
    <row r="5" spans="1:17" ht="21" customHeight="1" x14ac:dyDescent="0.45">
      <c r="A5" s="13" t="s">
        <v>5</v>
      </c>
      <c r="B5" s="14" t="s">
        <v>6</v>
      </c>
      <c r="C5" s="15" t="s">
        <v>7</v>
      </c>
      <c r="D5" s="16"/>
      <c r="E5" s="17" t="s">
        <v>5</v>
      </c>
      <c r="F5" s="18" t="s">
        <v>6</v>
      </c>
      <c r="G5" s="19" t="s">
        <v>7</v>
      </c>
      <c r="H5" s="16"/>
      <c r="I5" s="20" t="s">
        <v>5</v>
      </c>
      <c r="J5" s="21" t="s">
        <v>6</v>
      </c>
      <c r="K5" s="22" t="s">
        <v>7</v>
      </c>
    </row>
    <row r="6" spans="1:17" ht="14.25" x14ac:dyDescent="0.45">
      <c r="A6" s="95">
        <v>45839</v>
      </c>
      <c r="B6" s="96" t="s">
        <v>18</v>
      </c>
      <c r="C6" s="97">
        <v>35.42</v>
      </c>
      <c r="E6" s="67">
        <v>45839</v>
      </c>
      <c r="F6" s="9" t="s">
        <v>13</v>
      </c>
      <c r="G6" s="5">
        <v>51</v>
      </c>
      <c r="I6" s="65">
        <v>45839</v>
      </c>
      <c r="J6" s="11" t="s">
        <v>10</v>
      </c>
      <c r="K6" s="5">
        <v>45.3</v>
      </c>
    </row>
    <row r="7" spans="1:17" ht="14.25" x14ac:dyDescent="0.45">
      <c r="A7" s="95">
        <v>45839</v>
      </c>
      <c r="B7" s="96" t="s">
        <v>19</v>
      </c>
      <c r="C7" s="97">
        <v>660.91</v>
      </c>
      <c r="E7" s="67">
        <v>45839</v>
      </c>
      <c r="F7" s="9" t="s">
        <v>8</v>
      </c>
      <c r="G7" s="5">
        <v>17.5</v>
      </c>
      <c r="I7" s="65">
        <v>45839</v>
      </c>
      <c r="J7" s="11" t="s">
        <v>11</v>
      </c>
      <c r="K7" s="5">
        <v>8</v>
      </c>
    </row>
    <row r="8" spans="1:17" ht="14.25" x14ac:dyDescent="0.45">
      <c r="A8" s="95">
        <v>45839</v>
      </c>
      <c r="B8" s="96" t="s">
        <v>67</v>
      </c>
      <c r="C8" s="97">
        <v>37.5</v>
      </c>
      <c r="E8" s="67">
        <v>45839</v>
      </c>
      <c r="F8" s="9" t="s">
        <v>9</v>
      </c>
      <c r="G8" s="5">
        <v>38.369999999999997</v>
      </c>
      <c r="I8" s="65">
        <v>45840</v>
      </c>
      <c r="J8" s="11" t="s">
        <v>10</v>
      </c>
      <c r="K8" s="5">
        <v>27</v>
      </c>
      <c r="N8" s="43" t="s">
        <v>72</v>
      </c>
      <c r="O8" s="45" t="s">
        <v>17</v>
      </c>
      <c r="P8" s="45" t="s">
        <v>70</v>
      </c>
    </row>
    <row r="9" spans="1:17" x14ac:dyDescent="0.25">
      <c r="A9" s="95">
        <v>45839</v>
      </c>
      <c r="B9" s="96" t="s">
        <v>68</v>
      </c>
      <c r="C9" s="97">
        <v>10.5</v>
      </c>
      <c r="E9" s="67">
        <v>45840</v>
      </c>
      <c r="F9" s="9" t="s">
        <v>8</v>
      </c>
      <c r="G9" s="5">
        <v>11.4</v>
      </c>
      <c r="I9" s="67">
        <v>45840</v>
      </c>
      <c r="J9" s="11" t="s">
        <v>11</v>
      </c>
      <c r="K9" s="5">
        <v>2</v>
      </c>
      <c r="N9" s="91" t="s">
        <v>18</v>
      </c>
      <c r="O9" s="82">
        <f>SUMIF(B6:B124,"OS - Ginger",C6:C124)</f>
        <v>35.42</v>
      </c>
      <c r="P9" s="192">
        <f>SUM(O9:O10)</f>
        <v>339.42</v>
      </c>
    </row>
    <row r="10" spans="1:17" x14ac:dyDescent="0.25">
      <c r="A10" s="95">
        <v>45839</v>
      </c>
      <c r="B10" s="96" t="s">
        <v>69</v>
      </c>
      <c r="C10" s="97"/>
      <c r="E10" s="67">
        <v>45840</v>
      </c>
      <c r="F10" s="9" t="s">
        <v>13</v>
      </c>
      <c r="G10" s="5">
        <v>8</v>
      </c>
      <c r="I10" s="67">
        <v>45841</v>
      </c>
      <c r="J10" s="11" t="s">
        <v>11</v>
      </c>
      <c r="K10" s="5">
        <v>11</v>
      </c>
      <c r="N10" s="92" t="s">
        <v>8</v>
      </c>
      <c r="O10" s="76">
        <f>SUMIF(B6:B124,"Ginger",C6:C124)</f>
        <v>304</v>
      </c>
      <c r="P10" s="193"/>
    </row>
    <row r="11" spans="1:17" x14ac:dyDescent="0.25">
      <c r="A11" s="95">
        <v>45839</v>
      </c>
      <c r="B11" s="96" t="s">
        <v>71</v>
      </c>
      <c r="C11" s="97">
        <v>55.5</v>
      </c>
      <c r="E11" s="67">
        <v>45842</v>
      </c>
      <c r="F11" s="9" t="s">
        <v>8</v>
      </c>
      <c r="G11" s="5">
        <v>17.5</v>
      </c>
      <c r="I11" s="65">
        <v>45842</v>
      </c>
      <c r="J11" s="11" t="s">
        <v>10</v>
      </c>
      <c r="K11" s="5">
        <v>49.5</v>
      </c>
      <c r="N11" s="56" t="s">
        <v>19</v>
      </c>
      <c r="O11" s="57">
        <f>SUMIF(B6:B124,"OS - Garlic",C6:C124)</f>
        <v>660.91</v>
      </c>
      <c r="P11" s="194">
        <f>SUM(O11:O12)</f>
        <v>754.91</v>
      </c>
      <c r="Q11" s="199">
        <f>SUM(P11:P14)</f>
        <v>810.41</v>
      </c>
    </row>
    <row r="12" spans="1:17" x14ac:dyDescent="0.25">
      <c r="A12" s="95">
        <v>45839</v>
      </c>
      <c r="B12" s="96" t="s">
        <v>13</v>
      </c>
      <c r="C12" s="97"/>
      <c r="E12" s="67">
        <v>45842</v>
      </c>
      <c r="F12" s="9" t="s">
        <v>9</v>
      </c>
      <c r="G12" s="5">
        <v>95.43</v>
      </c>
      <c r="I12" s="65">
        <v>45843</v>
      </c>
      <c r="J12" s="11" t="s">
        <v>11</v>
      </c>
      <c r="K12" s="5">
        <v>11</v>
      </c>
      <c r="N12" s="88" t="s">
        <v>9</v>
      </c>
      <c r="O12" s="78">
        <f>SUMIF(B6:B124,"Garlic",C6:C124)</f>
        <v>94</v>
      </c>
      <c r="P12" s="195"/>
      <c r="Q12" s="199"/>
    </row>
    <row r="13" spans="1:17" x14ac:dyDescent="0.25">
      <c r="A13" s="65">
        <v>45840</v>
      </c>
      <c r="B13" s="9" t="s">
        <v>8</v>
      </c>
      <c r="C13" s="4">
        <v>54</v>
      </c>
      <c r="E13" s="104">
        <v>45843</v>
      </c>
      <c r="F13" s="9" t="s">
        <v>8</v>
      </c>
      <c r="G13" s="113">
        <v>14</v>
      </c>
      <c r="I13" s="67">
        <v>45843</v>
      </c>
      <c r="J13" s="11" t="s">
        <v>10</v>
      </c>
      <c r="K13" s="5">
        <v>35</v>
      </c>
      <c r="N13" s="93" t="s">
        <v>71</v>
      </c>
      <c r="O13" s="62">
        <f>SUMIF(B6:B124,"OS - Broken Garlic",C6:C124)</f>
        <v>55.5</v>
      </c>
      <c r="P13" s="196">
        <f>SUM(O13:O14)</f>
        <v>55.5</v>
      </c>
      <c r="Q13" s="199"/>
    </row>
    <row r="14" spans="1:17" x14ac:dyDescent="0.25">
      <c r="A14" s="65">
        <v>45846</v>
      </c>
      <c r="B14" s="9" t="s">
        <v>9</v>
      </c>
      <c r="C14" s="4">
        <v>20</v>
      </c>
      <c r="E14" s="104">
        <v>45845</v>
      </c>
      <c r="F14" s="9" t="s">
        <v>8</v>
      </c>
      <c r="G14" s="113">
        <v>0.6</v>
      </c>
      <c r="I14" s="67">
        <v>45845</v>
      </c>
      <c r="J14" s="11" t="s">
        <v>11</v>
      </c>
      <c r="K14" s="5">
        <v>9</v>
      </c>
      <c r="N14" s="94" t="s">
        <v>13</v>
      </c>
      <c r="O14" s="73">
        <f>SUMIF(B6:B124,"Broken Garlic",C6:C124)</f>
        <v>0</v>
      </c>
      <c r="P14" s="197"/>
      <c r="Q14" s="199"/>
    </row>
    <row r="15" spans="1:17" ht="14.25" x14ac:dyDescent="0.45">
      <c r="A15" s="65">
        <v>45849</v>
      </c>
      <c r="B15" s="9" t="s">
        <v>9</v>
      </c>
      <c r="C15" s="4">
        <v>44</v>
      </c>
      <c r="E15" s="67">
        <v>45846</v>
      </c>
      <c r="F15" s="9" t="s">
        <v>8</v>
      </c>
      <c r="G15" s="5">
        <v>14.8</v>
      </c>
      <c r="I15" s="67">
        <v>45845</v>
      </c>
      <c r="J15" s="11" t="s">
        <v>12</v>
      </c>
      <c r="K15" s="5">
        <v>0.5</v>
      </c>
      <c r="N15" s="89" t="s">
        <v>68</v>
      </c>
      <c r="O15" s="90">
        <f>SUMIF(B6:B124,"OS - Garlic Peeled",C6:C124)</f>
        <v>10.5</v>
      </c>
      <c r="P15" s="90"/>
    </row>
    <row r="16" spans="1:17" ht="14.25" x14ac:dyDescent="0.45">
      <c r="A16" s="65">
        <v>45849</v>
      </c>
      <c r="B16" s="9" t="s">
        <v>8</v>
      </c>
      <c r="C16" s="4">
        <v>100</v>
      </c>
      <c r="E16" s="67">
        <v>45846</v>
      </c>
      <c r="F16" s="9" t="s">
        <v>9</v>
      </c>
      <c r="G16" s="5">
        <v>20</v>
      </c>
      <c r="I16" s="67">
        <v>45846</v>
      </c>
      <c r="J16" s="11" t="s">
        <v>11</v>
      </c>
      <c r="K16" s="5">
        <v>7</v>
      </c>
      <c r="N16" s="89" t="s">
        <v>69</v>
      </c>
      <c r="O16" s="90">
        <f>SUMIF(B6:B124,"OS - Ginger Peeled",C6:C124)</f>
        <v>0</v>
      </c>
      <c r="P16" s="90"/>
    </row>
    <row r="17" spans="1:16" x14ac:dyDescent="0.25">
      <c r="A17" s="65">
        <v>45850</v>
      </c>
      <c r="B17" s="9" t="s">
        <v>9</v>
      </c>
      <c r="C17" s="4">
        <v>10</v>
      </c>
      <c r="E17" s="103">
        <v>45848</v>
      </c>
      <c r="F17" s="9" t="s">
        <v>9</v>
      </c>
      <c r="G17" s="107">
        <v>48.35</v>
      </c>
      <c r="I17" s="67">
        <v>45846</v>
      </c>
      <c r="J17" s="11" t="s">
        <v>10</v>
      </c>
      <c r="K17" s="5">
        <v>33.299999999999997</v>
      </c>
      <c r="N17" s="89" t="s">
        <v>67</v>
      </c>
      <c r="O17" s="90">
        <f>SUMIF(B6:B124,"OS - Ginger Garlic Paste",C6:C124)</f>
        <v>37.5</v>
      </c>
      <c r="P17" s="90"/>
    </row>
    <row r="18" spans="1:16" x14ac:dyDescent="0.25">
      <c r="A18" s="65">
        <v>45850</v>
      </c>
      <c r="B18" s="9" t="s">
        <v>8</v>
      </c>
      <c r="C18" s="4">
        <v>50</v>
      </c>
      <c r="E18" s="67">
        <v>45848</v>
      </c>
      <c r="F18" s="9" t="s">
        <v>9</v>
      </c>
      <c r="G18" s="5">
        <v>47.5</v>
      </c>
      <c r="I18" s="67">
        <v>45848</v>
      </c>
      <c r="J18" s="11" t="s">
        <v>11</v>
      </c>
      <c r="K18" s="5">
        <v>7</v>
      </c>
    </row>
    <row r="19" spans="1:16" x14ac:dyDescent="0.25">
      <c r="A19" s="65">
        <v>45852</v>
      </c>
      <c r="B19" s="9" t="s">
        <v>8</v>
      </c>
      <c r="C19" s="4">
        <v>50</v>
      </c>
      <c r="E19" s="67">
        <v>45849</v>
      </c>
      <c r="F19" s="9" t="s">
        <v>9</v>
      </c>
      <c r="G19" s="5">
        <v>44</v>
      </c>
      <c r="I19" s="67">
        <v>45849</v>
      </c>
      <c r="J19" s="11" t="s">
        <v>11</v>
      </c>
      <c r="K19" s="5">
        <v>32</v>
      </c>
      <c r="N19" s="52" t="s">
        <v>3</v>
      </c>
      <c r="O19" s="53" t="s">
        <v>17</v>
      </c>
      <c r="P19" s="53" t="s">
        <v>17</v>
      </c>
    </row>
    <row r="20" spans="1:16" x14ac:dyDescent="0.25">
      <c r="A20" s="65">
        <v>45853</v>
      </c>
      <c r="B20" s="9" t="s">
        <v>9</v>
      </c>
      <c r="C20" s="4">
        <v>10</v>
      </c>
      <c r="E20" s="67">
        <v>45849</v>
      </c>
      <c r="F20" s="9" t="s">
        <v>8</v>
      </c>
      <c r="G20" s="5">
        <v>50</v>
      </c>
      <c r="I20" s="67">
        <v>45849</v>
      </c>
      <c r="J20" s="11" t="s">
        <v>10</v>
      </c>
      <c r="K20" s="5">
        <v>86</v>
      </c>
      <c r="N20" s="44" t="s">
        <v>8</v>
      </c>
      <c r="O20" s="62">
        <f>SUMIF(F6:F124,"Ginger",G6:G124)</f>
        <v>324.65000000000003</v>
      </c>
      <c r="P20" s="100">
        <f>O20</f>
        <v>324.65000000000003</v>
      </c>
    </row>
    <row r="21" spans="1:16" x14ac:dyDescent="0.25">
      <c r="A21" s="65">
        <v>45857</v>
      </c>
      <c r="B21" s="9" t="s">
        <v>9</v>
      </c>
      <c r="C21" s="4">
        <v>10</v>
      </c>
      <c r="E21" s="104">
        <v>45850</v>
      </c>
      <c r="F21" s="101" t="s">
        <v>8</v>
      </c>
      <c r="G21" s="105">
        <v>50</v>
      </c>
      <c r="I21" s="67">
        <v>45850</v>
      </c>
      <c r="J21" s="11" t="s">
        <v>10</v>
      </c>
      <c r="K21" s="5">
        <v>35</v>
      </c>
      <c r="N21" s="44" t="s">
        <v>9</v>
      </c>
      <c r="O21" s="63">
        <f>SUMIF(F6:F126,"Garlic",G6:G126)</f>
        <v>540.98</v>
      </c>
      <c r="P21" s="191">
        <f>SUM(O21:O22)</f>
        <v>599.98</v>
      </c>
    </row>
    <row r="22" spans="1:16" x14ac:dyDescent="0.25">
      <c r="A22" s="65">
        <v>45857</v>
      </c>
      <c r="B22" s="9" t="s">
        <v>8</v>
      </c>
      <c r="C22" s="4">
        <v>50</v>
      </c>
      <c r="E22" s="67">
        <v>45850</v>
      </c>
      <c r="F22" s="9" t="s">
        <v>9</v>
      </c>
      <c r="G22" s="5">
        <v>10</v>
      </c>
      <c r="I22" s="67">
        <v>45850</v>
      </c>
      <c r="J22" s="11" t="s">
        <v>10</v>
      </c>
      <c r="K22" s="5">
        <v>65</v>
      </c>
      <c r="N22" s="44" t="s">
        <v>13</v>
      </c>
      <c r="O22" s="63">
        <f>SUMIF(F6:F126,"Broken Garlic",G6:G126)</f>
        <v>59</v>
      </c>
      <c r="P22" s="191"/>
    </row>
    <row r="23" spans="1:16" x14ac:dyDescent="0.25">
      <c r="A23" s="65"/>
      <c r="B23" s="9"/>
      <c r="C23" s="4"/>
      <c r="E23" s="67">
        <v>45850</v>
      </c>
      <c r="F23" s="9" t="s">
        <v>9</v>
      </c>
      <c r="G23" s="5">
        <v>47.47</v>
      </c>
      <c r="I23" s="67">
        <v>45850</v>
      </c>
      <c r="J23" s="11" t="s">
        <v>11</v>
      </c>
      <c r="K23" s="5">
        <v>9</v>
      </c>
    </row>
    <row r="24" spans="1:16" x14ac:dyDescent="0.25">
      <c r="A24" s="65"/>
      <c r="B24" s="9"/>
      <c r="C24" s="4"/>
      <c r="E24" s="67">
        <v>45850</v>
      </c>
      <c r="F24" s="9" t="s">
        <v>9</v>
      </c>
      <c r="G24" s="5">
        <v>47.3</v>
      </c>
      <c r="I24" s="104">
        <v>45850</v>
      </c>
      <c r="J24" s="106" t="s">
        <v>10</v>
      </c>
      <c r="K24" s="105">
        <v>46.5</v>
      </c>
    </row>
    <row r="25" spans="1:16" x14ac:dyDescent="0.25">
      <c r="A25" s="65"/>
      <c r="B25" s="9"/>
      <c r="C25" s="4"/>
      <c r="E25" s="67">
        <v>45850</v>
      </c>
      <c r="F25" s="9" t="s">
        <v>9</v>
      </c>
      <c r="G25" s="5">
        <v>47.9</v>
      </c>
      <c r="I25" s="67">
        <v>45851</v>
      </c>
      <c r="J25" s="11" t="s">
        <v>10</v>
      </c>
      <c r="K25" s="5">
        <v>56.5</v>
      </c>
      <c r="N25" s="54" t="s">
        <v>4</v>
      </c>
      <c r="O25" s="55" t="s">
        <v>17</v>
      </c>
    </row>
    <row r="26" spans="1:16" x14ac:dyDescent="0.25">
      <c r="A26" s="65"/>
      <c r="B26" s="9"/>
      <c r="C26" s="4"/>
      <c r="E26" s="67">
        <v>45850</v>
      </c>
      <c r="F26" s="9" t="s">
        <v>8</v>
      </c>
      <c r="G26" s="5">
        <v>19</v>
      </c>
      <c r="I26" s="67">
        <v>45851</v>
      </c>
      <c r="J26" s="11" t="s">
        <v>11</v>
      </c>
      <c r="K26" s="5">
        <v>5</v>
      </c>
      <c r="N26" s="44" t="s">
        <v>12</v>
      </c>
      <c r="O26" s="86">
        <f>SUMIF(J6:J124,"Ginger Peeled",K6:K124)</f>
        <v>0.5</v>
      </c>
    </row>
    <row r="27" spans="1:16" x14ac:dyDescent="0.25">
      <c r="A27" s="65"/>
      <c r="B27" s="9"/>
      <c r="C27" s="4"/>
      <c r="E27" s="67">
        <v>45851</v>
      </c>
      <c r="F27" s="9" t="s">
        <v>8</v>
      </c>
      <c r="G27" s="5">
        <v>25.7</v>
      </c>
      <c r="I27" s="67">
        <v>45852</v>
      </c>
      <c r="J27" s="11" t="s">
        <v>11</v>
      </c>
      <c r="K27" s="5">
        <v>5</v>
      </c>
      <c r="N27" s="44" t="s">
        <v>11</v>
      </c>
      <c r="O27" s="86">
        <f>SUMIF(J6:J124,"Garlic Peeled",K6:K124)</f>
        <v>134</v>
      </c>
    </row>
    <row r="28" spans="1:16" x14ac:dyDescent="0.25">
      <c r="A28" s="65"/>
      <c r="B28" s="9"/>
      <c r="C28" s="4"/>
      <c r="E28" s="67">
        <v>45852</v>
      </c>
      <c r="F28" s="9" t="s">
        <v>8</v>
      </c>
      <c r="G28" s="5">
        <v>16.5</v>
      </c>
      <c r="I28" s="67">
        <v>45852</v>
      </c>
      <c r="J28" s="11" t="s">
        <v>10</v>
      </c>
      <c r="K28" s="5">
        <v>59.5</v>
      </c>
      <c r="N28" s="44" t="s">
        <v>10</v>
      </c>
      <c r="O28" s="86">
        <f>SUMIF(J6:J124,"Ginger Garlic Paste",K6:K124)</f>
        <v>721.80000000000007</v>
      </c>
    </row>
    <row r="29" spans="1:16" x14ac:dyDescent="0.25">
      <c r="A29" s="65"/>
      <c r="B29" s="9"/>
      <c r="C29" s="4"/>
      <c r="E29" s="67">
        <v>45852</v>
      </c>
      <c r="F29" s="9" t="s">
        <v>9</v>
      </c>
      <c r="G29" s="5">
        <v>47.23</v>
      </c>
      <c r="I29" s="67">
        <v>45853</v>
      </c>
      <c r="J29" s="11" t="s">
        <v>11</v>
      </c>
      <c r="K29" s="5">
        <v>12</v>
      </c>
    </row>
    <row r="30" spans="1:16" x14ac:dyDescent="0.25">
      <c r="A30" s="65"/>
      <c r="B30" s="9"/>
      <c r="C30" s="4"/>
      <c r="E30" s="67">
        <v>45853</v>
      </c>
      <c r="F30" s="9" t="s">
        <v>9</v>
      </c>
      <c r="G30" s="5">
        <v>47.43</v>
      </c>
      <c r="I30" s="67">
        <v>45855</v>
      </c>
      <c r="J30" s="11" t="s">
        <v>10</v>
      </c>
      <c r="K30" s="5">
        <v>49</v>
      </c>
    </row>
    <row r="31" spans="1:16" x14ac:dyDescent="0.25">
      <c r="A31" s="65"/>
      <c r="B31" s="9"/>
      <c r="C31" s="4"/>
      <c r="E31" s="67">
        <v>45855</v>
      </c>
      <c r="F31" s="9" t="s">
        <v>8</v>
      </c>
      <c r="G31" s="5">
        <v>29.85</v>
      </c>
      <c r="I31" s="67">
        <v>45855</v>
      </c>
      <c r="J31" s="11" t="s">
        <v>10</v>
      </c>
      <c r="K31" s="5">
        <v>12</v>
      </c>
      <c r="N31" s="53" t="s">
        <v>14</v>
      </c>
      <c r="O31" s="53" t="s">
        <v>17</v>
      </c>
      <c r="P31" s="2"/>
    </row>
    <row r="32" spans="1:16" x14ac:dyDescent="0.25">
      <c r="A32" s="65"/>
      <c r="B32" s="9"/>
      <c r="C32" s="4"/>
      <c r="E32" s="67">
        <v>45857</v>
      </c>
      <c r="F32" s="9" t="s">
        <v>8</v>
      </c>
      <c r="G32" s="5">
        <v>57.8</v>
      </c>
      <c r="I32" s="67">
        <v>45855</v>
      </c>
      <c r="J32" s="11" t="s">
        <v>11</v>
      </c>
      <c r="K32" s="5">
        <v>7</v>
      </c>
      <c r="N32" s="102" t="s">
        <v>73</v>
      </c>
      <c r="O32" s="87">
        <f>P9-P20</f>
        <v>14.769999999999982</v>
      </c>
      <c r="P32" s="2"/>
    </row>
    <row r="33" spans="1:16" x14ac:dyDescent="0.25">
      <c r="A33" s="65"/>
      <c r="B33" s="9"/>
      <c r="C33" s="4"/>
      <c r="E33" s="67"/>
      <c r="F33" s="9"/>
      <c r="G33" s="5"/>
      <c r="I33" s="67">
        <v>45857</v>
      </c>
      <c r="J33" s="11" t="s">
        <v>10</v>
      </c>
      <c r="K33" s="5">
        <v>122.2</v>
      </c>
      <c r="N33" s="102" t="s">
        <v>9</v>
      </c>
      <c r="O33" s="87">
        <f>Q11-P21</f>
        <v>210.42999999999995</v>
      </c>
      <c r="P33" s="2"/>
    </row>
    <row r="34" spans="1:16" x14ac:dyDescent="0.25">
      <c r="A34" s="65"/>
      <c r="B34" s="9"/>
      <c r="C34" s="4"/>
      <c r="E34" s="67"/>
      <c r="F34" s="9"/>
      <c r="G34" s="5"/>
      <c r="I34" s="67">
        <v>45857</v>
      </c>
      <c r="J34" s="11" t="s">
        <v>11</v>
      </c>
      <c r="K34" s="5">
        <v>9</v>
      </c>
      <c r="P34" s="2"/>
    </row>
    <row r="35" spans="1:16" x14ac:dyDescent="0.25">
      <c r="A35" s="65"/>
      <c r="B35" s="9"/>
      <c r="C35" s="4"/>
      <c r="E35" s="67"/>
      <c r="F35" s="9"/>
      <c r="G35" s="5"/>
      <c r="I35" s="67"/>
      <c r="J35" s="11"/>
      <c r="K35" s="5"/>
    </row>
    <row r="36" spans="1:16" x14ac:dyDescent="0.25">
      <c r="A36" s="65"/>
      <c r="B36" s="9"/>
      <c r="C36" s="4"/>
      <c r="E36" s="67"/>
      <c r="F36" s="9"/>
      <c r="G36" s="5"/>
      <c r="I36" s="67"/>
      <c r="J36" s="11"/>
      <c r="K36" s="5"/>
    </row>
    <row r="37" spans="1:16" x14ac:dyDescent="0.25">
      <c r="A37" s="65"/>
      <c r="B37" s="9"/>
      <c r="C37" s="4"/>
      <c r="E37" s="67"/>
      <c r="F37" s="9"/>
      <c r="G37" s="5"/>
      <c r="I37" s="67"/>
      <c r="J37" s="23"/>
      <c r="K37" s="5"/>
    </row>
    <row r="38" spans="1:16" x14ac:dyDescent="0.25">
      <c r="A38" s="65"/>
      <c r="B38" s="9"/>
      <c r="C38" s="4"/>
      <c r="E38" s="67"/>
      <c r="F38" s="9"/>
      <c r="G38" s="5"/>
      <c r="I38" s="67"/>
      <c r="J38" s="11"/>
      <c r="K38" s="5"/>
    </row>
    <row r="39" spans="1:16" x14ac:dyDescent="0.25">
      <c r="A39" s="65"/>
      <c r="B39" s="9"/>
      <c r="C39" s="4"/>
      <c r="E39" s="67"/>
      <c r="F39" s="9"/>
      <c r="G39" s="5"/>
      <c r="I39" s="67"/>
      <c r="J39" s="11"/>
      <c r="K39" s="5"/>
    </row>
    <row r="40" spans="1:16" x14ac:dyDescent="0.25">
      <c r="A40" s="65"/>
      <c r="B40" s="9"/>
      <c r="C40" s="4"/>
      <c r="E40" s="67"/>
      <c r="F40" s="9"/>
      <c r="G40" s="5"/>
      <c r="I40" s="67"/>
      <c r="J40" s="23"/>
      <c r="K40" s="5"/>
    </row>
    <row r="41" spans="1:16" x14ac:dyDescent="0.25">
      <c r="A41" s="65"/>
      <c r="B41" s="9"/>
      <c r="C41" s="4"/>
      <c r="E41" s="67"/>
      <c r="F41" s="9"/>
      <c r="G41" s="5"/>
      <c r="I41" s="67"/>
      <c r="J41" s="11"/>
      <c r="K41" s="5"/>
    </row>
    <row r="42" spans="1:16" x14ac:dyDescent="0.25">
      <c r="A42" s="65"/>
      <c r="B42" s="9"/>
      <c r="C42" s="4"/>
      <c r="E42" s="67"/>
      <c r="F42" s="9"/>
      <c r="G42" s="5"/>
      <c r="I42" s="67"/>
      <c r="J42" s="11"/>
      <c r="K42" s="5"/>
    </row>
    <row r="43" spans="1:16" x14ac:dyDescent="0.25">
      <c r="A43" s="65"/>
      <c r="B43" s="9"/>
      <c r="C43" s="4"/>
      <c r="E43" s="67"/>
      <c r="F43" s="9"/>
      <c r="G43" s="5"/>
      <c r="I43" s="67"/>
      <c r="J43" s="23"/>
      <c r="K43" s="5"/>
    </row>
    <row r="44" spans="1:16" x14ac:dyDescent="0.25">
      <c r="A44" s="65"/>
      <c r="B44" s="9"/>
      <c r="C44" s="4"/>
      <c r="E44" s="67"/>
      <c r="F44" s="9"/>
      <c r="G44" s="5"/>
      <c r="I44" s="67"/>
      <c r="J44" s="11"/>
      <c r="K44" s="5"/>
    </row>
    <row r="45" spans="1:16" x14ac:dyDescent="0.25">
      <c r="A45" s="65"/>
      <c r="B45" s="9"/>
      <c r="C45" s="4"/>
      <c r="E45" s="67"/>
      <c r="F45" s="9"/>
      <c r="G45" s="5"/>
      <c r="I45" s="67"/>
      <c r="J45" s="11"/>
      <c r="K45" s="5"/>
    </row>
    <row r="46" spans="1:16" x14ac:dyDescent="0.25">
      <c r="A46" s="65"/>
      <c r="B46" s="9"/>
      <c r="C46" s="4"/>
      <c r="E46" s="67"/>
      <c r="F46" s="9"/>
      <c r="G46" s="5"/>
      <c r="I46" s="67"/>
      <c r="J46" s="23"/>
      <c r="K46" s="5"/>
    </row>
    <row r="47" spans="1:16" x14ac:dyDescent="0.25">
      <c r="A47" s="65"/>
      <c r="B47" s="9"/>
      <c r="C47" s="4"/>
      <c r="E47" s="67"/>
      <c r="F47" s="9"/>
      <c r="G47" s="5"/>
      <c r="I47" s="67"/>
      <c r="J47" s="11"/>
      <c r="K47" s="5"/>
    </row>
    <row r="48" spans="1:16" x14ac:dyDescent="0.25">
      <c r="A48" s="65"/>
      <c r="B48" s="9"/>
      <c r="C48" s="4"/>
      <c r="E48" s="67"/>
      <c r="F48" s="9"/>
      <c r="G48" s="5"/>
      <c r="I48" s="67"/>
      <c r="J48" s="11"/>
      <c r="K48" s="5"/>
    </row>
    <row r="49" spans="1:11" x14ac:dyDescent="0.25">
      <c r="A49" s="65"/>
      <c r="B49" s="9"/>
      <c r="C49" s="4"/>
      <c r="E49" s="67"/>
      <c r="F49" s="9"/>
      <c r="G49" s="5"/>
      <c r="I49" s="67"/>
      <c r="J49" s="23"/>
      <c r="K49" s="5"/>
    </row>
    <row r="50" spans="1:11" x14ac:dyDescent="0.25">
      <c r="A50" s="65"/>
      <c r="B50" s="9"/>
      <c r="C50" s="4"/>
      <c r="E50" s="67"/>
      <c r="F50" s="9"/>
      <c r="G50" s="5"/>
      <c r="I50" s="67"/>
      <c r="J50" s="11"/>
      <c r="K50" s="5"/>
    </row>
    <row r="51" spans="1:11" x14ac:dyDescent="0.25">
      <c r="A51" s="65"/>
      <c r="B51" s="9"/>
      <c r="C51" s="4"/>
      <c r="E51" s="67"/>
      <c r="F51" s="9"/>
      <c r="G51" s="5"/>
      <c r="I51" s="67"/>
      <c r="J51" s="11"/>
      <c r="K51" s="5"/>
    </row>
    <row r="52" spans="1:11" x14ac:dyDescent="0.25">
      <c r="A52" s="65"/>
      <c r="B52" s="9"/>
      <c r="C52" s="4"/>
      <c r="E52" s="67"/>
      <c r="F52" s="9"/>
      <c r="G52" s="5"/>
      <c r="I52" s="67"/>
      <c r="J52" s="23"/>
      <c r="K52" s="5"/>
    </row>
    <row r="53" spans="1:11" x14ac:dyDescent="0.25">
      <c r="A53" s="65"/>
      <c r="B53" s="9"/>
      <c r="C53" s="4"/>
      <c r="E53" s="67"/>
      <c r="F53" s="9"/>
      <c r="G53" s="5"/>
      <c r="I53" s="67"/>
      <c r="J53" s="11"/>
      <c r="K53" s="5"/>
    </row>
    <row r="54" spans="1:11" x14ac:dyDescent="0.25">
      <c r="A54" s="65"/>
      <c r="B54" s="9"/>
      <c r="C54" s="4"/>
      <c r="E54" s="67"/>
      <c r="F54" s="9"/>
      <c r="G54" s="5"/>
      <c r="I54" s="67"/>
      <c r="J54" s="11"/>
      <c r="K54" s="5"/>
    </row>
    <row r="55" spans="1:11" x14ac:dyDescent="0.25">
      <c r="A55" s="65"/>
      <c r="B55" s="9"/>
      <c r="C55" s="4"/>
      <c r="E55" s="67"/>
      <c r="F55" s="9"/>
      <c r="G55" s="5"/>
      <c r="I55" s="67"/>
      <c r="J55" s="23"/>
      <c r="K55" s="5"/>
    </row>
    <row r="56" spans="1:11" x14ac:dyDescent="0.25">
      <c r="A56" s="65"/>
      <c r="B56" s="9"/>
      <c r="C56" s="4"/>
      <c r="E56" s="67"/>
      <c r="F56" s="9"/>
      <c r="G56" s="5"/>
      <c r="I56" s="67"/>
      <c r="J56" s="11"/>
      <c r="K56" s="5"/>
    </row>
    <row r="57" spans="1:11" x14ac:dyDescent="0.25">
      <c r="A57" s="65"/>
      <c r="B57" s="9"/>
      <c r="C57" s="4"/>
      <c r="E57" s="67"/>
      <c r="F57" s="9"/>
      <c r="G57" s="5"/>
      <c r="I57" s="67"/>
      <c r="J57" s="11"/>
      <c r="K57" s="5"/>
    </row>
    <row r="58" spans="1:11" x14ac:dyDescent="0.25">
      <c r="A58" s="65"/>
      <c r="B58" s="9"/>
      <c r="C58" s="4"/>
      <c r="E58" s="67"/>
      <c r="F58" s="9"/>
      <c r="G58" s="5"/>
      <c r="I58" s="67"/>
      <c r="J58" s="23"/>
      <c r="K58" s="5"/>
    </row>
    <row r="59" spans="1:11" x14ac:dyDescent="0.25">
      <c r="A59" s="65"/>
      <c r="B59" s="9"/>
      <c r="C59" s="4"/>
      <c r="E59" s="67"/>
      <c r="F59" s="9"/>
      <c r="G59" s="5"/>
      <c r="I59" s="67"/>
      <c r="J59" s="11"/>
      <c r="K59" s="5"/>
    </row>
    <row r="60" spans="1:11" x14ac:dyDescent="0.25">
      <c r="A60" s="65"/>
      <c r="B60" s="9"/>
      <c r="C60" s="4"/>
      <c r="E60" s="67"/>
      <c r="F60" s="9"/>
      <c r="G60" s="5"/>
      <c r="I60" s="67"/>
      <c r="J60" s="11"/>
      <c r="K60" s="5"/>
    </row>
    <row r="61" spans="1:11" x14ac:dyDescent="0.25">
      <c r="A61" s="65"/>
      <c r="B61" s="9"/>
      <c r="C61" s="4"/>
      <c r="E61" s="67"/>
      <c r="F61" s="9"/>
      <c r="G61" s="5"/>
      <c r="I61" s="67"/>
      <c r="J61" s="23"/>
      <c r="K61" s="5"/>
    </row>
    <row r="62" spans="1:11" x14ac:dyDescent="0.25">
      <c r="A62" s="65"/>
      <c r="B62" s="9"/>
      <c r="C62" s="4"/>
      <c r="E62" s="67"/>
      <c r="F62" s="9"/>
      <c r="G62" s="5"/>
      <c r="I62" s="67"/>
      <c r="J62" s="11"/>
      <c r="K62" s="5"/>
    </row>
    <row r="63" spans="1:11" x14ac:dyDescent="0.25">
      <c r="A63" s="65"/>
      <c r="B63" s="9"/>
      <c r="C63" s="4"/>
      <c r="E63" s="67"/>
      <c r="F63" s="9"/>
      <c r="G63" s="5"/>
      <c r="I63" s="67"/>
      <c r="J63" s="11"/>
      <c r="K63" s="5"/>
    </row>
    <row r="64" spans="1:11" x14ac:dyDescent="0.25">
      <c r="A64" s="65"/>
      <c r="B64" s="9"/>
      <c r="C64" s="4"/>
      <c r="E64" s="67"/>
      <c r="F64" s="9"/>
      <c r="G64" s="5"/>
      <c r="I64" s="67"/>
      <c r="J64" s="23"/>
      <c r="K64" s="5"/>
    </row>
    <row r="65" spans="1:11" x14ac:dyDescent="0.25">
      <c r="A65" s="65"/>
      <c r="B65" s="9"/>
      <c r="C65" s="4"/>
      <c r="E65" s="67"/>
      <c r="F65" s="9"/>
      <c r="G65" s="5"/>
      <c r="I65" s="67"/>
      <c r="J65" s="11"/>
      <c r="K65" s="5"/>
    </row>
    <row r="66" spans="1:11" x14ac:dyDescent="0.25">
      <c r="A66" s="65"/>
      <c r="B66" s="9"/>
      <c r="C66" s="4"/>
      <c r="E66" s="67"/>
      <c r="F66" s="9"/>
      <c r="G66" s="5"/>
      <c r="I66" s="67"/>
      <c r="J66" s="11"/>
      <c r="K66" s="5"/>
    </row>
    <row r="67" spans="1:11" x14ac:dyDescent="0.25">
      <c r="A67" s="65"/>
      <c r="B67" s="9"/>
      <c r="C67" s="4"/>
      <c r="E67" s="67"/>
      <c r="F67" s="9"/>
      <c r="G67" s="5"/>
      <c r="I67" s="67"/>
      <c r="J67" s="23"/>
      <c r="K67" s="5"/>
    </row>
    <row r="68" spans="1:11" x14ac:dyDescent="0.25">
      <c r="A68" s="65"/>
      <c r="B68" s="9"/>
      <c r="C68" s="4"/>
      <c r="E68" s="67"/>
      <c r="F68" s="9"/>
      <c r="G68" s="5"/>
      <c r="I68" s="67"/>
      <c r="J68" s="11"/>
      <c r="K68" s="5"/>
    </row>
    <row r="69" spans="1:11" x14ac:dyDescent="0.25">
      <c r="A69" s="65"/>
      <c r="B69" s="9"/>
      <c r="C69" s="4"/>
      <c r="E69" s="67"/>
      <c r="F69" s="9"/>
      <c r="G69" s="5"/>
      <c r="I69" s="67"/>
      <c r="J69" s="11"/>
      <c r="K69" s="5"/>
    </row>
    <row r="70" spans="1:11" x14ac:dyDescent="0.25">
      <c r="A70" s="65"/>
      <c r="B70" s="9"/>
      <c r="C70" s="4"/>
      <c r="E70" s="67"/>
      <c r="F70" s="9"/>
      <c r="G70" s="5"/>
      <c r="I70" s="67"/>
      <c r="J70" s="23"/>
      <c r="K70" s="5"/>
    </row>
    <row r="71" spans="1:11" x14ac:dyDescent="0.25">
      <c r="A71" s="65"/>
      <c r="B71" s="9"/>
      <c r="C71" s="4"/>
      <c r="E71" s="67"/>
      <c r="F71" s="9"/>
      <c r="G71" s="5"/>
      <c r="I71" s="67"/>
      <c r="J71" s="11"/>
      <c r="K71" s="5"/>
    </row>
    <row r="72" spans="1:11" x14ac:dyDescent="0.25">
      <c r="A72" s="65"/>
      <c r="B72" s="9"/>
      <c r="C72" s="4"/>
      <c r="E72" s="67"/>
      <c r="F72" s="9"/>
      <c r="G72" s="5"/>
      <c r="I72" s="67"/>
      <c r="J72" s="11"/>
      <c r="K72" s="5"/>
    </row>
    <row r="73" spans="1:11" x14ac:dyDescent="0.25">
      <c r="A73" s="65"/>
      <c r="B73" s="9"/>
      <c r="C73" s="4"/>
      <c r="E73" s="67"/>
      <c r="F73" s="9"/>
      <c r="G73" s="5"/>
      <c r="I73" s="67"/>
      <c r="J73" s="23"/>
      <c r="K73" s="5"/>
    </row>
    <row r="74" spans="1:11" x14ac:dyDescent="0.25">
      <c r="A74" s="65"/>
      <c r="B74" s="9"/>
      <c r="C74" s="4"/>
      <c r="E74" s="67"/>
      <c r="F74" s="9"/>
      <c r="G74" s="5"/>
      <c r="I74" s="67"/>
      <c r="J74" s="11"/>
      <c r="K74" s="5"/>
    </row>
    <row r="75" spans="1:11" x14ac:dyDescent="0.25">
      <c r="A75" s="65"/>
      <c r="B75" s="9"/>
      <c r="C75" s="4"/>
      <c r="E75" s="67"/>
      <c r="F75" s="9"/>
      <c r="G75" s="5"/>
      <c r="I75" s="67"/>
      <c r="J75" s="11"/>
      <c r="K75" s="5"/>
    </row>
    <row r="76" spans="1:11" x14ac:dyDescent="0.25">
      <c r="A76" s="65"/>
      <c r="B76" s="9"/>
      <c r="C76" s="4"/>
      <c r="E76" s="67"/>
      <c r="F76" s="9"/>
      <c r="G76" s="5"/>
      <c r="I76" s="67"/>
      <c r="J76" s="23"/>
      <c r="K76" s="5"/>
    </row>
    <row r="77" spans="1:11" x14ac:dyDescent="0.25">
      <c r="A77" s="65"/>
      <c r="B77" s="9"/>
      <c r="C77" s="4"/>
      <c r="E77" s="67"/>
      <c r="F77" s="9"/>
      <c r="G77" s="5"/>
      <c r="I77" s="67"/>
      <c r="J77" s="11"/>
      <c r="K77" s="5"/>
    </row>
    <row r="78" spans="1:11" x14ac:dyDescent="0.25">
      <c r="A78" s="65"/>
      <c r="B78" s="9"/>
      <c r="C78" s="4"/>
      <c r="E78" s="67"/>
      <c r="F78" s="9"/>
      <c r="G78" s="5"/>
      <c r="I78" s="67"/>
      <c r="J78" s="11"/>
      <c r="K78" s="5"/>
    </row>
    <row r="79" spans="1:11" x14ac:dyDescent="0.25">
      <c r="A79" s="65"/>
      <c r="B79" s="9"/>
      <c r="C79" s="4"/>
      <c r="E79" s="67"/>
      <c r="F79" s="9"/>
      <c r="G79" s="5"/>
      <c r="I79" s="67"/>
      <c r="J79" s="23"/>
      <c r="K79" s="5"/>
    </row>
    <row r="80" spans="1:11" x14ac:dyDescent="0.25">
      <c r="A80" s="65"/>
      <c r="B80" s="9"/>
      <c r="C80" s="4"/>
      <c r="E80" s="67"/>
      <c r="F80" s="9"/>
      <c r="G80" s="5"/>
      <c r="I80" s="67"/>
      <c r="J80" s="11"/>
      <c r="K80" s="5"/>
    </row>
    <row r="81" spans="1:11" x14ac:dyDescent="0.25">
      <c r="A81" s="65"/>
      <c r="B81" s="9"/>
      <c r="C81" s="4"/>
      <c r="E81" s="67"/>
      <c r="F81" s="9"/>
      <c r="G81" s="5"/>
      <c r="I81" s="67"/>
      <c r="J81" s="11"/>
      <c r="K81" s="5"/>
    </row>
    <row r="82" spans="1:11" x14ac:dyDescent="0.25">
      <c r="A82" s="65"/>
      <c r="B82" s="9"/>
      <c r="C82" s="4"/>
      <c r="E82" s="67"/>
      <c r="F82" s="9"/>
      <c r="G82" s="5"/>
      <c r="I82" s="67"/>
      <c r="J82" s="23"/>
      <c r="K82" s="5"/>
    </row>
    <row r="83" spans="1:11" x14ac:dyDescent="0.25">
      <c r="A83" s="65"/>
      <c r="B83" s="9"/>
      <c r="C83" s="4"/>
      <c r="E83" s="67"/>
      <c r="F83" s="9"/>
      <c r="G83" s="5"/>
      <c r="I83" s="67"/>
      <c r="J83" s="11"/>
      <c r="K83" s="5"/>
    </row>
    <row r="84" spans="1:11" x14ac:dyDescent="0.25">
      <c r="A84" s="65"/>
      <c r="B84" s="9"/>
      <c r="C84" s="4"/>
      <c r="E84" s="67"/>
      <c r="F84" s="9"/>
      <c r="G84" s="5"/>
      <c r="I84" s="67"/>
      <c r="J84" s="11"/>
      <c r="K84" s="5"/>
    </row>
    <row r="85" spans="1:11" x14ac:dyDescent="0.25">
      <c r="A85" s="65"/>
      <c r="B85" s="9"/>
      <c r="C85" s="4"/>
      <c r="E85" s="67"/>
      <c r="F85" s="9"/>
      <c r="G85" s="5"/>
      <c r="I85" s="67"/>
      <c r="J85" s="23"/>
      <c r="K85" s="5"/>
    </row>
    <row r="86" spans="1:11" x14ac:dyDescent="0.25">
      <c r="A86" s="65"/>
      <c r="B86" s="9"/>
      <c r="C86" s="4"/>
      <c r="E86" s="67"/>
      <c r="F86" s="9"/>
      <c r="G86" s="5"/>
      <c r="I86" s="67"/>
      <c r="J86" s="11"/>
      <c r="K86" s="5"/>
    </row>
    <row r="87" spans="1:11" x14ac:dyDescent="0.25">
      <c r="A87" s="65"/>
      <c r="B87" s="9"/>
      <c r="C87" s="4"/>
      <c r="E87" s="67"/>
      <c r="F87" s="9"/>
      <c r="G87" s="5"/>
      <c r="I87" s="67"/>
      <c r="J87" s="11"/>
      <c r="K87" s="5"/>
    </row>
    <row r="88" spans="1:11" x14ac:dyDescent="0.25">
      <c r="A88" s="65"/>
      <c r="B88" s="9"/>
      <c r="C88" s="4"/>
      <c r="E88" s="67"/>
      <c r="F88" s="9"/>
      <c r="G88" s="5"/>
      <c r="I88" s="67"/>
      <c r="J88" s="23"/>
      <c r="K88" s="5"/>
    </row>
    <row r="89" spans="1:11" x14ac:dyDescent="0.25">
      <c r="A89" s="65"/>
      <c r="B89" s="9"/>
      <c r="C89" s="4"/>
      <c r="E89" s="67"/>
      <c r="F89" s="9"/>
      <c r="G89" s="5"/>
      <c r="I89" s="67"/>
      <c r="J89" s="11"/>
      <c r="K89" s="5"/>
    </row>
    <row r="90" spans="1:11" x14ac:dyDescent="0.25">
      <c r="A90" s="65"/>
      <c r="B90" s="9"/>
      <c r="C90" s="4"/>
      <c r="E90" s="67"/>
      <c r="F90" s="9"/>
      <c r="G90" s="5"/>
      <c r="I90" s="67"/>
      <c r="J90" s="11"/>
      <c r="K90" s="5"/>
    </row>
    <row r="91" spans="1:11" x14ac:dyDescent="0.25">
      <c r="A91" s="65"/>
      <c r="B91" s="9"/>
      <c r="C91" s="4"/>
      <c r="E91" s="67"/>
      <c r="F91" s="9"/>
      <c r="G91" s="5"/>
      <c r="I91" s="67"/>
      <c r="J91" s="23"/>
      <c r="K91" s="5"/>
    </row>
    <row r="92" spans="1:11" x14ac:dyDescent="0.25">
      <c r="A92" s="65"/>
      <c r="B92" s="9"/>
      <c r="C92" s="4"/>
      <c r="E92" s="67"/>
      <c r="F92" s="9"/>
      <c r="G92" s="5"/>
      <c r="I92" s="67"/>
      <c r="J92" s="11"/>
      <c r="K92" s="5"/>
    </row>
    <row r="93" spans="1:11" x14ac:dyDescent="0.25">
      <c r="A93" s="65"/>
      <c r="B93" s="9"/>
      <c r="C93" s="4"/>
      <c r="E93" s="67"/>
      <c r="F93" s="9"/>
      <c r="G93" s="5"/>
      <c r="I93" s="67"/>
      <c r="J93" s="11"/>
      <c r="K93" s="5"/>
    </row>
    <row r="94" spans="1:11" x14ac:dyDescent="0.25">
      <c r="A94" s="65"/>
      <c r="B94" s="9"/>
      <c r="C94" s="4"/>
      <c r="E94" s="67"/>
      <c r="F94" s="9"/>
      <c r="G94" s="5"/>
      <c r="I94" s="67"/>
      <c r="J94" s="23"/>
      <c r="K94" s="5"/>
    </row>
    <row r="95" spans="1:11" x14ac:dyDescent="0.25">
      <c r="A95" s="65"/>
      <c r="B95" s="9"/>
      <c r="C95" s="4"/>
      <c r="E95" s="67"/>
      <c r="F95" s="9"/>
      <c r="G95" s="5"/>
      <c r="I95" s="67"/>
      <c r="J95" s="11"/>
      <c r="K95" s="5"/>
    </row>
    <row r="96" spans="1:11" x14ac:dyDescent="0.25">
      <c r="A96" s="65"/>
      <c r="B96" s="9"/>
      <c r="C96" s="4"/>
      <c r="E96" s="67"/>
      <c r="F96" s="9"/>
      <c r="G96" s="5"/>
      <c r="I96" s="67"/>
      <c r="J96" s="11"/>
      <c r="K96" s="5"/>
    </row>
    <row r="97" spans="1:11" x14ac:dyDescent="0.25">
      <c r="A97" s="65"/>
      <c r="B97" s="9"/>
      <c r="C97" s="4"/>
      <c r="E97" s="67"/>
      <c r="F97" s="9"/>
      <c r="G97" s="5"/>
      <c r="I97" s="67"/>
      <c r="J97" s="23"/>
      <c r="K97" s="5"/>
    </row>
    <row r="98" spans="1:11" x14ac:dyDescent="0.25">
      <c r="A98" s="65"/>
      <c r="B98" s="9"/>
      <c r="C98" s="4"/>
      <c r="E98" s="67"/>
      <c r="F98" s="9"/>
      <c r="G98" s="5"/>
      <c r="I98" s="67"/>
      <c r="J98" s="11"/>
      <c r="K98" s="5"/>
    </row>
    <row r="99" spans="1:11" x14ac:dyDescent="0.25">
      <c r="A99" s="65"/>
      <c r="B99" s="9"/>
      <c r="C99" s="4"/>
      <c r="E99" s="67"/>
      <c r="F99" s="9"/>
      <c r="G99" s="5"/>
      <c r="I99" s="67"/>
      <c r="J99" s="11"/>
      <c r="K99" s="5"/>
    </row>
    <row r="100" spans="1:11" x14ac:dyDescent="0.25">
      <c r="A100" s="65"/>
      <c r="B100" s="9"/>
      <c r="C100" s="4"/>
      <c r="E100" s="67"/>
      <c r="F100" s="9"/>
      <c r="G100" s="5"/>
      <c r="I100" s="67"/>
      <c r="J100" s="23"/>
      <c r="K100" s="5"/>
    </row>
    <row r="101" spans="1:11" x14ac:dyDescent="0.25">
      <c r="A101" s="65"/>
      <c r="B101" s="9"/>
      <c r="C101" s="4"/>
      <c r="E101" s="67"/>
      <c r="F101" s="9"/>
      <c r="G101" s="5"/>
      <c r="I101" s="67"/>
      <c r="J101" s="11"/>
      <c r="K101" s="5"/>
    </row>
    <row r="102" spans="1:11" x14ac:dyDescent="0.25">
      <c r="A102" s="65"/>
      <c r="B102" s="9"/>
      <c r="C102" s="4"/>
      <c r="E102" s="67"/>
      <c r="F102" s="9"/>
      <c r="G102" s="5"/>
      <c r="I102" s="67"/>
      <c r="J102" s="11"/>
      <c r="K102" s="5"/>
    </row>
    <row r="103" spans="1:11" x14ac:dyDescent="0.25">
      <c r="A103" s="65"/>
      <c r="B103" s="9"/>
      <c r="C103" s="4"/>
      <c r="E103" s="67"/>
      <c r="F103" s="9"/>
      <c r="G103" s="5"/>
      <c r="I103" s="67"/>
      <c r="J103" s="23"/>
      <c r="K103" s="5"/>
    </row>
    <row r="104" spans="1:11" x14ac:dyDescent="0.25">
      <c r="A104" s="65"/>
      <c r="B104" s="9"/>
      <c r="C104" s="4"/>
      <c r="E104" s="67"/>
      <c r="F104" s="9"/>
      <c r="G104" s="5"/>
      <c r="I104" s="67"/>
      <c r="J104" s="11"/>
      <c r="K104" s="5"/>
    </row>
    <row r="105" spans="1:11" x14ac:dyDescent="0.25">
      <c r="A105" s="65"/>
      <c r="B105" s="9"/>
      <c r="C105" s="4"/>
      <c r="E105" s="67"/>
      <c r="F105" s="9"/>
      <c r="G105" s="5"/>
      <c r="I105" s="67"/>
      <c r="J105" s="11"/>
      <c r="K105" s="5"/>
    </row>
    <row r="106" spans="1:11" x14ac:dyDescent="0.25">
      <c r="A106" s="65"/>
      <c r="B106" s="9"/>
      <c r="C106" s="4"/>
      <c r="E106" s="67"/>
      <c r="F106" s="9"/>
      <c r="G106" s="5"/>
      <c r="I106" s="67"/>
      <c r="J106" s="23"/>
      <c r="K106" s="5"/>
    </row>
    <row r="107" spans="1:11" x14ac:dyDescent="0.25">
      <c r="A107" s="65"/>
      <c r="B107" s="9"/>
      <c r="C107" s="4"/>
      <c r="E107" s="67"/>
      <c r="F107" s="9"/>
      <c r="G107" s="5"/>
      <c r="I107" s="67"/>
      <c r="J107" s="11"/>
      <c r="K107" s="5"/>
    </row>
    <row r="108" spans="1:11" x14ac:dyDescent="0.25">
      <c r="A108" s="65"/>
      <c r="B108" s="9"/>
      <c r="C108" s="4"/>
      <c r="E108" s="67"/>
      <c r="F108" s="9"/>
      <c r="G108" s="5"/>
      <c r="I108" s="67"/>
      <c r="J108" s="11"/>
      <c r="K108" s="5"/>
    </row>
    <row r="109" spans="1:11" x14ac:dyDescent="0.25">
      <c r="A109" s="65"/>
      <c r="B109" s="9"/>
      <c r="C109" s="4"/>
      <c r="E109" s="67"/>
      <c r="F109" s="9"/>
      <c r="G109" s="5"/>
      <c r="I109" s="67"/>
      <c r="J109" s="23"/>
      <c r="K109" s="5"/>
    </row>
    <row r="110" spans="1:11" x14ac:dyDescent="0.25">
      <c r="A110" s="65"/>
      <c r="B110" s="9"/>
      <c r="C110" s="4"/>
      <c r="E110" s="67"/>
      <c r="F110" s="9"/>
      <c r="G110" s="5"/>
      <c r="I110" s="67"/>
      <c r="J110" s="11"/>
      <c r="K110" s="5"/>
    </row>
    <row r="111" spans="1:11" x14ac:dyDescent="0.25">
      <c r="A111" s="65"/>
      <c r="B111" s="9"/>
      <c r="C111" s="4"/>
      <c r="E111" s="67"/>
      <c r="F111" s="9"/>
      <c r="G111" s="5"/>
      <c r="I111" s="67"/>
      <c r="J111" s="11"/>
      <c r="K111" s="5"/>
    </row>
    <row r="112" spans="1:11" x14ac:dyDescent="0.25">
      <c r="A112" s="65"/>
      <c r="B112" s="9"/>
      <c r="C112" s="4"/>
      <c r="E112" s="67"/>
      <c r="F112" s="9"/>
      <c r="G112" s="5"/>
      <c r="I112" s="67"/>
      <c r="J112" s="23"/>
      <c r="K112" s="5"/>
    </row>
    <row r="113" spans="1:11" x14ac:dyDescent="0.25">
      <c r="A113" s="65"/>
      <c r="B113" s="9"/>
      <c r="C113" s="4"/>
      <c r="E113" s="67"/>
      <c r="F113" s="9"/>
      <c r="G113" s="5"/>
      <c r="I113" s="67"/>
      <c r="J113" s="11"/>
      <c r="K113" s="5"/>
    </row>
    <row r="114" spans="1:11" x14ac:dyDescent="0.25">
      <c r="A114" s="65"/>
      <c r="B114" s="9"/>
      <c r="C114" s="4"/>
      <c r="E114" s="67"/>
      <c r="F114" s="9"/>
      <c r="G114" s="5"/>
      <c r="I114" s="67"/>
      <c r="J114" s="11"/>
      <c r="K114" s="5"/>
    </row>
    <row r="115" spans="1:11" x14ac:dyDescent="0.25">
      <c r="A115" s="65"/>
      <c r="B115" s="9"/>
      <c r="C115" s="4"/>
      <c r="E115" s="67"/>
      <c r="F115" s="9"/>
      <c r="G115" s="5"/>
      <c r="I115" s="67"/>
      <c r="J115" s="23"/>
      <c r="K115" s="5"/>
    </row>
    <row r="116" spans="1:11" x14ac:dyDescent="0.25">
      <c r="A116" s="65"/>
      <c r="B116" s="9"/>
      <c r="C116" s="4"/>
      <c r="E116" s="67"/>
      <c r="F116" s="9"/>
      <c r="G116" s="5"/>
      <c r="I116" s="67"/>
      <c r="J116" s="11"/>
      <c r="K116" s="5"/>
    </row>
    <row r="117" spans="1:11" x14ac:dyDescent="0.25">
      <c r="A117" s="65"/>
      <c r="B117" s="9"/>
      <c r="C117" s="4"/>
      <c r="E117" s="67"/>
      <c r="F117" s="9"/>
      <c r="G117" s="5"/>
      <c r="I117" s="67"/>
      <c r="J117" s="11"/>
      <c r="K117" s="5"/>
    </row>
    <row r="118" spans="1:11" x14ac:dyDescent="0.25">
      <c r="A118" s="65"/>
      <c r="B118" s="9"/>
      <c r="C118" s="4"/>
      <c r="E118" s="67"/>
      <c r="F118" s="9"/>
      <c r="G118" s="5"/>
      <c r="I118" s="67"/>
      <c r="J118" s="23"/>
      <c r="K118" s="5"/>
    </row>
    <row r="119" spans="1:11" x14ac:dyDescent="0.25">
      <c r="A119" s="65"/>
      <c r="B119" s="9"/>
      <c r="C119" s="4"/>
      <c r="E119" s="67"/>
      <c r="F119" s="9"/>
      <c r="G119" s="5"/>
      <c r="I119" s="67"/>
      <c r="J119" s="11"/>
      <c r="K119" s="5"/>
    </row>
    <row r="120" spans="1:11" x14ac:dyDescent="0.25">
      <c r="A120" s="65"/>
      <c r="B120" s="9"/>
      <c r="C120" s="4"/>
      <c r="E120" s="67"/>
      <c r="F120" s="9"/>
      <c r="G120" s="5"/>
      <c r="I120" s="67"/>
      <c r="J120" s="11"/>
      <c r="K120" s="5"/>
    </row>
    <row r="121" spans="1:11" x14ac:dyDescent="0.25">
      <c r="A121" s="65"/>
      <c r="B121" s="9"/>
      <c r="C121" s="4"/>
      <c r="E121" s="67"/>
      <c r="F121" s="9"/>
      <c r="G121" s="5"/>
      <c r="I121" s="67"/>
      <c r="J121" s="23"/>
      <c r="K121" s="5"/>
    </row>
    <row r="122" spans="1:11" x14ac:dyDescent="0.25">
      <c r="A122" s="65"/>
      <c r="B122" s="9"/>
      <c r="C122" s="4"/>
      <c r="E122" s="67"/>
      <c r="F122" s="9"/>
      <c r="G122" s="5"/>
      <c r="I122" s="67"/>
      <c r="J122" s="11"/>
      <c r="K122" s="5"/>
    </row>
    <row r="123" spans="1:11" x14ac:dyDescent="0.25">
      <c r="A123" s="65"/>
      <c r="B123" s="9"/>
      <c r="C123" s="4"/>
      <c r="E123" s="67"/>
      <c r="F123" s="9"/>
      <c r="G123" s="5"/>
      <c r="I123" s="67"/>
      <c r="J123" s="11"/>
      <c r="K123" s="5"/>
    </row>
    <row r="124" spans="1:11" ht="15.75" thickBot="1" x14ac:dyDescent="0.3">
      <c r="A124" s="66"/>
      <c r="B124" s="10"/>
      <c r="C124" s="6"/>
      <c r="E124" s="68"/>
      <c r="F124" s="10"/>
      <c r="G124" s="7"/>
      <c r="I124" s="68"/>
      <c r="J124" s="8"/>
      <c r="K124" s="7"/>
    </row>
  </sheetData>
  <sheetProtection password="EF1F" sheet="1" formatCells="0" formatColumns="0" formatRows="0" insertColumns="0" insertRows="0" insertHyperlinks="0" deleteColumns="0" deleteRows="0" sort="0" autoFilter="0" pivotTables="0"/>
  <mergeCells count="9">
    <mergeCell ref="Q11:Q14"/>
    <mergeCell ref="P13:P14"/>
    <mergeCell ref="P21:P22"/>
    <mergeCell ref="E1:G1"/>
    <mergeCell ref="A4:C4"/>
    <mergeCell ref="E4:G4"/>
    <mergeCell ref="I4:K4"/>
    <mergeCell ref="P9:P10"/>
    <mergeCell ref="P11:P12"/>
  </mergeCells>
  <printOptions horizontalCentered="1"/>
  <pageMargins left="0.23622047244094491" right="0.23622047244094491" top="0.15748031496062992" bottom="0.15748031496062992" header="0.11811023622047245" footer="0.19685039370078741"/>
  <pageSetup paperSize="9" fitToWidth="0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Sheet2!$B$2:$B$4</xm:f>
          </x14:formula1>
          <xm:sqref>J6:J124</xm:sqref>
        </x14:dataValidation>
        <x14:dataValidation type="list" allowBlank="1" showInputMessage="1" showErrorMessage="1">
          <x14:formula1>
            <xm:f>Sheet2!$A$2:$A$5</xm:f>
          </x14:formula1>
          <xm:sqref>F6:F124</xm:sqref>
        </x14:dataValidation>
        <x14:dataValidation type="list" allowBlank="1" showInputMessage="1" showErrorMessage="1">
          <x14:formula1>
            <xm:f>Sheet2!$A$2:$A$9</xm:f>
          </x14:formula1>
          <xm:sqref>B6:B124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4"/>
  <sheetViews>
    <sheetView topLeftCell="A22" zoomScaleNormal="100" workbookViewId="0">
      <selection activeCell="K25" sqref="K25:K37"/>
    </sheetView>
  </sheetViews>
  <sheetFormatPr defaultColWidth="9.140625" defaultRowHeight="15" x14ac:dyDescent="0.25"/>
  <cols>
    <col min="1" max="1" width="13.42578125" style="25" customWidth="1"/>
    <col min="2" max="2" width="24.5703125" style="1" bestFit="1" customWidth="1"/>
    <col min="3" max="3" width="12.7109375" style="28" bestFit="1" customWidth="1"/>
    <col min="4" max="4" width="0.5703125" style="3" customWidth="1"/>
    <col min="5" max="5" width="14.7109375" style="28" customWidth="1"/>
    <col min="6" max="6" width="21.85546875" style="1" customWidth="1"/>
    <col min="7" max="7" width="12.7109375" style="28" bestFit="1" customWidth="1"/>
    <col min="8" max="8" width="0.5703125" style="3" customWidth="1"/>
    <col min="9" max="9" width="15.85546875" style="28" customWidth="1"/>
    <col min="10" max="10" width="22.140625" style="1" customWidth="1"/>
    <col min="11" max="11" width="12.85546875" style="25" customWidth="1"/>
    <col min="12" max="13" width="9.140625" style="1"/>
    <col min="14" max="14" width="23.7109375" style="1" bestFit="1" customWidth="1"/>
    <col min="15" max="15" width="13.42578125" style="1" customWidth="1"/>
    <col min="16" max="16" width="18" style="1" bestFit="1" customWidth="1"/>
    <col min="17" max="16384" width="9.140625" style="1"/>
  </cols>
  <sheetData>
    <row r="1" spans="1:17" ht="23.65" thickBot="1" x14ac:dyDescent="0.75">
      <c r="E1" s="172" t="s">
        <v>0</v>
      </c>
      <c r="F1" s="173"/>
      <c r="G1" s="174"/>
    </row>
    <row r="2" spans="1:17" ht="15.75" x14ac:dyDescent="0.5">
      <c r="A2" s="31" t="s">
        <v>1</v>
      </c>
      <c r="C2" s="24">
        <v>45870</v>
      </c>
    </row>
    <row r="3" spans="1:17" ht="14.65" thickBot="1" x14ac:dyDescent="0.5"/>
    <row r="4" spans="1:17" ht="18" x14ac:dyDescent="0.55000000000000004">
      <c r="A4" s="175" t="s">
        <v>2</v>
      </c>
      <c r="B4" s="176"/>
      <c r="C4" s="177"/>
      <c r="D4" s="12"/>
      <c r="E4" s="178" t="s">
        <v>3</v>
      </c>
      <c r="F4" s="179"/>
      <c r="G4" s="180"/>
      <c r="H4" s="12"/>
      <c r="I4" s="181" t="s">
        <v>4</v>
      </c>
      <c r="J4" s="182"/>
      <c r="K4" s="183"/>
    </row>
    <row r="5" spans="1:17" ht="21" customHeight="1" x14ac:dyDescent="0.45">
      <c r="A5" s="13" t="s">
        <v>5</v>
      </c>
      <c r="B5" s="14" t="s">
        <v>6</v>
      </c>
      <c r="C5" s="15" t="s">
        <v>7</v>
      </c>
      <c r="D5" s="16"/>
      <c r="E5" s="17" t="s">
        <v>5</v>
      </c>
      <c r="F5" s="18" t="s">
        <v>6</v>
      </c>
      <c r="G5" s="19" t="s">
        <v>7</v>
      </c>
      <c r="H5" s="16"/>
      <c r="I5" s="20" t="s">
        <v>5</v>
      </c>
      <c r="J5" s="21" t="s">
        <v>6</v>
      </c>
      <c r="K5" s="22" t="s">
        <v>7</v>
      </c>
      <c r="N5" s="119" t="s">
        <v>80</v>
      </c>
    </row>
    <row r="6" spans="1:17" ht="14.25" x14ac:dyDescent="0.45">
      <c r="A6" s="116">
        <v>45870</v>
      </c>
      <c r="B6" s="117" t="s">
        <v>18</v>
      </c>
      <c r="C6" s="125"/>
      <c r="E6" s="67">
        <v>45871</v>
      </c>
      <c r="F6" s="9" t="s">
        <v>8</v>
      </c>
      <c r="G6" s="120">
        <v>15.7</v>
      </c>
      <c r="I6" s="65">
        <v>45872</v>
      </c>
      <c r="J6" s="11" t="s">
        <v>10</v>
      </c>
      <c r="K6" s="120">
        <v>35</v>
      </c>
    </row>
    <row r="7" spans="1:17" ht="14.25" x14ac:dyDescent="0.45">
      <c r="A7" s="116">
        <v>45870</v>
      </c>
      <c r="B7" s="117" t="s">
        <v>19</v>
      </c>
      <c r="C7" s="125">
        <v>75.3</v>
      </c>
      <c r="E7" s="67">
        <v>45872</v>
      </c>
      <c r="F7" s="9" t="s">
        <v>9</v>
      </c>
      <c r="G7" s="120">
        <v>37.6</v>
      </c>
      <c r="I7" s="65">
        <v>45872</v>
      </c>
      <c r="J7" s="11" t="s">
        <v>10</v>
      </c>
      <c r="K7" s="120">
        <v>7</v>
      </c>
    </row>
    <row r="8" spans="1:17" ht="15.75" x14ac:dyDescent="0.5">
      <c r="A8" s="116">
        <v>45870</v>
      </c>
      <c r="B8" s="117" t="s">
        <v>67</v>
      </c>
      <c r="C8" s="126">
        <v>72</v>
      </c>
      <c r="E8" s="104">
        <v>45873</v>
      </c>
      <c r="F8" s="101" t="s">
        <v>8</v>
      </c>
      <c r="G8" s="124">
        <v>7</v>
      </c>
      <c r="I8" s="65">
        <v>45872</v>
      </c>
      <c r="J8" s="11" t="s">
        <v>10</v>
      </c>
      <c r="K8" s="120">
        <v>7</v>
      </c>
      <c r="N8" s="109" t="s">
        <v>72</v>
      </c>
      <c r="O8" s="110" t="s">
        <v>17</v>
      </c>
      <c r="P8" s="110" t="s">
        <v>70</v>
      </c>
    </row>
    <row r="9" spans="1:17" x14ac:dyDescent="0.25">
      <c r="A9" s="116">
        <v>45870</v>
      </c>
      <c r="B9" s="117" t="s">
        <v>68</v>
      </c>
      <c r="C9" s="126">
        <v>12</v>
      </c>
      <c r="E9" s="67">
        <v>45873</v>
      </c>
      <c r="F9" s="9" t="s">
        <v>9</v>
      </c>
      <c r="G9" s="120">
        <v>37.6</v>
      </c>
      <c r="I9" s="67">
        <v>45873</v>
      </c>
      <c r="J9" s="11" t="s">
        <v>10</v>
      </c>
      <c r="K9" s="120">
        <v>49</v>
      </c>
      <c r="N9" s="91" t="s">
        <v>18</v>
      </c>
      <c r="O9" s="82">
        <f>SUMIF(B6:B124,"OS - Ginger",C6:C124)</f>
        <v>0</v>
      </c>
      <c r="P9" s="192">
        <f>SUM(O9:O10)</f>
        <v>627.37</v>
      </c>
    </row>
    <row r="10" spans="1:17" x14ac:dyDescent="0.25">
      <c r="A10" s="116">
        <v>45870</v>
      </c>
      <c r="B10" s="117" t="s">
        <v>69</v>
      </c>
      <c r="C10" s="125"/>
      <c r="E10" s="67">
        <v>45873</v>
      </c>
      <c r="F10" s="9" t="s">
        <v>8</v>
      </c>
      <c r="G10" s="120">
        <v>19.3</v>
      </c>
      <c r="I10" s="67">
        <v>45873</v>
      </c>
      <c r="J10" s="11" t="s">
        <v>11</v>
      </c>
      <c r="K10" s="120">
        <v>5</v>
      </c>
      <c r="N10" s="92" t="s">
        <v>8</v>
      </c>
      <c r="O10" s="76">
        <f>SUMIF(B6:B124,"Ginger",C6:C124)</f>
        <v>627.37</v>
      </c>
      <c r="P10" s="193"/>
    </row>
    <row r="11" spans="1:17" x14ac:dyDescent="0.25">
      <c r="A11" s="116">
        <v>45870</v>
      </c>
      <c r="B11" s="117" t="s">
        <v>71</v>
      </c>
      <c r="C11" s="125">
        <v>19.5</v>
      </c>
      <c r="E11" s="67">
        <v>45873</v>
      </c>
      <c r="F11" s="9" t="s">
        <v>8</v>
      </c>
      <c r="G11" s="120">
        <v>3.7</v>
      </c>
      <c r="I11" s="65">
        <v>45875</v>
      </c>
      <c r="J11" s="11" t="s">
        <v>10</v>
      </c>
      <c r="K11" s="120">
        <v>43</v>
      </c>
      <c r="N11" s="56" t="s">
        <v>19</v>
      </c>
      <c r="O11" s="57">
        <f>SUMIF(B6:B124,"OS - Garlic",C6:C124)</f>
        <v>75.3</v>
      </c>
      <c r="P11" s="194">
        <f>SUM(O11:O12)</f>
        <v>913.26</v>
      </c>
      <c r="Q11" s="198">
        <f>SUM(P11:P14)</f>
        <v>932.76</v>
      </c>
    </row>
    <row r="12" spans="1:17" x14ac:dyDescent="0.25">
      <c r="A12" s="116">
        <v>45870</v>
      </c>
      <c r="B12" s="117" t="s">
        <v>13</v>
      </c>
      <c r="C12" s="125"/>
      <c r="E12" s="67">
        <v>45875</v>
      </c>
      <c r="F12" s="9" t="s">
        <v>8</v>
      </c>
      <c r="G12" s="120">
        <v>32.5</v>
      </c>
      <c r="I12" s="65">
        <v>45876</v>
      </c>
      <c r="J12" s="11" t="s">
        <v>10</v>
      </c>
      <c r="K12" s="120">
        <v>59.5</v>
      </c>
      <c r="N12" s="88" t="s">
        <v>91</v>
      </c>
      <c r="O12" s="78">
        <f>SUMIF(B6:B124,"Garlic",C6:C124)</f>
        <v>837.96</v>
      </c>
      <c r="P12" s="195"/>
      <c r="Q12" s="198"/>
    </row>
    <row r="13" spans="1:17" x14ac:dyDescent="0.25">
      <c r="A13" s="116">
        <v>45870</v>
      </c>
      <c r="B13" s="117" t="s">
        <v>77</v>
      </c>
      <c r="C13" s="125"/>
      <c r="E13" s="103">
        <v>45876</v>
      </c>
      <c r="F13" s="9" t="s">
        <v>8</v>
      </c>
      <c r="G13" s="121">
        <v>27</v>
      </c>
      <c r="H13" s="108"/>
      <c r="I13" s="103">
        <v>45877</v>
      </c>
      <c r="J13" s="11" t="s">
        <v>10</v>
      </c>
      <c r="K13" s="121">
        <v>64.5</v>
      </c>
      <c r="N13" s="93" t="s">
        <v>71</v>
      </c>
      <c r="O13" s="62">
        <f>SUMIF(B6:B124,"OS - Broken Garlic",C6:C124)</f>
        <v>19.5</v>
      </c>
      <c r="P13" s="196">
        <f>SUM(O13:O14)</f>
        <v>19.5</v>
      </c>
      <c r="Q13" s="198"/>
    </row>
    <row r="14" spans="1:17" x14ac:dyDescent="0.25">
      <c r="A14" s="116">
        <v>45870</v>
      </c>
      <c r="B14" s="117" t="s">
        <v>78</v>
      </c>
      <c r="C14" s="125"/>
      <c r="E14" s="103">
        <v>45876</v>
      </c>
      <c r="F14" s="9" t="s">
        <v>9</v>
      </c>
      <c r="G14" s="121">
        <v>25.8</v>
      </c>
      <c r="H14" s="108"/>
      <c r="I14" s="103">
        <v>45878</v>
      </c>
      <c r="J14" s="11" t="s">
        <v>10</v>
      </c>
      <c r="K14" s="121">
        <v>84</v>
      </c>
      <c r="N14" s="94" t="s">
        <v>13</v>
      </c>
      <c r="O14" s="73">
        <f>SUMIF(B6:B124,"Broken Garlic",C6:C124)</f>
        <v>0</v>
      </c>
      <c r="P14" s="197"/>
      <c r="Q14" s="198"/>
    </row>
    <row r="15" spans="1:17" x14ac:dyDescent="0.25">
      <c r="A15" s="65">
        <v>45871</v>
      </c>
      <c r="B15" s="9" t="s">
        <v>8</v>
      </c>
      <c r="C15" s="127">
        <v>56.45</v>
      </c>
      <c r="E15" s="103">
        <v>45876</v>
      </c>
      <c r="F15" s="9" t="s">
        <v>9</v>
      </c>
      <c r="G15" s="121">
        <v>3.5</v>
      </c>
      <c r="H15" s="108"/>
      <c r="I15" s="103">
        <v>45879</v>
      </c>
      <c r="J15" s="11" t="s">
        <v>10</v>
      </c>
      <c r="K15" s="121">
        <v>51</v>
      </c>
      <c r="N15" s="89" t="s">
        <v>68</v>
      </c>
      <c r="O15" s="90">
        <f>SUMIF(B6:B124,"OS - Garlic Peeled",C6:C124)</f>
        <v>12</v>
      </c>
      <c r="P15" s="111">
        <f>O15</f>
        <v>12</v>
      </c>
    </row>
    <row r="16" spans="1:17" x14ac:dyDescent="0.25">
      <c r="A16" s="65">
        <v>45875</v>
      </c>
      <c r="B16" s="9" t="s">
        <v>8</v>
      </c>
      <c r="C16" s="127">
        <v>56.67</v>
      </c>
      <c r="E16" s="103">
        <v>45877</v>
      </c>
      <c r="F16" s="9" t="s">
        <v>9</v>
      </c>
      <c r="G16" s="121">
        <v>33.200000000000003</v>
      </c>
      <c r="H16" s="108"/>
      <c r="I16" s="103">
        <v>45881</v>
      </c>
      <c r="J16" s="11" t="s">
        <v>10</v>
      </c>
      <c r="K16" s="121">
        <v>80</v>
      </c>
      <c r="N16" s="89" t="s">
        <v>69</v>
      </c>
      <c r="O16" s="90">
        <f>SUMIF(B6:B124,"OS - Ginger Peeled",C6:C124)</f>
        <v>0</v>
      </c>
      <c r="P16" s="90"/>
    </row>
    <row r="17" spans="1:16" x14ac:dyDescent="0.25">
      <c r="A17" s="65">
        <v>45875</v>
      </c>
      <c r="B17" s="9" t="s">
        <v>9</v>
      </c>
      <c r="C17" s="127">
        <v>40.200000000000003</v>
      </c>
      <c r="E17" s="103">
        <v>45878</v>
      </c>
      <c r="F17" s="9" t="s">
        <v>9</v>
      </c>
      <c r="G17" s="121">
        <v>39.49</v>
      </c>
      <c r="H17" s="108"/>
      <c r="I17" s="103">
        <v>45883</v>
      </c>
      <c r="J17" s="11" t="s">
        <v>10</v>
      </c>
      <c r="K17" s="121">
        <v>42.36</v>
      </c>
      <c r="N17" s="89" t="s">
        <v>67</v>
      </c>
      <c r="O17" s="90">
        <f>SUMIF(B6:B124,"OS - Ginger Garlic Paste",C6:C124)</f>
        <v>72</v>
      </c>
      <c r="P17" s="90"/>
    </row>
    <row r="18" spans="1:16" x14ac:dyDescent="0.25">
      <c r="A18" s="65">
        <v>45875</v>
      </c>
      <c r="B18" s="9" t="s">
        <v>9</v>
      </c>
      <c r="C18" s="127">
        <v>25.89</v>
      </c>
      <c r="E18" s="103">
        <v>45878</v>
      </c>
      <c r="F18" s="9" t="s">
        <v>8</v>
      </c>
      <c r="G18" s="121">
        <v>32.5</v>
      </c>
      <c r="H18" s="108"/>
      <c r="I18" s="103">
        <v>45883</v>
      </c>
      <c r="J18" s="11" t="s">
        <v>11</v>
      </c>
      <c r="K18" s="121">
        <v>10</v>
      </c>
      <c r="N18" s="89" t="s">
        <v>76</v>
      </c>
      <c r="O18" s="90">
        <f>SUMIF(B6:B124,"OS - Ginger Paste",C6:C124)</f>
        <v>0</v>
      </c>
      <c r="P18" s="90"/>
    </row>
    <row r="19" spans="1:16" x14ac:dyDescent="0.25">
      <c r="A19" s="65">
        <v>45877</v>
      </c>
      <c r="B19" s="9" t="s">
        <v>8</v>
      </c>
      <c r="C19" s="127">
        <v>3.5</v>
      </c>
      <c r="E19" s="103">
        <v>45878</v>
      </c>
      <c r="F19" s="9" t="s">
        <v>8</v>
      </c>
      <c r="G19" s="121">
        <v>8.6</v>
      </c>
      <c r="H19" s="108"/>
      <c r="I19" s="103">
        <v>45884</v>
      </c>
      <c r="J19" s="11" t="s">
        <v>10</v>
      </c>
      <c r="K19" s="121">
        <v>53.6</v>
      </c>
      <c r="N19" s="89" t="s">
        <v>75</v>
      </c>
      <c r="O19" s="90">
        <f>SUMIF(B6:B124,"OS - Garlic Paste",C6:C124)</f>
        <v>0</v>
      </c>
      <c r="P19" s="90"/>
    </row>
    <row r="20" spans="1:16" x14ac:dyDescent="0.25">
      <c r="A20" s="65">
        <v>45877</v>
      </c>
      <c r="B20" s="9" t="s">
        <v>9</v>
      </c>
      <c r="C20" s="127">
        <v>3.5</v>
      </c>
      <c r="E20" s="103">
        <v>45879</v>
      </c>
      <c r="F20" s="9" t="s">
        <v>9</v>
      </c>
      <c r="G20" s="121">
        <v>39.5</v>
      </c>
      <c r="H20" s="108"/>
      <c r="I20" s="103">
        <v>45885</v>
      </c>
      <c r="J20" s="11" t="s">
        <v>10</v>
      </c>
      <c r="K20" s="121">
        <v>53.7</v>
      </c>
    </row>
    <row r="21" spans="1:16" ht="15.75" x14ac:dyDescent="0.5">
      <c r="A21" s="65">
        <v>45877</v>
      </c>
      <c r="B21" s="9" t="s">
        <v>8</v>
      </c>
      <c r="C21" s="127">
        <v>56.8</v>
      </c>
      <c r="E21" s="103">
        <v>45879</v>
      </c>
      <c r="F21" s="9" t="s">
        <v>8</v>
      </c>
      <c r="G21" s="121">
        <v>29.5</v>
      </c>
      <c r="H21" s="108"/>
      <c r="I21" s="103">
        <v>45887</v>
      </c>
      <c r="J21" s="11" t="s">
        <v>10</v>
      </c>
      <c r="K21" s="121">
        <v>59.1</v>
      </c>
      <c r="N21" s="109" t="s">
        <v>3</v>
      </c>
      <c r="O21" s="110" t="s">
        <v>17</v>
      </c>
      <c r="P21" s="110" t="s">
        <v>17</v>
      </c>
    </row>
    <row r="22" spans="1:16" ht="14.25" x14ac:dyDescent="0.45">
      <c r="A22" s="65">
        <v>45877</v>
      </c>
      <c r="B22" s="9" t="s">
        <v>8</v>
      </c>
      <c r="C22" s="127">
        <v>56.88</v>
      </c>
      <c r="E22" s="104">
        <v>45880</v>
      </c>
      <c r="F22" s="101" t="s">
        <v>9</v>
      </c>
      <c r="G22" s="124">
        <v>39.46</v>
      </c>
      <c r="H22" s="108"/>
      <c r="I22" s="103">
        <v>45887</v>
      </c>
      <c r="J22" s="11" t="s">
        <v>11</v>
      </c>
      <c r="K22" s="121">
        <v>12</v>
      </c>
      <c r="N22" s="44" t="s">
        <v>8</v>
      </c>
      <c r="O22" s="62">
        <f>SUMIF(F6:F124,"Ginger",G6:G124)</f>
        <v>492.72</v>
      </c>
      <c r="P22" s="100">
        <f>O22</f>
        <v>492.72</v>
      </c>
    </row>
    <row r="23" spans="1:16" x14ac:dyDescent="0.25">
      <c r="A23" s="65">
        <v>45877</v>
      </c>
      <c r="B23" s="9" t="s">
        <v>9</v>
      </c>
      <c r="C23" s="127">
        <v>33.5</v>
      </c>
      <c r="E23" s="103">
        <v>45881</v>
      </c>
      <c r="F23" s="9" t="s">
        <v>8</v>
      </c>
      <c r="G23" s="121">
        <v>32.5</v>
      </c>
      <c r="H23" s="108"/>
      <c r="I23" s="103">
        <v>45889</v>
      </c>
      <c r="J23" s="11" t="s">
        <v>11</v>
      </c>
      <c r="K23" s="121">
        <v>17.5</v>
      </c>
      <c r="N23" s="44" t="s">
        <v>9</v>
      </c>
      <c r="O23" s="63">
        <f>SUMIF(F6:F126,"Garlic",G6:G126)</f>
        <v>829.4799999999999</v>
      </c>
      <c r="P23" s="191">
        <f>SUM(O23:O24)</f>
        <v>829.4799999999999</v>
      </c>
    </row>
    <row r="24" spans="1:16" x14ac:dyDescent="0.25">
      <c r="A24" s="65">
        <v>45877</v>
      </c>
      <c r="B24" s="9" t="s">
        <v>9</v>
      </c>
      <c r="C24" s="127">
        <v>39.450000000000003</v>
      </c>
      <c r="E24" s="103">
        <v>45881</v>
      </c>
      <c r="F24" s="9" t="s">
        <v>9</v>
      </c>
      <c r="G24" s="121">
        <v>13.9</v>
      </c>
      <c r="H24" s="108"/>
      <c r="I24" s="118">
        <v>45890</v>
      </c>
      <c r="J24" s="9" t="s">
        <v>10</v>
      </c>
      <c r="K24" s="122">
        <v>41.5</v>
      </c>
      <c r="N24" s="44" t="s">
        <v>13</v>
      </c>
      <c r="O24" s="63">
        <f>SUMIF(F6:F126,"Broken Garlic",G6:G126)</f>
        <v>0</v>
      </c>
      <c r="P24" s="191"/>
    </row>
    <row r="25" spans="1:16" x14ac:dyDescent="0.25">
      <c r="A25" s="65">
        <v>45877</v>
      </c>
      <c r="B25" s="9" t="s">
        <v>9</v>
      </c>
      <c r="C25" s="127">
        <v>39.54</v>
      </c>
      <c r="E25" s="103">
        <v>45882</v>
      </c>
      <c r="F25" s="9" t="s">
        <v>9</v>
      </c>
      <c r="G25" s="121">
        <v>39.54</v>
      </c>
      <c r="H25" s="108"/>
      <c r="I25" s="103">
        <v>45892</v>
      </c>
      <c r="J25" s="11" t="s">
        <v>10</v>
      </c>
      <c r="K25" s="121">
        <v>104</v>
      </c>
    </row>
    <row r="26" spans="1:16" x14ac:dyDescent="0.25">
      <c r="A26" s="65">
        <v>45877</v>
      </c>
      <c r="B26" s="9" t="s">
        <v>9</v>
      </c>
      <c r="C26" s="127">
        <v>39.5</v>
      </c>
      <c r="E26" s="103">
        <v>45883</v>
      </c>
      <c r="F26" s="9" t="s">
        <v>8</v>
      </c>
      <c r="G26" s="121">
        <v>18.5</v>
      </c>
      <c r="H26" s="108"/>
      <c r="I26" s="103">
        <v>45893</v>
      </c>
      <c r="J26" s="11" t="s">
        <v>10</v>
      </c>
      <c r="K26" s="121">
        <v>38</v>
      </c>
    </row>
    <row r="27" spans="1:16" ht="15.75" x14ac:dyDescent="0.25">
      <c r="A27" s="65">
        <v>45877</v>
      </c>
      <c r="B27" s="9" t="s">
        <v>9</v>
      </c>
      <c r="C27" s="127">
        <v>39.46</v>
      </c>
      <c r="E27" s="103">
        <v>45883</v>
      </c>
      <c r="F27" s="9" t="s">
        <v>9</v>
      </c>
      <c r="G27" s="121">
        <v>20</v>
      </c>
      <c r="H27" s="108"/>
      <c r="I27" s="103">
        <v>45893</v>
      </c>
      <c r="J27" s="11" t="s">
        <v>11</v>
      </c>
      <c r="K27" s="121">
        <v>25</v>
      </c>
      <c r="N27" s="109" t="s">
        <v>4</v>
      </c>
      <c r="O27" s="110" t="s">
        <v>17</v>
      </c>
      <c r="P27" s="110" t="s">
        <v>79</v>
      </c>
    </row>
    <row r="28" spans="1:16" x14ac:dyDescent="0.25">
      <c r="A28" s="65">
        <v>45877</v>
      </c>
      <c r="B28" s="9" t="s">
        <v>9</v>
      </c>
      <c r="C28" s="127">
        <v>39.49</v>
      </c>
      <c r="E28" s="103">
        <v>45884</v>
      </c>
      <c r="F28" s="9" t="s">
        <v>8</v>
      </c>
      <c r="G28" s="121">
        <v>24</v>
      </c>
      <c r="H28" s="108"/>
      <c r="I28" s="103">
        <v>45895</v>
      </c>
      <c r="J28" s="11" t="s">
        <v>10</v>
      </c>
      <c r="K28" s="121">
        <v>79.709999999999994</v>
      </c>
      <c r="N28" s="44" t="s">
        <v>12</v>
      </c>
      <c r="O28" s="87">
        <f>SUMIF(J6:J124,"Ginger Peeled",K6:K124)</f>
        <v>3</v>
      </c>
      <c r="P28" s="87">
        <f>SUM(O28,O16)</f>
        <v>3</v>
      </c>
    </row>
    <row r="29" spans="1:16" x14ac:dyDescent="0.25">
      <c r="A29" s="65">
        <v>45881</v>
      </c>
      <c r="B29" s="9" t="s">
        <v>8</v>
      </c>
      <c r="C29" s="127">
        <v>56.83</v>
      </c>
      <c r="E29" s="104">
        <v>45884</v>
      </c>
      <c r="F29" s="101" t="s">
        <v>8</v>
      </c>
      <c r="G29" s="124">
        <v>7.9</v>
      </c>
      <c r="H29" s="108"/>
      <c r="I29" s="103">
        <v>45895</v>
      </c>
      <c r="J29" s="11" t="s">
        <v>12</v>
      </c>
      <c r="K29" s="121">
        <v>1</v>
      </c>
      <c r="N29" s="44" t="s">
        <v>11</v>
      </c>
      <c r="O29" s="87">
        <f>SUMIF(J6:J124,"Garlic Peeled",K6:K124)</f>
        <v>94.5</v>
      </c>
      <c r="P29" s="87">
        <f>SUM(O29,O15)</f>
        <v>106.5</v>
      </c>
    </row>
    <row r="30" spans="1:16" x14ac:dyDescent="0.25">
      <c r="A30" s="65">
        <v>45881</v>
      </c>
      <c r="B30" s="9" t="s">
        <v>9</v>
      </c>
      <c r="C30" s="127">
        <v>36.979999999999997</v>
      </c>
      <c r="E30" s="104">
        <v>45885</v>
      </c>
      <c r="F30" s="101" t="s">
        <v>9</v>
      </c>
      <c r="G30" s="124">
        <v>39.54</v>
      </c>
      <c r="H30" s="108"/>
      <c r="I30" s="103">
        <v>45896</v>
      </c>
      <c r="J30" s="11" t="s">
        <v>11</v>
      </c>
      <c r="K30" s="121">
        <v>14</v>
      </c>
      <c r="N30" s="44" t="s">
        <v>10</v>
      </c>
      <c r="O30" s="87">
        <f>SUMIF(J6:J124,"Ginger Garlic Paste",K6:K124)</f>
        <v>1200.2700000000002</v>
      </c>
      <c r="P30" s="87">
        <f>SUM(O30,O17)</f>
        <v>1272.2700000000002</v>
      </c>
    </row>
    <row r="31" spans="1:16" x14ac:dyDescent="0.25">
      <c r="A31" s="65">
        <v>45881</v>
      </c>
      <c r="B31" s="9" t="s">
        <v>9</v>
      </c>
      <c r="C31" s="127">
        <v>36.4</v>
      </c>
      <c r="E31" s="103">
        <v>45885</v>
      </c>
      <c r="F31" s="9" t="s">
        <v>8</v>
      </c>
      <c r="G31" s="121">
        <v>24.3</v>
      </c>
      <c r="H31" s="108"/>
      <c r="I31" s="103">
        <v>45897</v>
      </c>
      <c r="J31" s="11" t="s">
        <v>11</v>
      </c>
      <c r="K31" s="121">
        <v>11</v>
      </c>
      <c r="N31" s="44" t="s">
        <v>76</v>
      </c>
      <c r="O31" s="87">
        <f>SUMIF(J6:J124,"Ginger Paste",K6:K124)</f>
        <v>0</v>
      </c>
      <c r="P31" s="87">
        <f>SUM(O31,O18)</f>
        <v>0</v>
      </c>
    </row>
    <row r="32" spans="1:16" x14ac:dyDescent="0.25">
      <c r="A32" s="67">
        <v>45882</v>
      </c>
      <c r="B32" s="9" t="s">
        <v>9</v>
      </c>
      <c r="C32" s="127">
        <v>36.700000000000003</v>
      </c>
      <c r="E32" s="103">
        <v>45887</v>
      </c>
      <c r="F32" s="9" t="s">
        <v>9</v>
      </c>
      <c r="G32" s="121">
        <v>36.700000000000003</v>
      </c>
      <c r="H32" s="108"/>
      <c r="I32" s="103">
        <v>45897</v>
      </c>
      <c r="J32" s="11" t="s">
        <v>10</v>
      </c>
      <c r="K32" s="121">
        <v>34</v>
      </c>
      <c r="N32" s="44" t="s">
        <v>75</v>
      </c>
      <c r="O32" s="87">
        <f>SUMIF(J6:J124,"Garlic Paste",K6:K124)</f>
        <v>0</v>
      </c>
      <c r="P32" s="87">
        <f>SUM(O32,O19)</f>
        <v>0</v>
      </c>
    </row>
    <row r="33" spans="1:16" x14ac:dyDescent="0.25">
      <c r="A33" s="67">
        <v>45882</v>
      </c>
      <c r="B33" s="9" t="s">
        <v>9</v>
      </c>
      <c r="C33" s="127">
        <v>35.799999999999997</v>
      </c>
      <c r="E33" s="103">
        <v>45887</v>
      </c>
      <c r="F33" s="9" t="s">
        <v>8</v>
      </c>
      <c r="G33" s="121">
        <v>30.1</v>
      </c>
      <c r="H33" s="108"/>
      <c r="I33" s="103">
        <v>45898</v>
      </c>
      <c r="J33" s="11" t="s">
        <v>10</v>
      </c>
      <c r="K33" s="121">
        <v>64</v>
      </c>
      <c r="P33" s="2"/>
    </row>
    <row r="34" spans="1:16" ht="15.75" x14ac:dyDescent="0.25">
      <c r="A34" s="65">
        <v>45882</v>
      </c>
      <c r="B34" s="9" t="s">
        <v>9</v>
      </c>
      <c r="C34" s="127">
        <v>36.5</v>
      </c>
      <c r="E34" s="103">
        <v>45889</v>
      </c>
      <c r="F34" s="9" t="s">
        <v>9</v>
      </c>
      <c r="G34" s="121">
        <v>36.979999999999997</v>
      </c>
      <c r="H34" s="108"/>
      <c r="I34" s="103">
        <v>45898</v>
      </c>
      <c r="J34" s="11" t="s">
        <v>12</v>
      </c>
      <c r="K34" s="121">
        <v>2</v>
      </c>
      <c r="N34" s="110" t="s">
        <v>14</v>
      </c>
      <c r="O34" s="110" t="s">
        <v>17</v>
      </c>
      <c r="P34" s="2"/>
    </row>
    <row r="35" spans="1:16" x14ac:dyDescent="0.25">
      <c r="A35" s="65">
        <v>45884</v>
      </c>
      <c r="B35" s="9" t="s">
        <v>8</v>
      </c>
      <c r="C35" s="127">
        <v>56.9</v>
      </c>
      <c r="E35" s="103">
        <v>45890</v>
      </c>
      <c r="F35" s="9" t="s">
        <v>8</v>
      </c>
      <c r="G35" s="121">
        <v>13.2</v>
      </c>
      <c r="H35" s="108"/>
      <c r="I35" s="103">
        <v>45899</v>
      </c>
      <c r="J35" s="11" t="s">
        <v>10</v>
      </c>
      <c r="K35" s="121">
        <v>15.1</v>
      </c>
      <c r="N35" s="102" t="s">
        <v>73</v>
      </c>
      <c r="O35" s="87">
        <f>P9-P22</f>
        <v>134.64999999999998</v>
      </c>
      <c r="P35" s="2"/>
    </row>
    <row r="36" spans="1:16" x14ac:dyDescent="0.25">
      <c r="A36" s="65">
        <v>45887</v>
      </c>
      <c r="B36" s="9" t="s">
        <v>8</v>
      </c>
      <c r="C36" s="127">
        <v>56.8</v>
      </c>
      <c r="E36" s="103">
        <v>45891</v>
      </c>
      <c r="F36" s="9" t="s">
        <v>9</v>
      </c>
      <c r="G36" s="121">
        <v>39.5</v>
      </c>
      <c r="H36" s="108"/>
      <c r="I36" s="103">
        <v>45899</v>
      </c>
      <c r="J36" s="11" t="s">
        <v>10</v>
      </c>
      <c r="K36" s="121">
        <v>35.5</v>
      </c>
      <c r="L36" s="1" t="s">
        <v>83</v>
      </c>
      <c r="N36" s="102" t="s">
        <v>9</v>
      </c>
      <c r="O36" s="87">
        <f>Q11-P23</f>
        <v>103.28000000000009</v>
      </c>
      <c r="P36" s="2"/>
    </row>
    <row r="37" spans="1:16" x14ac:dyDescent="0.25">
      <c r="A37" s="65">
        <v>45891</v>
      </c>
      <c r="B37" s="9" t="s">
        <v>9</v>
      </c>
      <c r="C37" s="127">
        <v>39.32</v>
      </c>
      <c r="E37" s="103">
        <v>45891</v>
      </c>
      <c r="F37" s="9" t="s">
        <v>9</v>
      </c>
      <c r="G37" s="121">
        <v>39.57</v>
      </c>
      <c r="H37" s="108"/>
      <c r="I37" s="103">
        <v>45900</v>
      </c>
      <c r="J37" s="11" t="s">
        <v>10</v>
      </c>
      <c r="K37" s="121">
        <v>99.7</v>
      </c>
    </row>
    <row r="38" spans="1:16" x14ac:dyDescent="0.25">
      <c r="A38" s="65">
        <v>45891</v>
      </c>
      <c r="B38" s="9" t="s">
        <v>9</v>
      </c>
      <c r="C38" s="127">
        <v>39.369999999999997</v>
      </c>
      <c r="E38" s="103">
        <v>45892</v>
      </c>
      <c r="F38" s="9" t="s">
        <v>8</v>
      </c>
      <c r="G38" s="120">
        <v>30.5</v>
      </c>
      <c r="I38" s="65"/>
      <c r="J38" s="11"/>
      <c r="K38" s="120"/>
    </row>
    <row r="39" spans="1:16" x14ac:dyDescent="0.25">
      <c r="A39" s="65">
        <v>45891</v>
      </c>
      <c r="B39" s="9" t="s">
        <v>9</v>
      </c>
      <c r="C39" s="127">
        <v>39.5</v>
      </c>
      <c r="E39" s="67">
        <v>45893</v>
      </c>
      <c r="F39" s="9" t="s">
        <v>9</v>
      </c>
      <c r="G39" s="120">
        <v>36.799999999999997</v>
      </c>
      <c r="I39" s="103"/>
      <c r="J39" s="11"/>
      <c r="K39" s="120"/>
    </row>
    <row r="40" spans="1:16" x14ac:dyDescent="0.25">
      <c r="A40" s="65">
        <v>45891</v>
      </c>
      <c r="B40" s="9" t="s">
        <v>9</v>
      </c>
      <c r="C40" s="127">
        <v>39.46</v>
      </c>
      <c r="E40" s="67">
        <v>45893</v>
      </c>
      <c r="F40" s="9" t="s">
        <v>9</v>
      </c>
      <c r="G40" s="120">
        <v>39.4</v>
      </c>
      <c r="I40" s="103"/>
      <c r="J40" s="11"/>
      <c r="K40" s="120"/>
    </row>
    <row r="41" spans="1:16" x14ac:dyDescent="0.25">
      <c r="A41" s="65">
        <v>45891</v>
      </c>
      <c r="B41" s="9" t="s">
        <v>9</v>
      </c>
      <c r="C41" s="127">
        <v>39.26</v>
      </c>
      <c r="E41" s="67">
        <v>45893</v>
      </c>
      <c r="F41" s="9" t="s">
        <v>8</v>
      </c>
      <c r="G41" s="120">
        <v>16.82</v>
      </c>
      <c r="I41" s="67"/>
      <c r="J41" s="11"/>
      <c r="K41" s="120"/>
    </row>
    <row r="42" spans="1:16" x14ac:dyDescent="0.25">
      <c r="A42" s="65">
        <v>45891</v>
      </c>
      <c r="B42" s="9" t="s">
        <v>9</v>
      </c>
      <c r="C42" s="127">
        <v>39.43</v>
      </c>
      <c r="E42" s="67">
        <v>45893</v>
      </c>
      <c r="F42" s="9" t="s">
        <v>9</v>
      </c>
      <c r="G42" s="120">
        <v>39.43</v>
      </c>
      <c r="I42" s="67"/>
      <c r="J42" s="11"/>
      <c r="K42" s="120"/>
    </row>
    <row r="43" spans="1:16" x14ac:dyDescent="0.25">
      <c r="A43" s="65">
        <v>45891</v>
      </c>
      <c r="B43" s="9" t="s">
        <v>9</v>
      </c>
      <c r="C43" s="127">
        <v>39.590000000000003</v>
      </c>
      <c r="E43" s="67">
        <v>45894</v>
      </c>
      <c r="F43" s="9" t="s">
        <v>9</v>
      </c>
      <c r="G43" s="120">
        <v>36.9</v>
      </c>
      <c r="I43" s="67"/>
      <c r="J43" s="11"/>
      <c r="K43" s="120"/>
    </row>
    <row r="44" spans="1:16" x14ac:dyDescent="0.25">
      <c r="A44" s="65">
        <v>45891</v>
      </c>
      <c r="B44" s="9" t="s">
        <v>9</v>
      </c>
      <c r="C44" s="127">
        <v>39.549999999999997</v>
      </c>
      <c r="E44" s="67">
        <v>45895</v>
      </c>
      <c r="F44" s="9" t="s">
        <v>8</v>
      </c>
      <c r="G44" s="120">
        <v>27.5</v>
      </c>
      <c r="I44" s="67"/>
      <c r="J44" s="11"/>
      <c r="K44" s="120"/>
    </row>
    <row r="45" spans="1:16" x14ac:dyDescent="0.25">
      <c r="A45" s="65">
        <v>45891</v>
      </c>
      <c r="B45" s="9" t="s">
        <v>9</v>
      </c>
      <c r="C45" s="127">
        <v>39.57</v>
      </c>
      <c r="E45" s="67">
        <v>45895</v>
      </c>
      <c r="F45" s="9" t="s">
        <v>8</v>
      </c>
      <c r="G45" s="120">
        <v>6.3</v>
      </c>
      <c r="I45" s="67"/>
      <c r="J45" s="11"/>
      <c r="K45" s="120"/>
    </row>
    <row r="46" spans="1:16" x14ac:dyDescent="0.25">
      <c r="A46" s="65">
        <v>45892</v>
      </c>
      <c r="B46" s="9" t="s">
        <v>8</v>
      </c>
      <c r="C46" s="127">
        <v>56.54</v>
      </c>
      <c r="E46" s="67">
        <v>45896</v>
      </c>
      <c r="F46" s="9" t="s">
        <v>9</v>
      </c>
      <c r="G46" s="120">
        <v>36.9</v>
      </c>
      <c r="I46" s="67"/>
      <c r="J46" s="23"/>
      <c r="K46" s="120"/>
    </row>
    <row r="47" spans="1:16" x14ac:dyDescent="0.25">
      <c r="A47" s="65">
        <v>45894</v>
      </c>
      <c r="B47" s="9" t="s">
        <v>8</v>
      </c>
      <c r="C47" s="127">
        <v>56.5</v>
      </c>
      <c r="E47" s="67">
        <v>45897</v>
      </c>
      <c r="F47" s="9" t="s">
        <v>8</v>
      </c>
      <c r="G47" s="120">
        <v>16.3</v>
      </c>
      <c r="I47" s="67"/>
      <c r="J47" s="11"/>
      <c r="K47" s="120"/>
    </row>
    <row r="48" spans="1:16" x14ac:dyDescent="0.25">
      <c r="A48" s="65">
        <v>45898</v>
      </c>
      <c r="B48" s="9" t="s">
        <v>8</v>
      </c>
      <c r="C48" s="127">
        <v>56.8</v>
      </c>
      <c r="E48" s="67">
        <v>45898</v>
      </c>
      <c r="F48" s="9" t="s">
        <v>8</v>
      </c>
      <c r="G48" s="120">
        <v>30.5</v>
      </c>
      <c r="I48" s="67"/>
      <c r="J48" s="11"/>
      <c r="K48" s="120"/>
    </row>
    <row r="49" spans="1:11" x14ac:dyDescent="0.25">
      <c r="A49" s="65">
        <v>45900</v>
      </c>
      <c r="B49" s="9" t="s">
        <v>8</v>
      </c>
      <c r="C49" s="127">
        <v>56.7</v>
      </c>
      <c r="E49" s="67">
        <v>45899</v>
      </c>
      <c r="F49" s="9" t="s">
        <v>9</v>
      </c>
      <c r="G49" s="120">
        <v>39.26</v>
      </c>
      <c r="I49" s="67"/>
      <c r="J49" s="23"/>
      <c r="K49" s="120"/>
    </row>
    <row r="50" spans="1:11" x14ac:dyDescent="0.25">
      <c r="A50" s="65"/>
      <c r="B50" s="9"/>
      <c r="C50" s="127"/>
      <c r="E50" s="67">
        <v>45899</v>
      </c>
      <c r="F50" s="9" t="s">
        <v>9</v>
      </c>
      <c r="G50" s="120">
        <v>39.32</v>
      </c>
      <c r="I50" s="67"/>
      <c r="J50" s="11"/>
      <c r="K50" s="120"/>
    </row>
    <row r="51" spans="1:11" x14ac:dyDescent="0.25">
      <c r="A51" s="65"/>
      <c r="B51" s="9"/>
      <c r="C51" s="127"/>
      <c r="E51" s="67">
        <v>45899</v>
      </c>
      <c r="F51" s="9" t="s">
        <v>9</v>
      </c>
      <c r="G51" s="120">
        <v>39.590000000000003</v>
      </c>
      <c r="I51" s="67"/>
      <c r="J51" s="11"/>
      <c r="K51" s="120"/>
    </row>
    <row r="52" spans="1:11" x14ac:dyDescent="0.25">
      <c r="A52" s="65"/>
      <c r="B52" s="9"/>
      <c r="C52" s="127"/>
      <c r="E52" s="67">
        <v>45900</v>
      </c>
      <c r="F52" s="9" t="s">
        <v>8</v>
      </c>
      <c r="G52" s="120">
        <v>38.5</v>
      </c>
      <c r="I52" s="67"/>
      <c r="J52" s="23"/>
      <c r="K52" s="120"/>
    </row>
    <row r="53" spans="1:11" x14ac:dyDescent="0.25">
      <c r="A53" s="65"/>
      <c r="B53" s="9"/>
      <c r="C53" s="127"/>
      <c r="E53" s="67"/>
      <c r="F53" s="9"/>
      <c r="G53" s="120"/>
      <c r="I53" s="67"/>
      <c r="J53" s="11"/>
      <c r="K53" s="120"/>
    </row>
    <row r="54" spans="1:11" x14ac:dyDescent="0.25">
      <c r="A54" s="65"/>
      <c r="B54" s="9"/>
      <c r="C54" s="127"/>
      <c r="E54" s="67"/>
      <c r="F54" s="9"/>
      <c r="G54" s="120"/>
      <c r="I54" s="67"/>
      <c r="J54" s="11"/>
      <c r="K54" s="120"/>
    </row>
    <row r="55" spans="1:11" x14ac:dyDescent="0.25">
      <c r="A55" s="65"/>
      <c r="B55" s="9"/>
      <c r="C55" s="127"/>
      <c r="E55" s="67"/>
      <c r="F55" s="9"/>
      <c r="G55" s="120"/>
      <c r="I55" s="67"/>
      <c r="J55" s="23"/>
      <c r="K55" s="120"/>
    </row>
    <row r="56" spans="1:11" x14ac:dyDescent="0.25">
      <c r="A56" s="65"/>
      <c r="B56" s="9"/>
      <c r="C56" s="127"/>
      <c r="E56" s="67"/>
      <c r="F56" s="9"/>
      <c r="G56" s="120"/>
      <c r="I56" s="67"/>
      <c r="J56" s="11"/>
      <c r="K56" s="120"/>
    </row>
    <row r="57" spans="1:11" x14ac:dyDescent="0.25">
      <c r="A57" s="65"/>
      <c r="B57" s="9"/>
      <c r="C57" s="127"/>
      <c r="E57" s="67"/>
      <c r="F57" s="9"/>
      <c r="G57" s="120"/>
      <c r="I57" s="67"/>
      <c r="J57" s="11"/>
      <c r="K57" s="120"/>
    </row>
    <row r="58" spans="1:11" x14ac:dyDescent="0.25">
      <c r="A58" s="65"/>
      <c r="B58" s="9"/>
      <c r="C58" s="127"/>
      <c r="E58" s="67"/>
      <c r="F58" s="9"/>
      <c r="G58" s="120"/>
      <c r="I58" s="67"/>
      <c r="J58" s="23"/>
      <c r="K58" s="120"/>
    </row>
    <row r="59" spans="1:11" x14ac:dyDescent="0.25">
      <c r="A59" s="65"/>
      <c r="B59" s="9"/>
      <c r="C59" s="127"/>
      <c r="E59" s="67"/>
      <c r="F59" s="9"/>
      <c r="G59" s="120"/>
      <c r="I59" s="67"/>
      <c r="J59" s="11"/>
      <c r="K59" s="120"/>
    </row>
    <row r="60" spans="1:11" x14ac:dyDescent="0.25">
      <c r="A60" s="65"/>
      <c r="B60" s="9"/>
      <c r="C60" s="127"/>
      <c r="E60" s="67"/>
      <c r="F60" s="9"/>
      <c r="G60" s="120"/>
      <c r="I60" s="67"/>
      <c r="J60" s="11"/>
      <c r="K60" s="120"/>
    </row>
    <row r="61" spans="1:11" x14ac:dyDescent="0.25">
      <c r="A61" s="65"/>
      <c r="B61" s="9"/>
      <c r="C61" s="127"/>
      <c r="E61" s="67"/>
      <c r="F61" s="9"/>
      <c r="G61" s="120"/>
      <c r="I61" s="67"/>
      <c r="J61" s="23"/>
      <c r="K61" s="120"/>
    </row>
    <row r="62" spans="1:11" x14ac:dyDescent="0.25">
      <c r="A62" s="65"/>
      <c r="B62" s="9"/>
      <c r="C62" s="127"/>
      <c r="E62" s="67"/>
      <c r="F62" s="9"/>
      <c r="G62" s="120"/>
      <c r="I62" s="67"/>
      <c r="J62" s="11"/>
      <c r="K62" s="120"/>
    </row>
    <row r="63" spans="1:11" x14ac:dyDescent="0.25">
      <c r="A63" s="65"/>
      <c r="B63" s="9"/>
      <c r="C63" s="127"/>
      <c r="E63" s="67"/>
      <c r="F63" s="9"/>
      <c r="G63" s="120"/>
      <c r="I63" s="67"/>
      <c r="J63" s="11"/>
      <c r="K63" s="120"/>
    </row>
    <row r="64" spans="1:11" x14ac:dyDescent="0.25">
      <c r="A64" s="65"/>
      <c r="B64" s="9"/>
      <c r="C64" s="127"/>
      <c r="E64" s="67"/>
      <c r="F64" s="9"/>
      <c r="G64" s="120"/>
      <c r="I64" s="67"/>
      <c r="J64" s="23"/>
      <c r="K64" s="120"/>
    </row>
    <row r="65" spans="1:11" x14ac:dyDescent="0.25">
      <c r="A65" s="65"/>
      <c r="B65" s="9"/>
      <c r="C65" s="127"/>
      <c r="E65" s="67"/>
      <c r="F65" s="9"/>
      <c r="G65" s="120"/>
      <c r="I65" s="67"/>
      <c r="J65" s="11"/>
      <c r="K65" s="120"/>
    </row>
    <row r="66" spans="1:11" x14ac:dyDescent="0.25">
      <c r="A66" s="65"/>
      <c r="B66" s="9"/>
      <c r="C66" s="127"/>
      <c r="E66" s="67"/>
      <c r="F66" s="9"/>
      <c r="G66" s="120"/>
      <c r="I66" s="67"/>
      <c r="J66" s="11"/>
      <c r="K66" s="120"/>
    </row>
    <row r="67" spans="1:11" x14ac:dyDescent="0.25">
      <c r="A67" s="65"/>
      <c r="B67" s="9"/>
      <c r="C67" s="127"/>
      <c r="E67" s="67"/>
      <c r="F67" s="9"/>
      <c r="G67" s="120"/>
      <c r="I67" s="67"/>
      <c r="J67" s="23"/>
      <c r="K67" s="120"/>
    </row>
    <row r="68" spans="1:11" x14ac:dyDescent="0.25">
      <c r="A68" s="65"/>
      <c r="B68" s="9"/>
      <c r="C68" s="127"/>
      <c r="E68" s="67"/>
      <c r="F68" s="9"/>
      <c r="G68" s="120"/>
      <c r="I68" s="67"/>
      <c r="J68" s="11"/>
      <c r="K68" s="120"/>
    </row>
    <row r="69" spans="1:11" x14ac:dyDescent="0.25">
      <c r="A69" s="65"/>
      <c r="B69" s="9"/>
      <c r="C69" s="127"/>
      <c r="E69" s="67"/>
      <c r="F69" s="9"/>
      <c r="G69" s="120"/>
      <c r="I69" s="67"/>
      <c r="J69" s="11"/>
      <c r="K69" s="120"/>
    </row>
    <row r="70" spans="1:11" x14ac:dyDescent="0.25">
      <c r="A70" s="65"/>
      <c r="B70" s="9"/>
      <c r="C70" s="127"/>
      <c r="E70" s="67"/>
      <c r="F70" s="9"/>
      <c r="G70" s="120"/>
      <c r="I70" s="67"/>
      <c r="J70" s="23"/>
      <c r="K70" s="120"/>
    </row>
    <row r="71" spans="1:11" x14ac:dyDescent="0.25">
      <c r="A71" s="65"/>
      <c r="B71" s="9"/>
      <c r="C71" s="127"/>
      <c r="E71" s="67"/>
      <c r="F71" s="9"/>
      <c r="G71" s="120"/>
      <c r="I71" s="67"/>
      <c r="J71" s="11"/>
      <c r="K71" s="120"/>
    </row>
    <row r="72" spans="1:11" x14ac:dyDescent="0.25">
      <c r="A72" s="65"/>
      <c r="B72" s="9"/>
      <c r="C72" s="127"/>
      <c r="E72" s="67"/>
      <c r="F72" s="9"/>
      <c r="G72" s="120"/>
      <c r="I72" s="67"/>
      <c r="J72" s="11"/>
      <c r="K72" s="120"/>
    </row>
    <row r="73" spans="1:11" x14ac:dyDescent="0.25">
      <c r="A73" s="65"/>
      <c r="B73" s="9"/>
      <c r="C73" s="127"/>
      <c r="E73" s="67"/>
      <c r="F73" s="9"/>
      <c r="G73" s="120"/>
      <c r="I73" s="67"/>
      <c r="J73" s="23"/>
      <c r="K73" s="120"/>
    </row>
    <row r="74" spans="1:11" x14ac:dyDescent="0.25">
      <c r="A74" s="65"/>
      <c r="B74" s="9"/>
      <c r="C74" s="127"/>
      <c r="E74" s="67"/>
      <c r="F74" s="9"/>
      <c r="G74" s="120"/>
      <c r="I74" s="67"/>
      <c r="J74" s="11"/>
      <c r="K74" s="120"/>
    </row>
    <row r="75" spans="1:11" x14ac:dyDescent="0.25">
      <c r="A75" s="65"/>
      <c r="B75" s="9"/>
      <c r="C75" s="127"/>
      <c r="E75" s="67"/>
      <c r="F75" s="9"/>
      <c r="G75" s="120"/>
      <c r="I75" s="67"/>
      <c r="J75" s="11"/>
      <c r="K75" s="120"/>
    </row>
    <row r="76" spans="1:11" x14ac:dyDescent="0.25">
      <c r="A76" s="65"/>
      <c r="B76" s="9"/>
      <c r="C76" s="127"/>
      <c r="E76" s="67"/>
      <c r="F76" s="9"/>
      <c r="G76" s="120"/>
      <c r="I76" s="67"/>
      <c r="J76" s="23"/>
      <c r="K76" s="120"/>
    </row>
    <row r="77" spans="1:11" x14ac:dyDescent="0.25">
      <c r="A77" s="65"/>
      <c r="B77" s="9"/>
      <c r="C77" s="127"/>
      <c r="E77" s="67"/>
      <c r="F77" s="9"/>
      <c r="G77" s="120"/>
      <c r="I77" s="67"/>
      <c r="J77" s="11"/>
      <c r="K77" s="120"/>
    </row>
    <row r="78" spans="1:11" x14ac:dyDescent="0.25">
      <c r="A78" s="65"/>
      <c r="B78" s="9"/>
      <c r="C78" s="127"/>
      <c r="E78" s="67"/>
      <c r="F78" s="9"/>
      <c r="G78" s="120"/>
      <c r="I78" s="67"/>
      <c r="J78" s="11"/>
      <c r="K78" s="120"/>
    </row>
    <row r="79" spans="1:11" x14ac:dyDescent="0.25">
      <c r="A79" s="65"/>
      <c r="B79" s="9"/>
      <c r="C79" s="127"/>
      <c r="E79" s="67"/>
      <c r="F79" s="9"/>
      <c r="G79" s="120"/>
      <c r="I79" s="67"/>
      <c r="J79" s="23"/>
      <c r="K79" s="120"/>
    </row>
    <row r="80" spans="1:11" x14ac:dyDescent="0.25">
      <c r="A80" s="65"/>
      <c r="B80" s="9"/>
      <c r="C80" s="127"/>
      <c r="E80" s="67"/>
      <c r="F80" s="9"/>
      <c r="G80" s="120"/>
      <c r="I80" s="67"/>
      <c r="J80" s="11"/>
      <c r="K80" s="120"/>
    </row>
    <row r="81" spans="1:11" x14ac:dyDescent="0.25">
      <c r="A81" s="65"/>
      <c r="B81" s="9"/>
      <c r="C81" s="127"/>
      <c r="E81" s="67"/>
      <c r="F81" s="9"/>
      <c r="G81" s="120"/>
      <c r="I81" s="67"/>
      <c r="J81" s="11"/>
      <c r="K81" s="120"/>
    </row>
    <row r="82" spans="1:11" x14ac:dyDescent="0.25">
      <c r="A82" s="65"/>
      <c r="B82" s="9"/>
      <c r="C82" s="127"/>
      <c r="E82" s="67"/>
      <c r="F82" s="9"/>
      <c r="G82" s="120"/>
      <c r="I82" s="67"/>
      <c r="J82" s="23"/>
      <c r="K82" s="120"/>
    </row>
    <row r="83" spans="1:11" x14ac:dyDescent="0.25">
      <c r="A83" s="65"/>
      <c r="B83" s="9"/>
      <c r="C83" s="127"/>
      <c r="E83" s="67"/>
      <c r="F83" s="9"/>
      <c r="G83" s="120"/>
      <c r="I83" s="67"/>
      <c r="J83" s="11"/>
      <c r="K83" s="120"/>
    </row>
    <row r="84" spans="1:11" x14ac:dyDescent="0.25">
      <c r="A84" s="65"/>
      <c r="B84" s="9"/>
      <c r="C84" s="127"/>
      <c r="E84" s="67"/>
      <c r="F84" s="9"/>
      <c r="G84" s="120"/>
      <c r="I84" s="67"/>
      <c r="J84" s="11"/>
      <c r="K84" s="120"/>
    </row>
    <row r="85" spans="1:11" x14ac:dyDescent="0.25">
      <c r="A85" s="65"/>
      <c r="B85" s="9"/>
      <c r="C85" s="127"/>
      <c r="E85" s="67"/>
      <c r="F85" s="9"/>
      <c r="G85" s="120"/>
      <c r="I85" s="67"/>
      <c r="J85" s="23"/>
      <c r="K85" s="120"/>
    </row>
    <row r="86" spans="1:11" x14ac:dyDescent="0.25">
      <c r="A86" s="65"/>
      <c r="B86" s="9"/>
      <c r="C86" s="127"/>
      <c r="E86" s="67"/>
      <c r="F86" s="9"/>
      <c r="G86" s="120"/>
      <c r="I86" s="67"/>
      <c r="J86" s="11"/>
      <c r="K86" s="120"/>
    </row>
    <row r="87" spans="1:11" x14ac:dyDescent="0.25">
      <c r="A87" s="65"/>
      <c r="B87" s="9"/>
      <c r="C87" s="127"/>
      <c r="E87" s="67"/>
      <c r="F87" s="9"/>
      <c r="G87" s="120"/>
      <c r="I87" s="67"/>
      <c r="J87" s="11"/>
      <c r="K87" s="120"/>
    </row>
    <row r="88" spans="1:11" x14ac:dyDescent="0.25">
      <c r="A88" s="65"/>
      <c r="B88" s="9"/>
      <c r="C88" s="127"/>
      <c r="E88" s="67"/>
      <c r="F88" s="9"/>
      <c r="G88" s="120"/>
      <c r="I88" s="67"/>
      <c r="J88" s="23"/>
      <c r="K88" s="120"/>
    </row>
    <row r="89" spans="1:11" x14ac:dyDescent="0.25">
      <c r="A89" s="65"/>
      <c r="B89" s="9"/>
      <c r="C89" s="127"/>
      <c r="E89" s="67"/>
      <c r="F89" s="9"/>
      <c r="G89" s="120"/>
      <c r="I89" s="67"/>
      <c r="J89" s="11"/>
      <c r="K89" s="120"/>
    </row>
    <row r="90" spans="1:11" x14ac:dyDescent="0.25">
      <c r="A90" s="65"/>
      <c r="B90" s="9"/>
      <c r="C90" s="127"/>
      <c r="E90" s="67"/>
      <c r="F90" s="9"/>
      <c r="G90" s="120"/>
      <c r="I90" s="67"/>
      <c r="J90" s="11"/>
      <c r="K90" s="120"/>
    </row>
    <row r="91" spans="1:11" x14ac:dyDescent="0.25">
      <c r="A91" s="65"/>
      <c r="B91" s="9"/>
      <c r="C91" s="127"/>
      <c r="E91" s="67"/>
      <c r="F91" s="9"/>
      <c r="G91" s="120"/>
      <c r="I91" s="67"/>
      <c r="J91" s="23"/>
      <c r="K91" s="120"/>
    </row>
    <row r="92" spans="1:11" x14ac:dyDescent="0.25">
      <c r="A92" s="65"/>
      <c r="B92" s="9"/>
      <c r="C92" s="127"/>
      <c r="E92" s="67"/>
      <c r="F92" s="9"/>
      <c r="G92" s="120"/>
      <c r="I92" s="67"/>
      <c r="J92" s="11"/>
      <c r="K92" s="120"/>
    </row>
    <row r="93" spans="1:11" x14ac:dyDescent="0.25">
      <c r="A93" s="65"/>
      <c r="B93" s="9"/>
      <c r="C93" s="127"/>
      <c r="E93" s="67"/>
      <c r="F93" s="9"/>
      <c r="G93" s="120"/>
      <c r="I93" s="67"/>
      <c r="J93" s="11"/>
      <c r="K93" s="120"/>
    </row>
    <row r="94" spans="1:11" x14ac:dyDescent="0.25">
      <c r="A94" s="65"/>
      <c r="B94" s="9"/>
      <c r="C94" s="127"/>
      <c r="E94" s="67"/>
      <c r="F94" s="9"/>
      <c r="G94" s="120"/>
      <c r="I94" s="67"/>
      <c r="J94" s="23"/>
      <c r="K94" s="120"/>
    </row>
    <row r="95" spans="1:11" x14ac:dyDescent="0.25">
      <c r="A95" s="65"/>
      <c r="B95" s="9"/>
      <c r="C95" s="127"/>
      <c r="E95" s="67"/>
      <c r="F95" s="9"/>
      <c r="G95" s="120"/>
      <c r="I95" s="67"/>
      <c r="J95" s="11"/>
      <c r="K95" s="120"/>
    </row>
    <row r="96" spans="1:11" x14ac:dyDescent="0.25">
      <c r="A96" s="65"/>
      <c r="B96" s="9"/>
      <c r="C96" s="127"/>
      <c r="E96" s="67"/>
      <c r="F96" s="9"/>
      <c r="G96" s="120"/>
      <c r="I96" s="67"/>
      <c r="J96" s="11"/>
      <c r="K96" s="120"/>
    </row>
    <row r="97" spans="1:11" x14ac:dyDescent="0.25">
      <c r="A97" s="65"/>
      <c r="B97" s="9"/>
      <c r="C97" s="127"/>
      <c r="E97" s="67"/>
      <c r="F97" s="9"/>
      <c r="G97" s="120"/>
      <c r="I97" s="67"/>
      <c r="J97" s="23"/>
      <c r="K97" s="120"/>
    </row>
    <row r="98" spans="1:11" x14ac:dyDescent="0.25">
      <c r="A98" s="65"/>
      <c r="B98" s="9"/>
      <c r="C98" s="127"/>
      <c r="E98" s="67"/>
      <c r="F98" s="9"/>
      <c r="G98" s="120"/>
      <c r="I98" s="67"/>
      <c r="J98" s="11"/>
      <c r="K98" s="120"/>
    </row>
    <row r="99" spans="1:11" x14ac:dyDescent="0.25">
      <c r="A99" s="65"/>
      <c r="B99" s="9"/>
      <c r="C99" s="127"/>
      <c r="E99" s="67"/>
      <c r="F99" s="9"/>
      <c r="G99" s="120"/>
      <c r="I99" s="67"/>
      <c r="J99" s="11"/>
      <c r="K99" s="120"/>
    </row>
    <row r="100" spans="1:11" x14ac:dyDescent="0.25">
      <c r="A100" s="65"/>
      <c r="B100" s="9"/>
      <c r="C100" s="127"/>
      <c r="E100" s="67"/>
      <c r="F100" s="9"/>
      <c r="G100" s="120"/>
      <c r="I100" s="67"/>
      <c r="J100" s="23"/>
      <c r="K100" s="120"/>
    </row>
    <row r="101" spans="1:11" x14ac:dyDescent="0.25">
      <c r="A101" s="65"/>
      <c r="B101" s="9"/>
      <c r="C101" s="127"/>
      <c r="E101" s="67"/>
      <c r="F101" s="9"/>
      <c r="G101" s="120"/>
      <c r="I101" s="67"/>
      <c r="J101" s="11"/>
      <c r="K101" s="120"/>
    </row>
    <row r="102" spans="1:11" x14ac:dyDescent="0.25">
      <c r="A102" s="65"/>
      <c r="B102" s="9"/>
      <c r="C102" s="127"/>
      <c r="E102" s="67"/>
      <c r="F102" s="9"/>
      <c r="G102" s="120"/>
      <c r="I102" s="67"/>
      <c r="J102" s="11"/>
      <c r="K102" s="120"/>
    </row>
    <row r="103" spans="1:11" x14ac:dyDescent="0.25">
      <c r="A103" s="65"/>
      <c r="B103" s="9"/>
      <c r="C103" s="127"/>
      <c r="E103" s="67"/>
      <c r="F103" s="9"/>
      <c r="G103" s="120"/>
      <c r="I103" s="67"/>
      <c r="J103" s="23"/>
      <c r="K103" s="120"/>
    </row>
    <row r="104" spans="1:11" x14ac:dyDescent="0.25">
      <c r="A104" s="65"/>
      <c r="B104" s="9"/>
      <c r="C104" s="127"/>
      <c r="E104" s="67"/>
      <c r="F104" s="9"/>
      <c r="G104" s="120"/>
      <c r="I104" s="67"/>
      <c r="J104" s="11"/>
      <c r="K104" s="120"/>
    </row>
    <row r="105" spans="1:11" x14ac:dyDescent="0.25">
      <c r="A105" s="65"/>
      <c r="B105" s="9"/>
      <c r="C105" s="127"/>
      <c r="E105" s="67"/>
      <c r="F105" s="9"/>
      <c r="G105" s="120"/>
      <c r="I105" s="67"/>
      <c r="J105" s="11"/>
      <c r="K105" s="120"/>
    </row>
    <row r="106" spans="1:11" x14ac:dyDescent="0.25">
      <c r="A106" s="65"/>
      <c r="B106" s="9"/>
      <c r="C106" s="127"/>
      <c r="E106" s="67"/>
      <c r="F106" s="9"/>
      <c r="G106" s="120"/>
      <c r="I106" s="67"/>
      <c r="J106" s="23"/>
      <c r="K106" s="120"/>
    </row>
    <row r="107" spans="1:11" x14ac:dyDescent="0.25">
      <c r="A107" s="65"/>
      <c r="B107" s="9"/>
      <c r="C107" s="127"/>
      <c r="E107" s="67"/>
      <c r="F107" s="9"/>
      <c r="G107" s="120"/>
      <c r="I107" s="67"/>
      <c r="J107" s="11"/>
      <c r="K107" s="120"/>
    </row>
    <row r="108" spans="1:11" x14ac:dyDescent="0.25">
      <c r="A108" s="65"/>
      <c r="B108" s="9"/>
      <c r="C108" s="127"/>
      <c r="E108" s="67"/>
      <c r="F108" s="9"/>
      <c r="G108" s="120"/>
      <c r="I108" s="67"/>
      <c r="J108" s="11"/>
      <c r="K108" s="120"/>
    </row>
    <row r="109" spans="1:11" x14ac:dyDescent="0.25">
      <c r="A109" s="65"/>
      <c r="B109" s="9"/>
      <c r="C109" s="127"/>
      <c r="E109" s="67"/>
      <c r="F109" s="9"/>
      <c r="G109" s="120"/>
      <c r="I109" s="67"/>
      <c r="J109" s="23"/>
      <c r="K109" s="120"/>
    </row>
    <row r="110" spans="1:11" x14ac:dyDescent="0.25">
      <c r="A110" s="65"/>
      <c r="B110" s="9"/>
      <c r="C110" s="127"/>
      <c r="E110" s="67"/>
      <c r="F110" s="9"/>
      <c r="G110" s="120"/>
      <c r="I110" s="67"/>
      <c r="J110" s="11"/>
      <c r="K110" s="120"/>
    </row>
    <row r="111" spans="1:11" x14ac:dyDescent="0.25">
      <c r="A111" s="65"/>
      <c r="B111" s="9"/>
      <c r="C111" s="127"/>
      <c r="E111" s="67"/>
      <c r="F111" s="9"/>
      <c r="G111" s="120"/>
      <c r="I111" s="67"/>
      <c r="J111" s="11"/>
      <c r="K111" s="120"/>
    </row>
    <row r="112" spans="1:11" x14ac:dyDescent="0.25">
      <c r="A112" s="65"/>
      <c r="B112" s="9"/>
      <c r="C112" s="127"/>
      <c r="E112" s="67"/>
      <c r="F112" s="9"/>
      <c r="G112" s="120"/>
      <c r="I112" s="67"/>
      <c r="J112" s="23"/>
      <c r="K112" s="120"/>
    </row>
    <row r="113" spans="1:11" x14ac:dyDescent="0.25">
      <c r="A113" s="65"/>
      <c r="B113" s="9"/>
      <c r="C113" s="127"/>
      <c r="E113" s="67"/>
      <c r="F113" s="9"/>
      <c r="G113" s="120"/>
      <c r="I113" s="67"/>
      <c r="J113" s="11"/>
      <c r="K113" s="120"/>
    </row>
    <row r="114" spans="1:11" x14ac:dyDescent="0.25">
      <c r="A114" s="65"/>
      <c r="B114" s="9"/>
      <c r="C114" s="127"/>
      <c r="E114" s="67"/>
      <c r="F114" s="9"/>
      <c r="G114" s="120"/>
      <c r="I114" s="67"/>
      <c r="J114" s="11"/>
      <c r="K114" s="120"/>
    </row>
    <row r="115" spans="1:11" x14ac:dyDescent="0.25">
      <c r="A115" s="65"/>
      <c r="B115" s="9"/>
      <c r="C115" s="127"/>
      <c r="E115" s="67"/>
      <c r="F115" s="9"/>
      <c r="G115" s="120"/>
      <c r="I115" s="67"/>
      <c r="J115" s="23"/>
      <c r="K115" s="120"/>
    </row>
    <row r="116" spans="1:11" x14ac:dyDescent="0.25">
      <c r="A116" s="65"/>
      <c r="B116" s="9"/>
      <c r="C116" s="127"/>
      <c r="E116" s="67"/>
      <c r="F116" s="9"/>
      <c r="G116" s="120"/>
      <c r="I116" s="67"/>
      <c r="J116" s="11"/>
      <c r="K116" s="120"/>
    </row>
    <row r="117" spans="1:11" x14ac:dyDescent="0.25">
      <c r="A117" s="65"/>
      <c r="B117" s="9"/>
      <c r="C117" s="127"/>
      <c r="E117" s="67"/>
      <c r="F117" s="9"/>
      <c r="G117" s="120"/>
      <c r="I117" s="67"/>
      <c r="J117" s="11"/>
      <c r="K117" s="120"/>
    </row>
    <row r="118" spans="1:11" x14ac:dyDescent="0.25">
      <c r="A118" s="65"/>
      <c r="B118" s="9"/>
      <c r="C118" s="127"/>
      <c r="E118" s="67"/>
      <c r="F118" s="9"/>
      <c r="G118" s="120"/>
      <c r="I118" s="67"/>
      <c r="J118" s="23"/>
      <c r="K118" s="120"/>
    </row>
    <row r="119" spans="1:11" x14ac:dyDescent="0.25">
      <c r="A119" s="65"/>
      <c r="B119" s="9"/>
      <c r="C119" s="127"/>
      <c r="E119" s="67"/>
      <c r="F119" s="9"/>
      <c r="G119" s="120"/>
      <c r="I119" s="67"/>
      <c r="J119" s="11"/>
      <c r="K119" s="120"/>
    </row>
    <row r="120" spans="1:11" x14ac:dyDescent="0.25">
      <c r="A120" s="65"/>
      <c r="B120" s="9"/>
      <c r="C120" s="127"/>
      <c r="E120" s="67"/>
      <c r="F120" s="9"/>
      <c r="G120" s="120"/>
      <c r="I120" s="67"/>
      <c r="J120" s="11"/>
      <c r="K120" s="120"/>
    </row>
    <row r="121" spans="1:11" x14ac:dyDescent="0.25">
      <c r="A121" s="65"/>
      <c r="B121" s="9"/>
      <c r="C121" s="127"/>
      <c r="E121" s="67"/>
      <c r="F121" s="9"/>
      <c r="G121" s="120"/>
      <c r="I121" s="67"/>
      <c r="J121" s="23"/>
      <c r="K121" s="120"/>
    </row>
    <row r="122" spans="1:11" x14ac:dyDescent="0.25">
      <c r="A122" s="65"/>
      <c r="B122" s="9"/>
      <c r="C122" s="127"/>
      <c r="E122" s="67"/>
      <c r="F122" s="9"/>
      <c r="G122" s="120"/>
      <c r="I122" s="67"/>
      <c r="J122" s="11"/>
      <c r="K122" s="120"/>
    </row>
    <row r="123" spans="1:11" x14ac:dyDescent="0.25">
      <c r="A123" s="65"/>
      <c r="B123" s="9"/>
      <c r="C123" s="127"/>
      <c r="E123" s="67"/>
      <c r="F123" s="9"/>
      <c r="G123" s="120"/>
      <c r="I123" s="67"/>
      <c r="J123" s="11"/>
      <c r="K123" s="120"/>
    </row>
    <row r="124" spans="1:11" ht="15.75" thickBot="1" x14ac:dyDescent="0.3">
      <c r="A124" s="66"/>
      <c r="B124" s="10"/>
      <c r="C124" s="128"/>
      <c r="E124" s="68"/>
      <c r="F124" s="10"/>
      <c r="G124" s="123"/>
      <c r="I124" s="68"/>
      <c r="J124" s="8"/>
      <c r="K124" s="123"/>
    </row>
  </sheetData>
  <sheetProtection password="EF1F" sheet="1" objects="1" scenarios="1"/>
  <mergeCells count="9">
    <mergeCell ref="Q11:Q14"/>
    <mergeCell ref="P13:P14"/>
    <mergeCell ref="P23:P24"/>
    <mergeCell ref="E1:G1"/>
    <mergeCell ref="A4:C4"/>
    <mergeCell ref="E4:G4"/>
    <mergeCell ref="I4:K4"/>
    <mergeCell ref="P9:P10"/>
    <mergeCell ref="P11:P12"/>
  </mergeCells>
  <printOptions horizontalCentered="1"/>
  <pageMargins left="0.23622047244094491" right="0.23622047244094491" top="0.15748031496062992" bottom="0.15748031496062992" header="0.11811023622047245" footer="0.19685039370078741"/>
  <pageSetup paperSize="9" fitToWidth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Sheet2!$B$2:$B$6</xm:f>
          </x14:formula1>
          <xm:sqref>J6:J124</xm:sqref>
        </x14:dataValidation>
        <x14:dataValidation type="list" allowBlank="1" showInputMessage="1" showErrorMessage="1">
          <x14:formula1>
            <xm:f>Sheet2!$A$2:$A$5</xm:f>
          </x14:formula1>
          <xm:sqref>F6:F124</xm:sqref>
        </x14:dataValidation>
        <x14:dataValidation type="list" allowBlank="1" showInputMessage="1" showErrorMessage="1">
          <x14:formula1>
            <xm:f>Sheet2!$A$2:$A$11</xm:f>
          </x14:formula1>
          <xm:sqref>B6:B124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D18"/>
  <sheetViews>
    <sheetView workbookViewId="0">
      <selection activeCell="G20" sqref="G20"/>
    </sheetView>
  </sheetViews>
  <sheetFormatPr defaultRowHeight="15" x14ac:dyDescent="0.25"/>
  <cols>
    <col min="2" max="2" width="12.28515625" customWidth="1"/>
    <col min="3" max="3" width="11.7109375" customWidth="1"/>
    <col min="4" max="4" width="13" customWidth="1"/>
  </cols>
  <sheetData>
    <row r="5" spans="2:4" ht="15.75" thickBot="1" x14ac:dyDescent="0.3"/>
    <row r="6" spans="2:4" ht="37.5" customHeight="1" x14ac:dyDescent="0.25">
      <c r="B6" s="200" t="s">
        <v>31</v>
      </c>
      <c r="C6" s="201"/>
      <c r="D6" s="59" t="s">
        <v>41</v>
      </c>
    </row>
    <row r="7" spans="2:4" ht="12.75" customHeight="1" x14ac:dyDescent="0.45">
      <c r="B7" s="60" t="s">
        <v>21</v>
      </c>
      <c r="C7" s="58" t="s">
        <v>39</v>
      </c>
      <c r="D7" s="61" t="s">
        <v>47</v>
      </c>
    </row>
    <row r="8" spans="2:4" ht="12.75" customHeight="1" x14ac:dyDescent="0.45">
      <c r="B8" s="60" t="s">
        <v>22</v>
      </c>
      <c r="C8" s="58" t="s">
        <v>40</v>
      </c>
      <c r="D8" s="61" t="s">
        <v>48</v>
      </c>
    </row>
    <row r="9" spans="2:4" ht="12.75" customHeight="1" x14ac:dyDescent="0.45">
      <c r="B9" s="60" t="s">
        <v>23</v>
      </c>
      <c r="C9" s="58" t="s">
        <v>32</v>
      </c>
      <c r="D9" s="61" t="s">
        <v>49</v>
      </c>
    </row>
    <row r="10" spans="2:4" ht="12.75" customHeight="1" x14ac:dyDescent="0.45">
      <c r="B10" s="60" t="s">
        <v>24</v>
      </c>
      <c r="C10" s="58" t="s">
        <v>33</v>
      </c>
      <c r="D10" s="61" t="s">
        <v>45</v>
      </c>
    </row>
    <row r="11" spans="2:4" ht="12.75" customHeight="1" x14ac:dyDescent="0.45">
      <c r="B11" s="60" t="s">
        <v>25</v>
      </c>
      <c r="C11" s="58" t="s">
        <v>34</v>
      </c>
      <c r="D11" s="61" t="s">
        <v>34</v>
      </c>
    </row>
    <row r="12" spans="2:4" ht="12.75" customHeight="1" x14ac:dyDescent="0.45">
      <c r="B12" s="60" t="s">
        <v>26</v>
      </c>
      <c r="C12" s="58" t="s">
        <v>35</v>
      </c>
      <c r="D12" s="61" t="s">
        <v>46</v>
      </c>
    </row>
    <row r="13" spans="2:4" ht="12.75" customHeight="1" x14ac:dyDescent="0.45">
      <c r="B13" s="60" t="s">
        <v>51</v>
      </c>
      <c r="C13" s="58" t="s">
        <v>34</v>
      </c>
      <c r="D13" s="61" t="s">
        <v>34</v>
      </c>
    </row>
    <row r="14" spans="2:4" ht="12.75" customHeight="1" x14ac:dyDescent="0.45">
      <c r="B14" s="60" t="s">
        <v>27</v>
      </c>
      <c r="C14" s="58" t="s">
        <v>34</v>
      </c>
      <c r="D14" s="61" t="s">
        <v>34</v>
      </c>
    </row>
    <row r="15" spans="2:4" ht="12.75" customHeight="1" x14ac:dyDescent="0.25">
      <c r="B15" s="60" t="s">
        <v>28</v>
      </c>
      <c r="C15" s="58" t="s">
        <v>36</v>
      </c>
      <c r="D15" s="61" t="s">
        <v>42</v>
      </c>
    </row>
    <row r="16" spans="2:4" ht="12.75" customHeight="1" x14ac:dyDescent="0.25">
      <c r="B16" s="60" t="s">
        <v>29</v>
      </c>
      <c r="C16" s="58" t="s">
        <v>37</v>
      </c>
      <c r="D16" s="61" t="s">
        <v>43</v>
      </c>
    </row>
    <row r="17" spans="2:4" ht="12.75" customHeight="1" x14ac:dyDescent="0.25">
      <c r="B17" s="60" t="s">
        <v>30</v>
      </c>
      <c r="C17" s="58" t="s">
        <v>38</v>
      </c>
      <c r="D17" s="61" t="s">
        <v>44</v>
      </c>
    </row>
    <row r="18" spans="2:4" ht="14.25" customHeight="1" thickBot="1" x14ac:dyDescent="0.3">
      <c r="B18" s="202" t="s">
        <v>50</v>
      </c>
      <c r="C18" s="203"/>
      <c r="D18" s="204"/>
    </row>
  </sheetData>
  <mergeCells count="2">
    <mergeCell ref="B6:C6"/>
    <mergeCell ref="B18:D18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7"/>
  <sheetViews>
    <sheetView topLeftCell="A37" zoomScaleNormal="100" workbookViewId="0">
      <selection activeCell="K12" sqref="K12"/>
    </sheetView>
  </sheetViews>
  <sheetFormatPr defaultColWidth="9.140625" defaultRowHeight="15" x14ac:dyDescent="0.25"/>
  <cols>
    <col min="1" max="1" width="13.42578125" style="25" customWidth="1"/>
    <col min="2" max="2" width="24.5703125" style="1" bestFit="1" customWidth="1"/>
    <col min="3" max="3" width="12.7109375" style="28" bestFit="1" customWidth="1"/>
    <col min="4" max="4" width="0.5703125" style="3" customWidth="1"/>
    <col min="5" max="5" width="14.7109375" style="28" customWidth="1"/>
    <col min="6" max="6" width="21.85546875" style="1" customWidth="1"/>
    <col min="7" max="7" width="12.7109375" style="28" bestFit="1" customWidth="1"/>
    <col min="8" max="8" width="0.5703125" style="3" customWidth="1"/>
    <col min="9" max="9" width="15.85546875" style="28" customWidth="1"/>
    <col min="10" max="10" width="22.140625" style="1" customWidth="1"/>
    <col min="11" max="11" width="12.85546875" style="25" customWidth="1"/>
    <col min="12" max="13" width="9.140625" style="1"/>
    <col min="14" max="14" width="23.7109375" style="1" bestFit="1" customWidth="1"/>
    <col min="15" max="15" width="13.42578125" style="1" customWidth="1"/>
    <col min="16" max="16" width="18" style="1" bestFit="1" customWidth="1"/>
    <col min="17" max="16384" width="9.140625" style="1"/>
  </cols>
  <sheetData>
    <row r="1" spans="1:17" ht="24" thickBot="1" x14ac:dyDescent="0.4">
      <c r="E1" s="172" t="s">
        <v>0</v>
      </c>
      <c r="F1" s="173"/>
      <c r="G1" s="174"/>
    </row>
    <row r="2" spans="1:17" ht="15.75" x14ac:dyDescent="0.25">
      <c r="A2" s="31" t="s">
        <v>1</v>
      </c>
      <c r="C2" s="24">
        <v>45901</v>
      </c>
    </row>
    <row r="3" spans="1:17" ht="15.75" thickBot="1" x14ac:dyDescent="0.3"/>
    <row r="4" spans="1:17" ht="18.75" x14ac:dyDescent="0.3">
      <c r="A4" s="175" t="s">
        <v>2</v>
      </c>
      <c r="B4" s="176"/>
      <c r="C4" s="177"/>
      <c r="D4" s="12"/>
      <c r="E4" s="178" t="s">
        <v>3</v>
      </c>
      <c r="F4" s="179"/>
      <c r="G4" s="180"/>
      <c r="H4" s="12"/>
      <c r="I4" s="181" t="s">
        <v>4</v>
      </c>
      <c r="J4" s="182"/>
      <c r="K4" s="183"/>
    </row>
    <row r="5" spans="1:17" ht="21" customHeight="1" x14ac:dyDescent="0.25">
      <c r="A5" s="13" t="s">
        <v>5</v>
      </c>
      <c r="B5" s="14" t="s">
        <v>6</v>
      </c>
      <c r="C5" s="15" t="s">
        <v>7</v>
      </c>
      <c r="D5" s="16"/>
      <c r="E5" s="17" t="s">
        <v>5</v>
      </c>
      <c r="F5" s="18" t="s">
        <v>6</v>
      </c>
      <c r="G5" s="19" t="s">
        <v>7</v>
      </c>
      <c r="H5" s="16"/>
      <c r="I5" s="20" t="s">
        <v>5</v>
      </c>
      <c r="J5" s="21" t="s">
        <v>6</v>
      </c>
      <c r="K5" s="22" t="s">
        <v>7</v>
      </c>
      <c r="N5" s="119" t="s">
        <v>80</v>
      </c>
    </row>
    <row r="6" spans="1:17" x14ac:dyDescent="0.25">
      <c r="A6" s="116">
        <v>45901</v>
      </c>
      <c r="B6" s="117" t="s">
        <v>18</v>
      </c>
      <c r="C6" s="125">
        <v>23.9</v>
      </c>
      <c r="E6" s="67">
        <v>45902</v>
      </c>
      <c r="F6" s="9" t="s">
        <v>13</v>
      </c>
      <c r="G6" s="120">
        <v>56</v>
      </c>
      <c r="I6" s="65">
        <v>45902</v>
      </c>
      <c r="J6" s="11" t="s">
        <v>10</v>
      </c>
      <c r="K6" s="120">
        <v>74.8</v>
      </c>
    </row>
    <row r="7" spans="1:17" x14ac:dyDescent="0.25">
      <c r="A7" s="116">
        <v>45901</v>
      </c>
      <c r="B7" s="117" t="s">
        <v>19</v>
      </c>
      <c r="C7" s="125">
        <v>116.8</v>
      </c>
      <c r="E7" s="67">
        <v>45902</v>
      </c>
      <c r="F7" s="9" t="s">
        <v>8</v>
      </c>
      <c r="G7" s="120">
        <v>31</v>
      </c>
      <c r="I7" s="65">
        <v>45903</v>
      </c>
      <c r="J7" s="11" t="s">
        <v>75</v>
      </c>
      <c r="K7" s="120">
        <v>16</v>
      </c>
    </row>
    <row r="8" spans="1:17" ht="15.75" x14ac:dyDescent="0.25">
      <c r="A8" s="116">
        <v>45901</v>
      </c>
      <c r="B8" s="117" t="s">
        <v>67</v>
      </c>
      <c r="C8" s="125">
        <v>100</v>
      </c>
      <c r="E8" s="104">
        <v>45902</v>
      </c>
      <c r="F8" s="101" t="s">
        <v>8</v>
      </c>
      <c r="G8" s="124">
        <v>16</v>
      </c>
      <c r="I8" s="65">
        <v>45903</v>
      </c>
      <c r="J8" s="11" t="s">
        <v>76</v>
      </c>
      <c r="K8" s="120">
        <v>16</v>
      </c>
      <c r="N8" s="109" t="s">
        <v>72</v>
      </c>
      <c r="O8" s="110" t="s">
        <v>17</v>
      </c>
      <c r="P8" s="110" t="s">
        <v>70</v>
      </c>
    </row>
    <row r="9" spans="1:17" x14ac:dyDescent="0.25">
      <c r="A9" s="116">
        <v>45901</v>
      </c>
      <c r="B9" s="117" t="s">
        <v>68</v>
      </c>
      <c r="C9" s="125">
        <v>12</v>
      </c>
      <c r="E9" s="67">
        <v>45903</v>
      </c>
      <c r="F9" s="9" t="s">
        <v>9</v>
      </c>
      <c r="G9" s="120">
        <v>38.9</v>
      </c>
      <c r="I9" s="67">
        <v>45903</v>
      </c>
      <c r="J9" s="11" t="s">
        <v>10</v>
      </c>
      <c r="K9" s="120">
        <v>51</v>
      </c>
      <c r="N9" s="91" t="s">
        <v>18</v>
      </c>
      <c r="O9" s="82">
        <f>SUMIF(B6:B126,"OS - Ginger",C6:C126)</f>
        <v>23.9</v>
      </c>
      <c r="P9" s="192">
        <f>SUM(O9:O10)</f>
        <v>731.07999999999993</v>
      </c>
    </row>
    <row r="10" spans="1:17" ht="15.75" customHeight="1" x14ac:dyDescent="0.25">
      <c r="A10" s="116">
        <v>45901</v>
      </c>
      <c r="B10" s="117" t="s">
        <v>69</v>
      </c>
      <c r="C10" s="125"/>
      <c r="E10" s="67">
        <v>45903</v>
      </c>
      <c r="F10" s="9" t="s">
        <v>9</v>
      </c>
      <c r="G10" s="120">
        <v>39.17</v>
      </c>
      <c r="I10" s="67">
        <v>45903</v>
      </c>
      <c r="J10" s="11" t="s">
        <v>10</v>
      </c>
      <c r="K10" s="120">
        <v>50</v>
      </c>
      <c r="N10" s="92" t="s">
        <v>8</v>
      </c>
      <c r="O10" s="76">
        <f>SUMIF(B6:B126,"Ginger",C6:C126)</f>
        <v>707.18</v>
      </c>
      <c r="P10" s="193"/>
    </row>
    <row r="11" spans="1:17" x14ac:dyDescent="0.25">
      <c r="A11" s="116">
        <v>45901</v>
      </c>
      <c r="B11" s="117" t="s">
        <v>71</v>
      </c>
      <c r="C11" s="125">
        <v>56</v>
      </c>
      <c r="E11" s="67">
        <v>45903</v>
      </c>
      <c r="F11" s="9" t="s">
        <v>8</v>
      </c>
      <c r="G11" s="120">
        <v>36.799999999999997</v>
      </c>
      <c r="I11" s="65">
        <v>45903</v>
      </c>
      <c r="J11" s="11" t="s">
        <v>75</v>
      </c>
      <c r="K11" s="120">
        <v>5</v>
      </c>
      <c r="N11" s="56" t="s">
        <v>19</v>
      </c>
      <c r="O11" s="57">
        <f>SUMIF(B6:B126,"OS - Garlic",C6:C126)</f>
        <v>116.8</v>
      </c>
      <c r="P11" s="194">
        <f>SUM(O11:O12)</f>
        <v>1258.8499999999997</v>
      </c>
      <c r="Q11" s="198">
        <f>SUM(P11:P14)</f>
        <v>1332.9899999999998</v>
      </c>
    </row>
    <row r="12" spans="1:17" x14ac:dyDescent="0.25">
      <c r="A12" s="116">
        <v>45901</v>
      </c>
      <c r="B12" s="117" t="s">
        <v>13</v>
      </c>
      <c r="C12" s="125">
        <v>7.6</v>
      </c>
      <c r="E12" s="67">
        <v>45903</v>
      </c>
      <c r="F12" s="9" t="s">
        <v>8</v>
      </c>
      <c r="G12" s="120">
        <v>32</v>
      </c>
      <c r="I12" s="65">
        <v>45903</v>
      </c>
      <c r="J12" s="11" t="s">
        <v>76</v>
      </c>
      <c r="K12" s="120">
        <v>5</v>
      </c>
      <c r="N12" s="88" t="s">
        <v>74</v>
      </c>
      <c r="O12" s="78">
        <f>SUMIF(B6:B126,"Garlic",C6:C126)</f>
        <v>1142.0499999999997</v>
      </c>
      <c r="P12" s="195"/>
      <c r="Q12" s="198"/>
    </row>
    <row r="13" spans="1:17" x14ac:dyDescent="0.25">
      <c r="A13" s="116">
        <v>45901</v>
      </c>
      <c r="B13" s="117" t="s">
        <v>77</v>
      </c>
      <c r="C13" s="125"/>
      <c r="E13" s="103">
        <v>45904</v>
      </c>
      <c r="F13" s="9" t="s">
        <v>9</v>
      </c>
      <c r="G13" s="121">
        <v>35</v>
      </c>
      <c r="H13" s="108"/>
      <c r="I13" s="103">
        <v>45904</v>
      </c>
      <c r="J13" s="11" t="s">
        <v>10</v>
      </c>
      <c r="K13" s="121">
        <v>166.5</v>
      </c>
      <c r="N13" s="93" t="s">
        <v>71</v>
      </c>
      <c r="O13" s="62">
        <f>SUMIF(B6:B126,"OS - Broken Garlic",C6:C126)</f>
        <v>56</v>
      </c>
      <c r="P13" s="196">
        <f>SUM(O13:O14)</f>
        <v>74.14</v>
      </c>
      <c r="Q13" s="198"/>
    </row>
    <row r="14" spans="1:17" x14ac:dyDescent="0.25">
      <c r="A14" s="116">
        <v>45901</v>
      </c>
      <c r="B14" s="117" t="s">
        <v>78</v>
      </c>
      <c r="C14" s="125"/>
      <c r="E14" s="103">
        <v>45904</v>
      </c>
      <c r="F14" s="9" t="s">
        <v>9</v>
      </c>
      <c r="G14" s="121">
        <v>38.799999999999997</v>
      </c>
      <c r="H14" s="108"/>
      <c r="I14" s="103">
        <v>45905</v>
      </c>
      <c r="J14" s="11" t="s">
        <v>10</v>
      </c>
      <c r="K14" s="121">
        <v>51.4</v>
      </c>
      <c r="N14" s="94" t="s">
        <v>13</v>
      </c>
      <c r="O14" s="73">
        <f>SUMIF(B6:B126,"Broken Garlic",C6:C126)</f>
        <v>18.14</v>
      </c>
      <c r="P14" s="197"/>
      <c r="Q14" s="198"/>
    </row>
    <row r="15" spans="1:17" x14ac:dyDescent="0.25">
      <c r="A15" s="65">
        <v>45902</v>
      </c>
      <c r="B15" s="9" t="s">
        <v>8</v>
      </c>
      <c r="C15" s="127">
        <v>56.7</v>
      </c>
      <c r="E15" s="103">
        <v>45904</v>
      </c>
      <c r="F15" s="9" t="s">
        <v>8</v>
      </c>
      <c r="G15" s="121">
        <v>50.57</v>
      </c>
      <c r="H15" s="108"/>
      <c r="I15" s="103">
        <v>45905</v>
      </c>
      <c r="J15" s="11" t="s">
        <v>11</v>
      </c>
      <c r="K15" s="121">
        <v>9</v>
      </c>
      <c r="N15" s="89" t="s">
        <v>68</v>
      </c>
      <c r="O15" s="90">
        <f>SUMIF(B6:B126,"OS - Garlic Peeled",C6:C126)</f>
        <v>12</v>
      </c>
      <c r="P15" s="111">
        <f>O15</f>
        <v>12</v>
      </c>
    </row>
    <row r="16" spans="1:17" x14ac:dyDescent="0.25">
      <c r="A16" s="65">
        <v>45903</v>
      </c>
      <c r="B16" s="9" t="s">
        <v>8</v>
      </c>
      <c r="C16" s="127">
        <v>56.76</v>
      </c>
      <c r="E16" s="103">
        <v>45905</v>
      </c>
      <c r="F16" s="9" t="s">
        <v>9</v>
      </c>
      <c r="G16" s="121">
        <v>30.17</v>
      </c>
      <c r="H16" s="108"/>
      <c r="I16" s="103">
        <v>45906</v>
      </c>
      <c r="J16" s="11" t="s">
        <v>11</v>
      </c>
      <c r="K16" s="121">
        <v>11</v>
      </c>
      <c r="N16" s="89" t="s">
        <v>69</v>
      </c>
      <c r="O16" s="90">
        <f>SUMIF(B6:B126,"OS - Ginger Peeled",C6:C126)</f>
        <v>0</v>
      </c>
      <c r="P16" s="90"/>
    </row>
    <row r="17" spans="1:16" x14ac:dyDescent="0.25">
      <c r="A17" s="65">
        <v>45903</v>
      </c>
      <c r="B17" s="9" t="s">
        <v>8</v>
      </c>
      <c r="C17" s="127">
        <v>56.95</v>
      </c>
      <c r="E17" s="103">
        <v>45905</v>
      </c>
      <c r="F17" s="9" t="s">
        <v>8</v>
      </c>
      <c r="G17" s="121">
        <v>26.48</v>
      </c>
      <c r="H17" s="108"/>
      <c r="I17" s="103">
        <v>45906</v>
      </c>
      <c r="J17" s="11" t="s">
        <v>12</v>
      </c>
      <c r="K17" s="121">
        <v>0.5</v>
      </c>
      <c r="N17" s="89" t="s">
        <v>67</v>
      </c>
      <c r="O17" s="90">
        <f>SUMIF(B6:B126,"OS - Ginger Garlic Paste",C6:C126)</f>
        <v>100</v>
      </c>
      <c r="P17" s="90"/>
    </row>
    <row r="18" spans="1:16" x14ac:dyDescent="0.25">
      <c r="A18" s="65">
        <v>45903</v>
      </c>
      <c r="B18" s="9" t="s">
        <v>9</v>
      </c>
      <c r="C18" s="127">
        <v>125</v>
      </c>
      <c r="E18" s="103">
        <v>45906</v>
      </c>
      <c r="F18" s="9" t="s">
        <v>9</v>
      </c>
      <c r="G18" s="121">
        <v>29.98</v>
      </c>
      <c r="H18" s="108"/>
      <c r="I18" s="103">
        <v>45906</v>
      </c>
      <c r="J18" s="11" t="s">
        <v>12</v>
      </c>
      <c r="K18" s="121">
        <v>11</v>
      </c>
      <c r="N18" s="89" t="s">
        <v>76</v>
      </c>
      <c r="O18" s="90">
        <f>SUMIF(B6:B126,"OS - Ginger Paste",C6:C126)</f>
        <v>0</v>
      </c>
      <c r="P18" s="90"/>
    </row>
    <row r="19" spans="1:16" x14ac:dyDescent="0.25">
      <c r="A19" s="65">
        <v>45905</v>
      </c>
      <c r="B19" s="9" t="s">
        <v>8</v>
      </c>
      <c r="C19" s="127">
        <v>56.56</v>
      </c>
      <c r="E19" s="103">
        <v>45906</v>
      </c>
      <c r="F19" s="9" t="s">
        <v>8</v>
      </c>
      <c r="G19" s="121">
        <v>25.19</v>
      </c>
      <c r="H19" s="108"/>
      <c r="I19" s="103">
        <v>45906</v>
      </c>
      <c r="J19" s="11" t="s">
        <v>10</v>
      </c>
      <c r="K19" s="121">
        <v>92.5</v>
      </c>
      <c r="N19" s="89" t="s">
        <v>75</v>
      </c>
      <c r="O19" s="90">
        <f>SUMIF(B6:B126,"OS - Garlic Paste",C6:C126)</f>
        <v>0</v>
      </c>
      <c r="P19" s="90"/>
    </row>
    <row r="20" spans="1:16" x14ac:dyDescent="0.25">
      <c r="A20" s="65">
        <v>45908</v>
      </c>
      <c r="B20" s="9" t="s">
        <v>8</v>
      </c>
      <c r="C20" s="127">
        <v>56.96</v>
      </c>
      <c r="E20" s="103">
        <v>45906</v>
      </c>
      <c r="F20" s="9" t="s">
        <v>9</v>
      </c>
      <c r="G20" s="121">
        <v>29.95</v>
      </c>
      <c r="H20" s="108"/>
      <c r="I20" s="103">
        <v>45908</v>
      </c>
      <c r="J20" s="11" t="s">
        <v>10</v>
      </c>
      <c r="K20" s="121">
        <v>43.2</v>
      </c>
    </row>
    <row r="21" spans="1:16" ht="15.75" x14ac:dyDescent="0.25">
      <c r="A21" s="65">
        <v>45908</v>
      </c>
      <c r="B21" s="9" t="s">
        <v>9</v>
      </c>
      <c r="C21" s="127">
        <v>30</v>
      </c>
      <c r="E21" s="103">
        <v>45908</v>
      </c>
      <c r="F21" s="9" t="s">
        <v>8</v>
      </c>
      <c r="G21" s="121">
        <v>24.8</v>
      </c>
      <c r="H21" s="108"/>
      <c r="I21" s="103">
        <v>45909</v>
      </c>
      <c r="J21" s="11" t="s">
        <v>11</v>
      </c>
      <c r="K21" s="121">
        <v>4</v>
      </c>
      <c r="N21" s="109" t="s">
        <v>3</v>
      </c>
      <c r="O21" s="110" t="s">
        <v>17</v>
      </c>
      <c r="P21" s="110" t="s">
        <v>17</v>
      </c>
    </row>
    <row r="22" spans="1:16" x14ac:dyDescent="0.25">
      <c r="A22" s="65">
        <v>45908</v>
      </c>
      <c r="B22" s="9" t="s">
        <v>9</v>
      </c>
      <c r="C22" s="127">
        <v>30</v>
      </c>
      <c r="E22" s="104">
        <v>45908</v>
      </c>
      <c r="F22" s="101" t="s">
        <v>9</v>
      </c>
      <c r="G22" s="124">
        <v>20</v>
      </c>
      <c r="H22" s="108"/>
      <c r="I22" s="103">
        <v>45910</v>
      </c>
      <c r="J22" s="11" t="s">
        <v>10</v>
      </c>
      <c r="K22" s="121">
        <v>58.42</v>
      </c>
      <c r="N22" s="44" t="s">
        <v>8</v>
      </c>
      <c r="O22" s="62">
        <f>SUMIF(F6:F125,"Ginger",G6:G125)</f>
        <v>648.42000000000007</v>
      </c>
      <c r="P22" s="100">
        <f>O22</f>
        <v>648.42000000000007</v>
      </c>
    </row>
    <row r="23" spans="1:16" x14ac:dyDescent="0.25">
      <c r="A23" s="65">
        <v>45908</v>
      </c>
      <c r="B23" s="9" t="s">
        <v>9</v>
      </c>
      <c r="C23" s="127">
        <v>30</v>
      </c>
      <c r="E23" s="103">
        <v>45910</v>
      </c>
      <c r="F23" s="9" t="s">
        <v>9</v>
      </c>
      <c r="G23" s="121">
        <v>30.1</v>
      </c>
      <c r="H23" s="108"/>
      <c r="I23" s="103">
        <v>45911</v>
      </c>
      <c r="J23" s="11" t="s">
        <v>10</v>
      </c>
      <c r="K23" s="121">
        <v>84.6</v>
      </c>
      <c r="N23" s="44" t="s">
        <v>9</v>
      </c>
      <c r="O23" s="63">
        <f>SUMIF(F6:F127,"Garlic",G6:G127)</f>
        <v>925.76</v>
      </c>
      <c r="P23" s="191">
        <f>SUM(O23:O24)</f>
        <v>981.76</v>
      </c>
    </row>
    <row r="24" spans="1:16" x14ac:dyDescent="0.25">
      <c r="A24" s="65">
        <v>45908</v>
      </c>
      <c r="B24" s="9" t="s">
        <v>9</v>
      </c>
      <c r="C24" s="127">
        <v>30</v>
      </c>
      <c r="E24" s="103">
        <v>45910</v>
      </c>
      <c r="F24" s="9" t="s">
        <v>9</v>
      </c>
      <c r="G24" s="121">
        <v>30.12</v>
      </c>
      <c r="H24" s="108"/>
      <c r="I24" s="118">
        <v>45912</v>
      </c>
      <c r="J24" s="9" t="s">
        <v>10</v>
      </c>
      <c r="K24" s="122">
        <v>41</v>
      </c>
      <c r="N24" s="44" t="s">
        <v>13</v>
      </c>
      <c r="O24" s="63">
        <f>SUMIF(F6:F127,"Broken Garlic",G6:G127)</f>
        <v>56</v>
      </c>
      <c r="P24" s="191"/>
    </row>
    <row r="25" spans="1:16" x14ac:dyDescent="0.25">
      <c r="A25" s="65">
        <v>45908</v>
      </c>
      <c r="B25" s="9" t="s">
        <v>9</v>
      </c>
      <c r="C25" s="127">
        <v>20</v>
      </c>
      <c r="E25" s="103">
        <v>45910</v>
      </c>
      <c r="F25" s="9" t="s">
        <v>9</v>
      </c>
      <c r="G25" s="121">
        <v>30.1</v>
      </c>
      <c r="H25" s="108"/>
      <c r="I25" s="103">
        <v>45912</v>
      </c>
      <c r="J25" s="11" t="s">
        <v>11</v>
      </c>
      <c r="K25" s="121">
        <v>18</v>
      </c>
    </row>
    <row r="26" spans="1:16" x14ac:dyDescent="0.25">
      <c r="A26" s="65">
        <v>45908</v>
      </c>
      <c r="B26" s="9" t="s">
        <v>13</v>
      </c>
      <c r="C26" s="127">
        <v>6</v>
      </c>
      <c r="E26" s="103">
        <v>45910</v>
      </c>
      <c r="F26" s="9" t="s">
        <v>8</v>
      </c>
      <c r="G26" s="121">
        <v>25.39</v>
      </c>
      <c r="H26" s="108"/>
      <c r="I26" s="103">
        <v>45913</v>
      </c>
      <c r="J26" s="11" t="s">
        <v>10</v>
      </c>
      <c r="K26" s="121">
        <v>83</v>
      </c>
    </row>
    <row r="27" spans="1:16" ht="15.75" x14ac:dyDescent="0.25">
      <c r="A27" s="65">
        <v>45909</v>
      </c>
      <c r="B27" s="9" t="s">
        <v>13</v>
      </c>
      <c r="C27" s="127">
        <v>4.54</v>
      </c>
      <c r="E27" s="103">
        <v>45911</v>
      </c>
      <c r="F27" s="9" t="s">
        <v>8</v>
      </c>
      <c r="G27" s="121">
        <v>46.8</v>
      </c>
      <c r="H27" s="108"/>
      <c r="I27" s="103">
        <v>45915</v>
      </c>
      <c r="J27" s="11" t="s">
        <v>10</v>
      </c>
      <c r="K27" s="121">
        <v>67.14</v>
      </c>
      <c r="N27" s="109" t="s">
        <v>4</v>
      </c>
      <c r="O27" s="110" t="s">
        <v>17</v>
      </c>
      <c r="P27" s="110" t="s">
        <v>79</v>
      </c>
    </row>
    <row r="28" spans="1:16" x14ac:dyDescent="0.25">
      <c r="A28" s="65">
        <v>45911</v>
      </c>
      <c r="B28" s="9" t="s">
        <v>8</v>
      </c>
      <c r="C28" s="127">
        <v>56.97</v>
      </c>
      <c r="E28" s="103">
        <v>45911</v>
      </c>
      <c r="F28" s="9" t="s">
        <v>9</v>
      </c>
      <c r="G28" s="121">
        <v>30</v>
      </c>
      <c r="H28" s="108"/>
      <c r="I28" s="103">
        <v>45916</v>
      </c>
      <c r="J28" s="11" t="s">
        <v>11</v>
      </c>
      <c r="K28" s="121">
        <v>17</v>
      </c>
      <c r="N28" s="44" t="s">
        <v>12</v>
      </c>
      <c r="O28" s="87">
        <f>SUMIF(J6:J125,"Ginger Peeled",K6:K125)</f>
        <v>11.5</v>
      </c>
      <c r="P28" s="87">
        <f>SUM(O28,O16)</f>
        <v>11.5</v>
      </c>
    </row>
    <row r="29" spans="1:16" x14ac:dyDescent="0.25">
      <c r="A29" s="65">
        <v>45911</v>
      </c>
      <c r="B29" s="9" t="s">
        <v>9</v>
      </c>
      <c r="C29" s="127">
        <v>39</v>
      </c>
      <c r="E29" s="103">
        <v>45912</v>
      </c>
      <c r="F29" s="9" t="s">
        <v>8</v>
      </c>
      <c r="G29" s="121">
        <v>6.4</v>
      </c>
      <c r="H29" s="108"/>
      <c r="I29" s="103">
        <v>45917</v>
      </c>
      <c r="J29" s="11" t="s">
        <v>10</v>
      </c>
      <c r="K29" s="121">
        <v>87.92</v>
      </c>
      <c r="N29" s="44" t="s">
        <v>11</v>
      </c>
      <c r="O29" s="87">
        <f>SUMIF(J6:J125,"Garlic Peeled",K6:K125)</f>
        <v>97</v>
      </c>
      <c r="P29" s="87">
        <f>SUM(O29,O15)</f>
        <v>109</v>
      </c>
    </row>
    <row r="30" spans="1:16" x14ac:dyDescent="0.25">
      <c r="A30" s="65">
        <v>45911</v>
      </c>
      <c r="B30" s="9" t="s">
        <v>9</v>
      </c>
      <c r="C30" s="127">
        <v>39.159999999999997</v>
      </c>
      <c r="E30" s="104">
        <v>45913</v>
      </c>
      <c r="F30" s="101" t="s">
        <v>9</v>
      </c>
      <c r="G30" s="124">
        <v>39</v>
      </c>
      <c r="H30" s="108"/>
      <c r="I30" s="103">
        <v>45919</v>
      </c>
      <c r="J30" s="11" t="s">
        <v>10</v>
      </c>
      <c r="K30" s="121">
        <v>81.31</v>
      </c>
      <c r="N30" s="44" t="s">
        <v>10</v>
      </c>
      <c r="O30" s="87">
        <f>SUMIF(J6:J125,"Ginger Garlic Paste",K6:K125)</f>
        <v>1498.8899999999999</v>
      </c>
      <c r="P30" s="87">
        <f>SUM(O30,O17)</f>
        <v>1598.8899999999999</v>
      </c>
    </row>
    <row r="31" spans="1:16" x14ac:dyDescent="0.25">
      <c r="A31" s="65">
        <v>45911</v>
      </c>
      <c r="B31" s="9" t="s">
        <v>9</v>
      </c>
      <c r="C31" s="127">
        <v>38.549999999999997</v>
      </c>
      <c r="E31" s="104">
        <v>45913</v>
      </c>
      <c r="F31" s="101" t="s">
        <v>8</v>
      </c>
      <c r="G31" s="124">
        <v>27.6</v>
      </c>
      <c r="H31" s="108"/>
      <c r="I31" s="103">
        <v>45920</v>
      </c>
      <c r="J31" s="11" t="s">
        <v>10</v>
      </c>
      <c r="K31" s="121">
        <v>41.8</v>
      </c>
      <c r="N31" s="44" t="s">
        <v>76</v>
      </c>
      <c r="O31" s="87">
        <f>SUMIF(J6:J125,"Ginger Paste",K6:K125)</f>
        <v>21</v>
      </c>
      <c r="P31" s="87">
        <f>SUM(O31,O18)</f>
        <v>21</v>
      </c>
    </row>
    <row r="32" spans="1:16" x14ac:dyDescent="0.25">
      <c r="A32" s="65">
        <v>45911</v>
      </c>
      <c r="B32" s="9" t="s">
        <v>9</v>
      </c>
      <c r="C32" s="127">
        <v>38.9</v>
      </c>
      <c r="E32" s="103">
        <v>45913</v>
      </c>
      <c r="F32" s="9" t="s">
        <v>8</v>
      </c>
      <c r="G32" s="121">
        <v>9.2200000000000006</v>
      </c>
      <c r="H32" s="108"/>
      <c r="I32" s="103">
        <v>45921</v>
      </c>
      <c r="J32" s="11" t="s">
        <v>11</v>
      </c>
      <c r="K32" s="121">
        <v>6</v>
      </c>
      <c r="N32" s="44" t="s">
        <v>75</v>
      </c>
      <c r="O32" s="87">
        <f>SUMIF(J6:J125,"Garlic Paste",K6:K125)</f>
        <v>21</v>
      </c>
      <c r="P32" s="87">
        <f>SUM(O32,O19)</f>
        <v>21</v>
      </c>
    </row>
    <row r="33" spans="1:16" x14ac:dyDescent="0.25">
      <c r="A33" s="65">
        <v>45911</v>
      </c>
      <c r="B33" s="9" t="s">
        <v>9</v>
      </c>
      <c r="C33" s="127">
        <v>39</v>
      </c>
      <c r="E33" s="103">
        <v>45915</v>
      </c>
      <c r="F33" s="9" t="s">
        <v>9</v>
      </c>
      <c r="G33" s="121">
        <v>38.700000000000003</v>
      </c>
      <c r="H33" s="108"/>
      <c r="I33" s="103">
        <v>45921</v>
      </c>
      <c r="J33" s="11" t="s">
        <v>10</v>
      </c>
      <c r="K33" s="121">
        <v>93.5</v>
      </c>
      <c r="P33" s="2"/>
    </row>
    <row r="34" spans="1:16" ht="15.75" x14ac:dyDescent="0.25">
      <c r="A34" s="65">
        <v>45911</v>
      </c>
      <c r="B34" s="9" t="s">
        <v>9</v>
      </c>
      <c r="C34" s="127">
        <v>39</v>
      </c>
      <c r="E34" s="103">
        <v>45915</v>
      </c>
      <c r="F34" s="9" t="s">
        <v>8</v>
      </c>
      <c r="G34" s="121">
        <v>17.18</v>
      </c>
      <c r="H34" s="108"/>
      <c r="I34" s="103">
        <v>45921</v>
      </c>
      <c r="J34" s="11" t="s">
        <v>11</v>
      </c>
      <c r="K34" s="121">
        <v>6</v>
      </c>
      <c r="N34" s="110" t="s">
        <v>14</v>
      </c>
      <c r="O34" s="110" t="s">
        <v>17</v>
      </c>
      <c r="P34" s="2"/>
    </row>
    <row r="35" spans="1:16" x14ac:dyDescent="0.25">
      <c r="A35" s="65">
        <v>45911</v>
      </c>
      <c r="B35" s="9" t="s">
        <v>9</v>
      </c>
      <c r="C35" s="127">
        <v>38.92</v>
      </c>
      <c r="E35" s="103">
        <v>45915</v>
      </c>
      <c r="F35" s="9" t="s">
        <v>8</v>
      </c>
      <c r="G35" s="121">
        <v>15.1</v>
      </c>
      <c r="H35" s="108"/>
      <c r="I35" s="103">
        <v>45923</v>
      </c>
      <c r="J35" s="11" t="s">
        <v>10</v>
      </c>
      <c r="K35" s="121">
        <v>64</v>
      </c>
      <c r="N35" s="102" t="s">
        <v>73</v>
      </c>
      <c r="O35" s="87">
        <f>P9-P22</f>
        <v>82.659999999999854</v>
      </c>
      <c r="P35" s="2"/>
    </row>
    <row r="36" spans="1:16" x14ac:dyDescent="0.25">
      <c r="A36" s="65">
        <v>45911</v>
      </c>
      <c r="B36" s="9" t="s">
        <v>9</v>
      </c>
      <c r="C36" s="127">
        <v>39</v>
      </c>
      <c r="E36" s="103">
        <v>45916</v>
      </c>
      <c r="F36" s="9" t="s">
        <v>9</v>
      </c>
      <c r="G36" s="121">
        <v>38.97</v>
      </c>
      <c r="H36" s="108"/>
      <c r="I36" s="103">
        <v>45924</v>
      </c>
      <c r="J36" s="11" t="s">
        <v>11</v>
      </c>
      <c r="K36" s="121">
        <v>8</v>
      </c>
      <c r="N36" s="102" t="s">
        <v>9</v>
      </c>
      <c r="O36" s="87">
        <f>Q11-P23</f>
        <v>351.22999999999979</v>
      </c>
      <c r="P36" s="2"/>
    </row>
    <row r="37" spans="1:16" x14ac:dyDescent="0.25">
      <c r="A37" s="65">
        <v>45911</v>
      </c>
      <c r="B37" s="9" t="s">
        <v>9</v>
      </c>
      <c r="C37" s="127">
        <v>38.79</v>
      </c>
      <c r="E37" s="103">
        <v>45917</v>
      </c>
      <c r="F37" s="9" t="s">
        <v>9</v>
      </c>
      <c r="G37" s="121">
        <v>38.9</v>
      </c>
      <c r="H37" s="108"/>
      <c r="I37" s="103">
        <v>45926</v>
      </c>
      <c r="J37" s="11" t="s">
        <v>11</v>
      </c>
      <c r="K37" s="121">
        <v>6</v>
      </c>
      <c r="L37" s="1" t="s">
        <v>83</v>
      </c>
    </row>
    <row r="38" spans="1:16" x14ac:dyDescent="0.25">
      <c r="A38" s="65">
        <v>45911</v>
      </c>
      <c r="B38" s="9" t="s">
        <v>9</v>
      </c>
      <c r="C38" s="127">
        <v>39</v>
      </c>
      <c r="E38" s="103">
        <v>45917</v>
      </c>
      <c r="F38" s="9" t="s">
        <v>8</v>
      </c>
      <c r="G38" s="121">
        <v>33.6</v>
      </c>
      <c r="H38" s="108"/>
      <c r="I38" s="103">
        <v>45926</v>
      </c>
      <c r="J38" s="11" t="s">
        <v>10</v>
      </c>
      <c r="K38" s="121">
        <v>80</v>
      </c>
    </row>
    <row r="39" spans="1:16" x14ac:dyDescent="0.25">
      <c r="A39" s="65">
        <v>45911</v>
      </c>
      <c r="B39" s="9" t="s">
        <v>9</v>
      </c>
      <c r="C39" s="127">
        <v>38.74</v>
      </c>
      <c r="E39" s="103">
        <v>45919</v>
      </c>
      <c r="F39" s="9" t="s">
        <v>9</v>
      </c>
      <c r="G39" s="120">
        <v>38.53</v>
      </c>
      <c r="I39" s="65">
        <v>45927</v>
      </c>
      <c r="J39" s="11" t="s">
        <v>11</v>
      </c>
      <c r="K39" s="120">
        <v>12</v>
      </c>
    </row>
    <row r="40" spans="1:16" x14ac:dyDescent="0.25">
      <c r="A40" s="65">
        <v>45911</v>
      </c>
      <c r="B40" s="9" t="s">
        <v>9</v>
      </c>
      <c r="C40" s="127">
        <v>39</v>
      </c>
      <c r="E40" s="67">
        <v>45919</v>
      </c>
      <c r="F40" s="9" t="s">
        <v>8</v>
      </c>
      <c r="G40" s="120">
        <v>12.31</v>
      </c>
      <c r="I40" s="103">
        <v>45928</v>
      </c>
      <c r="J40" s="11" t="s">
        <v>10</v>
      </c>
      <c r="K40" s="120">
        <v>51.5</v>
      </c>
    </row>
    <row r="41" spans="1:16" x14ac:dyDescent="0.25">
      <c r="A41" s="65">
        <v>45913</v>
      </c>
      <c r="B41" s="9" t="s">
        <v>8</v>
      </c>
      <c r="C41" s="127">
        <v>56.6</v>
      </c>
      <c r="E41" s="67">
        <v>45919</v>
      </c>
      <c r="F41" s="9" t="s">
        <v>8</v>
      </c>
      <c r="G41" s="120">
        <v>22.5</v>
      </c>
      <c r="I41" s="103">
        <v>45929</v>
      </c>
      <c r="J41" s="11" t="s">
        <v>10</v>
      </c>
      <c r="K41" s="120">
        <v>72</v>
      </c>
    </row>
    <row r="42" spans="1:16" x14ac:dyDescent="0.25">
      <c r="A42" s="65">
        <v>45915</v>
      </c>
      <c r="B42" s="9" t="s">
        <v>8</v>
      </c>
      <c r="C42" s="127">
        <v>27.84</v>
      </c>
      <c r="E42" s="67">
        <v>45919</v>
      </c>
      <c r="F42" s="9" t="s">
        <v>8</v>
      </c>
      <c r="G42" s="120">
        <v>15.5</v>
      </c>
      <c r="I42" s="67">
        <v>45930</v>
      </c>
      <c r="J42" s="11" t="s">
        <v>10</v>
      </c>
      <c r="K42" s="120">
        <v>63.3</v>
      </c>
    </row>
    <row r="43" spans="1:16" x14ac:dyDescent="0.25">
      <c r="A43" s="65">
        <v>45916</v>
      </c>
      <c r="B43" s="9" t="s">
        <v>8</v>
      </c>
      <c r="C43" s="127">
        <v>56.74</v>
      </c>
      <c r="E43" s="67">
        <v>45920</v>
      </c>
      <c r="F43" s="9" t="s">
        <v>9</v>
      </c>
      <c r="G43" s="120">
        <v>21.78</v>
      </c>
      <c r="I43" s="67"/>
      <c r="J43" s="11"/>
      <c r="K43" s="120"/>
    </row>
    <row r="44" spans="1:16" x14ac:dyDescent="0.25">
      <c r="A44" s="65">
        <v>45918</v>
      </c>
      <c r="B44" s="9" t="s">
        <v>8</v>
      </c>
      <c r="C44" s="127">
        <v>112</v>
      </c>
      <c r="E44" s="67">
        <v>45921</v>
      </c>
      <c r="F44" s="9" t="s">
        <v>9</v>
      </c>
      <c r="G44" s="120">
        <v>38.799999999999997</v>
      </c>
      <c r="I44" s="67"/>
      <c r="J44" s="11"/>
      <c r="K44" s="120"/>
    </row>
    <row r="45" spans="1:16" x14ac:dyDescent="0.25">
      <c r="A45" s="65">
        <v>45919</v>
      </c>
      <c r="B45" s="9" t="s">
        <v>9</v>
      </c>
      <c r="C45" s="127">
        <v>21.78</v>
      </c>
      <c r="E45" s="67">
        <v>45921</v>
      </c>
      <c r="F45" s="9" t="s">
        <v>9</v>
      </c>
      <c r="G45" s="120">
        <v>38.700000000000003</v>
      </c>
      <c r="I45" s="67"/>
      <c r="J45" s="11"/>
      <c r="K45" s="120"/>
    </row>
    <row r="46" spans="1:16" x14ac:dyDescent="0.25">
      <c r="A46" s="65">
        <v>45919</v>
      </c>
      <c r="B46" s="9" t="s">
        <v>9</v>
      </c>
      <c r="C46" s="127">
        <v>29.96</v>
      </c>
      <c r="E46" s="67">
        <v>45921</v>
      </c>
      <c r="F46" s="9" t="s">
        <v>8</v>
      </c>
      <c r="G46" s="120">
        <v>27.3</v>
      </c>
      <c r="I46" s="67"/>
      <c r="J46" s="11"/>
      <c r="K46" s="120"/>
    </row>
    <row r="47" spans="1:16" x14ac:dyDescent="0.25">
      <c r="A47" s="65">
        <v>45919</v>
      </c>
      <c r="B47" s="9" t="s">
        <v>9</v>
      </c>
      <c r="C47" s="127">
        <v>30</v>
      </c>
      <c r="E47" s="67">
        <v>45921</v>
      </c>
      <c r="F47" s="9" t="s">
        <v>9</v>
      </c>
      <c r="G47" s="120">
        <v>7</v>
      </c>
      <c r="I47" s="67"/>
      <c r="J47" s="23"/>
      <c r="K47" s="120"/>
    </row>
    <row r="48" spans="1:16" x14ac:dyDescent="0.25">
      <c r="A48" s="65">
        <v>45919</v>
      </c>
      <c r="B48" s="9" t="s">
        <v>9</v>
      </c>
      <c r="C48" s="127">
        <v>29.9</v>
      </c>
      <c r="E48" s="67">
        <v>45923</v>
      </c>
      <c r="F48" s="9" t="s">
        <v>9</v>
      </c>
      <c r="G48" s="120">
        <v>38.450000000000003</v>
      </c>
      <c r="I48" s="67"/>
      <c r="J48" s="11"/>
      <c r="K48" s="120"/>
    </row>
    <row r="49" spans="1:11" x14ac:dyDescent="0.25">
      <c r="A49" s="65">
        <v>45919</v>
      </c>
      <c r="B49" s="9" t="s">
        <v>9</v>
      </c>
      <c r="C49" s="127">
        <v>29.8</v>
      </c>
      <c r="E49" s="67">
        <v>45923</v>
      </c>
      <c r="F49" s="9" t="s">
        <v>8</v>
      </c>
      <c r="G49" s="120">
        <v>31.5</v>
      </c>
      <c r="I49" s="67"/>
      <c r="J49" s="11"/>
      <c r="K49" s="120"/>
    </row>
    <row r="50" spans="1:11" x14ac:dyDescent="0.25">
      <c r="A50" s="65">
        <v>45919</v>
      </c>
      <c r="B50" s="9" t="s">
        <v>9</v>
      </c>
      <c r="C50" s="127">
        <v>29.93</v>
      </c>
      <c r="E50" s="67">
        <v>45925</v>
      </c>
      <c r="F50" s="9" t="s">
        <v>9</v>
      </c>
      <c r="G50" s="120">
        <v>29.72</v>
      </c>
      <c r="I50" s="67"/>
      <c r="J50" s="23"/>
      <c r="K50" s="120"/>
    </row>
    <row r="51" spans="1:11" x14ac:dyDescent="0.25">
      <c r="A51" s="65">
        <v>45925</v>
      </c>
      <c r="B51" s="9" t="s">
        <v>8</v>
      </c>
      <c r="C51" s="127">
        <v>56.65</v>
      </c>
      <c r="E51" s="67">
        <v>45925</v>
      </c>
      <c r="F51" s="9" t="s">
        <v>9</v>
      </c>
      <c r="G51" s="120">
        <v>38.799999999999997</v>
      </c>
      <c r="I51" s="67"/>
      <c r="J51" s="11"/>
      <c r="K51" s="120"/>
    </row>
    <row r="52" spans="1:11" x14ac:dyDescent="0.25">
      <c r="A52" s="65">
        <v>45929</v>
      </c>
      <c r="B52" s="9" t="s">
        <v>8</v>
      </c>
      <c r="C52" s="127">
        <v>56.45</v>
      </c>
      <c r="E52" s="67">
        <v>45926</v>
      </c>
      <c r="F52" s="9" t="s">
        <v>8</v>
      </c>
      <c r="G52" s="120">
        <v>10.63</v>
      </c>
      <c r="I52" s="67"/>
      <c r="J52" s="11"/>
      <c r="K52" s="120"/>
    </row>
    <row r="53" spans="1:11" x14ac:dyDescent="0.25">
      <c r="A53" s="65">
        <v>45930</v>
      </c>
      <c r="B53" s="9" t="s">
        <v>9</v>
      </c>
      <c r="C53" s="127">
        <v>238.62</v>
      </c>
      <c r="E53" s="67">
        <v>45926</v>
      </c>
      <c r="F53" s="9" t="s">
        <v>8</v>
      </c>
      <c r="G53" s="120">
        <v>22.4</v>
      </c>
      <c r="I53" s="67"/>
      <c r="J53" s="23"/>
      <c r="K53" s="120"/>
    </row>
    <row r="54" spans="1:11" x14ac:dyDescent="0.25">
      <c r="A54" s="65"/>
      <c r="B54" s="9"/>
      <c r="C54" s="127"/>
      <c r="E54" s="67">
        <v>45928</v>
      </c>
      <c r="F54" s="9" t="s">
        <v>9</v>
      </c>
      <c r="G54" s="120">
        <v>38.4</v>
      </c>
      <c r="I54" s="67"/>
      <c r="J54" s="11"/>
      <c r="K54" s="120"/>
    </row>
    <row r="55" spans="1:11" x14ac:dyDescent="0.25">
      <c r="A55" s="65"/>
      <c r="B55" s="9"/>
      <c r="C55" s="127"/>
      <c r="E55" s="67">
        <v>45928</v>
      </c>
      <c r="F55" s="9" t="s">
        <v>9</v>
      </c>
      <c r="G55" s="120">
        <v>38.450000000000003</v>
      </c>
      <c r="I55" s="67"/>
      <c r="J55" s="11"/>
      <c r="K55" s="120"/>
    </row>
    <row r="56" spans="1:11" x14ac:dyDescent="0.25">
      <c r="A56" s="65"/>
      <c r="B56" s="9"/>
      <c r="C56" s="127"/>
      <c r="E56" s="67">
        <v>45928</v>
      </c>
      <c r="F56" s="9" t="s">
        <v>8</v>
      </c>
      <c r="G56" s="120">
        <v>29.6</v>
      </c>
      <c r="I56" s="67"/>
      <c r="J56" s="23"/>
      <c r="K56" s="120"/>
    </row>
    <row r="57" spans="1:11" x14ac:dyDescent="0.25">
      <c r="A57" s="65"/>
      <c r="B57" s="9"/>
      <c r="C57" s="127"/>
      <c r="E57" s="67">
        <v>45929</v>
      </c>
      <c r="F57" s="9" t="s">
        <v>8</v>
      </c>
      <c r="G57" s="120">
        <v>30</v>
      </c>
      <c r="I57" s="67"/>
      <c r="J57" s="11"/>
      <c r="K57" s="120"/>
    </row>
    <row r="58" spans="1:11" x14ac:dyDescent="0.25">
      <c r="A58" s="65"/>
      <c r="B58" s="9"/>
      <c r="C58" s="127"/>
      <c r="E58" s="67">
        <v>45930</v>
      </c>
      <c r="F58" s="9" t="s">
        <v>9</v>
      </c>
      <c r="G58" s="120">
        <v>29.67</v>
      </c>
      <c r="I58" s="67"/>
      <c r="J58" s="11"/>
      <c r="K58" s="120"/>
    </row>
    <row r="59" spans="1:11" x14ac:dyDescent="0.25">
      <c r="A59" s="65"/>
      <c r="B59" s="9"/>
      <c r="C59" s="127"/>
      <c r="E59" s="67">
        <v>45930</v>
      </c>
      <c r="F59" s="9" t="s">
        <v>9</v>
      </c>
      <c r="G59" s="120">
        <v>29.6</v>
      </c>
      <c r="I59" s="67"/>
      <c r="J59" s="23"/>
      <c r="K59" s="120"/>
    </row>
    <row r="60" spans="1:11" x14ac:dyDescent="0.25">
      <c r="A60" s="65"/>
      <c r="B60" s="9"/>
      <c r="C60" s="127"/>
      <c r="E60" s="67">
        <v>45930</v>
      </c>
      <c r="F60" s="9" t="s">
        <v>8</v>
      </c>
      <c r="G60" s="120">
        <v>22.55</v>
      </c>
      <c r="I60" s="67"/>
      <c r="J60" s="11"/>
      <c r="K60" s="120"/>
    </row>
    <row r="61" spans="1:11" x14ac:dyDescent="0.25">
      <c r="A61" s="65"/>
      <c r="B61" s="9"/>
      <c r="C61" s="127"/>
      <c r="E61" s="67"/>
      <c r="F61" s="9"/>
      <c r="G61" s="120"/>
      <c r="I61" s="67"/>
      <c r="J61" s="11"/>
      <c r="K61" s="120"/>
    </row>
    <row r="62" spans="1:11" x14ac:dyDescent="0.25">
      <c r="A62" s="65"/>
      <c r="B62" s="9"/>
      <c r="C62" s="127"/>
      <c r="E62" s="67"/>
      <c r="F62" s="9"/>
      <c r="G62" s="120"/>
      <c r="I62" s="67"/>
      <c r="J62" s="23"/>
      <c r="K62" s="120"/>
    </row>
    <row r="63" spans="1:11" x14ac:dyDescent="0.25">
      <c r="A63" s="65"/>
      <c r="B63" s="9"/>
      <c r="C63" s="127"/>
      <c r="E63" s="67"/>
      <c r="F63" s="9"/>
      <c r="G63" s="120"/>
      <c r="I63" s="67"/>
      <c r="J63" s="11"/>
      <c r="K63" s="120"/>
    </row>
    <row r="64" spans="1:11" x14ac:dyDescent="0.25">
      <c r="A64" s="65"/>
      <c r="B64" s="9"/>
      <c r="C64" s="127"/>
      <c r="E64" s="67"/>
      <c r="F64" s="9"/>
      <c r="G64" s="120"/>
      <c r="I64" s="67"/>
      <c r="J64" s="11"/>
      <c r="K64" s="120"/>
    </row>
    <row r="65" spans="1:11" x14ac:dyDescent="0.25">
      <c r="A65" s="65"/>
      <c r="B65" s="9"/>
      <c r="C65" s="127"/>
      <c r="E65" s="67"/>
      <c r="F65" s="9"/>
      <c r="G65" s="120"/>
      <c r="I65" s="67"/>
      <c r="J65" s="23"/>
      <c r="K65" s="120"/>
    </row>
    <row r="66" spans="1:11" x14ac:dyDescent="0.25">
      <c r="A66" s="65"/>
      <c r="B66" s="9"/>
      <c r="C66" s="127"/>
      <c r="E66" s="67"/>
      <c r="F66" s="9"/>
      <c r="G66" s="120"/>
      <c r="I66" s="67"/>
      <c r="J66" s="11"/>
      <c r="K66" s="120"/>
    </row>
    <row r="67" spans="1:11" x14ac:dyDescent="0.25">
      <c r="A67" s="65"/>
      <c r="B67" s="9"/>
      <c r="C67" s="127"/>
      <c r="E67" s="67"/>
      <c r="F67" s="9"/>
      <c r="G67" s="120"/>
      <c r="I67" s="67"/>
      <c r="J67" s="11"/>
      <c r="K67" s="120"/>
    </row>
    <row r="68" spans="1:11" x14ac:dyDescent="0.25">
      <c r="A68" s="65"/>
      <c r="B68" s="9"/>
      <c r="C68" s="127"/>
      <c r="E68" s="67"/>
      <c r="F68" s="9"/>
      <c r="G68" s="120"/>
      <c r="I68" s="67"/>
      <c r="J68" s="23"/>
      <c r="K68" s="120"/>
    </row>
    <row r="69" spans="1:11" x14ac:dyDescent="0.25">
      <c r="A69" s="65"/>
      <c r="B69" s="9"/>
      <c r="C69" s="127"/>
      <c r="E69" s="67"/>
      <c r="F69" s="9"/>
      <c r="G69" s="120"/>
      <c r="I69" s="67"/>
      <c r="J69" s="11"/>
      <c r="K69" s="120"/>
    </row>
    <row r="70" spans="1:11" x14ac:dyDescent="0.25">
      <c r="A70" s="65"/>
      <c r="B70" s="9"/>
      <c r="C70" s="127"/>
      <c r="E70" s="67"/>
      <c r="F70" s="9"/>
      <c r="G70" s="120"/>
      <c r="I70" s="67"/>
      <c r="J70" s="11"/>
      <c r="K70" s="120"/>
    </row>
    <row r="71" spans="1:11" x14ac:dyDescent="0.25">
      <c r="A71" s="65"/>
      <c r="B71" s="9"/>
      <c r="C71" s="127"/>
      <c r="E71" s="67"/>
      <c r="F71" s="9"/>
      <c r="G71" s="120"/>
      <c r="I71" s="67"/>
      <c r="J71" s="23"/>
      <c r="K71" s="120"/>
    </row>
    <row r="72" spans="1:11" x14ac:dyDescent="0.25">
      <c r="A72" s="65"/>
      <c r="B72" s="9"/>
      <c r="C72" s="127"/>
      <c r="E72" s="67"/>
      <c r="F72" s="9"/>
      <c r="G72" s="120"/>
      <c r="I72" s="67"/>
      <c r="J72" s="11"/>
      <c r="K72" s="120"/>
    </row>
    <row r="73" spans="1:11" x14ac:dyDescent="0.25">
      <c r="A73" s="65"/>
      <c r="B73" s="9"/>
      <c r="C73" s="127"/>
      <c r="E73" s="67"/>
      <c r="F73" s="9"/>
      <c r="G73" s="120"/>
      <c r="I73" s="67"/>
      <c r="J73" s="11"/>
      <c r="K73" s="120"/>
    </row>
    <row r="74" spans="1:11" x14ac:dyDescent="0.25">
      <c r="A74" s="65"/>
      <c r="B74" s="9"/>
      <c r="C74" s="127"/>
      <c r="E74" s="67"/>
      <c r="F74" s="9"/>
      <c r="G74" s="120"/>
      <c r="I74" s="67"/>
      <c r="J74" s="23"/>
      <c r="K74" s="120"/>
    </row>
    <row r="75" spans="1:11" x14ac:dyDescent="0.25">
      <c r="A75" s="65"/>
      <c r="B75" s="9"/>
      <c r="C75" s="127"/>
      <c r="E75" s="67"/>
      <c r="F75" s="9"/>
      <c r="G75" s="120"/>
      <c r="I75" s="67"/>
      <c r="J75" s="11"/>
      <c r="K75" s="120"/>
    </row>
    <row r="76" spans="1:11" x14ac:dyDescent="0.25">
      <c r="A76" s="65"/>
      <c r="B76" s="9"/>
      <c r="C76" s="127"/>
      <c r="E76" s="67"/>
      <c r="F76" s="9"/>
      <c r="G76" s="120"/>
      <c r="I76" s="67"/>
      <c r="J76" s="11"/>
      <c r="K76" s="120"/>
    </row>
    <row r="77" spans="1:11" x14ac:dyDescent="0.25">
      <c r="A77" s="65"/>
      <c r="B77" s="9"/>
      <c r="C77" s="127"/>
      <c r="E77" s="67"/>
      <c r="F77" s="9"/>
      <c r="G77" s="120"/>
      <c r="I77" s="67"/>
      <c r="J77" s="23"/>
      <c r="K77" s="120"/>
    </row>
    <row r="78" spans="1:11" x14ac:dyDescent="0.25">
      <c r="A78" s="65"/>
      <c r="B78" s="9"/>
      <c r="C78" s="127"/>
      <c r="E78" s="67"/>
      <c r="F78" s="9"/>
      <c r="G78" s="120"/>
      <c r="I78" s="67"/>
      <c r="J78" s="11"/>
      <c r="K78" s="120"/>
    </row>
    <row r="79" spans="1:11" x14ac:dyDescent="0.25">
      <c r="A79" s="65"/>
      <c r="B79" s="9"/>
      <c r="C79" s="127"/>
      <c r="E79" s="67"/>
      <c r="F79" s="9"/>
      <c r="G79" s="120"/>
      <c r="I79" s="67"/>
      <c r="J79" s="11"/>
      <c r="K79" s="120"/>
    </row>
    <row r="80" spans="1:11" x14ac:dyDescent="0.25">
      <c r="A80" s="65"/>
      <c r="B80" s="9"/>
      <c r="C80" s="127"/>
      <c r="E80" s="67"/>
      <c r="F80" s="9"/>
      <c r="G80" s="120"/>
      <c r="I80" s="67"/>
      <c r="J80" s="23"/>
      <c r="K80" s="120"/>
    </row>
    <row r="81" spans="1:11" x14ac:dyDescent="0.25">
      <c r="A81" s="65"/>
      <c r="B81" s="9"/>
      <c r="C81" s="127"/>
      <c r="E81" s="67"/>
      <c r="F81" s="9"/>
      <c r="G81" s="120"/>
      <c r="I81" s="67"/>
      <c r="J81" s="11"/>
      <c r="K81" s="120"/>
    </row>
    <row r="82" spans="1:11" x14ac:dyDescent="0.25">
      <c r="A82" s="65"/>
      <c r="B82" s="9"/>
      <c r="C82" s="127"/>
      <c r="E82" s="67"/>
      <c r="F82" s="9"/>
      <c r="G82" s="120"/>
      <c r="I82" s="67"/>
      <c r="J82" s="11"/>
      <c r="K82" s="120"/>
    </row>
    <row r="83" spans="1:11" x14ac:dyDescent="0.25">
      <c r="A83" s="65"/>
      <c r="B83" s="9"/>
      <c r="C83" s="127"/>
      <c r="E83" s="67"/>
      <c r="F83" s="9"/>
      <c r="G83" s="120"/>
      <c r="I83" s="67"/>
      <c r="J83" s="23"/>
      <c r="K83" s="120"/>
    </row>
    <row r="84" spans="1:11" x14ac:dyDescent="0.25">
      <c r="A84" s="65"/>
      <c r="B84" s="9"/>
      <c r="C84" s="127"/>
      <c r="E84" s="67"/>
      <c r="F84" s="9"/>
      <c r="G84" s="120"/>
      <c r="I84" s="67"/>
      <c r="J84" s="11"/>
      <c r="K84" s="120"/>
    </row>
    <row r="85" spans="1:11" x14ac:dyDescent="0.25">
      <c r="A85" s="65"/>
      <c r="B85" s="9"/>
      <c r="C85" s="127"/>
      <c r="E85" s="67"/>
      <c r="F85" s="9"/>
      <c r="G85" s="120"/>
      <c r="I85" s="67"/>
      <c r="J85" s="11"/>
      <c r="K85" s="120"/>
    </row>
    <row r="86" spans="1:11" x14ac:dyDescent="0.25">
      <c r="A86" s="65"/>
      <c r="B86" s="9"/>
      <c r="C86" s="127"/>
      <c r="E86" s="67"/>
      <c r="F86" s="9"/>
      <c r="G86" s="120"/>
      <c r="I86" s="67"/>
      <c r="J86" s="23"/>
      <c r="K86" s="120"/>
    </row>
    <row r="87" spans="1:11" x14ac:dyDescent="0.25">
      <c r="A87" s="65"/>
      <c r="B87" s="9"/>
      <c r="C87" s="127"/>
      <c r="E87" s="67"/>
      <c r="F87" s="9"/>
      <c r="G87" s="120"/>
      <c r="I87" s="67"/>
      <c r="J87" s="11"/>
      <c r="K87" s="120"/>
    </row>
    <row r="88" spans="1:11" x14ac:dyDescent="0.25">
      <c r="A88" s="65"/>
      <c r="B88" s="9"/>
      <c r="C88" s="127"/>
      <c r="E88" s="67"/>
      <c r="F88" s="9"/>
      <c r="G88" s="120"/>
      <c r="I88" s="67"/>
      <c r="J88" s="11"/>
      <c r="K88" s="120"/>
    </row>
    <row r="89" spans="1:11" x14ac:dyDescent="0.25">
      <c r="A89" s="65"/>
      <c r="B89" s="9"/>
      <c r="C89" s="127"/>
      <c r="E89" s="67"/>
      <c r="F89" s="9"/>
      <c r="G89" s="120"/>
      <c r="I89" s="67"/>
      <c r="J89" s="23"/>
      <c r="K89" s="120"/>
    </row>
    <row r="90" spans="1:11" x14ac:dyDescent="0.25">
      <c r="A90" s="65"/>
      <c r="B90" s="9"/>
      <c r="C90" s="127"/>
      <c r="E90" s="67"/>
      <c r="F90" s="9"/>
      <c r="G90" s="120"/>
      <c r="I90" s="67"/>
      <c r="J90" s="11"/>
      <c r="K90" s="120"/>
    </row>
    <row r="91" spans="1:11" x14ac:dyDescent="0.25">
      <c r="A91" s="65"/>
      <c r="B91" s="9"/>
      <c r="C91" s="127"/>
      <c r="E91" s="67"/>
      <c r="F91" s="9"/>
      <c r="G91" s="120"/>
      <c r="I91" s="67"/>
      <c r="J91" s="11"/>
      <c r="K91" s="120"/>
    </row>
    <row r="92" spans="1:11" x14ac:dyDescent="0.25">
      <c r="A92" s="65"/>
      <c r="B92" s="9"/>
      <c r="C92" s="127"/>
      <c r="E92" s="67"/>
      <c r="F92" s="9"/>
      <c r="G92" s="120"/>
      <c r="I92" s="67"/>
      <c r="J92" s="23"/>
      <c r="K92" s="120"/>
    </row>
    <row r="93" spans="1:11" x14ac:dyDescent="0.25">
      <c r="A93" s="65"/>
      <c r="B93" s="9"/>
      <c r="C93" s="127"/>
      <c r="E93" s="67"/>
      <c r="F93" s="9"/>
      <c r="G93" s="120"/>
      <c r="I93" s="67"/>
      <c r="J93" s="11"/>
      <c r="K93" s="120"/>
    </row>
    <row r="94" spans="1:11" x14ac:dyDescent="0.25">
      <c r="A94" s="65"/>
      <c r="B94" s="9"/>
      <c r="C94" s="127"/>
      <c r="E94" s="67"/>
      <c r="F94" s="9"/>
      <c r="G94" s="120"/>
      <c r="I94" s="67"/>
      <c r="J94" s="11"/>
      <c r="K94" s="120"/>
    </row>
    <row r="95" spans="1:11" x14ac:dyDescent="0.25">
      <c r="A95" s="65"/>
      <c r="B95" s="9"/>
      <c r="C95" s="127"/>
      <c r="E95" s="67"/>
      <c r="F95" s="9"/>
      <c r="G95" s="120"/>
      <c r="I95" s="67"/>
      <c r="J95" s="23"/>
      <c r="K95" s="120"/>
    </row>
    <row r="96" spans="1:11" x14ac:dyDescent="0.25">
      <c r="A96" s="65"/>
      <c r="B96" s="9"/>
      <c r="C96" s="127"/>
      <c r="E96" s="67"/>
      <c r="F96" s="9"/>
      <c r="G96" s="120"/>
      <c r="I96" s="67"/>
      <c r="J96" s="11"/>
      <c r="K96" s="120"/>
    </row>
    <row r="97" spans="1:11" x14ac:dyDescent="0.25">
      <c r="A97" s="65"/>
      <c r="B97" s="9"/>
      <c r="C97" s="127"/>
      <c r="E97" s="67"/>
      <c r="F97" s="9"/>
      <c r="G97" s="120"/>
      <c r="I97" s="67"/>
      <c r="J97" s="11"/>
      <c r="K97" s="120"/>
    </row>
    <row r="98" spans="1:11" x14ac:dyDescent="0.25">
      <c r="A98" s="65"/>
      <c r="B98" s="9"/>
      <c r="C98" s="127"/>
      <c r="E98" s="67"/>
      <c r="F98" s="9"/>
      <c r="G98" s="120"/>
      <c r="I98" s="67"/>
      <c r="J98" s="23"/>
      <c r="K98" s="120"/>
    </row>
    <row r="99" spans="1:11" x14ac:dyDescent="0.25">
      <c r="A99" s="65"/>
      <c r="B99" s="9"/>
      <c r="C99" s="127"/>
      <c r="E99" s="67"/>
      <c r="F99" s="9"/>
      <c r="G99" s="120"/>
      <c r="I99" s="67"/>
      <c r="J99" s="11"/>
      <c r="K99" s="120"/>
    </row>
    <row r="100" spans="1:11" x14ac:dyDescent="0.25">
      <c r="A100" s="65"/>
      <c r="B100" s="9"/>
      <c r="C100" s="127"/>
      <c r="E100" s="67"/>
      <c r="F100" s="9"/>
      <c r="G100" s="120"/>
      <c r="I100" s="67"/>
      <c r="J100" s="11"/>
      <c r="K100" s="120"/>
    </row>
    <row r="101" spans="1:11" x14ac:dyDescent="0.25">
      <c r="A101" s="65"/>
      <c r="B101" s="9"/>
      <c r="C101" s="127"/>
      <c r="E101" s="67"/>
      <c r="F101" s="9"/>
      <c r="G101" s="120"/>
      <c r="I101" s="67"/>
      <c r="J101" s="23"/>
      <c r="K101" s="120"/>
    </row>
    <row r="102" spans="1:11" x14ac:dyDescent="0.25">
      <c r="A102" s="65"/>
      <c r="B102" s="9"/>
      <c r="C102" s="127"/>
      <c r="E102" s="67"/>
      <c r="F102" s="9"/>
      <c r="G102" s="120"/>
      <c r="I102" s="67"/>
      <c r="J102" s="11"/>
      <c r="K102" s="120"/>
    </row>
    <row r="103" spans="1:11" x14ac:dyDescent="0.25">
      <c r="A103" s="65"/>
      <c r="B103" s="9"/>
      <c r="C103" s="127"/>
      <c r="E103" s="67"/>
      <c r="F103" s="9"/>
      <c r="G103" s="120"/>
      <c r="I103" s="67"/>
      <c r="J103" s="11"/>
      <c r="K103" s="120"/>
    </row>
    <row r="104" spans="1:11" x14ac:dyDescent="0.25">
      <c r="A104" s="65"/>
      <c r="B104" s="9"/>
      <c r="C104" s="127"/>
      <c r="E104" s="67"/>
      <c r="F104" s="9"/>
      <c r="G104" s="120"/>
      <c r="I104" s="67"/>
      <c r="J104" s="23"/>
      <c r="K104" s="120"/>
    </row>
    <row r="105" spans="1:11" x14ac:dyDescent="0.25">
      <c r="A105" s="65"/>
      <c r="B105" s="9"/>
      <c r="C105" s="127"/>
      <c r="E105" s="67"/>
      <c r="F105" s="9"/>
      <c r="G105" s="120"/>
      <c r="I105" s="67"/>
      <c r="J105" s="11"/>
      <c r="K105" s="120"/>
    </row>
    <row r="106" spans="1:11" x14ac:dyDescent="0.25">
      <c r="A106" s="65"/>
      <c r="B106" s="9"/>
      <c r="C106" s="127"/>
      <c r="E106" s="67"/>
      <c r="F106" s="9"/>
      <c r="G106" s="120"/>
      <c r="I106" s="67"/>
      <c r="J106" s="11"/>
      <c r="K106" s="120"/>
    </row>
    <row r="107" spans="1:11" x14ac:dyDescent="0.25">
      <c r="A107" s="65"/>
      <c r="B107" s="9"/>
      <c r="C107" s="127"/>
      <c r="E107" s="67"/>
      <c r="F107" s="9"/>
      <c r="G107" s="120"/>
      <c r="I107" s="67"/>
      <c r="J107" s="23"/>
      <c r="K107" s="120"/>
    </row>
    <row r="108" spans="1:11" x14ac:dyDescent="0.25">
      <c r="A108" s="65"/>
      <c r="B108" s="9"/>
      <c r="C108" s="127"/>
      <c r="E108" s="67"/>
      <c r="F108" s="9"/>
      <c r="G108" s="120"/>
      <c r="I108" s="67"/>
      <c r="J108" s="11"/>
      <c r="K108" s="120"/>
    </row>
    <row r="109" spans="1:11" x14ac:dyDescent="0.25">
      <c r="A109" s="65"/>
      <c r="B109" s="9"/>
      <c r="C109" s="127"/>
      <c r="E109" s="67"/>
      <c r="F109" s="9"/>
      <c r="G109" s="120"/>
      <c r="I109" s="67"/>
      <c r="J109" s="11"/>
      <c r="K109" s="120"/>
    </row>
    <row r="110" spans="1:11" x14ac:dyDescent="0.25">
      <c r="A110" s="65"/>
      <c r="B110" s="9"/>
      <c r="C110" s="127"/>
      <c r="E110" s="67"/>
      <c r="F110" s="9"/>
      <c r="G110" s="120"/>
      <c r="I110" s="67"/>
      <c r="J110" s="23"/>
      <c r="K110" s="120"/>
    </row>
    <row r="111" spans="1:11" x14ac:dyDescent="0.25">
      <c r="A111" s="65"/>
      <c r="B111" s="9"/>
      <c r="C111" s="127"/>
      <c r="E111" s="67"/>
      <c r="F111" s="9"/>
      <c r="G111" s="120"/>
      <c r="I111" s="67"/>
      <c r="J111" s="11"/>
      <c r="K111" s="120"/>
    </row>
    <row r="112" spans="1:11" x14ac:dyDescent="0.25">
      <c r="A112" s="65"/>
      <c r="B112" s="9"/>
      <c r="C112" s="127"/>
      <c r="E112" s="67"/>
      <c r="F112" s="9"/>
      <c r="G112" s="120"/>
      <c r="I112" s="67"/>
      <c r="J112" s="11"/>
      <c r="K112" s="120"/>
    </row>
    <row r="113" spans="1:11" x14ac:dyDescent="0.25">
      <c r="A113" s="65"/>
      <c r="B113" s="9"/>
      <c r="C113" s="127"/>
      <c r="E113" s="67"/>
      <c r="F113" s="9"/>
      <c r="G113" s="120"/>
      <c r="I113" s="67"/>
      <c r="J113" s="23"/>
      <c r="K113" s="120"/>
    </row>
    <row r="114" spans="1:11" x14ac:dyDescent="0.25">
      <c r="A114" s="65"/>
      <c r="B114" s="9"/>
      <c r="C114" s="127"/>
      <c r="E114" s="67"/>
      <c r="F114" s="9"/>
      <c r="G114" s="120"/>
      <c r="I114" s="67"/>
      <c r="J114" s="11"/>
      <c r="K114" s="120"/>
    </row>
    <row r="115" spans="1:11" x14ac:dyDescent="0.25">
      <c r="A115" s="65"/>
      <c r="B115" s="9"/>
      <c r="C115" s="127"/>
      <c r="E115" s="67"/>
      <c r="F115" s="9"/>
      <c r="G115" s="120"/>
      <c r="I115" s="67"/>
      <c r="J115" s="11"/>
      <c r="K115" s="120"/>
    </row>
    <row r="116" spans="1:11" x14ac:dyDescent="0.25">
      <c r="A116" s="65"/>
      <c r="B116" s="9"/>
      <c r="C116" s="127"/>
      <c r="E116" s="67"/>
      <c r="F116" s="9"/>
      <c r="G116" s="120"/>
      <c r="I116" s="67"/>
      <c r="J116" s="23"/>
      <c r="K116" s="120"/>
    </row>
    <row r="117" spans="1:11" x14ac:dyDescent="0.25">
      <c r="A117" s="65"/>
      <c r="B117" s="9"/>
      <c r="C117" s="127"/>
      <c r="E117" s="67"/>
      <c r="F117" s="9"/>
      <c r="G117" s="120"/>
      <c r="I117" s="67"/>
      <c r="J117" s="11"/>
      <c r="K117" s="120"/>
    </row>
    <row r="118" spans="1:11" x14ac:dyDescent="0.25">
      <c r="A118" s="65"/>
      <c r="B118" s="9"/>
      <c r="C118" s="127"/>
      <c r="E118" s="67"/>
      <c r="F118" s="9"/>
      <c r="G118" s="120"/>
      <c r="I118" s="67"/>
      <c r="J118" s="11"/>
      <c r="K118" s="120"/>
    </row>
    <row r="119" spans="1:11" x14ac:dyDescent="0.25">
      <c r="A119" s="65"/>
      <c r="B119" s="9"/>
      <c r="C119" s="127"/>
      <c r="E119" s="67"/>
      <c r="F119" s="9"/>
      <c r="G119" s="120"/>
      <c r="I119" s="67"/>
      <c r="J119" s="23"/>
      <c r="K119" s="120"/>
    </row>
    <row r="120" spans="1:11" x14ac:dyDescent="0.25">
      <c r="A120" s="65"/>
      <c r="B120" s="9"/>
      <c r="C120" s="127"/>
      <c r="E120" s="67"/>
      <c r="F120" s="9"/>
      <c r="G120" s="120"/>
      <c r="I120" s="67"/>
      <c r="J120" s="11"/>
      <c r="K120" s="120"/>
    </row>
    <row r="121" spans="1:11" x14ac:dyDescent="0.25">
      <c r="A121" s="65"/>
      <c r="B121" s="9"/>
      <c r="C121" s="127"/>
      <c r="E121" s="67"/>
      <c r="F121" s="9"/>
      <c r="G121" s="120"/>
      <c r="I121" s="67"/>
      <c r="J121" s="11"/>
      <c r="K121" s="120"/>
    </row>
    <row r="122" spans="1:11" x14ac:dyDescent="0.25">
      <c r="A122" s="65"/>
      <c r="B122" s="9"/>
      <c r="C122" s="127"/>
      <c r="E122" s="67"/>
      <c r="F122" s="9"/>
      <c r="G122" s="120"/>
      <c r="I122" s="67"/>
      <c r="J122" s="23"/>
      <c r="K122" s="120"/>
    </row>
    <row r="123" spans="1:11" x14ac:dyDescent="0.25">
      <c r="A123" s="65"/>
      <c r="B123" s="9"/>
      <c r="C123" s="127"/>
      <c r="E123" s="67"/>
      <c r="F123" s="9"/>
      <c r="G123" s="120"/>
      <c r="I123" s="67"/>
      <c r="J123" s="11"/>
      <c r="K123" s="120"/>
    </row>
    <row r="124" spans="1:11" x14ac:dyDescent="0.25">
      <c r="A124" s="65"/>
      <c r="B124" s="9"/>
      <c r="C124" s="127"/>
      <c r="E124" s="67"/>
      <c r="F124" s="9"/>
      <c r="G124" s="120"/>
      <c r="I124" s="67"/>
      <c r="J124" s="11"/>
      <c r="K124" s="120"/>
    </row>
    <row r="125" spans="1:11" ht="15.75" thickBot="1" x14ac:dyDescent="0.3">
      <c r="A125" s="65"/>
      <c r="B125" s="9"/>
      <c r="C125" s="127"/>
      <c r="E125" s="68"/>
      <c r="F125" s="10"/>
      <c r="G125" s="123"/>
      <c r="I125" s="68"/>
      <c r="J125" s="8"/>
      <c r="K125" s="123"/>
    </row>
    <row r="126" spans="1:11" ht="15.75" thickBot="1" x14ac:dyDescent="0.3">
      <c r="A126" s="65"/>
      <c r="B126" s="10"/>
      <c r="C126" s="128"/>
    </row>
    <row r="127" spans="1:11" ht="15.75" thickBot="1" x14ac:dyDescent="0.3">
      <c r="A127" s="66"/>
    </row>
  </sheetData>
  <sheetProtection password="EF1F" sheet="1" objects="1" scenarios="1"/>
  <mergeCells count="9">
    <mergeCell ref="Q11:Q14"/>
    <mergeCell ref="P13:P14"/>
    <mergeCell ref="P23:P24"/>
    <mergeCell ref="E1:G1"/>
    <mergeCell ref="A4:C4"/>
    <mergeCell ref="E4:G4"/>
    <mergeCell ref="I4:K4"/>
    <mergeCell ref="P9:P10"/>
    <mergeCell ref="P11:P12"/>
  </mergeCells>
  <printOptions horizontalCentered="1"/>
  <pageMargins left="0.23622047244094491" right="0.23622047244094491" top="0.15748031496062992" bottom="0.15748031496062992" header="0.11811023622047245" footer="0.19685039370078741"/>
  <pageSetup paperSize="9" fitToWidth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Sheet2!$B$2:$B$6</xm:f>
          </x14:formula1>
          <xm:sqref>J6:J125</xm:sqref>
        </x14:dataValidation>
        <x14:dataValidation type="list" allowBlank="1" showInputMessage="1" showErrorMessage="1">
          <x14:formula1>
            <xm:f>Sheet2!$A$2:$A$5</xm:f>
          </x14:formula1>
          <xm:sqref>F6:F125</xm:sqref>
        </x14:dataValidation>
        <x14:dataValidation type="list" allowBlank="1" showInputMessage="1" showErrorMessage="1">
          <x14:formula1>
            <xm:f>Sheet2!$A$2:$A$11</xm:f>
          </x14:formula1>
          <xm:sqref>B6:B126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6"/>
  <sheetViews>
    <sheetView zoomScaleNormal="100" workbookViewId="0">
      <selection activeCell="M55" sqref="M55"/>
    </sheetView>
  </sheetViews>
  <sheetFormatPr defaultColWidth="9.140625" defaultRowHeight="15" x14ac:dyDescent="0.25"/>
  <cols>
    <col min="1" max="1" width="13.42578125" style="25" customWidth="1"/>
    <col min="2" max="2" width="24.5703125" style="1" bestFit="1" customWidth="1"/>
    <col min="3" max="3" width="12.7109375" style="28" bestFit="1" customWidth="1"/>
    <col min="4" max="4" width="0.5703125" style="3" customWidth="1"/>
    <col min="5" max="5" width="14.7109375" style="28" customWidth="1"/>
    <col min="6" max="6" width="21.85546875" style="1" customWidth="1"/>
    <col min="7" max="7" width="12.7109375" style="28" bestFit="1" customWidth="1"/>
    <col min="8" max="8" width="0.5703125" style="3" customWidth="1"/>
    <col min="9" max="9" width="15.85546875" style="28" customWidth="1"/>
    <col min="10" max="10" width="22.140625" style="1" customWidth="1"/>
    <col min="11" max="11" width="12.85546875" style="25" customWidth="1"/>
    <col min="12" max="13" width="9.140625" style="1"/>
    <col min="14" max="14" width="23.7109375" style="1" bestFit="1" customWidth="1"/>
    <col min="15" max="15" width="13.42578125" style="1" customWidth="1"/>
    <col min="16" max="16" width="18" style="1" bestFit="1" customWidth="1"/>
    <col min="17" max="16384" width="9.140625" style="1"/>
  </cols>
  <sheetData>
    <row r="1" spans="1:17" ht="23.65" thickBot="1" x14ac:dyDescent="0.75">
      <c r="E1" s="172" t="s">
        <v>0</v>
      </c>
      <c r="F1" s="173"/>
      <c r="G1" s="174"/>
    </row>
    <row r="2" spans="1:17" ht="15.75" x14ac:dyDescent="0.5">
      <c r="A2" s="31" t="s">
        <v>1</v>
      </c>
      <c r="C2" s="24">
        <v>45931</v>
      </c>
    </row>
    <row r="3" spans="1:17" ht="14.65" thickBot="1" x14ac:dyDescent="0.5"/>
    <row r="4" spans="1:17" ht="18" x14ac:dyDescent="0.55000000000000004">
      <c r="A4" s="175" t="s">
        <v>2</v>
      </c>
      <c r="B4" s="176"/>
      <c r="C4" s="177"/>
      <c r="D4" s="12"/>
      <c r="E4" s="178" t="s">
        <v>3</v>
      </c>
      <c r="F4" s="179"/>
      <c r="G4" s="180"/>
      <c r="H4" s="12"/>
      <c r="I4" s="181" t="s">
        <v>4</v>
      </c>
      <c r="J4" s="182"/>
      <c r="K4" s="183"/>
    </row>
    <row r="5" spans="1:17" ht="21" customHeight="1" x14ac:dyDescent="0.45">
      <c r="A5" s="13" t="s">
        <v>5</v>
      </c>
      <c r="B5" s="14" t="s">
        <v>6</v>
      </c>
      <c r="C5" s="15" t="s">
        <v>7</v>
      </c>
      <c r="D5" s="16"/>
      <c r="E5" s="17" t="s">
        <v>5</v>
      </c>
      <c r="F5" s="18" t="s">
        <v>6</v>
      </c>
      <c r="G5" s="19" t="s">
        <v>7</v>
      </c>
      <c r="H5" s="16"/>
      <c r="I5" s="20" t="s">
        <v>5</v>
      </c>
      <c r="J5" s="21" t="s">
        <v>6</v>
      </c>
      <c r="K5" s="22" t="s">
        <v>7</v>
      </c>
      <c r="N5" s="119" t="s">
        <v>80</v>
      </c>
    </row>
    <row r="6" spans="1:17" ht="14.25" x14ac:dyDescent="0.45">
      <c r="A6" s="116">
        <v>45931</v>
      </c>
      <c r="B6" s="117" t="s">
        <v>18</v>
      </c>
      <c r="C6" s="125">
        <v>4.63</v>
      </c>
      <c r="E6" s="67">
        <v>45931</v>
      </c>
      <c r="F6" s="9" t="s">
        <v>71</v>
      </c>
      <c r="G6" s="120">
        <v>29</v>
      </c>
      <c r="I6" s="65">
        <v>45931</v>
      </c>
      <c r="J6" s="11" t="s">
        <v>11</v>
      </c>
      <c r="K6" s="120">
        <v>15</v>
      </c>
    </row>
    <row r="7" spans="1:17" ht="14.25" x14ac:dyDescent="0.45">
      <c r="A7" s="116">
        <v>45931</v>
      </c>
      <c r="B7" s="117" t="s">
        <v>19</v>
      </c>
      <c r="C7" s="125">
        <v>298.02999999999997</v>
      </c>
      <c r="E7" s="67">
        <v>45932</v>
      </c>
      <c r="F7" s="9" t="s">
        <v>9</v>
      </c>
      <c r="G7" s="120">
        <v>39.799999999999997</v>
      </c>
      <c r="I7" s="65">
        <v>45933</v>
      </c>
      <c r="J7" s="11" t="s">
        <v>11</v>
      </c>
      <c r="K7" s="120">
        <v>12</v>
      </c>
    </row>
    <row r="8" spans="1:17" ht="15.75" x14ac:dyDescent="0.5">
      <c r="A8" s="116">
        <v>45931</v>
      </c>
      <c r="B8" s="117" t="s">
        <v>67</v>
      </c>
      <c r="C8" s="125">
        <v>111.22</v>
      </c>
      <c r="E8" s="104">
        <v>45933</v>
      </c>
      <c r="F8" s="101" t="s">
        <v>8</v>
      </c>
      <c r="G8" s="124">
        <v>23.53</v>
      </c>
      <c r="I8" s="65">
        <v>45933</v>
      </c>
      <c r="J8" s="11" t="s">
        <v>10</v>
      </c>
      <c r="K8" s="120">
        <v>67.650000000000006</v>
      </c>
      <c r="N8" s="109" t="s">
        <v>72</v>
      </c>
      <c r="O8" s="110" t="s">
        <v>17</v>
      </c>
      <c r="P8" s="110" t="s">
        <v>70</v>
      </c>
    </row>
    <row r="9" spans="1:17" x14ac:dyDescent="0.25">
      <c r="A9" s="116">
        <v>45931</v>
      </c>
      <c r="B9" s="117" t="s">
        <v>68</v>
      </c>
      <c r="C9" s="125"/>
      <c r="E9" s="67">
        <v>45934</v>
      </c>
      <c r="F9" s="9" t="s">
        <v>9</v>
      </c>
      <c r="G9" s="120">
        <v>29.61</v>
      </c>
      <c r="I9" s="67">
        <v>45934</v>
      </c>
      <c r="J9" s="11" t="s">
        <v>10</v>
      </c>
      <c r="K9" s="120">
        <v>57.2</v>
      </c>
      <c r="N9" s="91" t="s">
        <v>18</v>
      </c>
      <c r="O9" s="82">
        <f>SUMIF(B6:B125,"OS - Ginger",C6:C125)</f>
        <v>4.63</v>
      </c>
      <c r="P9" s="192">
        <f>SUM(O9:O10)</f>
        <v>441.88</v>
      </c>
    </row>
    <row r="10" spans="1:17" ht="15.75" customHeight="1" x14ac:dyDescent="0.25">
      <c r="A10" s="116">
        <v>45931</v>
      </c>
      <c r="B10" s="117" t="s">
        <v>69</v>
      </c>
      <c r="C10" s="125"/>
      <c r="E10" s="67">
        <v>45934</v>
      </c>
      <c r="F10" s="9" t="s">
        <v>8</v>
      </c>
      <c r="G10" s="120">
        <v>27.24</v>
      </c>
      <c r="I10" s="67">
        <v>45934</v>
      </c>
      <c r="J10" s="11" t="s">
        <v>11</v>
      </c>
      <c r="K10" s="120">
        <v>1.5</v>
      </c>
      <c r="N10" s="92" t="s">
        <v>8</v>
      </c>
      <c r="O10" s="76">
        <f>SUMIF(B6:B125,"Ginger",C6:C125)</f>
        <v>437.25</v>
      </c>
      <c r="P10" s="193"/>
    </row>
    <row r="11" spans="1:17" x14ac:dyDescent="0.25">
      <c r="A11" s="116">
        <v>45931</v>
      </c>
      <c r="B11" s="117" t="s">
        <v>71</v>
      </c>
      <c r="C11" s="125">
        <v>42.39</v>
      </c>
      <c r="E11" s="67">
        <v>45936</v>
      </c>
      <c r="F11" s="9" t="s">
        <v>9</v>
      </c>
      <c r="G11" s="120">
        <v>39.799999999999997</v>
      </c>
      <c r="I11" s="65">
        <v>45936</v>
      </c>
      <c r="J11" s="11" t="s">
        <v>10</v>
      </c>
      <c r="K11" s="120">
        <v>57.2</v>
      </c>
      <c r="N11" s="56" t="s">
        <v>19</v>
      </c>
      <c r="O11" s="57">
        <f>SUMIF(B6:B125,"OS - Garlic",C6:C125)</f>
        <v>298.02999999999997</v>
      </c>
      <c r="P11" s="194">
        <f>SUM(O11:O12)</f>
        <v>972.88</v>
      </c>
      <c r="Q11" s="198">
        <f>SUM(P11:P14)</f>
        <v>1015.27</v>
      </c>
    </row>
    <row r="12" spans="1:17" x14ac:dyDescent="0.25">
      <c r="A12" s="116">
        <v>45931</v>
      </c>
      <c r="B12" s="117" t="s">
        <v>13</v>
      </c>
      <c r="C12" s="125"/>
      <c r="E12" s="67">
        <v>45936</v>
      </c>
      <c r="F12" s="9" t="s">
        <v>8</v>
      </c>
      <c r="G12" s="120">
        <v>19.87</v>
      </c>
      <c r="I12" s="65">
        <v>45938</v>
      </c>
      <c r="J12" s="11" t="s">
        <v>10</v>
      </c>
      <c r="K12" s="120">
        <v>55.8</v>
      </c>
      <c r="N12" s="88" t="s">
        <v>74</v>
      </c>
      <c r="O12" s="78">
        <f>SUMIF(B6:B125,"Garlic",C6:C125)</f>
        <v>674.85</v>
      </c>
      <c r="P12" s="195"/>
      <c r="Q12" s="198"/>
    </row>
    <row r="13" spans="1:17" x14ac:dyDescent="0.25">
      <c r="A13" s="116">
        <v>45931</v>
      </c>
      <c r="B13" s="117" t="s">
        <v>77</v>
      </c>
      <c r="C13" s="125"/>
      <c r="E13" s="103">
        <v>45938</v>
      </c>
      <c r="F13" s="9" t="s">
        <v>9</v>
      </c>
      <c r="G13" s="121">
        <v>29.6</v>
      </c>
      <c r="H13" s="108"/>
      <c r="I13" s="103">
        <v>45939</v>
      </c>
      <c r="J13" s="11" t="s">
        <v>11</v>
      </c>
      <c r="K13" s="121">
        <v>15</v>
      </c>
      <c r="N13" s="93" t="s">
        <v>71</v>
      </c>
      <c r="O13" s="62">
        <f>SUMIF(B6:B125,"OS - Broken Garlic",C6:C125)</f>
        <v>42.39</v>
      </c>
      <c r="P13" s="196">
        <f>SUM(O13:O14)</f>
        <v>42.39</v>
      </c>
      <c r="Q13" s="198"/>
    </row>
    <row r="14" spans="1:17" x14ac:dyDescent="0.25">
      <c r="A14" s="116">
        <v>45931</v>
      </c>
      <c r="B14" s="117" t="s">
        <v>78</v>
      </c>
      <c r="C14" s="125"/>
      <c r="E14" s="103">
        <v>45938</v>
      </c>
      <c r="F14" s="9" t="s">
        <v>9</v>
      </c>
      <c r="G14" s="121">
        <v>39.700000000000003</v>
      </c>
      <c r="H14" s="108"/>
      <c r="I14" s="103">
        <v>45940</v>
      </c>
      <c r="J14" s="11" t="s">
        <v>10</v>
      </c>
      <c r="K14" s="121">
        <v>92.4</v>
      </c>
      <c r="N14" s="94" t="s">
        <v>13</v>
      </c>
      <c r="O14" s="73">
        <f>SUMIF(B6:B125,"Broken Garlic",C6:C125)</f>
        <v>0</v>
      </c>
      <c r="P14" s="197"/>
      <c r="Q14" s="198"/>
    </row>
    <row r="15" spans="1:17" x14ac:dyDescent="0.25">
      <c r="A15" s="65">
        <v>45931</v>
      </c>
      <c r="B15" s="9" t="s">
        <v>8</v>
      </c>
      <c r="C15" s="127">
        <v>56.35</v>
      </c>
      <c r="E15" s="103">
        <v>45938</v>
      </c>
      <c r="F15" s="9" t="s">
        <v>8</v>
      </c>
      <c r="G15" s="121">
        <v>31.9</v>
      </c>
      <c r="H15" s="108"/>
      <c r="I15" s="103">
        <v>45941</v>
      </c>
      <c r="J15" s="11" t="s">
        <v>11</v>
      </c>
      <c r="K15" s="121">
        <v>12</v>
      </c>
      <c r="N15" s="89" t="s">
        <v>68</v>
      </c>
      <c r="O15" s="90">
        <f>SUMIF(B6:B125,"OS - Garlic Peeled",C6:C125)</f>
        <v>0</v>
      </c>
      <c r="P15" s="111">
        <f>O15</f>
        <v>0</v>
      </c>
    </row>
    <row r="16" spans="1:17" x14ac:dyDescent="0.25">
      <c r="A16" s="65">
        <v>45936</v>
      </c>
      <c r="B16" s="9" t="s">
        <v>8</v>
      </c>
      <c r="C16" s="127">
        <v>56.7</v>
      </c>
      <c r="E16" s="103">
        <v>45939</v>
      </c>
      <c r="F16" s="9" t="s">
        <v>9</v>
      </c>
      <c r="G16" s="121">
        <v>39.68</v>
      </c>
      <c r="H16" s="108"/>
      <c r="I16" s="103">
        <v>45943</v>
      </c>
      <c r="J16" s="11" t="s">
        <v>10</v>
      </c>
      <c r="K16" s="121">
        <v>71</v>
      </c>
      <c r="N16" s="89" t="s">
        <v>69</v>
      </c>
      <c r="O16" s="90">
        <f>SUMIF(B6:B125,"OS - Ginger Peeled",C6:C125)</f>
        <v>0</v>
      </c>
      <c r="P16" s="90"/>
    </row>
    <row r="17" spans="1:16" x14ac:dyDescent="0.25">
      <c r="A17" s="65">
        <v>45937</v>
      </c>
      <c r="B17" s="9" t="s">
        <v>8</v>
      </c>
      <c r="C17" s="127">
        <v>56.63</v>
      </c>
      <c r="E17" s="103">
        <v>45940</v>
      </c>
      <c r="F17" s="9" t="s">
        <v>8</v>
      </c>
      <c r="G17" s="121">
        <v>36.14</v>
      </c>
      <c r="H17" s="108"/>
      <c r="I17" s="103">
        <v>45945</v>
      </c>
      <c r="J17" s="11" t="s">
        <v>11</v>
      </c>
      <c r="K17" s="121">
        <v>17</v>
      </c>
      <c r="N17" s="89" t="s">
        <v>67</v>
      </c>
      <c r="O17" s="90">
        <f>SUMIF(B6:B125,"OS - Ginger Garlic Paste",C6:C125)</f>
        <v>111.22</v>
      </c>
      <c r="P17" s="90"/>
    </row>
    <row r="18" spans="1:16" x14ac:dyDescent="0.25">
      <c r="A18" s="65">
        <v>45941</v>
      </c>
      <c r="B18" s="9" t="s">
        <v>9</v>
      </c>
      <c r="C18" s="127">
        <v>39.299999999999997</v>
      </c>
      <c r="E18" s="103">
        <v>45941</v>
      </c>
      <c r="F18" s="9" t="s">
        <v>9</v>
      </c>
      <c r="G18" s="121">
        <v>39.47</v>
      </c>
      <c r="H18" s="108"/>
      <c r="I18" s="103">
        <v>45947</v>
      </c>
      <c r="J18" s="11" t="s">
        <v>10</v>
      </c>
      <c r="K18" s="121">
        <v>89.8</v>
      </c>
      <c r="N18" s="89" t="s">
        <v>76</v>
      </c>
      <c r="O18" s="90">
        <f>SUMIF(B6:B125,"OS - Ginger Paste",C6:C125)</f>
        <v>0</v>
      </c>
      <c r="P18" s="90"/>
    </row>
    <row r="19" spans="1:16" x14ac:dyDescent="0.25">
      <c r="A19" s="65">
        <v>45941</v>
      </c>
      <c r="B19" s="9" t="s">
        <v>9</v>
      </c>
      <c r="C19" s="127">
        <v>39.25</v>
      </c>
      <c r="E19" s="103">
        <v>45943</v>
      </c>
      <c r="F19" s="9" t="s">
        <v>8</v>
      </c>
      <c r="G19" s="121">
        <v>22.4</v>
      </c>
      <c r="H19" s="108"/>
      <c r="I19" s="103">
        <v>45947</v>
      </c>
      <c r="J19" s="11" t="s">
        <v>11</v>
      </c>
      <c r="K19" s="121">
        <v>6</v>
      </c>
      <c r="N19" s="89" t="s">
        <v>75</v>
      </c>
      <c r="O19" s="90">
        <f>SUMIF(B6:B125,"OS - Garlic Paste",C6:C125)</f>
        <v>0</v>
      </c>
      <c r="P19" s="90"/>
    </row>
    <row r="20" spans="1:16" x14ac:dyDescent="0.25">
      <c r="A20" s="65">
        <v>45941</v>
      </c>
      <c r="B20" s="9" t="s">
        <v>9</v>
      </c>
      <c r="C20" s="127">
        <v>39.380000000000003</v>
      </c>
      <c r="E20" s="103">
        <v>45945</v>
      </c>
      <c r="F20" s="9" t="s">
        <v>9</v>
      </c>
      <c r="G20" s="121">
        <v>39.200000000000003</v>
      </c>
      <c r="H20" s="108"/>
      <c r="I20" s="103">
        <v>45949</v>
      </c>
      <c r="J20" s="11" t="s">
        <v>10</v>
      </c>
      <c r="K20" s="121">
        <v>100.5</v>
      </c>
    </row>
    <row r="21" spans="1:16" ht="15.75" x14ac:dyDescent="0.25">
      <c r="A21" s="65">
        <v>45941</v>
      </c>
      <c r="B21" s="9" t="s">
        <v>9</v>
      </c>
      <c r="C21" s="127">
        <v>39</v>
      </c>
      <c r="E21" s="103">
        <v>45945</v>
      </c>
      <c r="F21" s="9" t="s">
        <v>9</v>
      </c>
      <c r="G21" s="121">
        <v>39.6</v>
      </c>
      <c r="H21" s="108"/>
      <c r="I21" s="103">
        <v>45951</v>
      </c>
      <c r="J21" s="11" t="s">
        <v>11</v>
      </c>
      <c r="K21" s="121">
        <v>8</v>
      </c>
      <c r="N21" s="109" t="s">
        <v>3</v>
      </c>
      <c r="O21" s="110" t="s">
        <v>17</v>
      </c>
      <c r="P21" s="110" t="s">
        <v>17</v>
      </c>
    </row>
    <row r="22" spans="1:16" x14ac:dyDescent="0.25">
      <c r="A22" s="65">
        <v>45941</v>
      </c>
      <c r="B22" s="9" t="s">
        <v>9</v>
      </c>
      <c r="C22" s="127">
        <v>39.14</v>
      </c>
      <c r="E22" s="104">
        <v>45947</v>
      </c>
      <c r="F22" s="101" t="s">
        <v>8</v>
      </c>
      <c r="G22" s="124">
        <v>38.17</v>
      </c>
      <c r="H22" s="108"/>
      <c r="I22" s="103">
        <v>45952</v>
      </c>
      <c r="J22" s="11" t="s">
        <v>10</v>
      </c>
      <c r="K22" s="121">
        <v>49</v>
      </c>
      <c r="N22" s="44" t="s">
        <v>8</v>
      </c>
      <c r="O22" s="62">
        <f>SUMIF(F6:F125,"Ginger",G6:G125)</f>
        <v>403.45000000000005</v>
      </c>
      <c r="P22" s="100">
        <f>O22</f>
        <v>403.45000000000005</v>
      </c>
    </row>
    <row r="23" spans="1:16" x14ac:dyDescent="0.25">
      <c r="A23" s="65">
        <v>45941</v>
      </c>
      <c r="B23" s="9" t="s">
        <v>9</v>
      </c>
      <c r="C23" s="127">
        <v>39.18</v>
      </c>
      <c r="E23" s="103">
        <v>45948</v>
      </c>
      <c r="F23" s="9" t="s">
        <v>9</v>
      </c>
      <c r="G23" s="121">
        <v>39.33</v>
      </c>
      <c r="H23" s="108"/>
      <c r="I23" s="103">
        <v>45953</v>
      </c>
      <c r="J23" s="11" t="s">
        <v>76</v>
      </c>
      <c r="K23" s="121">
        <v>15</v>
      </c>
      <c r="N23" s="44" t="s">
        <v>9</v>
      </c>
      <c r="O23" s="63">
        <f>SUMIF(F6:F125,"Garlic",G6:G125)</f>
        <v>651.17999999999995</v>
      </c>
      <c r="P23" s="191">
        <f>SUM(O23:O24)</f>
        <v>651.17999999999995</v>
      </c>
    </row>
    <row r="24" spans="1:16" x14ac:dyDescent="0.25">
      <c r="A24" s="65">
        <v>45941</v>
      </c>
      <c r="B24" s="9" t="s">
        <v>9</v>
      </c>
      <c r="C24" s="127">
        <v>39.229999999999997</v>
      </c>
      <c r="E24" s="103">
        <v>45949</v>
      </c>
      <c r="F24" s="9" t="s">
        <v>8</v>
      </c>
      <c r="G24" s="121">
        <v>40</v>
      </c>
      <c r="H24" s="108"/>
      <c r="I24" s="118">
        <v>45953</v>
      </c>
      <c r="J24" s="9" t="s">
        <v>75</v>
      </c>
      <c r="K24" s="122">
        <v>15</v>
      </c>
      <c r="N24" s="44" t="s">
        <v>13</v>
      </c>
      <c r="O24" s="63">
        <f>SUMIF(F6:F125,"Broken Garlic",G6:G125)</f>
        <v>0</v>
      </c>
      <c r="P24" s="191"/>
    </row>
    <row r="25" spans="1:16" x14ac:dyDescent="0.25">
      <c r="A25" s="65">
        <v>45944</v>
      </c>
      <c r="B25" s="9" t="s">
        <v>8</v>
      </c>
      <c r="C25" s="127">
        <v>40.130000000000003</v>
      </c>
      <c r="E25" s="103">
        <v>45951</v>
      </c>
      <c r="F25" s="9" t="s">
        <v>9</v>
      </c>
      <c r="G25" s="121">
        <v>38.99</v>
      </c>
      <c r="H25" s="108"/>
      <c r="I25" s="103">
        <v>45953</v>
      </c>
      <c r="J25" s="11" t="s">
        <v>10</v>
      </c>
      <c r="K25" s="121">
        <v>7.84</v>
      </c>
    </row>
    <row r="26" spans="1:16" x14ac:dyDescent="0.25">
      <c r="A26" s="65">
        <v>45948</v>
      </c>
      <c r="B26" s="9" t="s">
        <v>8</v>
      </c>
      <c r="C26" s="127">
        <v>50</v>
      </c>
      <c r="E26" s="103">
        <v>45952</v>
      </c>
      <c r="F26" s="9" t="s">
        <v>8</v>
      </c>
      <c r="G26" s="121">
        <v>17.41</v>
      </c>
      <c r="H26" s="108"/>
      <c r="I26" s="103">
        <v>45953</v>
      </c>
      <c r="J26" s="11" t="s">
        <v>11</v>
      </c>
      <c r="K26" s="121">
        <v>7</v>
      </c>
    </row>
    <row r="27" spans="1:16" ht="15.75" x14ac:dyDescent="0.25">
      <c r="A27" s="65">
        <v>45953</v>
      </c>
      <c r="B27" s="9" t="s">
        <v>8</v>
      </c>
      <c r="C27" s="127">
        <v>59.64</v>
      </c>
      <c r="E27" s="103">
        <v>45953</v>
      </c>
      <c r="F27" s="9" t="s">
        <v>9</v>
      </c>
      <c r="G27" s="121">
        <v>39.049999999999997</v>
      </c>
      <c r="H27" s="108"/>
      <c r="I27" s="103">
        <v>45954</v>
      </c>
      <c r="J27" s="11" t="s">
        <v>11</v>
      </c>
      <c r="K27" s="121">
        <v>25.5</v>
      </c>
      <c r="N27" s="109" t="s">
        <v>4</v>
      </c>
      <c r="O27" s="110" t="s">
        <v>17</v>
      </c>
      <c r="P27" s="110" t="s">
        <v>79</v>
      </c>
    </row>
    <row r="28" spans="1:16" x14ac:dyDescent="0.25">
      <c r="A28" s="65">
        <v>45957</v>
      </c>
      <c r="B28" s="9" t="s">
        <v>9</v>
      </c>
      <c r="C28" s="127">
        <v>39.97</v>
      </c>
      <c r="E28" s="103">
        <v>45953</v>
      </c>
      <c r="F28" s="9" t="s">
        <v>8</v>
      </c>
      <c r="G28" s="121">
        <v>14.27</v>
      </c>
      <c r="H28" s="108"/>
      <c r="I28" s="103">
        <v>45955</v>
      </c>
      <c r="J28" s="11" t="s">
        <v>10</v>
      </c>
      <c r="K28" s="121">
        <v>78</v>
      </c>
      <c r="N28" s="44" t="s">
        <v>12</v>
      </c>
      <c r="O28" s="87">
        <f>SUMIF(J6:J125,"Ginger Peeled",K6:K125)</f>
        <v>0</v>
      </c>
      <c r="P28" s="87">
        <f>SUM(O28,O16)</f>
        <v>0</v>
      </c>
    </row>
    <row r="29" spans="1:16" x14ac:dyDescent="0.25">
      <c r="A29" s="65">
        <v>45957</v>
      </c>
      <c r="B29" s="9" t="s">
        <v>9</v>
      </c>
      <c r="C29" s="127">
        <v>39.799999999999997</v>
      </c>
      <c r="E29" s="103">
        <v>45953</v>
      </c>
      <c r="F29" s="9" t="s">
        <v>8</v>
      </c>
      <c r="G29" s="121">
        <v>8.83</v>
      </c>
      <c r="H29" s="108"/>
      <c r="I29" s="103">
        <v>45956</v>
      </c>
      <c r="J29" s="11" t="s">
        <v>10</v>
      </c>
      <c r="K29" s="121">
        <v>22.22</v>
      </c>
      <c r="N29" s="44" t="s">
        <v>11</v>
      </c>
      <c r="O29" s="87">
        <f>SUMIF(J6:J125,"Garlic Peeled",K6:K125)</f>
        <v>141.5</v>
      </c>
      <c r="P29" s="87">
        <f>SUM(O29,O15)</f>
        <v>141.5</v>
      </c>
    </row>
    <row r="30" spans="1:16" x14ac:dyDescent="0.25">
      <c r="A30" s="65">
        <v>45957</v>
      </c>
      <c r="B30" s="9" t="s">
        <v>9</v>
      </c>
      <c r="C30" s="127">
        <v>39.840000000000003</v>
      </c>
      <c r="E30" s="104">
        <v>45955</v>
      </c>
      <c r="F30" s="101" t="s">
        <v>9</v>
      </c>
      <c r="G30" s="124">
        <v>39</v>
      </c>
      <c r="H30" s="108"/>
      <c r="I30" s="103">
        <v>45957</v>
      </c>
      <c r="J30" s="11" t="s">
        <v>10</v>
      </c>
      <c r="K30" s="121">
        <v>58.1</v>
      </c>
      <c r="N30" s="44" t="s">
        <v>10</v>
      </c>
      <c r="O30" s="87">
        <f>SUMIF(J6:J125,"Ginger Garlic Paste",K6:K125)</f>
        <v>926.14</v>
      </c>
      <c r="P30" s="87">
        <f>SUM(O30,O17)</f>
        <v>1037.3599999999999</v>
      </c>
    </row>
    <row r="31" spans="1:16" x14ac:dyDescent="0.25">
      <c r="A31" s="65">
        <v>45957</v>
      </c>
      <c r="B31" s="9" t="s">
        <v>9</v>
      </c>
      <c r="C31" s="127">
        <v>39.89</v>
      </c>
      <c r="E31" s="104">
        <v>45955</v>
      </c>
      <c r="F31" s="101" t="s">
        <v>8</v>
      </c>
      <c r="G31" s="124">
        <v>33.479999999999997</v>
      </c>
      <c r="H31" s="108"/>
      <c r="I31" s="103">
        <v>45957</v>
      </c>
      <c r="J31" s="11" t="s">
        <v>11</v>
      </c>
      <c r="K31" s="121">
        <v>8</v>
      </c>
      <c r="N31" s="44" t="s">
        <v>76</v>
      </c>
      <c r="O31" s="87">
        <f>SUMIF(J6:J125,"Ginger Paste",K6:K125)</f>
        <v>15</v>
      </c>
      <c r="P31" s="87">
        <f>SUM(O31,O18)</f>
        <v>15</v>
      </c>
    </row>
    <row r="32" spans="1:16" x14ac:dyDescent="0.25">
      <c r="A32" s="65">
        <v>45957</v>
      </c>
      <c r="B32" s="9" t="s">
        <v>9</v>
      </c>
      <c r="C32" s="127">
        <v>39.94</v>
      </c>
      <c r="E32" s="103">
        <v>45956</v>
      </c>
      <c r="F32" s="9" t="s">
        <v>8</v>
      </c>
      <c r="G32" s="121">
        <v>19.8</v>
      </c>
      <c r="H32" s="108"/>
      <c r="I32" s="103">
        <v>45958</v>
      </c>
      <c r="J32" s="11" t="s">
        <v>11</v>
      </c>
      <c r="K32" s="121">
        <v>8.5</v>
      </c>
      <c r="N32" s="44" t="s">
        <v>75</v>
      </c>
      <c r="O32" s="87">
        <f>SUMIF(J6:J125,"Garlic Paste",K6:K125)</f>
        <v>15</v>
      </c>
      <c r="P32" s="87">
        <f>SUM(O32,O19)</f>
        <v>15</v>
      </c>
    </row>
    <row r="33" spans="1:16" x14ac:dyDescent="0.25">
      <c r="A33" s="65">
        <v>45957</v>
      </c>
      <c r="B33" s="9" t="s">
        <v>9</v>
      </c>
      <c r="C33" s="127">
        <v>39.67</v>
      </c>
      <c r="E33" s="103">
        <v>45957</v>
      </c>
      <c r="F33" s="9" t="s">
        <v>8</v>
      </c>
      <c r="G33" s="121">
        <v>15</v>
      </c>
      <c r="H33" s="108"/>
      <c r="I33" s="103">
        <v>45958</v>
      </c>
      <c r="J33" s="11" t="s">
        <v>10</v>
      </c>
      <c r="K33" s="121">
        <v>58.5</v>
      </c>
      <c r="P33" s="2"/>
    </row>
    <row r="34" spans="1:16" ht="15.75" x14ac:dyDescent="0.25">
      <c r="A34" s="65">
        <v>45957</v>
      </c>
      <c r="B34" s="9" t="s">
        <v>9</v>
      </c>
      <c r="C34" s="127">
        <v>39.89</v>
      </c>
      <c r="E34" s="103">
        <v>45957</v>
      </c>
      <c r="F34" s="9" t="s">
        <v>9</v>
      </c>
      <c r="G34" s="121">
        <v>39</v>
      </c>
      <c r="H34" s="108"/>
      <c r="I34" s="103">
        <v>45960</v>
      </c>
      <c r="J34" s="11" t="s">
        <v>11</v>
      </c>
      <c r="K34" s="121">
        <v>6</v>
      </c>
      <c r="N34" s="110" t="s">
        <v>14</v>
      </c>
      <c r="O34" s="110" t="s">
        <v>17</v>
      </c>
      <c r="P34" s="2"/>
    </row>
    <row r="35" spans="1:16" x14ac:dyDescent="0.25">
      <c r="A35" s="65">
        <v>45957</v>
      </c>
      <c r="B35" s="9" t="s">
        <v>9</v>
      </c>
      <c r="C35" s="127">
        <v>41.53</v>
      </c>
      <c r="E35" s="103">
        <v>45958</v>
      </c>
      <c r="F35" s="9" t="s">
        <v>9</v>
      </c>
      <c r="G35" s="121">
        <v>39.869999999999997</v>
      </c>
      <c r="H35" s="108"/>
      <c r="I35" s="103">
        <v>45961</v>
      </c>
      <c r="J35" s="11" t="s">
        <v>10</v>
      </c>
      <c r="K35" s="121">
        <v>60.93</v>
      </c>
      <c r="N35" s="102" t="s">
        <v>73</v>
      </c>
      <c r="O35" s="87">
        <f>P9-P22</f>
        <v>38.42999999999995</v>
      </c>
      <c r="P35" s="2"/>
    </row>
    <row r="36" spans="1:16" x14ac:dyDescent="0.25">
      <c r="A36" s="65">
        <v>45957</v>
      </c>
      <c r="B36" s="9" t="s">
        <v>9</v>
      </c>
      <c r="C36" s="127">
        <v>39.869999999999997</v>
      </c>
      <c r="E36" s="103">
        <v>45958</v>
      </c>
      <c r="F36" s="9" t="s">
        <v>8</v>
      </c>
      <c r="G36" s="121">
        <v>29.19</v>
      </c>
      <c r="H36" s="108"/>
      <c r="I36" s="103"/>
      <c r="J36" s="11"/>
      <c r="K36" s="121"/>
      <c r="N36" s="102" t="s">
        <v>9</v>
      </c>
      <c r="O36" s="87">
        <f>Q11-P23</f>
        <v>364.09000000000003</v>
      </c>
      <c r="P36" s="2"/>
    </row>
    <row r="37" spans="1:16" x14ac:dyDescent="0.25">
      <c r="A37" s="65">
        <v>45957</v>
      </c>
      <c r="B37" s="9" t="s">
        <v>9</v>
      </c>
      <c r="C37" s="127">
        <v>39.97</v>
      </c>
      <c r="E37" s="103">
        <v>45959</v>
      </c>
      <c r="F37" s="9" t="s">
        <v>9</v>
      </c>
      <c r="G37" s="121">
        <v>39.72</v>
      </c>
      <c r="H37" s="108"/>
      <c r="I37" s="103"/>
      <c r="J37" s="11"/>
      <c r="K37" s="121"/>
      <c r="L37" s="1" t="s">
        <v>83</v>
      </c>
    </row>
    <row r="38" spans="1:16" x14ac:dyDescent="0.25">
      <c r="A38" s="65">
        <v>45958</v>
      </c>
      <c r="B38" s="9" t="s">
        <v>8</v>
      </c>
      <c r="C38" s="127">
        <v>58.8</v>
      </c>
      <c r="E38" s="103">
        <v>45960</v>
      </c>
      <c r="F38" s="9" t="s">
        <v>9</v>
      </c>
      <c r="G38" s="121">
        <v>39.76</v>
      </c>
      <c r="H38" s="108"/>
      <c r="I38" s="103"/>
      <c r="J38" s="11"/>
      <c r="K38" s="121"/>
    </row>
    <row r="39" spans="1:16" x14ac:dyDescent="0.25">
      <c r="A39" s="65">
        <v>45941</v>
      </c>
      <c r="B39" s="9" t="s">
        <v>8</v>
      </c>
      <c r="C39" s="127">
        <v>25</v>
      </c>
      <c r="E39" s="103">
        <v>45961</v>
      </c>
      <c r="F39" s="9" t="s">
        <v>8</v>
      </c>
      <c r="G39" s="120">
        <v>26.22</v>
      </c>
      <c r="I39" s="65"/>
      <c r="J39" s="11"/>
      <c r="K39" s="120"/>
    </row>
    <row r="40" spans="1:16" x14ac:dyDescent="0.25">
      <c r="A40" s="65">
        <v>45956</v>
      </c>
      <c r="B40" s="9" t="s">
        <v>8</v>
      </c>
      <c r="C40" s="127">
        <v>34</v>
      </c>
      <c r="E40" s="67"/>
      <c r="F40" s="9"/>
      <c r="G40" s="120"/>
      <c r="I40" s="103"/>
      <c r="J40" s="11"/>
      <c r="K40" s="120"/>
    </row>
    <row r="41" spans="1:16" x14ac:dyDescent="0.25">
      <c r="A41" s="65"/>
      <c r="B41" s="9"/>
      <c r="C41" s="127"/>
      <c r="E41" s="67"/>
      <c r="F41" s="9"/>
      <c r="G41" s="120"/>
      <c r="I41" s="103"/>
      <c r="J41" s="11"/>
      <c r="K41" s="120"/>
    </row>
    <row r="42" spans="1:16" x14ac:dyDescent="0.25">
      <c r="A42" s="65"/>
      <c r="B42" s="9"/>
      <c r="C42" s="127"/>
      <c r="E42" s="67"/>
      <c r="F42" s="9"/>
      <c r="G42" s="120"/>
      <c r="I42" s="67"/>
      <c r="J42" s="11"/>
      <c r="K42" s="120"/>
    </row>
    <row r="43" spans="1:16" x14ac:dyDescent="0.25">
      <c r="A43" s="65"/>
      <c r="B43" s="9"/>
      <c r="C43" s="127"/>
      <c r="E43" s="67"/>
      <c r="F43" s="9"/>
      <c r="G43" s="120"/>
      <c r="I43" s="67"/>
      <c r="J43" s="11"/>
      <c r="K43" s="120"/>
    </row>
    <row r="44" spans="1:16" x14ac:dyDescent="0.25">
      <c r="A44" s="65"/>
      <c r="B44" s="9"/>
      <c r="C44" s="127"/>
      <c r="E44" s="67"/>
      <c r="F44" s="9"/>
      <c r="G44" s="120"/>
      <c r="I44" s="67"/>
      <c r="J44" s="11"/>
      <c r="K44" s="120"/>
    </row>
    <row r="45" spans="1:16" x14ac:dyDescent="0.25">
      <c r="A45" s="65"/>
      <c r="B45" s="9"/>
      <c r="C45" s="127"/>
      <c r="E45" s="67"/>
      <c r="F45" s="9"/>
      <c r="G45" s="120"/>
      <c r="I45" s="67"/>
      <c r="J45" s="11"/>
      <c r="K45" s="120"/>
    </row>
    <row r="46" spans="1:16" x14ac:dyDescent="0.25">
      <c r="A46" s="65"/>
      <c r="B46" s="9"/>
      <c r="C46" s="127"/>
      <c r="E46" s="67"/>
      <c r="F46" s="9"/>
      <c r="G46" s="120"/>
      <c r="I46" s="67"/>
      <c r="J46" s="11"/>
      <c r="K46" s="120"/>
    </row>
    <row r="47" spans="1:16" x14ac:dyDescent="0.25">
      <c r="A47" s="65"/>
      <c r="B47" s="9"/>
      <c r="C47" s="127"/>
      <c r="E47" s="67"/>
      <c r="F47" s="9"/>
      <c r="G47" s="120"/>
      <c r="I47" s="67"/>
      <c r="J47" s="23"/>
      <c r="K47" s="120"/>
    </row>
    <row r="48" spans="1:16" x14ac:dyDescent="0.25">
      <c r="A48" s="65"/>
      <c r="B48" s="9"/>
      <c r="C48" s="127"/>
      <c r="E48" s="67"/>
      <c r="F48" s="9"/>
      <c r="G48" s="120"/>
      <c r="I48" s="67"/>
      <c r="J48" s="11"/>
      <c r="K48" s="120"/>
    </row>
    <row r="49" spans="1:11" x14ac:dyDescent="0.25">
      <c r="A49" s="65"/>
      <c r="B49" s="9"/>
      <c r="C49" s="127"/>
      <c r="E49" s="67"/>
      <c r="F49" s="9"/>
      <c r="G49" s="120"/>
      <c r="I49" s="67"/>
      <c r="J49" s="11"/>
      <c r="K49" s="120"/>
    </row>
    <row r="50" spans="1:11" x14ac:dyDescent="0.25">
      <c r="A50" s="65"/>
      <c r="B50" s="9"/>
      <c r="C50" s="127"/>
      <c r="E50" s="67"/>
      <c r="F50" s="9"/>
      <c r="G50" s="120"/>
      <c r="I50" s="67"/>
      <c r="J50" s="23"/>
      <c r="K50" s="120"/>
    </row>
    <row r="51" spans="1:11" x14ac:dyDescent="0.25">
      <c r="A51" s="65"/>
      <c r="B51" s="9"/>
      <c r="C51" s="127"/>
      <c r="E51" s="67"/>
      <c r="F51" s="9"/>
      <c r="G51" s="120"/>
      <c r="I51" s="67"/>
      <c r="J51" s="11"/>
      <c r="K51" s="120"/>
    </row>
    <row r="52" spans="1:11" x14ac:dyDescent="0.25">
      <c r="A52" s="65"/>
      <c r="B52" s="9"/>
      <c r="C52" s="127"/>
      <c r="E52" s="67"/>
      <c r="F52" s="9"/>
      <c r="G52" s="120"/>
      <c r="I52" s="67"/>
      <c r="J52" s="11"/>
      <c r="K52" s="120"/>
    </row>
    <row r="53" spans="1:11" x14ac:dyDescent="0.25">
      <c r="A53" s="65"/>
      <c r="B53" s="9"/>
      <c r="C53" s="127"/>
      <c r="E53" s="67"/>
      <c r="F53" s="9"/>
      <c r="G53" s="120"/>
      <c r="I53" s="67"/>
      <c r="J53" s="23"/>
      <c r="K53" s="120"/>
    </row>
    <row r="54" spans="1:11" x14ac:dyDescent="0.25">
      <c r="A54" s="65"/>
      <c r="B54" s="9"/>
      <c r="C54" s="127"/>
      <c r="E54" s="67"/>
      <c r="F54" s="9"/>
      <c r="G54" s="120"/>
      <c r="I54" s="67"/>
      <c r="J54" s="11"/>
      <c r="K54" s="120"/>
    </row>
    <row r="55" spans="1:11" x14ac:dyDescent="0.25">
      <c r="A55" s="65"/>
      <c r="B55" s="9"/>
      <c r="C55" s="127"/>
      <c r="E55" s="67"/>
      <c r="F55" s="9"/>
      <c r="G55" s="120"/>
      <c r="I55" s="67"/>
      <c r="J55" s="11"/>
      <c r="K55" s="120"/>
    </row>
    <row r="56" spans="1:11" x14ac:dyDescent="0.25">
      <c r="A56" s="65"/>
      <c r="B56" s="9"/>
      <c r="C56" s="127"/>
      <c r="E56" s="67"/>
      <c r="F56" s="9"/>
      <c r="G56" s="120"/>
      <c r="I56" s="67"/>
      <c r="J56" s="23"/>
      <c r="K56" s="120"/>
    </row>
    <row r="57" spans="1:11" x14ac:dyDescent="0.25">
      <c r="A57" s="65"/>
      <c r="B57" s="9"/>
      <c r="C57" s="127"/>
      <c r="E57" s="67"/>
      <c r="F57" s="9"/>
      <c r="G57" s="120"/>
      <c r="I57" s="67"/>
      <c r="J57" s="11"/>
      <c r="K57" s="120"/>
    </row>
    <row r="58" spans="1:11" x14ac:dyDescent="0.25">
      <c r="A58" s="65"/>
      <c r="B58" s="9"/>
      <c r="C58" s="127"/>
      <c r="E58" s="67"/>
      <c r="F58" s="9"/>
      <c r="G58" s="120"/>
      <c r="I58" s="67"/>
      <c r="J58" s="11"/>
      <c r="K58" s="120"/>
    </row>
    <row r="59" spans="1:11" x14ac:dyDescent="0.25">
      <c r="A59" s="65"/>
      <c r="B59" s="9"/>
      <c r="C59" s="127"/>
      <c r="E59" s="67"/>
      <c r="F59" s="9"/>
      <c r="G59" s="120"/>
      <c r="I59" s="67"/>
      <c r="J59" s="23"/>
      <c r="K59" s="120"/>
    </row>
    <row r="60" spans="1:11" x14ac:dyDescent="0.25">
      <c r="A60" s="65"/>
      <c r="B60" s="9"/>
      <c r="C60" s="127"/>
      <c r="E60" s="67"/>
      <c r="F60" s="9"/>
      <c r="G60" s="120"/>
      <c r="I60" s="67"/>
      <c r="J60" s="11"/>
      <c r="K60" s="120"/>
    </row>
    <row r="61" spans="1:11" x14ac:dyDescent="0.25">
      <c r="A61" s="65"/>
      <c r="B61" s="9"/>
      <c r="C61" s="127"/>
      <c r="E61" s="67"/>
      <c r="F61" s="9"/>
      <c r="G61" s="120"/>
      <c r="I61" s="67"/>
      <c r="J61" s="11"/>
      <c r="K61" s="120"/>
    </row>
    <row r="62" spans="1:11" x14ac:dyDescent="0.25">
      <c r="A62" s="65"/>
      <c r="B62" s="9"/>
      <c r="C62" s="127"/>
      <c r="E62" s="67"/>
      <c r="F62" s="9"/>
      <c r="G62" s="120"/>
      <c r="I62" s="67"/>
      <c r="J62" s="23"/>
      <c r="K62" s="120"/>
    </row>
    <row r="63" spans="1:11" x14ac:dyDescent="0.25">
      <c r="A63" s="65"/>
      <c r="B63" s="9"/>
      <c r="C63" s="127"/>
      <c r="E63" s="67"/>
      <c r="F63" s="9"/>
      <c r="G63" s="120"/>
      <c r="I63" s="67"/>
      <c r="J63" s="11"/>
      <c r="K63" s="120"/>
    </row>
    <row r="64" spans="1:11" x14ac:dyDescent="0.25">
      <c r="A64" s="65"/>
      <c r="B64" s="9"/>
      <c r="C64" s="127"/>
      <c r="E64" s="67"/>
      <c r="F64" s="9"/>
      <c r="G64" s="120"/>
      <c r="I64" s="67"/>
      <c r="J64" s="11"/>
      <c r="K64" s="120"/>
    </row>
    <row r="65" spans="1:11" x14ac:dyDescent="0.25">
      <c r="A65" s="65"/>
      <c r="B65" s="9"/>
      <c r="C65" s="127"/>
      <c r="E65" s="67"/>
      <c r="F65" s="9"/>
      <c r="G65" s="120"/>
      <c r="I65" s="67"/>
      <c r="J65" s="23"/>
      <c r="K65" s="120"/>
    </row>
    <row r="66" spans="1:11" x14ac:dyDescent="0.25">
      <c r="A66" s="65"/>
      <c r="B66" s="9"/>
      <c r="C66" s="127"/>
      <c r="E66" s="67"/>
      <c r="F66" s="9"/>
      <c r="G66" s="120"/>
      <c r="I66" s="67"/>
      <c r="J66" s="11"/>
      <c r="K66" s="120"/>
    </row>
    <row r="67" spans="1:11" x14ac:dyDescent="0.25">
      <c r="A67" s="65"/>
      <c r="B67" s="9"/>
      <c r="C67" s="127"/>
      <c r="E67" s="67"/>
      <c r="F67" s="9"/>
      <c r="G67" s="120"/>
      <c r="I67" s="67"/>
      <c r="J67" s="11"/>
      <c r="K67" s="120"/>
    </row>
    <row r="68" spans="1:11" x14ac:dyDescent="0.25">
      <c r="A68" s="65"/>
      <c r="B68" s="9"/>
      <c r="C68" s="127"/>
      <c r="E68" s="67"/>
      <c r="F68" s="9"/>
      <c r="G68" s="120"/>
      <c r="I68" s="67"/>
      <c r="J68" s="23"/>
      <c r="K68" s="120"/>
    </row>
    <row r="69" spans="1:11" x14ac:dyDescent="0.25">
      <c r="A69" s="65"/>
      <c r="B69" s="9"/>
      <c r="C69" s="127"/>
      <c r="E69" s="67"/>
      <c r="F69" s="9"/>
      <c r="G69" s="120"/>
      <c r="I69" s="67"/>
      <c r="J69" s="11"/>
      <c r="K69" s="120"/>
    </row>
    <row r="70" spans="1:11" x14ac:dyDescent="0.25">
      <c r="A70" s="65"/>
      <c r="B70" s="9"/>
      <c r="C70" s="127"/>
      <c r="E70" s="67"/>
      <c r="F70" s="9"/>
      <c r="G70" s="120"/>
      <c r="I70" s="67"/>
      <c r="J70" s="11"/>
      <c r="K70" s="120"/>
    </row>
    <row r="71" spans="1:11" x14ac:dyDescent="0.25">
      <c r="A71" s="65"/>
      <c r="B71" s="9"/>
      <c r="C71" s="127"/>
      <c r="E71" s="67"/>
      <c r="F71" s="9"/>
      <c r="G71" s="120"/>
      <c r="I71" s="67"/>
      <c r="J71" s="23"/>
      <c r="K71" s="120"/>
    </row>
    <row r="72" spans="1:11" x14ac:dyDescent="0.25">
      <c r="A72" s="65"/>
      <c r="B72" s="9"/>
      <c r="C72" s="127"/>
      <c r="E72" s="67"/>
      <c r="F72" s="9"/>
      <c r="G72" s="120"/>
      <c r="I72" s="67"/>
      <c r="J72" s="11"/>
      <c r="K72" s="120"/>
    </row>
    <row r="73" spans="1:11" x14ac:dyDescent="0.25">
      <c r="A73" s="65"/>
      <c r="B73" s="9"/>
      <c r="C73" s="127"/>
      <c r="E73" s="67"/>
      <c r="F73" s="9"/>
      <c r="G73" s="120"/>
      <c r="I73" s="67"/>
      <c r="J73" s="11"/>
      <c r="K73" s="120"/>
    </row>
    <row r="74" spans="1:11" x14ac:dyDescent="0.25">
      <c r="A74" s="65"/>
      <c r="B74" s="9"/>
      <c r="C74" s="127"/>
      <c r="E74" s="67"/>
      <c r="F74" s="9"/>
      <c r="G74" s="120"/>
      <c r="I74" s="67"/>
      <c r="J74" s="23"/>
      <c r="K74" s="120"/>
    </row>
    <row r="75" spans="1:11" x14ac:dyDescent="0.25">
      <c r="A75" s="65"/>
      <c r="B75" s="9"/>
      <c r="C75" s="127"/>
      <c r="E75" s="67"/>
      <c r="F75" s="9"/>
      <c r="G75" s="120"/>
      <c r="I75" s="67"/>
      <c r="J75" s="11"/>
      <c r="K75" s="120"/>
    </row>
    <row r="76" spans="1:11" x14ac:dyDescent="0.25">
      <c r="A76" s="65"/>
      <c r="B76" s="9"/>
      <c r="C76" s="127"/>
      <c r="E76" s="67"/>
      <c r="F76" s="9"/>
      <c r="G76" s="120"/>
      <c r="I76" s="67"/>
      <c r="J76" s="11"/>
      <c r="K76" s="120"/>
    </row>
    <row r="77" spans="1:11" x14ac:dyDescent="0.25">
      <c r="A77" s="65"/>
      <c r="B77" s="9"/>
      <c r="C77" s="127"/>
      <c r="E77" s="67"/>
      <c r="F77" s="9"/>
      <c r="G77" s="120"/>
      <c r="I77" s="67"/>
      <c r="J77" s="23"/>
      <c r="K77" s="120"/>
    </row>
    <row r="78" spans="1:11" x14ac:dyDescent="0.25">
      <c r="A78" s="65"/>
      <c r="B78" s="9"/>
      <c r="C78" s="127"/>
      <c r="E78" s="67"/>
      <c r="F78" s="9"/>
      <c r="G78" s="120"/>
      <c r="I78" s="67"/>
      <c r="J78" s="11"/>
      <c r="K78" s="120"/>
    </row>
    <row r="79" spans="1:11" x14ac:dyDescent="0.25">
      <c r="A79" s="65"/>
      <c r="B79" s="9"/>
      <c r="C79" s="127"/>
      <c r="E79" s="67"/>
      <c r="F79" s="9"/>
      <c r="G79" s="120"/>
      <c r="I79" s="67"/>
      <c r="J79" s="11"/>
      <c r="K79" s="120"/>
    </row>
    <row r="80" spans="1:11" x14ac:dyDescent="0.25">
      <c r="A80" s="65"/>
      <c r="B80" s="9"/>
      <c r="C80" s="127"/>
      <c r="E80" s="67"/>
      <c r="F80" s="9"/>
      <c r="G80" s="120"/>
      <c r="I80" s="67"/>
      <c r="J80" s="23"/>
      <c r="K80" s="120"/>
    </row>
    <row r="81" spans="1:11" x14ac:dyDescent="0.25">
      <c r="A81" s="65"/>
      <c r="B81" s="9"/>
      <c r="C81" s="127"/>
      <c r="E81" s="67"/>
      <c r="F81" s="9"/>
      <c r="G81" s="120"/>
      <c r="I81" s="67"/>
      <c r="J81" s="11"/>
      <c r="K81" s="120"/>
    </row>
    <row r="82" spans="1:11" x14ac:dyDescent="0.25">
      <c r="A82" s="65"/>
      <c r="B82" s="9"/>
      <c r="C82" s="127"/>
      <c r="E82" s="67"/>
      <c r="F82" s="9"/>
      <c r="G82" s="120"/>
      <c r="I82" s="67"/>
      <c r="J82" s="11"/>
      <c r="K82" s="120"/>
    </row>
    <row r="83" spans="1:11" x14ac:dyDescent="0.25">
      <c r="A83" s="65"/>
      <c r="B83" s="9"/>
      <c r="C83" s="127"/>
      <c r="E83" s="67"/>
      <c r="F83" s="9"/>
      <c r="G83" s="120"/>
      <c r="I83" s="67"/>
      <c r="J83" s="23"/>
      <c r="K83" s="120"/>
    </row>
    <row r="84" spans="1:11" x14ac:dyDescent="0.25">
      <c r="A84" s="65"/>
      <c r="B84" s="9"/>
      <c r="C84" s="127"/>
      <c r="E84" s="67"/>
      <c r="F84" s="9"/>
      <c r="G84" s="120"/>
      <c r="I84" s="67"/>
      <c r="J84" s="11"/>
      <c r="K84" s="120"/>
    </row>
    <row r="85" spans="1:11" x14ac:dyDescent="0.25">
      <c r="A85" s="65"/>
      <c r="B85" s="9"/>
      <c r="C85" s="127"/>
      <c r="E85" s="67"/>
      <c r="F85" s="9"/>
      <c r="G85" s="120"/>
      <c r="I85" s="67"/>
      <c r="J85" s="11"/>
      <c r="K85" s="120"/>
    </row>
    <row r="86" spans="1:11" x14ac:dyDescent="0.25">
      <c r="A86" s="65"/>
      <c r="B86" s="9"/>
      <c r="C86" s="127"/>
      <c r="E86" s="67"/>
      <c r="F86" s="9"/>
      <c r="G86" s="120"/>
      <c r="I86" s="67"/>
      <c r="J86" s="23"/>
      <c r="K86" s="120"/>
    </row>
    <row r="87" spans="1:11" x14ac:dyDescent="0.25">
      <c r="A87" s="65"/>
      <c r="B87" s="9"/>
      <c r="C87" s="127"/>
      <c r="E87" s="67"/>
      <c r="F87" s="9"/>
      <c r="G87" s="120"/>
      <c r="I87" s="67"/>
      <c r="J87" s="11"/>
      <c r="K87" s="120"/>
    </row>
    <row r="88" spans="1:11" x14ac:dyDescent="0.25">
      <c r="A88" s="65"/>
      <c r="B88" s="9"/>
      <c r="C88" s="127"/>
      <c r="E88" s="67"/>
      <c r="F88" s="9"/>
      <c r="G88" s="120"/>
      <c r="I88" s="67"/>
      <c r="J88" s="11"/>
      <c r="K88" s="120"/>
    </row>
    <row r="89" spans="1:11" x14ac:dyDescent="0.25">
      <c r="A89" s="65"/>
      <c r="B89" s="9"/>
      <c r="C89" s="127"/>
      <c r="E89" s="67"/>
      <c r="F89" s="9"/>
      <c r="G89" s="120"/>
      <c r="I89" s="67"/>
      <c r="J89" s="23"/>
      <c r="K89" s="120"/>
    </row>
    <row r="90" spans="1:11" x14ac:dyDescent="0.25">
      <c r="A90" s="65"/>
      <c r="B90" s="9"/>
      <c r="C90" s="127"/>
      <c r="E90" s="67"/>
      <c r="F90" s="9"/>
      <c r="G90" s="120"/>
      <c r="I90" s="67"/>
      <c r="J90" s="11"/>
      <c r="K90" s="120"/>
    </row>
    <row r="91" spans="1:11" x14ac:dyDescent="0.25">
      <c r="A91" s="65"/>
      <c r="B91" s="9"/>
      <c r="C91" s="127"/>
      <c r="E91" s="67"/>
      <c r="F91" s="9"/>
      <c r="G91" s="120"/>
      <c r="I91" s="67"/>
      <c r="J91" s="11"/>
      <c r="K91" s="120"/>
    </row>
    <row r="92" spans="1:11" x14ac:dyDescent="0.25">
      <c r="A92" s="65"/>
      <c r="B92" s="9"/>
      <c r="C92" s="127"/>
      <c r="E92" s="67"/>
      <c r="F92" s="9"/>
      <c r="G92" s="120"/>
      <c r="I92" s="67"/>
      <c r="J92" s="23"/>
      <c r="K92" s="120"/>
    </row>
    <row r="93" spans="1:11" x14ac:dyDescent="0.25">
      <c r="A93" s="65"/>
      <c r="B93" s="9"/>
      <c r="C93" s="127"/>
      <c r="E93" s="67"/>
      <c r="F93" s="9"/>
      <c r="G93" s="120"/>
      <c r="I93" s="67"/>
      <c r="J93" s="11"/>
      <c r="K93" s="120"/>
    </row>
    <row r="94" spans="1:11" x14ac:dyDescent="0.25">
      <c r="A94" s="65"/>
      <c r="B94" s="9"/>
      <c r="C94" s="127"/>
      <c r="E94" s="67"/>
      <c r="F94" s="9"/>
      <c r="G94" s="120"/>
      <c r="I94" s="67"/>
      <c r="J94" s="11"/>
      <c r="K94" s="120"/>
    </row>
    <row r="95" spans="1:11" x14ac:dyDescent="0.25">
      <c r="A95" s="65"/>
      <c r="B95" s="9"/>
      <c r="C95" s="127"/>
      <c r="E95" s="67"/>
      <c r="F95" s="9"/>
      <c r="G95" s="120"/>
      <c r="I95" s="67"/>
      <c r="J95" s="23"/>
      <c r="K95" s="120"/>
    </row>
    <row r="96" spans="1:11" x14ac:dyDescent="0.25">
      <c r="A96" s="65"/>
      <c r="B96" s="9"/>
      <c r="C96" s="127"/>
      <c r="E96" s="67"/>
      <c r="F96" s="9"/>
      <c r="G96" s="120"/>
      <c r="I96" s="67"/>
      <c r="J96" s="11"/>
      <c r="K96" s="120"/>
    </row>
    <row r="97" spans="1:11" x14ac:dyDescent="0.25">
      <c r="A97" s="65"/>
      <c r="B97" s="9"/>
      <c r="C97" s="127"/>
      <c r="E97" s="67"/>
      <c r="F97" s="9"/>
      <c r="G97" s="120"/>
      <c r="I97" s="67"/>
      <c r="J97" s="11"/>
      <c r="K97" s="120"/>
    </row>
    <row r="98" spans="1:11" x14ac:dyDescent="0.25">
      <c r="A98" s="65"/>
      <c r="B98" s="9"/>
      <c r="C98" s="127"/>
      <c r="E98" s="67"/>
      <c r="F98" s="9"/>
      <c r="G98" s="120"/>
      <c r="I98" s="67"/>
      <c r="J98" s="23"/>
      <c r="K98" s="120"/>
    </row>
    <row r="99" spans="1:11" x14ac:dyDescent="0.25">
      <c r="A99" s="65"/>
      <c r="B99" s="9"/>
      <c r="C99" s="127"/>
      <c r="E99" s="67"/>
      <c r="F99" s="9"/>
      <c r="G99" s="120"/>
      <c r="I99" s="67"/>
      <c r="J99" s="11"/>
      <c r="K99" s="120"/>
    </row>
    <row r="100" spans="1:11" x14ac:dyDescent="0.25">
      <c r="A100" s="65"/>
      <c r="B100" s="9"/>
      <c r="C100" s="127"/>
      <c r="E100" s="67"/>
      <c r="F100" s="9"/>
      <c r="G100" s="120"/>
      <c r="I100" s="67"/>
      <c r="J100" s="11"/>
      <c r="K100" s="120"/>
    </row>
    <row r="101" spans="1:11" x14ac:dyDescent="0.25">
      <c r="A101" s="65"/>
      <c r="B101" s="9"/>
      <c r="C101" s="127"/>
      <c r="E101" s="67"/>
      <c r="F101" s="9"/>
      <c r="G101" s="120"/>
      <c r="I101" s="67"/>
      <c r="J101" s="23"/>
      <c r="K101" s="120"/>
    </row>
    <row r="102" spans="1:11" x14ac:dyDescent="0.25">
      <c r="A102" s="65"/>
      <c r="B102" s="9"/>
      <c r="C102" s="127"/>
      <c r="E102" s="67"/>
      <c r="F102" s="9"/>
      <c r="G102" s="120"/>
      <c r="I102" s="67"/>
      <c r="J102" s="11"/>
      <c r="K102" s="120"/>
    </row>
    <row r="103" spans="1:11" x14ac:dyDescent="0.25">
      <c r="A103" s="65"/>
      <c r="B103" s="9"/>
      <c r="C103" s="127"/>
      <c r="E103" s="67"/>
      <c r="F103" s="9"/>
      <c r="G103" s="120"/>
      <c r="I103" s="67"/>
      <c r="J103" s="11"/>
      <c r="K103" s="120"/>
    </row>
    <row r="104" spans="1:11" x14ac:dyDescent="0.25">
      <c r="A104" s="65"/>
      <c r="B104" s="9"/>
      <c r="C104" s="127"/>
      <c r="E104" s="67"/>
      <c r="F104" s="9"/>
      <c r="G104" s="120"/>
      <c r="I104" s="67"/>
      <c r="J104" s="23"/>
      <c r="K104" s="120"/>
    </row>
    <row r="105" spans="1:11" x14ac:dyDescent="0.25">
      <c r="A105" s="65"/>
      <c r="B105" s="9"/>
      <c r="C105" s="127"/>
      <c r="E105" s="67"/>
      <c r="F105" s="9"/>
      <c r="G105" s="120"/>
      <c r="I105" s="67"/>
      <c r="J105" s="11"/>
      <c r="K105" s="120"/>
    </row>
    <row r="106" spans="1:11" x14ac:dyDescent="0.25">
      <c r="A106" s="65"/>
      <c r="B106" s="9"/>
      <c r="C106" s="127"/>
      <c r="E106" s="67"/>
      <c r="F106" s="9"/>
      <c r="G106" s="120"/>
      <c r="I106" s="67"/>
      <c r="J106" s="11"/>
      <c r="K106" s="120"/>
    </row>
    <row r="107" spans="1:11" x14ac:dyDescent="0.25">
      <c r="A107" s="65"/>
      <c r="B107" s="9"/>
      <c r="C107" s="127"/>
      <c r="E107" s="67"/>
      <c r="F107" s="9"/>
      <c r="G107" s="120"/>
      <c r="I107" s="67"/>
      <c r="J107" s="23"/>
      <c r="K107" s="120"/>
    </row>
    <row r="108" spans="1:11" x14ac:dyDescent="0.25">
      <c r="A108" s="65"/>
      <c r="B108" s="9"/>
      <c r="C108" s="127"/>
      <c r="E108" s="67"/>
      <c r="F108" s="9"/>
      <c r="G108" s="120"/>
      <c r="I108" s="67"/>
      <c r="J108" s="11"/>
      <c r="K108" s="120"/>
    </row>
    <row r="109" spans="1:11" x14ac:dyDescent="0.25">
      <c r="A109" s="65"/>
      <c r="B109" s="9"/>
      <c r="C109" s="127"/>
      <c r="E109" s="67"/>
      <c r="F109" s="9"/>
      <c r="G109" s="120"/>
      <c r="I109" s="67"/>
      <c r="J109" s="11"/>
      <c r="K109" s="120"/>
    </row>
    <row r="110" spans="1:11" x14ac:dyDescent="0.25">
      <c r="A110" s="65"/>
      <c r="B110" s="9"/>
      <c r="C110" s="127"/>
      <c r="E110" s="67"/>
      <c r="F110" s="9"/>
      <c r="G110" s="120"/>
      <c r="I110" s="67"/>
      <c r="J110" s="23"/>
      <c r="K110" s="120"/>
    </row>
    <row r="111" spans="1:11" x14ac:dyDescent="0.25">
      <c r="A111" s="65"/>
      <c r="B111" s="9"/>
      <c r="C111" s="127"/>
      <c r="E111" s="67"/>
      <c r="F111" s="9"/>
      <c r="G111" s="120"/>
      <c r="I111" s="67"/>
      <c r="J111" s="11"/>
      <c r="K111" s="120"/>
    </row>
    <row r="112" spans="1:11" x14ac:dyDescent="0.25">
      <c r="A112" s="65"/>
      <c r="B112" s="9"/>
      <c r="C112" s="127"/>
      <c r="E112" s="67"/>
      <c r="F112" s="9"/>
      <c r="G112" s="120"/>
      <c r="I112" s="67"/>
      <c r="J112" s="11"/>
      <c r="K112" s="120"/>
    </row>
    <row r="113" spans="1:11" x14ac:dyDescent="0.25">
      <c r="A113" s="65"/>
      <c r="B113" s="9"/>
      <c r="C113" s="127"/>
      <c r="E113" s="67"/>
      <c r="F113" s="9"/>
      <c r="G113" s="120"/>
      <c r="I113" s="67"/>
      <c r="J113" s="23"/>
      <c r="K113" s="120"/>
    </row>
    <row r="114" spans="1:11" x14ac:dyDescent="0.25">
      <c r="A114" s="65"/>
      <c r="B114" s="9"/>
      <c r="C114" s="127"/>
      <c r="E114" s="67"/>
      <c r="F114" s="9"/>
      <c r="G114" s="120"/>
      <c r="I114" s="67"/>
      <c r="J114" s="11"/>
      <c r="K114" s="120"/>
    </row>
    <row r="115" spans="1:11" x14ac:dyDescent="0.25">
      <c r="A115" s="65"/>
      <c r="B115" s="9"/>
      <c r="C115" s="127"/>
      <c r="E115" s="67"/>
      <c r="F115" s="9"/>
      <c r="G115" s="120"/>
      <c r="I115" s="67"/>
      <c r="J115" s="11"/>
      <c r="K115" s="120"/>
    </row>
    <row r="116" spans="1:11" x14ac:dyDescent="0.25">
      <c r="A116" s="65"/>
      <c r="B116" s="9"/>
      <c r="C116" s="127"/>
      <c r="E116" s="67"/>
      <c r="F116" s="9"/>
      <c r="G116" s="120"/>
      <c r="I116" s="67"/>
      <c r="J116" s="23"/>
      <c r="K116" s="120"/>
    </row>
    <row r="117" spans="1:11" x14ac:dyDescent="0.25">
      <c r="A117" s="65"/>
      <c r="B117" s="9"/>
      <c r="C117" s="127"/>
      <c r="E117" s="67"/>
      <c r="F117" s="9"/>
      <c r="G117" s="120"/>
      <c r="I117" s="67"/>
      <c r="J117" s="11"/>
      <c r="K117" s="120"/>
    </row>
    <row r="118" spans="1:11" x14ac:dyDescent="0.25">
      <c r="A118" s="65"/>
      <c r="B118" s="9"/>
      <c r="C118" s="127"/>
      <c r="E118" s="67"/>
      <c r="F118" s="9"/>
      <c r="G118" s="120"/>
      <c r="I118" s="67"/>
      <c r="J118" s="11"/>
      <c r="K118" s="120"/>
    </row>
    <row r="119" spans="1:11" x14ac:dyDescent="0.25">
      <c r="A119" s="65"/>
      <c r="B119" s="9"/>
      <c r="C119" s="127"/>
      <c r="E119" s="67"/>
      <c r="F119" s="9"/>
      <c r="G119" s="120"/>
      <c r="I119" s="67"/>
      <c r="J119" s="23"/>
      <c r="K119" s="120"/>
    </row>
    <row r="120" spans="1:11" x14ac:dyDescent="0.25">
      <c r="A120" s="65"/>
      <c r="B120" s="9"/>
      <c r="C120" s="127"/>
      <c r="E120" s="67"/>
      <c r="F120" s="9"/>
      <c r="G120" s="120"/>
      <c r="I120" s="67"/>
      <c r="J120" s="11"/>
      <c r="K120" s="120"/>
    </row>
    <row r="121" spans="1:11" x14ac:dyDescent="0.25">
      <c r="A121" s="65"/>
      <c r="B121" s="9"/>
      <c r="C121" s="127"/>
      <c r="E121" s="67"/>
      <c r="F121" s="9"/>
      <c r="G121" s="120"/>
      <c r="I121" s="67"/>
      <c r="J121" s="11"/>
      <c r="K121" s="120"/>
    </row>
    <row r="122" spans="1:11" x14ac:dyDescent="0.25">
      <c r="A122" s="65"/>
      <c r="B122" s="9"/>
      <c r="C122" s="127"/>
      <c r="E122" s="67"/>
      <c r="F122" s="9"/>
      <c r="G122" s="120"/>
      <c r="I122" s="67"/>
      <c r="J122" s="23"/>
      <c r="K122" s="120"/>
    </row>
    <row r="123" spans="1:11" x14ac:dyDescent="0.25">
      <c r="A123" s="65"/>
      <c r="B123" s="9"/>
      <c r="C123" s="127"/>
      <c r="E123" s="67"/>
      <c r="F123" s="9"/>
      <c r="G123" s="120"/>
      <c r="I123" s="67"/>
      <c r="J123" s="11"/>
      <c r="K123" s="120"/>
    </row>
    <row r="124" spans="1:11" x14ac:dyDescent="0.25">
      <c r="A124" s="65"/>
      <c r="B124" s="9"/>
      <c r="C124" s="127"/>
      <c r="E124" s="67"/>
      <c r="F124" s="9"/>
      <c r="G124" s="120"/>
      <c r="I124" s="67"/>
      <c r="J124" s="11"/>
      <c r="K124" s="120"/>
    </row>
    <row r="125" spans="1:11" ht="15.75" thickBot="1" x14ac:dyDescent="0.3">
      <c r="A125" s="65"/>
      <c r="B125" s="9"/>
      <c r="C125" s="127"/>
      <c r="E125" s="68"/>
      <c r="F125" s="10"/>
      <c r="G125" s="123"/>
      <c r="I125" s="68"/>
      <c r="J125" s="8"/>
      <c r="K125" s="123"/>
    </row>
    <row r="126" spans="1:11" x14ac:dyDescent="0.25">
      <c r="B126" s="1" t="s">
        <v>83</v>
      </c>
      <c r="F126" s="1" t="s">
        <v>83</v>
      </c>
      <c r="J126" s="1" t="s">
        <v>83</v>
      </c>
    </row>
  </sheetData>
  <sheetProtection password="EF1F" sheet="1" objects="1" scenarios="1"/>
  <mergeCells count="9">
    <mergeCell ref="Q11:Q14"/>
    <mergeCell ref="P13:P14"/>
    <mergeCell ref="P23:P24"/>
    <mergeCell ref="E1:G1"/>
    <mergeCell ref="A4:C4"/>
    <mergeCell ref="E4:G4"/>
    <mergeCell ref="I4:K4"/>
    <mergeCell ref="P9:P10"/>
    <mergeCell ref="P11:P12"/>
  </mergeCells>
  <printOptions horizontalCentered="1"/>
  <pageMargins left="0.23622047244094491" right="0.23622047244094491" top="0.15748031496062992" bottom="0.15748031496062992" header="0.11811023622047245" footer="0.19685039370078741"/>
  <pageSetup paperSize="9" fitToWidth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Sheet2!$B$2:$B$6</xm:f>
          </x14:formula1>
          <xm:sqref>J6:J125</xm:sqref>
        </x14:dataValidation>
        <x14:dataValidation type="list" allowBlank="1" showInputMessage="1" showErrorMessage="1">
          <x14:formula1>
            <xm:f>Sheet2!$A$2:$A$6</xm:f>
          </x14:formula1>
          <xm:sqref>F6:F125</xm:sqref>
        </x14:dataValidation>
        <x14:dataValidation type="list" allowBlank="1" showInputMessage="1" showErrorMessage="1">
          <x14:formula1>
            <xm:f>Sheet2!$A$2:$A$11</xm:f>
          </x14:formula1>
          <xm:sqref>B6:B125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6"/>
  <sheetViews>
    <sheetView topLeftCell="A10" zoomScale="85" zoomScaleNormal="85" workbookViewId="0">
      <selection activeCell="P28" sqref="P28:P32"/>
    </sheetView>
  </sheetViews>
  <sheetFormatPr defaultColWidth="9.140625" defaultRowHeight="15" x14ac:dyDescent="0.25"/>
  <cols>
    <col min="1" max="1" width="13.42578125" style="25" customWidth="1"/>
    <col min="2" max="2" width="24.5703125" style="1" bestFit="1" customWidth="1"/>
    <col min="3" max="3" width="12.7109375" style="28" bestFit="1" customWidth="1"/>
    <col min="4" max="4" width="0.5703125" style="3" customWidth="1"/>
    <col min="5" max="5" width="14.7109375" style="28" customWidth="1"/>
    <col min="6" max="6" width="21.85546875" style="1" customWidth="1"/>
    <col min="7" max="7" width="12.7109375" style="28" bestFit="1" customWidth="1"/>
    <col min="8" max="8" width="0.5703125" style="3" customWidth="1"/>
    <col min="9" max="9" width="15.85546875" style="28" customWidth="1"/>
    <col min="10" max="10" width="22.140625" style="1" customWidth="1"/>
    <col min="11" max="11" width="12.85546875" style="25" customWidth="1"/>
    <col min="12" max="13" width="9.140625" style="1"/>
    <col min="14" max="14" width="23.7109375" style="1" bestFit="1" customWidth="1"/>
    <col min="15" max="15" width="13.42578125" style="1" customWidth="1"/>
    <col min="16" max="16" width="20.7109375" style="1" bestFit="1" customWidth="1"/>
    <col min="17" max="16384" width="9.140625" style="1"/>
  </cols>
  <sheetData>
    <row r="1" spans="1:17" ht="23.65" thickBot="1" x14ac:dyDescent="0.75">
      <c r="E1" s="172" t="s">
        <v>0</v>
      </c>
      <c r="F1" s="173"/>
      <c r="G1" s="174"/>
    </row>
    <row r="2" spans="1:17" ht="15.75" x14ac:dyDescent="0.5">
      <c r="A2" s="31" t="s">
        <v>1</v>
      </c>
      <c r="C2" s="24">
        <v>45962</v>
      </c>
    </row>
    <row r="3" spans="1:17" ht="14.65" thickBot="1" x14ac:dyDescent="0.5"/>
    <row r="4" spans="1:17" ht="18" x14ac:dyDescent="0.55000000000000004">
      <c r="A4" s="175" t="s">
        <v>2</v>
      </c>
      <c r="B4" s="176"/>
      <c r="C4" s="177"/>
      <c r="D4" s="12"/>
      <c r="E4" s="178" t="s">
        <v>3</v>
      </c>
      <c r="F4" s="179"/>
      <c r="G4" s="180"/>
      <c r="H4" s="12"/>
      <c r="I4" s="181" t="s">
        <v>4</v>
      </c>
      <c r="J4" s="182"/>
      <c r="K4" s="183"/>
    </row>
    <row r="5" spans="1:17" ht="21" customHeight="1" x14ac:dyDescent="0.45">
      <c r="A5" s="13" t="s">
        <v>5</v>
      </c>
      <c r="B5" s="14" t="s">
        <v>6</v>
      </c>
      <c r="C5" s="15" t="s">
        <v>7</v>
      </c>
      <c r="D5" s="16"/>
      <c r="E5" s="17" t="s">
        <v>5</v>
      </c>
      <c r="F5" s="18" t="s">
        <v>6</v>
      </c>
      <c r="G5" s="19" t="s">
        <v>7</v>
      </c>
      <c r="H5" s="16"/>
      <c r="I5" s="20" t="s">
        <v>5</v>
      </c>
      <c r="J5" s="21" t="s">
        <v>6</v>
      </c>
      <c r="K5" s="22" t="s">
        <v>7</v>
      </c>
      <c r="N5" s="119" t="s">
        <v>80</v>
      </c>
    </row>
    <row r="6" spans="1:17" x14ac:dyDescent="0.25">
      <c r="A6" s="116">
        <v>45962</v>
      </c>
      <c r="B6" s="117" t="s">
        <v>18</v>
      </c>
      <c r="C6" s="125"/>
      <c r="E6" s="67">
        <v>45962</v>
      </c>
      <c r="F6" s="9" t="s">
        <v>9</v>
      </c>
      <c r="G6" s="120">
        <v>38.79</v>
      </c>
      <c r="I6" s="65">
        <v>45962</v>
      </c>
      <c r="J6" s="11" t="s">
        <v>11</v>
      </c>
      <c r="K6" s="120">
        <v>6</v>
      </c>
    </row>
    <row r="7" spans="1:17" x14ac:dyDescent="0.25">
      <c r="A7" s="116">
        <v>45962</v>
      </c>
      <c r="B7" s="117" t="s">
        <v>19</v>
      </c>
      <c r="C7" s="125">
        <v>278.17</v>
      </c>
      <c r="E7" s="67">
        <v>45962</v>
      </c>
      <c r="F7" s="9" t="s">
        <v>8</v>
      </c>
      <c r="G7" s="120">
        <v>25.22</v>
      </c>
      <c r="I7" s="65">
        <v>45962</v>
      </c>
      <c r="J7" s="11" t="s">
        <v>10</v>
      </c>
      <c r="K7" s="120">
        <v>59.53</v>
      </c>
    </row>
    <row r="8" spans="1:17" s="163" customFormat="1" ht="15.75" x14ac:dyDescent="0.25">
      <c r="A8" s="153">
        <v>45962</v>
      </c>
      <c r="B8" s="154" t="s">
        <v>67</v>
      </c>
      <c r="C8" s="155">
        <v>60.93</v>
      </c>
      <c r="D8" s="156"/>
      <c r="E8" s="157">
        <v>45964</v>
      </c>
      <c r="F8" s="158" t="s">
        <v>9</v>
      </c>
      <c r="G8" s="159">
        <v>38.119999999999997</v>
      </c>
      <c r="H8" s="156"/>
      <c r="I8" s="160">
        <v>45964</v>
      </c>
      <c r="J8" s="161" t="s">
        <v>10</v>
      </c>
      <c r="K8" s="162">
        <v>58.15</v>
      </c>
      <c r="N8" s="164" t="s">
        <v>72</v>
      </c>
      <c r="O8" s="165" t="s">
        <v>17</v>
      </c>
      <c r="P8" s="165" t="s">
        <v>70</v>
      </c>
    </row>
    <row r="9" spans="1:17" x14ac:dyDescent="0.25">
      <c r="A9" s="116">
        <v>45962</v>
      </c>
      <c r="B9" s="117" t="s">
        <v>68</v>
      </c>
      <c r="C9" s="125">
        <v>17.98</v>
      </c>
      <c r="E9" s="67">
        <v>45964</v>
      </c>
      <c r="F9" s="9" t="s">
        <v>8</v>
      </c>
      <c r="G9" s="120">
        <v>28.96</v>
      </c>
      <c r="I9" s="67">
        <v>45965</v>
      </c>
      <c r="J9" s="11" t="s">
        <v>11</v>
      </c>
      <c r="K9" s="120">
        <v>6.5</v>
      </c>
      <c r="N9" s="91" t="s">
        <v>18</v>
      </c>
      <c r="O9" s="82">
        <f>SUMIF(B6:B125,"OS - Ginger",C6:C125)</f>
        <v>0</v>
      </c>
      <c r="P9" s="192">
        <f>SUM(O9:O10)</f>
        <v>544.06000000000006</v>
      </c>
    </row>
    <row r="10" spans="1:17" ht="15.75" customHeight="1" x14ac:dyDescent="0.25">
      <c r="A10" s="116">
        <v>45962</v>
      </c>
      <c r="B10" s="117" t="s">
        <v>69</v>
      </c>
      <c r="C10" s="125">
        <v>0.15</v>
      </c>
      <c r="E10" s="67">
        <v>45965</v>
      </c>
      <c r="F10" s="9" t="s">
        <v>9</v>
      </c>
      <c r="G10" s="120">
        <v>39.67</v>
      </c>
      <c r="I10" s="67">
        <v>45965</v>
      </c>
      <c r="J10" s="11" t="s">
        <v>10</v>
      </c>
      <c r="K10" s="120">
        <v>73.7</v>
      </c>
      <c r="N10" s="92" t="s">
        <v>8</v>
      </c>
      <c r="O10" s="76">
        <f>SUMIF(B6:B125,"Ginger",C6:C125)</f>
        <v>544.06000000000006</v>
      </c>
      <c r="P10" s="193"/>
    </row>
    <row r="11" spans="1:17" x14ac:dyDescent="0.25">
      <c r="A11" s="116">
        <v>45962</v>
      </c>
      <c r="B11" s="117" t="s">
        <v>71</v>
      </c>
      <c r="C11" s="125">
        <v>38.119999999999997</v>
      </c>
      <c r="E11" s="67">
        <v>45965</v>
      </c>
      <c r="F11" s="9" t="s">
        <v>8</v>
      </c>
      <c r="G11" s="120">
        <v>28.6</v>
      </c>
      <c r="I11" s="65">
        <v>45967</v>
      </c>
      <c r="J11" s="11" t="s">
        <v>10</v>
      </c>
      <c r="K11" s="120">
        <v>68.88</v>
      </c>
      <c r="N11" s="56" t="s">
        <v>19</v>
      </c>
      <c r="O11" s="57">
        <f>SUMIF(B6:B125,"OS - Garlic",C6:C125)</f>
        <v>278.17</v>
      </c>
      <c r="P11" s="194">
        <f>SUM(O11:O12)</f>
        <v>1061.1100000000001</v>
      </c>
      <c r="Q11" s="198">
        <f>SUM(P11:P14)</f>
        <v>1099.23</v>
      </c>
    </row>
    <row r="12" spans="1:17" x14ac:dyDescent="0.25">
      <c r="A12" s="116">
        <v>45962</v>
      </c>
      <c r="B12" s="117" t="s">
        <v>13</v>
      </c>
      <c r="C12" s="125"/>
      <c r="E12" s="67">
        <v>45965</v>
      </c>
      <c r="F12" s="9" t="s">
        <v>9</v>
      </c>
      <c r="G12" s="120">
        <v>39.700000000000003</v>
      </c>
      <c r="I12" s="65">
        <v>45968</v>
      </c>
      <c r="J12" s="11" t="s">
        <v>11</v>
      </c>
      <c r="K12" s="120">
        <v>21</v>
      </c>
      <c r="N12" s="88" t="s">
        <v>74</v>
      </c>
      <c r="O12" s="78">
        <f>SUMIF(B6:B125,"Garlic",C6:C125)</f>
        <v>782.94</v>
      </c>
      <c r="P12" s="195"/>
      <c r="Q12" s="198"/>
    </row>
    <row r="13" spans="1:17" x14ac:dyDescent="0.25">
      <c r="A13" s="116">
        <v>45962</v>
      </c>
      <c r="B13" s="117" t="s">
        <v>77</v>
      </c>
      <c r="C13" s="125"/>
      <c r="E13" s="103">
        <v>45967</v>
      </c>
      <c r="F13" s="9" t="s">
        <v>8</v>
      </c>
      <c r="G13" s="121">
        <v>23.3</v>
      </c>
      <c r="H13" s="108"/>
      <c r="I13" s="103">
        <v>45969</v>
      </c>
      <c r="J13" s="11" t="s">
        <v>11</v>
      </c>
      <c r="K13" s="121">
        <v>5</v>
      </c>
      <c r="N13" s="93" t="s">
        <v>71</v>
      </c>
      <c r="O13" s="62">
        <f>SUMIF(B6:B125,"OS - Broken Garlic",C6:C125)</f>
        <v>38.119999999999997</v>
      </c>
      <c r="P13" s="196">
        <f>SUM(O13:O14)</f>
        <v>38.119999999999997</v>
      </c>
      <c r="Q13" s="198"/>
    </row>
    <row r="14" spans="1:17" x14ac:dyDescent="0.25">
      <c r="A14" s="116">
        <v>45962</v>
      </c>
      <c r="B14" s="117" t="s">
        <v>78</v>
      </c>
      <c r="C14" s="125"/>
      <c r="E14" s="103">
        <v>45967</v>
      </c>
      <c r="F14" s="9" t="s">
        <v>8</v>
      </c>
      <c r="G14" s="121">
        <v>7.3</v>
      </c>
      <c r="H14" s="108"/>
      <c r="I14" s="103">
        <v>45969</v>
      </c>
      <c r="J14" s="11" t="s">
        <v>10</v>
      </c>
      <c r="K14" s="121">
        <v>58.79</v>
      </c>
      <c r="N14" s="94" t="s">
        <v>13</v>
      </c>
      <c r="O14" s="73">
        <f>SUMIF(B6:B125,"Broken Garlic",C6:C125)</f>
        <v>0</v>
      </c>
      <c r="P14" s="197"/>
      <c r="Q14" s="198"/>
    </row>
    <row r="15" spans="1:17" x14ac:dyDescent="0.25">
      <c r="A15" s="65">
        <v>45962</v>
      </c>
      <c r="B15" s="9" t="s">
        <v>8</v>
      </c>
      <c r="C15" s="127">
        <v>56.91</v>
      </c>
      <c r="E15" s="103">
        <v>45968</v>
      </c>
      <c r="F15" s="9" t="s">
        <v>9</v>
      </c>
      <c r="G15" s="121">
        <v>39.67</v>
      </c>
      <c r="H15" s="108"/>
      <c r="I15" s="103">
        <v>45971</v>
      </c>
      <c r="J15" s="11" t="s">
        <v>10</v>
      </c>
      <c r="K15" s="121">
        <v>61</v>
      </c>
      <c r="N15" s="89" t="s">
        <v>68</v>
      </c>
      <c r="O15" s="90">
        <f>SUMIF(B6:B125,"OS - Garlic Peeled",C6:C125)</f>
        <v>17.98</v>
      </c>
      <c r="P15" s="111">
        <f>O15</f>
        <v>17.98</v>
      </c>
    </row>
    <row r="16" spans="1:17" x14ac:dyDescent="0.25">
      <c r="A16" s="65">
        <v>45965</v>
      </c>
      <c r="B16" s="9" t="s">
        <v>8</v>
      </c>
      <c r="C16" s="127">
        <v>30</v>
      </c>
      <c r="E16" s="103">
        <v>45969</v>
      </c>
      <c r="F16" s="9" t="s">
        <v>9</v>
      </c>
      <c r="G16" s="121">
        <v>39.78</v>
      </c>
      <c r="H16" s="108"/>
      <c r="I16" s="103">
        <v>45971</v>
      </c>
      <c r="J16" s="11" t="s">
        <v>11</v>
      </c>
      <c r="K16" s="121">
        <v>6</v>
      </c>
      <c r="N16" s="89" t="s">
        <v>69</v>
      </c>
      <c r="O16" s="90">
        <f>SUMIF(B6:B125,"OS - Ginger Peeled",C6:C125)</f>
        <v>0.15</v>
      </c>
      <c r="P16" s="90"/>
    </row>
    <row r="17" spans="1:18" x14ac:dyDescent="0.25">
      <c r="A17" s="65">
        <v>45966</v>
      </c>
      <c r="B17" s="9" t="s">
        <v>8</v>
      </c>
      <c r="C17" s="127">
        <v>56.96</v>
      </c>
      <c r="E17" s="103">
        <v>45969</v>
      </c>
      <c r="F17" s="9" t="s">
        <v>8</v>
      </c>
      <c r="G17" s="121">
        <v>22.64</v>
      </c>
      <c r="H17" s="108"/>
      <c r="I17" s="103">
        <v>45973</v>
      </c>
      <c r="J17" s="11" t="s">
        <v>11</v>
      </c>
      <c r="K17" s="121">
        <v>7</v>
      </c>
      <c r="N17" s="89" t="s">
        <v>67</v>
      </c>
      <c r="O17" s="90">
        <f>SUMIF(B6:B125,"OS - Ginger Garlic Paste",C6:C125)</f>
        <v>60.93</v>
      </c>
      <c r="P17" s="90"/>
    </row>
    <row r="18" spans="1:18" x14ac:dyDescent="0.25">
      <c r="A18" s="65">
        <v>45971</v>
      </c>
      <c r="B18" s="9" t="s">
        <v>8</v>
      </c>
      <c r="C18" s="127">
        <v>56.99</v>
      </c>
      <c r="E18" s="103">
        <v>45971</v>
      </c>
      <c r="F18" s="9" t="s">
        <v>8</v>
      </c>
      <c r="G18" s="121">
        <v>9.2100000000000009</v>
      </c>
      <c r="H18" s="108"/>
      <c r="I18" s="103">
        <v>45973</v>
      </c>
      <c r="J18" s="11" t="s">
        <v>10</v>
      </c>
      <c r="K18" s="121">
        <v>54.47</v>
      </c>
      <c r="N18" s="89" t="s">
        <v>76</v>
      </c>
      <c r="O18" s="90">
        <f>SUMIF(B6:B125,"OS - Ginger Paste",C6:C125)</f>
        <v>0</v>
      </c>
      <c r="P18" s="90"/>
    </row>
    <row r="19" spans="1:18" x14ac:dyDescent="0.25">
      <c r="A19" s="65">
        <v>45973</v>
      </c>
      <c r="B19" s="9" t="s">
        <v>9</v>
      </c>
      <c r="C19" s="127">
        <v>39.380000000000003</v>
      </c>
      <c r="E19" s="103">
        <v>45971</v>
      </c>
      <c r="F19" s="9" t="s">
        <v>8</v>
      </c>
      <c r="G19" s="121">
        <v>26</v>
      </c>
      <c r="H19" s="108"/>
      <c r="I19" s="103">
        <v>45975</v>
      </c>
      <c r="J19" s="11" t="s">
        <v>11</v>
      </c>
      <c r="K19" s="121">
        <v>5</v>
      </c>
      <c r="N19" s="89" t="s">
        <v>75</v>
      </c>
      <c r="O19" s="90">
        <f>SUMIF(B6:B125,"OS - Garlic Paste",C6:C125)</f>
        <v>0</v>
      </c>
      <c r="P19" s="90"/>
    </row>
    <row r="20" spans="1:18" x14ac:dyDescent="0.25">
      <c r="A20" s="65">
        <v>45973</v>
      </c>
      <c r="B20" s="9" t="s">
        <v>9</v>
      </c>
      <c r="C20" s="127">
        <v>39.6</v>
      </c>
      <c r="E20" s="103">
        <v>45972</v>
      </c>
      <c r="F20" s="9" t="s">
        <v>9</v>
      </c>
      <c r="G20" s="121">
        <v>39.5</v>
      </c>
      <c r="H20" s="108"/>
      <c r="I20" s="103">
        <v>45975</v>
      </c>
      <c r="J20" s="11" t="s">
        <v>10</v>
      </c>
      <c r="K20" s="121">
        <v>60</v>
      </c>
    </row>
    <row r="21" spans="1:18" ht="15.75" x14ac:dyDescent="0.25">
      <c r="A21" s="65">
        <v>45973</v>
      </c>
      <c r="B21" s="9" t="s">
        <v>9</v>
      </c>
      <c r="C21" s="127">
        <v>39.33</v>
      </c>
      <c r="E21" s="103">
        <v>45973</v>
      </c>
      <c r="F21" s="9" t="s">
        <v>8</v>
      </c>
      <c r="G21" s="121">
        <v>18.329999999999998</v>
      </c>
      <c r="H21" s="108"/>
      <c r="I21" s="103">
        <v>45976</v>
      </c>
      <c r="J21" s="11" t="s">
        <v>10</v>
      </c>
      <c r="K21" s="121">
        <v>70.92</v>
      </c>
      <c r="N21" s="109" t="s">
        <v>3</v>
      </c>
      <c r="O21" s="110" t="s">
        <v>17</v>
      </c>
      <c r="P21" s="110" t="s">
        <v>17</v>
      </c>
    </row>
    <row r="22" spans="1:18" x14ac:dyDescent="0.25">
      <c r="A22" s="65">
        <v>45973</v>
      </c>
      <c r="B22" s="9" t="s">
        <v>9</v>
      </c>
      <c r="C22" s="127">
        <v>39.53</v>
      </c>
      <c r="E22" s="104">
        <v>45974</v>
      </c>
      <c r="F22" s="101" t="s">
        <v>9</v>
      </c>
      <c r="G22" s="124">
        <v>39.42</v>
      </c>
      <c r="H22" s="108"/>
      <c r="I22" s="103">
        <v>45976</v>
      </c>
      <c r="J22" s="11" t="s">
        <v>11</v>
      </c>
      <c r="K22" s="121">
        <v>5</v>
      </c>
      <c r="N22" s="44" t="s">
        <v>8</v>
      </c>
      <c r="O22" s="62">
        <f>SUMIF(F6:F125,"Ginger",G6:G125)</f>
        <v>464.72</v>
      </c>
      <c r="P22" s="100">
        <f>O22</f>
        <v>464.72</v>
      </c>
      <c r="R22" s="1">
        <f>SUM(P22:P24)</f>
        <v>1211.6100000000001</v>
      </c>
    </row>
    <row r="23" spans="1:18" x14ac:dyDescent="0.25">
      <c r="A23" s="65">
        <v>45973</v>
      </c>
      <c r="B23" s="9" t="s">
        <v>9</v>
      </c>
      <c r="C23" s="127">
        <v>39.69</v>
      </c>
      <c r="E23" s="103">
        <v>45975</v>
      </c>
      <c r="F23" s="9" t="s">
        <v>8</v>
      </c>
      <c r="G23" s="121">
        <v>24.75</v>
      </c>
      <c r="H23" s="108"/>
      <c r="I23" s="103">
        <v>45978</v>
      </c>
      <c r="J23" s="11" t="s">
        <v>11</v>
      </c>
      <c r="K23" s="121">
        <v>5</v>
      </c>
      <c r="N23" s="44" t="s">
        <v>9</v>
      </c>
      <c r="O23" s="63">
        <f>SUMIF(F6:F125,"Garlic",G6:G125)</f>
        <v>746.89</v>
      </c>
      <c r="P23" s="191">
        <f>SUM(O23:O24)</f>
        <v>746.89</v>
      </c>
    </row>
    <row r="24" spans="1:18" x14ac:dyDescent="0.25">
      <c r="A24" s="65">
        <v>45973</v>
      </c>
      <c r="B24" s="9" t="s">
        <v>9</v>
      </c>
      <c r="C24" s="127">
        <v>39.270000000000003</v>
      </c>
      <c r="E24" s="103">
        <v>45975</v>
      </c>
      <c r="F24" s="9" t="s">
        <v>9</v>
      </c>
      <c r="G24" s="121">
        <v>39.35</v>
      </c>
      <c r="H24" s="108"/>
      <c r="I24" s="118">
        <v>45979</v>
      </c>
      <c r="J24" s="9" t="s">
        <v>10</v>
      </c>
      <c r="K24" s="122">
        <v>56</v>
      </c>
      <c r="N24" s="44" t="s">
        <v>13</v>
      </c>
      <c r="O24" s="63">
        <f>SUMIF(F6:F125,"Broken Garlic",G6:G125)</f>
        <v>0</v>
      </c>
      <c r="P24" s="191"/>
    </row>
    <row r="25" spans="1:18" x14ac:dyDescent="0.25">
      <c r="A25" s="65">
        <v>45973</v>
      </c>
      <c r="B25" s="9" t="s">
        <v>9</v>
      </c>
      <c r="C25" s="127">
        <v>39.549999999999997</v>
      </c>
      <c r="E25" s="103">
        <v>45976</v>
      </c>
      <c r="F25" s="9" t="s">
        <v>8</v>
      </c>
      <c r="G25" s="121">
        <v>30.79</v>
      </c>
      <c r="H25" s="108"/>
      <c r="I25" s="103">
        <v>45980</v>
      </c>
      <c r="J25" s="11" t="s">
        <v>10</v>
      </c>
      <c r="K25" s="121">
        <v>69</v>
      </c>
    </row>
    <row r="26" spans="1:18" x14ac:dyDescent="0.25">
      <c r="A26" s="65">
        <v>45973</v>
      </c>
      <c r="B26" s="9" t="s">
        <v>9</v>
      </c>
      <c r="C26" s="127">
        <v>39.4</v>
      </c>
      <c r="E26" s="103">
        <v>45978</v>
      </c>
      <c r="F26" s="9" t="s">
        <v>9</v>
      </c>
      <c r="G26" s="121">
        <v>39</v>
      </c>
      <c r="H26" s="108"/>
      <c r="I26" s="103">
        <v>45982</v>
      </c>
      <c r="J26" s="11" t="s">
        <v>11</v>
      </c>
      <c r="K26" s="121">
        <v>17</v>
      </c>
    </row>
    <row r="27" spans="1:18" ht="15.75" x14ac:dyDescent="0.25">
      <c r="A27" s="65">
        <v>45973</v>
      </c>
      <c r="B27" s="9" t="s">
        <v>9</v>
      </c>
      <c r="C27" s="127">
        <v>39.47</v>
      </c>
      <c r="E27" s="103">
        <v>45979</v>
      </c>
      <c r="F27" s="9" t="s">
        <v>8</v>
      </c>
      <c r="G27" s="121">
        <v>25.38</v>
      </c>
      <c r="H27" s="108"/>
      <c r="I27" s="103">
        <v>45983</v>
      </c>
      <c r="J27" s="11" t="s">
        <v>10</v>
      </c>
      <c r="K27" s="121">
        <v>121</v>
      </c>
      <c r="N27" s="109" t="s">
        <v>4</v>
      </c>
      <c r="O27" s="110" t="s">
        <v>17</v>
      </c>
      <c r="P27" s="110" t="s">
        <v>79</v>
      </c>
    </row>
    <row r="28" spans="1:18" x14ac:dyDescent="0.25">
      <c r="A28" s="65">
        <v>45973</v>
      </c>
      <c r="B28" s="9" t="s">
        <v>9</v>
      </c>
      <c r="C28" s="127">
        <v>39.42</v>
      </c>
      <c r="E28" s="103">
        <v>45979</v>
      </c>
      <c r="F28" s="9" t="s">
        <v>9</v>
      </c>
      <c r="G28" s="121">
        <v>39.479999999999997</v>
      </c>
      <c r="H28" s="108"/>
      <c r="I28" s="103">
        <v>45984</v>
      </c>
      <c r="J28" s="11" t="s">
        <v>10</v>
      </c>
      <c r="K28" s="121">
        <v>54</v>
      </c>
      <c r="N28" s="44" t="s">
        <v>12</v>
      </c>
      <c r="O28" s="87">
        <f>SUMIF(J6:J125,"Ginger Peeled",K6:K125)</f>
        <v>0</v>
      </c>
      <c r="P28" s="87">
        <f>SUM(O28,O16)</f>
        <v>0.15</v>
      </c>
      <c r="R28" s="1">
        <f>SUM(P28:P32)</f>
        <v>1296.8200000000002</v>
      </c>
    </row>
    <row r="29" spans="1:18" x14ac:dyDescent="0.25">
      <c r="A29" s="65">
        <v>45974</v>
      </c>
      <c r="B29" s="9" t="s">
        <v>8</v>
      </c>
      <c r="C29" s="127">
        <v>56.78</v>
      </c>
      <c r="E29" s="103">
        <v>45980</v>
      </c>
      <c r="F29" s="9" t="s">
        <v>8</v>
      </c>
      <c r="G29" s="121">
        <v>28.62</v>
      </c>
      <c r="H29" s="108"/>
      <c r="I29" s="103">
        <v>45985</v>
      </c>
      <c r="J29" s="11" t="s">
        <v>10</v>
      </c>
      <c r="K29" s="121">
        <v>69.39</v>
      </c>
      <c r="N29" s="44" t="s">
        <v>11</v>
      </c>
      <c r="O29" s="87">
        <f>SUMIF(J6:J125,"Garlic Peeled",K6:K125)</f>
        <v>91.5</v>
      </c>
      <c r="P29" s="87">
        <f>SUM(O29,O15)</f>
        <v>109.48</v>
      </c>
    </row>
    <row r="30" spans="1:18" x14ac:dyDescent="0.25">
      <c r="A30" s="65">
        <v>45979</v>
      </c>
      <c r="B30" s="9" t="s">
        <v>8</v>
      </c>
      <c r="C30" s="127">
        <v>56.79</v>
      </c>
      <c r="E30" s="104">
        <v>45982</v>
      </c>
      <c r="F30" s="101" t="s">
        <v>9</v>
      </c>
      <c r="G30" s="124">
        <v>39.47</v>
      </c>
      <c r="H30" s="108"/>
      <c r="I30" s="103">
        <v>45986</v>
      </c>
      <c r="J30" s="11" t="s">
        <v>11</v>
      </c>
      <c r="K30" s="121">
        <v>8</v>
      </c>
      <c r="N30" s="44" t="s">
        <v>10</v>
      </c>
      <c r="O30" s="87">
        <f>SUMIF(J6:J125,"Ginger Garlic Paste",K6:K125)</f>
        <v>1126.26</v>
      </c>
      <c r="P30" s="87">
        <f>SUM(O30,O17)</f>
        <v>1187.19</v>
      </c>
    </row>
    <row r="31" spans="1:18" x14ac:dyDescent="0.25">
      <c r="A31" s="65">
        <v>45983</v>
      </c>
      <c r="B31" s="9" t="s">
        <v>8</v>
      </c>
      <c r="C31" s="127">
        <v>115.79</v>
      </c>
      <c r="E31" s="104">
        <v>45983</v>
      </c>
      <c r="F31" s="101" t="s">
        <v>9</v>
      </c>
      <c r="G31" s="124">
        <v>39.450000000000003</v>
      </c>
      <c r="H31" s="108"/>
      <c r="I31" s="103">
        <v>45987</v>
      </c>
      <c r="J31" s="11" t="s">
        <v>10</v>
      </c>
      <c r="K31" s="121">
        <v>69.430000000000007</v>
      </c>
      <c r="N31" s="44" t="s">
        <v>76</v>
      </c>
      <c r="O31" s="87">
        <f>SUMIF(J6:J125,"Ginger Paste",K6:K125)</f>
        <v>0</v>
      </c>
      <c r="P31" s="87">
        <f>SUM(O31,O18)</f>
        <v>0</v>
      </c>
    </row>
    <row r="32" spans="1:18" x14ac:dyDescent="0.25">
      <c r="A32" s="65">
        <v>45986</v>
      </c>
      <c r="B32" s="9" t="s">
        <v>8</v>
      </c>
      <c r="C32" s="127">
        <v>113.84</v>
      </c>
      <c r="E32" s="103">
        <v>45983</v>
      </c>
      <c r="F32" s="9" t="s">
        <v>9</v>
      </c>
      <c r="G32" s="121">
        <v>39.369999999999997</v>
      </c>
      <c r="H32" s="108"/>
      <c r="I32" s="103">
        <v>45989</v>
      </c>
      <c r="J32" s="11" t="s">
        <v>10</v>
      </c>
      <c r="K32" s="121">
        <v>63</v>
      </c>
      <c r="N32" s="44" t="s">
        <v>75</v>
      </c>
      <c r="O32" s="87">
        <f>SUMIF(J6:J125,"Garlic Paste",K6:K125)</f>
        <v>0</v>
      </c>
      <c r="P32" s="87">
        <f>SUM(O32,O19)</f>
        <v>0</v>
      </c>
    </row>
    <row r="33" spans="1:16" x14ac:dyDescent="0.25">
      <c r="A33" s="65">
        <v>45988</v>
      </c>
      <c r="B33" s="9" t="s">
        <v>9</v>
      </c>
      <c r="C33" s="127">
        <v>38.94</v>
      </c>
      <c r="E33" s="103">
        <v>45983</v>
      </c>
      <c r="F33" s="9" t="s">
        <v>8</v>
      </c>
      <c r="G33" s="121">
        <v>50.38</v>
      </c>
      <c r="H33" s="108"/>
      <c r="I33" s="103">
        <v>45990</v>
      </c>
      <c r="J33" s="11" t="s">
        <v>10</v>
      </c>
      <c r="K33" s="121">
        <v>59</v>
      </c>
      <c r="P33" s="2"/>
    </row>
    <row r="34" spans="1:16" ht="15.75" x14ac:dyDescent="0.25">
      <c r="A34" s="65">
        <v>45988</v>
      </c>
      <c r="B34" s="9" t="s">
        <v>9</v>
      </c>
      <c r="C34" s="127">
        <v>34.700000000000003</v>
      </c>
      <c r="E34" s="103">
        <v>45984</v>
      </c>
      <c r="F34" s="9" t="s">
        <v>9</v>
      </c>
      <c r="G34" s="121">
        <v>39.22</v>
      </c>
      <c r="H34" s="108"/>
      <c r="I34" s="103"/>
      <c r="J34" s="11"/>
      <c r="K34" s="121"/>
      <c r="N34" s="110" t="s">
        <v>14</v>
      </c>
      <c r="O34" s="110" t="s">
        <v>17</v>
      </c>
      <c r="P34" s="2"/>
    </row>
    <row r="35" spans="1:16" x14ac:dyDescent="0.25">
      <c r="A35" s="65">
        <v>45988</v>
      </c>
      <c r="B35" s="9" t="s">
        <v>9</v>
      </c>
      <c r="C35" s="127">
        <v>39.590000000000003</v>
      </c>
      <c r="E35" s="103">
        <v>45984</v>
      </c>
      <c r="F35" s="9" t="s">
        <v>8</v>
      </c>
      <c r="G35" s="121">
        <v>23.6</v>
      </c>
      <c r="H35" s="108"/>
      <c r="I35" s="103"/>
      <c r="J35" s="11"/>
      <c r="K35" s="121"/>
      <c r="N35" s="102" t="s">
        <v>73</v>
      </c>
      <c r="O35" s="87">
        <f>P9-P22</f>
        <v>79.340000000000032</v>
      </c>
      <c r="P35" s="2"/>
    </row>
    <row r="36" spans="1:16" x14ac:dyDescent="0.25">
      <c r="A36" s="65">
        <v>45988</v>
      </c>
      <c r="B36" s="9" t="s">
        <v>9</v>
      </c>
      <c r="C36" s="127">
        <v>38.200000000000003</v>
      </c>
      <c r="E36" s="103">
        <v>45985</v>
      </c>
      <c r="F36" s="9" t="s">
        <v>8</v>
      </c>
      <c r="G36" s="121">
        <v>18.86</v>
      </c>
      <c r="H36" s="108"/>
      <c r="I36" s="103"/>
      <c r="J36" s="11"/>
      <c r="K36" s="121"/>
      <c r="N36" s="102" t="s">
        <v>9</v>
      </c>
      <c r="O36" s="87">
        <f>Q11-P23</f>
        <v>352.34000000000003</v>
      </c>
      <c r="P36" s="2"/>
    </row>
    <row r="37" spans="1:16" x14ac:dyDescent="0.25">
      <c r="A37" s="65">
        <v>45988</v>
      </c>
      <c r="B37" s="9" t="s">
        <v>9</v>
      </c>
      <c r="C37" s="127">
        <v>39.979999999999997</v>
      </c>
      <c r="E37" s="103">
        <v>45986</v>
      </c>
      <c r="F37" s="9" t="s">
        <v>9</v>
      </c>
      <c r="G37" s="121">
        <v>39.15</v>
      </c>
      <c r="H37" s="108"/>
      <c r="I37" s="103"/>
      <c r="J37" s="11"/>
      <c r="K37" s="121"/>
      <c r="L37" s="1" t="s">
        <v>83</v>
      </c>
    </row>
    <row r="38" spans="1:16" x14ac:dyDescent="0.25">
      <c r="A38" s="65">
        <v>45988</v>
      </c>
      <c r="B38" s="9" t="s">
        <v>9</v>
      </c>
      <c r="C38" s="127">
        <v>39.299999999999997</v>
      </c>
      <c r="E38" s="103">
        <v>45987</v>
      </c>
      <c r="F38" s="9" t="s">
        <v>8</v>
      </c>
      <c r="G38" s="121">
        <v>36.700000000000003</v>
      </c>
      <c r="H38" s="108"/>
      <c r="I38" s="103"/>
      <c r="J38" s="11"/>
      <c r="K38" s="121"/>
    </row>
    <row r="39" spans="1:16" x14ac:dyDescent="0.25">
      <c r="A39" s="65">
        <v>45988</v>
      </c>
      <c r="B39" s="9" t="s">
        <v>9</v>
      </c>
      <c r="C39" s="127">
        <v>39.200000000000003</v>
      </c>
      <c r="E39" s="103">
        <v>45988</v>
      </c>
      <c r="F39" s="9" t="s">
        <v>9</v>
      </c>
      <c r="G39" s="120">
        <v>39</v>
      </c>
      <c r="I39" s="65"/>
      <c r="J39" s="11"/>
      <c r="K39" s="120"/>
    </row>
    <row r="40" spans="1:16" x14ac:dyDescent="0.25">
      <c r="A40" s="65">
        <v>45988</v>
      </c>
      <c r="B40" s="9" t="s">
        <v>9</v>
      </c>
      <c r="C40" s="127">
        <v>39.5</v>
      </c>
      <c r="E40" s="67">
        <v>45989</v>
      </c>
      <c r="F40" s="9" t="s">
        <v>9</v>
      </c>
      <c r="G40" s="120">
        <v>39.5</v>
      </c>
      <c r="I40" s="103"/>
      <c r="J40" s="11"/>
      <c r="K40" s="120"/>
    </row>
    <row r="41" spans="1:16" x14ac:dyDescent="0.25">
      <c r="A41" s="65">
        <v>45988</v>
      </c>
      <c r="B41" s="9" t="s">
        <v>9</v>
      </c>
      <c r="C41" s="127">
        <v>39.520000000000003</v>
      </c>
      <c r="E41" s="67">
        <v>45989</v>
      </c>
      <c r="F41" s="9" t="s">
        <v>9</v>
      </c>
      <c r="G41" s="120">
        <v>39.25</v>
      </c>
      <c r="I41" s="103"/>
      <c r="J41" s="11"/>
      <c r="K41" s="120"/>
    </row>
    <row r="42" spans="1:16" x14ac:dyDescent="0.25">
      <c r="A42" s="65">
        <v>45988</v>
      </c>
      <c r="B42" s="9" t="s">
        <v>9</v>
      </c>
      <c r="C42" s="127">
        <v>39.369999999999997</v>
      </c>
      <c r="E42" s="67">
        <v>45989</v>
      </c>
      <c r="F42" s="9" t="s">
        <v>8</v>
      </c>
      <c r="G42" s="120">
        <v>22.38</v>
      </c>
      <c r="I42" s="67"/>
      <c r="J42" s="11"/>
      <c r="K42" s="120"/>
    </row>
    <row r="43" spans="1:16" x14ac:dyDescent="0.25">
      <c r="A43" s="65"/>
      <c r="B43" s="9"/>
      <c r="C43" s="127"/>
      <c r="E43" s="67">
        <v>45990</v>
      </c>
      <c r="F43" s="9" t="s">
        <v>8</v>
      </c>
      <c r="G43" s="120">
        <v>13.7</v>
      </c>
      <c r="I43" s="67"/>
      <c r="J43" s="11"/>
      <c r="K43" s="120"/>
    </row>
    <row r="44" spans="1:16" x14ac:dyDescent="0.25">
      <c r="A44" s="65"/>
      <c r="B44" s="9"/>
      <c r="C44" s="127"/>
      <c r="E44" s="67"/>
      <c r="F44" s="9"/>
      <c r="G44" s="120"/>
      <c r="I44" s="67"/>
      <c r="J44" s="11"/>
      <c r="K44" s="120"/>
    </row>
    <row r="45" spans="1:16" x14ac:dyDescent="0.25">
      <c r="A45" s="65"/>
      <c r="B45" s="9"/>
      <c r="C45" s="127"/>
      <c r="E45" s="67"/>
      <c r="F45" s="9"/>
      <c r="G45" s="120"/>
      <c r="I45" s="67"/>
      <c r="J45" s="11"/>
      <c r="K45" s="120"/>
    </row>
    <row r="46" spans="1:16" x14ac:dyDescent="0.25">
      <c r="A46" s="65"/>
      <c r="B46" s="9"/>
      <c r="C46" s="127"/>
      <c r="E46" s="67"/>
      <c r="F46" s="9"/>
      <c r="G46" s="120"/>
      <c r="I46" s="67"/>
      <c r="J46" s="11"/>
      <c r="K46" s="120"/>
    </row>
    <row r="47" spans="1:16" x14ac:dyDescent="0.25">
      <c r="A47" s="65"/>
      <c r="B47" s="9"/>
      <c r="C47" s="127"/>
      <c r="E47" s="67"/>
      <c r="F47" s="9"/>
      <c r="G47" s="120"/>
      <c r="I47" s="67"/>
      <c r="J47" s="23"/>
      <c r="K47" s="120"/>
    </row>
    <row r="48" spans="1:16" x14ac:dyDescent="0.25">
      <c r="A48" s="65"/>
      <c r="B48" s="9"/>
      <c r="C48" s="127"/>
      <c r="E48" s="67"/>
      <c r="F48" s="9"/>
      <c r="G48" s="120"/>
      <c r="I48" s="67"/>
      <c r="J48" s="11"/>
      <c r="K48" s="120"/>
    </row>
    <row r="49" spans="1:11" x14ac:dyDescent="0.25">
      <c r="A49" s="65"/>
      <c r="B49" s="9"/>
      <c r="C49" s="127"/>
      <c r="E49" s="67"/>
      <c r="F49" s="9"/>
      <c r="G49" s="120"/>
      <c r="I49" s="67"/>
      <c r="J49" s="11"/>
      <c r="K49" s="120"/>
    </row>
    <row r="50" spans="1:11" x14ac:dyDescent="0.25">
      <c r="A50" s="65"/>
      <c r="B50" s="9"/>
      <c r="C50" s="127"/>
      <c r="E50" s="67"/>
      <c r="F50" s="9"/>
      <c r="G50" s="120"/>
      <c r="I50" s="67"/>
      <c r="J50" s="23"/>
      <c r="K50" s="120"/>
    </row>
    <row r="51" spans="1:11" x14ac:dyDescent="0.25">
      <c r="A51" s="65"/>
      <c r="B51" s="9"/>
      <c r="C51" s="127"/>
      <c r="E51" s="67"/>
      <c r="F51" s="9"/>
      <c r="G51" s="120"/>
      <c r="I51" s="67"/>
      <c r="J51" s="11"/>
      <c r="K51" s="120"/>
    </row>
    <row r="52" spans="1:11" x14ac:dyDescent="0.25">
      <c r="A52" s="65"/>
      <c r="B52" s="9"/>
      <c r="C52" s="127"/>
      <c r="E52" s="67"/>
      <c r="F52" s="9"/>
      <c r="G52" s="120"/>
      <c r="I52" s="67"/>
      <c r="J52" s="11"/>
      <c r="K52" s="120"/>
    </row>
    <row r="53" spans="1:11" x14ac:dyDescent="0.25">
      <c r="A53" s="65"/>
      <c r="B53" s="9"/>
      <c r="C53" s="127"/>
      <c r="E53" s="67"/>
      <c r="F53" s="9"/>
      <c r="G53" s="120"/>
      <c r="I53" s="67"/>
      <c r="J53" s="23"/>
      <c r="K53" s="120"/>
    </row>
    <row r="54" spans="1:11" x14ac:dyDescent="0.25">
      <c r="A54" s="65"/>
      <c r="B54" s="9"/>
      <c r="C54" s="127"/>
      <c r="E54" s="67"/>
      <c r="F54" s="9"/>
      <c r="G54" s="120"/>
      <c r="I54" s="67"/>
      <c r="J54" s="11"/>
      <c r="K54" s="120"/>
    </row>
    <row r="55" spans="1:11" x14ac:dyDescent="0.25">
      <c r="A55" s="65"/>
      <c r="B55" s="9"/>
      <c r="C55" s="127"/>
      <c r="E55" s="67"/>
      <c r="F55" s="9"/>
      <c r="G55" s="120"/>
      <c r="I55" s="67"/>
      <c r="J55" s="11"/>
      <c r="K55" s="120"/>
    </row>
    <row r="56" spans="1:11" x14ac:dyDescent="0.25">
      <c r="A56" s="65"/>
      <c r="B56" s="9"/>
      <c r="C56" s="127"/>
      <c r="E56" s="67"/>
      <c r="F56" s="9"/>
      <c r="G56" s="120"/>
      <c r="I56" s="67"/>
      <c r="J56" s="23"/>
      <c r="K56" s="120"/>
    </row>
    <row r="57" spans="1:11" x14ac:dyDescent="0.25">
      <c r="A57" s="65"/>
      <c r="B57" s="9"/>
      <c r="C57" s="127"/>
      <c r="E57" s="67"/>
      <c r="F57" s="9"/>
      <c r="G57" s="120"/>
      <c r="I57" s="67"/>
      <c r="J57" s="11"/>
      <c r="K57" s="120"/>
    </row>
    <row r="58" spans="1:11" x14ac:dyDescent="0.25">
      <c r="A58" s="65"/>
      <c r="B58" s="9"/>
      <c r="C58" s="127"/>
      <c r="E58" s="67"/>
      <c r="F58" s="9"/>
      <c r="G58" s="120"/>
      <c r="I58" s="67"/>
      <c r="J58" s="11"/>
      <c r="K58" s="120"/>
    </row>
    <row r="59" spans="1:11" x14ac:dyDescent="0.25">
      <c r="A59" s="65"/>
      <c r="B59" s="9"/>
      <c r="C59" s="127"/>
      <c r="E59" s="67"/>
      <c r="F59" s="9"/>
      <c r="G59" s="120"/>
      <c r="I59" s="67"/>
      <c r="J59" s="23"/>
      <c r="K59" s="120"/>
    </row>
    <row r="60" spans="1:11" x14ac:dyDescent="0.25">
      <c r="A60" s="65"/>
      <c r="B60" s="9"/>
      <c r="C60" s="127"/>
      <c r="E60" s="67"/>
      <c r="F60" s="9"/>
      <c r="G60" s="120"/>
      <c r="I60" s="67"/>
      <c r="J60" s="11"/>
      <c r="K60" s="120"/>
    </row>
    <row r="61" spans="1:11" x14ac:dyDescent="0.25">
      <c r="A61" s="65"/>
      <c r="B61" s="9"/>
      <c r="C61" s="127"/>
      <c r="E61" s="67"/>
      <c r="F61" s="9"/>
      <c r="G61" s="120"/>
      <c r="I61" s="67"/>
      <c r="J61" s="11"/>
      <c r="K61" s="120"/>
    </row>
    <row r="62" spans="1:11" x14ac:dyDescent="0.25">
      <c r="A62" s="65"/>
      <c r="B62" s="9"/>
      <c r="C62" s="127"/>
      <c r="E62" s="67"/>
      <c r="F62" s="9"/>
      <c r="G62" s="120"/>
      <c r="I62" s="67"/>
      <c r="J62" s="23"/>
      <c r="K62" s="120"/>
    </row>
    <row r="63" spans="1:11" x14ac:dyDescent="0.25">
      <c r="A63" s="65"/>
      <c r="B63" s="9"/>
      <c r="C63" s="127"/>
      <c r="E63" s="67"/>
      <c r="F63" s="9"/>
      <c r="G63" s="120"/>
      <c r="I63" s="67"/>
      <c r="J63" s="11"/>
      <c r="K63" s="120"/>
    </row>
    <row r="64" spans="1:11" x14ac:dyDescent="0.25">
      <c r="A64" s="65"/>
      <c r="B64" s="9"/>
      <c r="C64" s="127"/>
      <c r="E64" s="67"/>
      <c r="F64" s="9"/>
      <c r="G64" s="120"/>
      <c r="I64" s="67"/>
      <c r="J64" s="11"/>
      <c r="K64" s="120"/>
    </row>
    <row r="65" spans="1:11" x14ac:dyDescent="0.25">
      <c r="A65" s="65"/>
      <c r="B65" s="9"/>
      <c r="C65" s="127"/>
      <c r="E65" s="67"/>
      <c r="F65" s="9"/>
      <c r="G65" s="120"/>
      <c r="I65" s="67"/>
      <c r="J65" s="23"/>
      <c r="K65" s="120"/>
    </row>
    <row r="66" spans="1:11" x14ac:dyDescent="0.25">
      <c r="A66" s="65"/>
      <c r="B66" s="9"/>
      <c r="C66" s="127"/>
      <c r="E66" s="67"/>
      <c r="F66" s="9"/>
      <c r="G66" s="120"/>
      <c r="I66" s="67"/>
      <c r="J66" s="11"/>
      <c r="K66" s="120"/>
    </row>
    <row r="67" spans="1:11" x14ac:dyDescent="0.25">
      <c r="A67" s="65"/>
      <c r="B67" s="9"/>
      <c r="C67" s="127"/>
      <c r="E67" s="67"/>
      <c r="F67" s="9"/>
      <c r="G67" s="120"/>
      <c r="I67" s="67"/>
      <c r="J67" s="11"/>
      <c r="K67" s="120"/>
    </row>
    <row r="68" spans="1:11" x14ac:dyDescent="0.25">
      <c r="A68" s="65"/>
      <c r="B68" s="9"/>
      <c r="C68" s="127"/>
      <c r="E68" s="67"/>
      <c r="F68" s="9"/>
      <c r="G68" s="120"/>
      <c r="I68" s="67"/>
      <c r="J68" s="23"/>
      <c r="K68" s="120"/>
    </row>
    <row r="69" spans="1:11" x14ac:dyDescent="0.25">
      <c r="A69" s="65"/>
      <c r="B69" s="9"/>
      <c r="C69" s="127"/>
      <c r="E69" s="67"/>
      <c r="F69" s="9"/>
      <c r="G69" s="120"/>
      <c r="I69" s="67"/>
      <c r="J69" s="11"/>
      <c r="K69" s="120"/>
    </row>
    <row r="70" spans="1:11" x14ac:dyDescent="0.25">
      <c r="A70" s="65"/>
      <c r="B70" s="9"/>
      <c r="C70" s="127"/>
      <c r="E70" s="67"/>
      <c r="F70" s="9"/>
      <c r="G70" s="120"/>
      <c r="I70" s="67"/>
      <c r="J70" s="11"/>
      <c r="K70" s="120"/>
    </row>
    <row r="71" spans="1:11" x14ac:dyDescent="0.25">
      <c r="A71" s="65"/>
      <c r="B71" s="9"/>
      <c r="C71" s="127"/>
      <c r="E71" s="67"/>
      <c r="F71" s="9"/>
      <c r="G71" s="120"/>
      <c r="I71" s="67"/>
      <c r="J71" s="23"/>
      <c r="K71" s="120"/>
    </row>
    <row r="72" spans="1:11" x14ac:dyDescent="0.25">
      <c r="A72" s="65"/>
      <c r="B72" s="9"/>
      <c r="C72" s="127"/>
      <c r="E72" s="67"/>
      <c r="F72" s="9"/>
      <c r="G72" s="120"/>
      <c r="I72" s="67"/>
      <c r="J72" s="11"/>
      <c r="K72" s="120"/>
    </row>
    <row r="73" spans="1:11" x14ac:dyDescent="0.25">
      <c r="A73" s="65"/>
      <c r="B73" s="9"/>
      <c r="C73" s="127"/>
      <c r="E73" s="67"/>
      <c r="F73" s="9"/>
      <c r="G73" s="120"/>
      <c r="I73" s="67"/>
      <c r="J73" s="11"/>
      <c r="K73" s="120"/>
    </row>
    <row r="74" spans="1:11" x14ac:dyDescent="0.25">
      <c r="A74" s="65"/>
      <c r="B74" s="9"/>
      <c r="C74" s="127"/>
      <c r="E74" s="67"/>
      <c r="F74" s="9"/>
      <c r="G74" s="120"/>
      <c r="I74" s="67"/>
      <c r="J74" s="23"/>
      <c r="K74" s="120"/>
    </row>
    <row r="75" spans="1:11" x14ac:dyDescent="0.25">
      <c r="A75" s="65"/>
      <c r="B75" s="9"/>
      <c r="C75" s="127"/>
      <c r="E75" s="67"/>
      <c r="F75" s="9"/>
      <c r="G75" s="120"/>
      <c r="I75" s="67"/>
      <c r="J75" s="11"/>
      <c r="K75" s="120"/>
    </row>
    <row r="76" spans="1:11" x14ac:dyDescent="0.25">
      <c r="A76" s="65"/>
      <c r="B76" s="9"/>
      <c r="C76" s="127"/>
      <c r="E76" s="67"/>
      <c r="F76" s="9"/>
      <c r="G76" s="120"/>
      <c r="I76" s="67"/>
      <c r="J76" s="11"/>
      <c r="K76" s="120"/>
    </row>
    <row r="77" spans="1:11" x14ac:dyDescent="0.25">
      <c r="A77" s="65"/>
      <c r="B77" s="9"/>
      <c r="C77" s="127"/>
      <c r="E77" s="67"/>
      <c r="F77" s="9"/>
      <c r="G77" s="120"/>
      <c r="I77" s="67"/>
      <c r="J77" s="23"/>
      <c r="K77" s="120"/>
    </row>
    <row r="78" spans="1:11" x14ac:dyDescent="0.25">
      <c r="A78" s="65"/>
      <c r="B78" s="9"/>
      <c r="C78" s="127"/>
      <c r="E78" s="67"/>
      <c r="F78" s="9"/>
      <c r="G78" s="120"/>
      <c r="I78" s="67"/>
      <c r="J78" s="11"/>
      <c r="K78" s="120"/>
    </row>
    <row r="79" spans="1:11" x14ac:dyDescent="0.25">
      <c r="A79" s="65"/>
      <c r="B79" s="9"/>
      <c r="C79" s="127"/>
      <c r="E79" s="67"/>
      <c r="F79" s="9"/>
      <c r="G79" s="120"/>
      <c r="I79" s="67"/>
      <c r="J79" s="11"/>
      <c r="K79" s="120"/>
    </row>
    <row r="80" spans="1:11" x14ac:dyDescent="0.25">
      <c r="A80" s="65"/>
      <c r="B80" s="9"/>
      <c r="C80" s="127"/>
      <c r="E80" s="67"/>
      <c r="F80" s="9"/>
      <c r="G80" s="120"/>
      <c r="I80" s="67"/>
      <c r="J80" s="23"/>
      <c r="K80" s="120"/>
    </row>
    <row r="81" spans="1:11" x14ac:dyDescent="0.25">
      <c r="A81" s="65"/>
      <c r="B81" s="9"/>
      <c r="C81" s="127"/>
      <c r="E81" s="67"/>
      <c r="F81" s="9"/>
      <c r="G81" s="120"/>
      <c r="I81" s="67"/>
      <c r="J81" s="11"/>
      <c r="K81" s="120"/>
    </row>
    <row r="82" spans="1:11" x14ac:dyDescent="0.25">
      <c r="A82" s="65"/>
      <c r="B82" s="9"/>
      <c r="C82" s="127"/>
      <c r="E82" s="67"/>
      <c r="F82" s="9"/>
      <c r="G82" s="120"/>
      <c r="I82" s="67"/>
      <c r="J82" s="11"/>
      <c r="K82" s="120"/>
    </row>
    <row r="83" spans="1:11" x14ac:dyDescent="0.25">
      <c r="A83" s="65"/>
      <c r="B83" s="9"/>
      <c r="C83" s="127"/>
      <c r="E83" s="67"/>
      <c r="F83" s="9"/>
      <c r="G83" s="120"/>
      <c r="I83" s="67"/>
      <c r="J83" s="23"/>
      <c r="K83" s="120"/>
    </row>
    <row r="84" spans="1:11" x14ac:dyDescent="0.25">
      <c r="A84" s="65"/>
      <c r="B84" s="9"/>
      <c r="C84" s="127"/>
      <c r="E84" s="67"/>
      <c r="F84" s="9"/>
      <c r="G84" s="120"/>
      <c r="I84" s="67"/>
      <c r="J84" s="11"/>
      <c r="K84" s="120"/>
    </row>
    <row r="85" spans="1:11" x14ac:dyDescent="0.25">
      <c r="A85" s="65"/>
      <c r="B85" s="9"/>
      <c r="C85" s="127"/>
      <c r="E85" s="67"/>
      <c r="F85" s="9"/>
      <c r="G85" s="120"/>
      <c r="I85" s="67"/>
      <c r="J85" s="11"/>
      <c r="K85" s="120"/>
    </row>
    <row r="86" spans="1:11" x14ac:dyDescent="0.25">
      <c r="A86" s="65"/>
      <c r="B86" s="9"/>
      <c r="C86" s="127"/>
      <c r="E86" s="67"/>
      <c r="F86" s="9"/>
      <c r="G86" s="120"/>
      <c r="I86" s="67"/>
      <c r="J86" s="23"/>
      <c r="K86" s="120"/>
    </row>
    <row r="87" spans="1:11" x14ac:dyDescent="0.25">
      <c r="A87" s="65"/>
      <c r="B87" s="9"/>
      <c r="C87" s="127"/>
      <c r="E87" s="67"/>
      <c r="F87" s="9"/>
      <c r="G87" s="120"/>
      <c r="I87" s="67"/>
      <c r="J87" s="11"/>
      <c r="K87" s="120"/>
    </row>
    <row r="88" spans="1:11" x14ac:dyDescent="0.25">
      <c r="A88" s="65"/>
      <c r="B88" s="9"/>
      <c r="C88" s="127"/>
      <c r="E88" s="67"/>
      <c r="F88" s="9"/>
      <c r="G88" s="120"/>
      <c r="I88" s="67"/>
      <c r="J88" s="11"/>
      <c r="K88" s="120"/>
    </row>
    <row r="89" spans="1:11" x14ac:dyDescent="0.25">
      <c r="A89" s="65"/>
      <c r="B89" s="9"/>
      <c r="C89" s="127"/>
      <c r="E89" s="67"/>
      <c r="F89" s="9"/>
      <c r="G89" s="120"/>
      <c r="I89" s="67"/>
      <c r="J89" s="23"/>
      <c r="K89" s="120"/>
    </row>
    <row r="90" spans="1:11" x14ac:dyDescent="0.25">
      <c r="A90" s="65"/>
      <c r="B90" s="9"/>
      <c r="C90" s="127"/>
      <c r="E90" s="67"/>
      <c r="F90" s="9"/>
      <c r="G90" s="120"/>
      <c r="I90" s="67"/>
      <c r="J90" s="11"/>
      <c r="K90" s="120"/>
    </row>
    <row r="91" spans="1:11" x14ac:dyDescent="0.25">
      <c r="A91" s="65"/>
      <c r="B91" s="9"/>
      <c r="C91" s="127"/>
      <c r="E91" s="67"/>
      <c r="F91" s="9"/>
      <c r="G91" s="120"/>
      <c r="I91" s="67"/>
      <c r="J91" s="11"/>
      <c r="K91" s="120"/>
    </row>
    <row r="92" spans="1:11" x14ac:dyDescent="0.25">
      <c r="A92" s="65"/>
      <c r="B92" s="9"/>
      <c r="C92" s="127"/>
      <c r="E92" s="67"/>
      <c r="F92" s="9"/>
      <c r="G92" s="120"/>
      <c r="I92" s="67"/>
      <c r="J92" s="23"/>
      <c r="K92" s="120"/>
    </row>
    <row r="93" spans="1:11" x14ac:dyDescent="0.25">
      <c r="A93" s="65"/>
      <c r="B93" s="9"/>
      <c r="C93" s="127"/>
      <c r="E93" s="67"/>
      <c r="F93" s="9"/>
      <c r="G93" s="120"/>
      <c r="I93" s="67"/>
      <c r="J93" s="11"/>
      <c r="K93" s="120"/>
    </row>
    <row r="94" spans="1:11" x14ac:dyDescent="0.25">
      <c r="A94" s="65"/>
      <c r="B94" s="9"/>
      <c r="C94" s="127"/>
      <c r="E94" s="67"/>
      <c r="F94" s="9"/>
      <c r="G94" s="120"/>
      <c r="I94" s="67"/>
      <c r="J94" s="11"/>
      <c r="K94" s="120"/>
    </row>
    <row r="95" spans="1:11" x14ac:dyDescent="0.25">
      <c r="A95" s="65"/>
      <c r="B95" s="9"/>
      <c r="C95" s="127"/>
      <c r="E95" s="67"/>
      <c r="F95" s="9"/>
      <c r="G95" s="120"/>
      <c r="I95" s="67"/>
      <c r="J95" s="23"/>
      <c r="K95" s="120"/>
    </row>
    <row r="96" spans="1:11" x14ac:dyDescent="0.25">
      <c r="A96" s="65"/>
      <c r="B96" s="9"/>
      <c r="C96" s="127"/>
      <c r="E96" s="67"/>
      <c r="F96" s="9"/>
      <c r="G96" s="120"/>
      <c r="I96" s="67"/>
      <c r="J96" s="11"/>
      <c r="K96" s="120"/>
    </row>
    <row r="97" spans="1:11" x14ac:dyDescent="0.25">
      <c r="A97" s="65"/>
      <c r="B97" s="9"/>
      <c r="C97" s="127"/>
      <c r="E97" s="67"/>
      <c r="F97" s="9"/>
      <c r="G97" s="120"/>
      <c r="I97" s="67"/>
      <c r="J97" s="11"/>
      <c r="K97" s="120"/>
    </row>
    <row r="98" spans="1:11" x14ac:dyDescent="0.25">
      <c r="A98" s="65"/>
      <c r="B98" s="9"/>
      <c r="C98" s="127"/>
      <c r="E98" s="67"/>
      <c r="F98" s="9"/>
      <c r="G98" s="120"/>
      <c r="I98" s="67"/>
      <c r="J98" s="23"/>
      <c r="K98" s="120"/>
    </row>
    <row r="99" spans="1:11" x14ac:dyDescent="0.25">
      <c r="A99" s="65"/>
      <c r="B99" s="9"/>
      <c r="C99" s="127"/>
      <c r="E99" s="67"/>
      <c r="F99" s="9"/>
      <c r="G99" s="120"/>
      <c r="I99" s="67"/>
      <c r="J99" s="11"/>
      <c r="K99" s="120"/>
    </row>
    <row r="100" spans="1:11" x14ac:dyDescent="0.25">
      <c r="A100" s="65"/>
      <c r="B100" s="9"/>
      <c r="C100" s="127"/>
      <c r="E100" s="67"/>
      <c r="F100" s="9"/>
      <c r="G100" s="120"/>
      <c r="I100" s="67"/>
      <c r="J100" s="11"/>
      <c r="K100" s="120"/>
    </row>
    <row r="101" spans="1:11" x14ac:dyDescent="0.25">
      <c r="A101" s="65"/>
      <c r="B101" s="9"/>
      <c r="C101" s="127"/>
      <c r="E101" s="67"/>
      <c r="F101" s="9"/>
      <c r="G101" s="120"/>
      <c r="I101" s="67"/>
      <c r="J101" s="23"/>
      <c r="K101" s="120"/>
    </row>
    <row r="102" spans="1:11" x14ac:dyDescent="0.25">
      <c r="A102" s="65"/>
      <c r="B102" s="9"/>
      <c r="C102" s="127"/>
      <c r="E102" s="67"/>
      <c r="F102" s="9"/>
      <c r="G102" s="120"/>
      <c r="I102" s="67"/>
      <c r="J102" s="11"/>
      <c r="K102" s="120"/>
    </row>
    <row r="103" spans="1:11" x14ac:dyDescent="0.25">
      <c r="A103" s="65"/>
      <c r="B103" s="9"/>
      <c r="C103" s="127"/>
      <c r="E103" s="67"/>
      <c r="F103" s="9"/>
      <c r="G103" s="120"/>
      <c r="I103" s="67"/>
      <c r="J103" s="11"/>
      <c r="K103" s="120"/>
    </row>
    <row r="104" spans="1:11" x14ac:dyDescent="0.25">
      <c r="A104" s="65"/>
      <c r="B104" s="9"/>
      <c r="C104" s="127"/>
      <c r="E104" s="67"/>
      <c r="F104" s="9"/>
      <c r="G104" s="120"/>
      <c r="I104" s="67"/>
      <c r="J104" s="23"/>
      <c r="K104" s="120"/>
    </row>
    <row r="105" spans="1:11" x14ac:dyDescent="0.25">
      <c r="A105" s="65"/>
      <c r="B105" s="9"/>
      <c r="C105" s="127"/>
      <c r="E105" s="67"/>
      <c r="F105" s="9"/>
      <c r="G105" s="120"/>
      <c r="I105" s="67"/>
      <c r="J105" s="11"/>
      <c r="K105" s="120"/>
    </row>
    <row r="106" spans="1:11" x14ac:dyDescent="0.25">
      <c r="A106" s="65"/>
      <c r="B106" s="9"/>
      <c r="C106" s="127"/>
      <c r="E106" s="67"/>
      <c r="F106" s="9"/>
      <c r="G106" s="120"/>
      <c r="I106" s="67"/>
      <c r="J106" s="11"/>
      <c r="K106" s="120"/>
    </row>
    <row r="107" spans="1:11" x14ac:dyDescent="0.25">
      <c r="A107" s="65"/>
      <c r="B107" s="9"/>
      <c r="C107" s="127"/>
      <c r="E107" s="67"/>
      <c r="F107" s="9"/>
      <c r="G107" s="120"/>
      <c r="I107" s="67"/>
      <c r="J107" s="23"/>
      <c r="K107" s="120"/>
    </row>
    <row r="108" spans="1:11" x14ac:dyDescent="0.25">
      <c r="A108" s="65"/>
      <c r="B108" s="9"/>
      <c r="C108" s="127"/>
      <c r="E108" s="67"/>
      <c r="F108" s="9"/>
      <c r="G108" s="120"/>
      <c r="I108" s="67"/>
      <c r="J108" s="11"/>
      <c r="K108" s="120"/>
    </row>
    <row r="109" spans="1:11" x14ac:dyDescent="0.25">
      <c r="A109" s="65"/>
      <c r="B109" s="9"/>
      <c r="C109" s="127"/>
      <c r="E109" s="67"/>
      <c r="F109" s="9"/>
      <c r="G109" s="120"/>
      <c r="I109" s="67"/>
      <c r="J109" s="11"/>
      <c r="K109" s="120"/>
    </row>
    <row r="110" spans="1:11" x14ac:dyDescent="0.25">
      <c r="A110" s="65"/>
      <c r="B110" s="9"/>
      <c r="C110" s="127"/>
      <c r="E110" s="67"/>
      <c r="F110" s="9"/>
      <c r="G110" s="120"/>
      <c r="I110" s="67"/>
      <c r="J110" s="23"/>
      <c r="K110" s="120"/>
    </row>
    <row r="111" spans="1:11" x14ac:dyDescent="0.25">
      <c r="A111" s="65"/>
      <c r="B111" s="9"/>
      <c r="C111" s="127"/>
      <c r="E111" s="67"/>
      <c r="F111" s="9"/>
      <c r="G111" s="120"/>
      <c r="I111" s="67"/>
      <c r="J111" s="11"/>
      <c r="K111" s="120"/>
    </row>
    <row r="112" spans="1:11" x14ac:dyDescent="0.25">
      <c r="A112" s="65"/>
      <c r="B112" s="9"/>
      <c r="C112" s="127"/>
      <c r="E112" s="67"/>
      <c r="F112" s="9"/>
      <c r="G112" s="120"/>
      <c r="I112" s="67"/>
      <c r="J112" s="11"/>
      <c r="K112" s="120"/>
    </row>
    <row r="113" spans="1:11" x14ac:dyDescent="0.25">
      <c r="A113" s="65"/>
      <c r="B113" s="9"/>
      <c r="C113" s="127"/>
      <c r="E113" s="67"/>
      <c r="F113" s="9"/>
      <c r="G113" s="120"/>
      <c r="I113" s="67"/>
      <c r="J113" s="23"/>
      <c r="K113" s="120"/>
    </row>
    <row r="114" spans="1:11" x14ac:dyDescent="0.25">
      <c r="A114" s="65"/>
      <c r="B114" s="9"/>
      <c r="C114" s="127"/>
      <c r="E114" s="67"/>
      <c r="F114" s="9"/>
      <c r="G114" s="120"/>
      <c r="I114" s="67"/>
      <c r="J114" s="11"/>
      <c r="K114" s="120"/>
    </row>
    <row r="115" spans="1:11" x14ac:dyDescent="0.25">
      <c r="A115" s="65"/>
      <c r="B115" s="9"/>
      <c r="C115" s="127"/>
      <c r="E115" s="67"/>
      <c r="F115" s="9"/>
      <c r="G115" s="120"/>
      <c r="I115" s="67"/>
      <c r="J115" s="11"/>
      <c r="K115" s="120"/>
    </row>
    <row r="116" spans="1:11" x14ac:dyDescent="0.25">
      <c r="A116" s="65"/>
      <c r="B116" s="9"/>
      <c r="C116" s="127"/>
      <c r="E116" s="67"/>
      <c r="F116" s="9"/>
      <c r="G116" s="120"/>
      <c r="I116" s="67"/>
      <c r="J116" s="23"/>
      <c r="K116" s="120"/>
    </row>
    <row r="117" spans="1:11" x14ac:dyDescent="0.25">
      <c r="A117" s="65"/>
      <c r="B117" s="9"/>
      <c r="C117" s="127"/>
      <c r="E117" s="67"/>
      <c r="F117" s="9"/>
      <c r="G117" s="120"/>
      <c r="I117" s="67"/>
      <c r="J117" s="11"/>
      <c r="K117" s="120"/>
    </row>
    <row r="118" spans="1:11" x14ac:dyDescent="0.25">
      <c r="A118" s="65"/>
      <c r="B118" s="9"/>
      <c r="C118" s="127"/>
      <c r="E118" s="67"/>
      <c r="F118" s="9"/>
      <c r="G118" s="120"/>
      <c r="I118" s="67"/>
      <c r="J118" s="11"/>
      <c r="K118" s="120"/>
    </row>
    <row r="119" spans="1:11" x14ac:dyDescent="0.25">
      <c r="A119" s="65"/>
      <c r="B119" s="9"/>
      <c r="C119" s="127"/>
      <c r="E119" s="67"/>
      <c r="F119" s="9"/>
      <c r="G119" s="120"/>
      <c r="I119" s="67"/>
      <c r="J119" s="23"/>
      <c r="K119" s="120"/>
    </row>
    <row r="120" spans="1:11" x14ac:dyDescent="0.25">
      <c r="A120" s="65"/>
      <c r="B120" s="9"/>
      <c r="C120" s="127"/>
      <c r="E120" s="67"/>
      <c r="F120" s="9"/>
      <c r="G120" s="120"/>
      <c r="I120" s="67"/>
      <c r="J120" s="11"/>
      <c r="K120" s="120"/>
    </row>
    <row r="121" spans="1:11" x14ac:dyDescent="0.25">
      <c r="A121" s="65"/>
      <c r="B121" s="9"/>
      <c r="C121" s="127"/>
      <c r="E121" s="67"/>
      <c r="F121" s="9"/>
      <c r="G121" s="120"/>
      <c r="I121" s="67"/>
      <c r="J121" s="11"/>
      <c r="K121" s="120"/>
    </row>
    <row r="122" spans="1:11" x14ac:dyDescent="0.25">
      <c r="A122" s="65"/>
      <c r="B122" s="9"/>
      <c r="C122" s="127"/>
      <c r="E122" s="67"/>
      <c r="F122" s="9"/>
      <c r="G122" s="120"/>
      <c r="I122" s="67"/>
      <c r="J122" s="23"/>
      <c r="K122" s="120"/>
    </row>
    <row r="123" spans="1:11" x14ac:dyDescent="0.25">
      <c r="A123" s="65"/>
      <c r="B123" s="9"/>
      <c r="C123" s="127"/>
      <c r="E123" s="67"/>
      <c r="F123" s="9"/>
      <c r="G123" s="120"/>
      <c r="I123" s="67"/>
      <c r="J123" s="11"/>
      <c r="K123" s="120"/>
    </row>
    <row r="124" spans="1:11" x14ac:dyDescent="0.25">
      <c r="A124" s="65"/>
      <c r="B124" s="9"/>
      <c r="C124" s="127"/>
      <c r="E124" s="67"/>
      <c r="F124" s="9"/>
      <c r="G124" s="120"/>
      <c r="I124" s="67"/>
      <c r="J124" s="11"/>
      <c r="K124" s="120"/>
    </row>
    <row r="125" spans="1:11" ht="15.75" thickBot="1" x14ac:dyDescent="0.3">
      <c r="A125" s="65"/>
      <c r="B125" s="9"/>
      <c r="C125" s="127"/>
      <c r="E125" s="68"/>
      <c r="F125" s="10"/>
      <c r="G125" s="123"/>
      <c r="I125" s="68"/>
      <c r="J125" s="8"/>
      <c r="K125" s="123"/>
    </row>
    <row r="126" spans="1:11" x14ac:dyDescent="0.25">
      <c r="B126" s="1" t="s">
        <v>83</v>
      </c>
      <c r="F126" s="1" t="s">
        <v>83</v>
      </c>
      <c r="J126" s="1" t="s">
        <v>83</v>
      </c>
    </row>
  </sheetData>
  <sheetProtection password="EF1F" sheet="1" objects="1" scenarios="1"/>
  <mergeCells count="9">
    <mergeCell ref="Q11:Q14"/>
    <mergeCell ref="P13:P14"/>
    <mergeCell ref="P23:P24"/>
    <mergeCell ref="E1:G1"/>
    <mergeCell ref="A4:C4"/>
    <mergeCell ref="E4:G4"/>
    <mergeCell ref="I4:K4"/>
    <mergeCell ref="P9:P10"/>
    <mergeCell ref="P11:P12"/>
  </mergeCells>
  <printOptions horizontalCentered="1"/>
  <pageMargins left="0.23622047244094491" right="0.23622047244094491" top="0.15748031496062992" bottom="0.15748031496062992" header="0.11811023622047245" footer="0.19685039370078741"/>
  <pageSetup paperSize="9" fitToWidth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Sheet2!$B$2:$B$6</xm:f>
          </x14:formula1>
          <xm:sqref>J6:J125</xm:sqref>
        </x14:dataValidation>
        <x14:dataValidation type="list" allowBlank="1" showInputMessage="1" showErrorMessage="1">
          <x14:formula1>
            <xm:f>Sheet2!$A$2:$A$11</xm:f>
          </x14:formula1>
          <xm:sqref>B6:B125</xm:sqref>
        </x14:dataValidation>
        <x14:dataValidation type="list" allowBlank="1" showInputMessage="1" showErrorMessage="1">
          <x14:formula1>
            <xm:f>Sheet2!$A$2:$A$6</xm:f>
          </x14:formula1>
          <xm:sqref>F6:F125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9"/>
  <sheetViews>
    <sheetView tabSelected="1" topLeftCell="A10" zoomScale="85" zoomScaleNormal="85" workbookViewId="0">
      <selection activeCell="L51" sqref="L51"/>
    </sheetView>
  </sheetViews>
  <sheetFormatPr defaultColWidth="9.140625" defaultRowHeight="15" x14ac:dyDescent="0.25"/>
  <cols>
    <col min="1" max="1" width="13.42578125" style="25" customWidth="1"/>
    <col min="2" max="2" width="24.5703125" style="1" bestFit="1" customWidth="1"/>
    <col min="3" max="3" width="12.7109375" style="28" bestFit="1" customWidth="1"/>
    <col min="4" max="4" width="0.5703125" style="3" customWidth="1"/>
    <col min="5" max="5" width="14.7109375" style="28" customWidth="1"/>
    <col min="6" max="6" width="21.85546875" style="1" customWidth="1"/>
    <col min="7" max="7" width="12.7109375" style="28" bestFit="1" customWidth="1"/>
    <col min="8" max="8" width="0.5703125" style="3" customWidth="1"/>
    <col min="9" max="9" width="15.85546875" style="28" customWidth="1"/>
    <col min="10" max="10" width="22.140625" style="1" customWidth="1"/>
    <col min="11" max="11" width="12.85546875" style="25" customWidth="1"/>
    <col min="12" max="13" width="9.140625" style="1"/>
    <col min="14" max="14" width="23.7109375" style="1" bestFit="1" customWidth="1"/>
    <col min="15" max="15" width="13.42578125" style="1" customWidth="1"/>
    <col min="16" max="16" width="20.7109375" style="1" bestFit="1" customWidth="1"/>
    <col min="17" max="16384" width="9.140625" style="1"/>
  </cols>
  <sheetData>
    <row r="1" spans="1:17" ht="24" thickBot="1" x14ac:dyDescent="0.4">
      <c r="E1" s="172" t="s">
        <v>0</v>
      </c>
      <c r="F1" s="173"/>
      <c r="G1" s="174"/>
    </row>
    <row r="2" spans="1:17" ht="15.75" x14ac:dyDescent="0.25">
      <c r="A2" s="31" t="s">
        <v>1</v>
      </c>
      <c r="C2" s="24">
        <v>45992</v>
      </c>
    </row>
    <row r="3" spans="1:17" ht="15.75" thickBot="1" x14ac:dyDescent="0.3"/>
    <row r="4" spans="1:17" ht="18.75" x14ac:dyDescent="0.3">
      <c r="A4" s="175" t="s">
        <v>2</v>
      </c>
      <c r="B4" s="176"/>
      <c r="C4" s="177"/>
      <c r="D4" s="12"/>
      <c r="E4" s="178" t="s">
        <v>3</v>
      </c>
      <c r="F4" s="179"/>
      <c r="G4" s="180"/>
      <c r="H4" s="12"/>
      <c r="I4" s="181" t="s">
        <v>4</v>
      </c>
      <c r="J4" s="182"/>
      <c r="K4" s="183"/>
    </row>
    <row r="5" spans="1:17" ht="21" customHeight="1" x14ac:dyDescent="0.25">
      <c r="A5" s="13" t="s">
        <v>5</v>
      </c>
      <c r="B5" s="14" t="s">
        <v>6</v>
      </c>
      <c r="C5" s="15" t="s">
        <v>7</v>
      </c>
      <c r="D5" s="16"/>
      <c r="E5" s="17" t="s">
        <v>5</v>
      </c>
      <c r="F5" s="18" t="s">
        <v>6</v>
      </c>
      <c r="G5" s="19" t="s">
        <v>7</v>
      </c>
      <c r="H5" s="16"/>
      <c r="I5" s="20" t="s">
        <v>5</v>
      </c>
      <c r="J5" s="21" t="s">
        <v>6</v>
      </c>
      <c r="K5" s="22" t="s">
        <v>7</v>
      </c>
      <c r="N5" s="119" t="s">
        <v>80</v>
      </c>
    </row>
    <row r="6" spans="1:17" x14ac:dyDescent="0.25">
      <c r="A6" s="116">
        <v>45992</v>
      </c>
      <c r="B6" s="117" t="s">
        <v>106</v>
      </c>
      <c r="C6" s="125">
        <v>50</v>
      </c>
      <c r="E6" s="67">
        <v>45992</v>
      </c>
      <c r="F6" s="9" t="s">
        <v>71</v>
      </c>
      <c r="G6" s="120">
        <v>46.9</v>
      </c>
      <c r="I6" s="65">
        <v>45992</v>
      </c>
      <c r="J6" s="11" t="s">
        <v>11</v>
      </c>
      <c r="K6" s="120">
        <v>7</v>
      </c>
    </row>
    <row r="7" spans="1:17" x14ac:dyDescent="0.25">
      <c r="A7" s="116">
        <v>45992</v>
      </c>
      <c r="B7" s="117" t="s">
        <v>107</v>
      </c>
      <c r="C7" s="125">
        <v>308.61</v>
      </c>
      <c r="E7" s="67">
        <v>45992</v>
      </c>
      <c r="F7" s="9" t="s">
        <v>8</v>
      </c>
      <c r="G7" s="120">
        <v>40.799999999999997</v>
      </c>
      <c r="I7" s="65">
        <v>45992</v>
      </c>
      <c r="J7" s="11" t="s">
        <v>10</v>
      </c>
      <c r="K7" s="120">
        <v>69.400000000000006</v>
      </c>
    </row>
    <row r="8" spans="1:17" s="163" customFormat="1" ht="15.75" x14ac:dyDescent="0.25">
      <c r="A8" s="116">
        <v>45992</v>
      </c>
      <c r="B8" s="154" t="s">
        <v>109</v>
      </c>
      <c r="C8" s="155">
        <v>52</v>
      </c>
      <c r="D8" s="156"/>
      <c r="E8" s="157">
        <v>45993</v>
      </c>
      <c r="F8" s="158" t="s">
        <v>9</v>
      </c>
      <c r="G8" s="159">
        <v>38.6</v>
      </c>
      <c r="H8" s="156"/>
      <c r="I8" s="160">
        <v>45993</v>
      </c>
      <c r="J8" s="161" t="s">
        <v>11</v>
      </c>
      <c r="K8" s="162">
        <v>7</v>
      </c>
      <c r="N8" s="164" t="s">
        <v>72</v>
      </c>
      <c r="O8" s="165" t="s">
        <v>17</v>
      </c>
      <c r="P8" s="165" t="s">
        <v>70</v>
      </c>
    </row>
    <row r="9" spans="1:17" x14ac:dyDescent="0.25">
      <c r="A9" s="116">
        <v>45992</v>
      </c>
      <c r="B9" s="117" t="s">
        <v>110</v>
      </c>
      <c r="C9" s="125">
        <v>6.2</v>
      </c>
      <c r="E9" s="67">
        <v>45993</v>
      </c>
      <c r="F9" s="9" t="s">
        <v>9</v>
      </c>
      <c r="G9" s="120">
        <v>34.700000000000003</v>
      </c>
      <c r="I9" s="67">
        <v>45994</v>
      </c>
      <c r="J9" s="11" t="s">
        <v>10</v>
      </c>
      <c r="K9" s="120">
        <v>95</v>
      </c>
      <c r="N9" s="91" t="s">
        <v>18</v>
      </c>
      <c r="O9" s="82">
        <f>SUMIF(B6:B128,"OS - Ginger(Raw)",C6:C128)</f>
        <v>55</v>
      </c>
      <c r="P9" s="192">
        <f>SUM(O9:O10)</f>
        <v>745.68</v>
      </c>
    </row>
    <row r="10" spans="1:17" ht="15.75" customHeight="1" x14ac:dyDescent="0.25">
      <c r="A10" s="116">
        <v>45992</v>
      </c>
      <c r="B10" s="117" t="s">
        <v>111</v>
      </c>
      <c r="C10" s="125">
        <v>1.5</v>
      </c>
      <c r="E10" s="67">
        <v>45993</v>
      </c>
      <c r="F10" s="9" t="s">
        <v>8</v>
      </c>
      <c r="G10" s="120">
        <v>23.9</v>
      </c>
      <c r="I10" s="67">
        <v>45994</v>
      </c>
      <c r="J10" s="11" t="s">
        <v>11</v>
      </c>
      <c r="K10" s="120">
        <v>8</v>
      </c>
      <c r="N10" s="92" t="s">
        <v>8</v>
      </c>
      <c r="O10" s="76">
        <f>SUMIF(B6:B128,"Ginger",C6:C128)</f>
        <v>690.68</v>
      </c>
      <c r="P10" s="193"/>
    </row>
    <row r="11" spans="1:17" x14ac:dyDescent="0.25">
      <c r="A11" s="116">
        <v>45992</v>
      </c>
      <c r="B11" s="117" t="s">
        <v>108</v>
      </c>
      <c r="C11" s="125">
        <v>46.9</v>
      </c>
      <c r="E11" s="67">
        <v>45996</v>
      </c>
      <c r="F11" s="9" t="s">
        <v>9</v>
      </c>
      <c r="G11" s="120">
        <v>38.85</v>
      </c>
      <c r="I11" s="65">
        <v>45997</v>
      </c>
      <c r="J11" s="11" t="s">
        <v>11</v>
      </c>
      <c r="K11" s="120">
        <v>13</v>
      </c>
      <c r="N11" s="56" t="s">
        <v>19</v>
      </c>
      <c r="O11" s="57">
        <f>SUMIF(B6:B128,"OS - Garlic(Raw)",C6:C128)</f>
        <v>308.61</v>
      </c>
      <c r="P11" s="194">
        <f>SUM(O11:O12)</f>
        <v>1701.7299999999996</v>
      </c>
      <c r="Q11" s="198">
        <f>SUM(P11:P14)</f>
        <v>1701.7299999999996</v>
      </c>
    </row>
    <row r="12" spans="1:17" x14ac:dyDescent="0.25">
      <c r="A12" s="116">
        <v>45992</v>
      </c>
      <c r="B12" s="117" t="s">
        <v>13</v>
      </c>
      <c r="C12" s="125"/>
      <c r="E12" s="67">
        <v>45996</v>
      </c>
      <c r="F12" s="9" t="s">
        <v>9</v>
      </c>
      <c r="G12" s="120">
        <v>39</v>
      </c>
      <c r="I12" s="65">
        <v>45997</v>
      </c>
      <c r="J12" s="11" t="s">
        <v>10</v>
      </c>
      <c r="K12" s="120">
        <v>125</v>
      </c>
      <c r="N12" s="88" t="s">
        <v>74</v>
      </c>
      <c r="O12" s="78">
        <f>SUMIF(B6:B128,"Garlic",C6:C128)</f>
        <v>1393.1199999999997</v>
      </c>
      <c r="P12" s="195"/>
      <c r="Q12" s="198"/>
    </row>
    <row r="13" spans="1:17" x14ac:dyDescent="0.25">
      <c r="A13" s="116">
        <v>45992</v>
      </c>
      <c r="B13" s="117" t="s">
        <v>112</v>
      </c>
      <c r="C13" s="125"/>
      <c r="E13" s="103">
        <v>45997</v>
      </c>
      <c r="F13" s="9" t="s">
        <v>8</v>
      </c>
      <c r="G13" s="121">
        <v>33.96</v>
      </c>
      <c r="H13" s="108"/>
      <c r="I13" s="103">
        <v>45998</v>
      </c>
      <c r="J13" s="11" t="s">
        <v>11</v>
      </c>
      <c r="K13" s="121">
        <v>16</v>
      </c>
      <c r="N13" s="93" t="s">
        <v>71</v>
      </c>
      <c r="O13" s="62">
        <f>SUMIF(B6:B128,"OS - Broken Garlic",C6:C128)</f>
        <v>0</v>
      </c>
      <c r="P13" s="196">
        <f>SUM(O13:O14)</f>
        <v>0</v>
      </c>
      <c r="Q13" s="198"/>
    </row>
    <row r="14" spans="1:17" x14ac:dyDescent="0.25">
      <c r="A14" s="116">
        <v>45992</v>
      </c>
      <c r="B14" s="117" t="s">
        <v>113</v>
      </c>
      <c r="C14" s="125"/>
      <c r="E14" s="103">
        <v>45997</v>
      </c>
      <c r="F14" s="9" t="s">
        <v>9</v>
      </c>
      <c r="G14" s="121">
        <v>38.9</v>
      </c>
      <c r="H14" s="108"/>
      <c r="I14" s="103">
        <v>45999</v>
      </c>
      <c r="J14" s="11" t="s">
        <v>11</v>
      </c>
      <c r="K14" s="121">
        <v>8</v>
      </c>
      <c r="N14" s="94" t="s">
        <v>13</v>
      </c>
      <c r="O14" s="73">
        <f>SUMIF(B6:B128,"Broken Garlic(Raw)",C6:C128)</f>
        <v>0</v>
      </c>
      <c r="P14" s="197"/>
      <c r="Q14" s="198"/>
    </row>
    <row r="15" spans="1:17" x14ac:dyDescent="0.25">
      <c r="A15" s="65">
        <v>45993</v>
      </c>
      <c r="B15" s="9" t="s">
        <v>8</v>
      </c>
      <c r="C15" s="127">
        <v>57.16</v>
      </c>
      <c r="E15" s="103">
        <v>45997</v>
      </c>
      <c r="F15" s="9" t="s">
        <v>9</v>
      </c>
      <c r="G15" s="121">
        <v>38</v>
      </c>
      <c r="H15" s="108"/>
      <c r="I15" s="103">
        <v>45999</v>
      </c>
      <c r="J15" s="11" t="s">
        <v>10</v>
      </c>
      <c r="K15" s="121">
        <v>66.3</v>
      </c>
      <c r="N15" s="89" t="s">
        <v>68</v>
      </c>
      <c r="O15" s="90">
        <f>SUMIF(B6:B128,"OS - Garlic Peeled(Processed)",C6:C128)</f>
        <v>6.2</v>
      </c>
      <c r="P15" s="111">
        <f>O15</f>
        <v>6.2</v>
      </c>
    </row>
    <row r="16" spans="1:17" x14ac:dyDescent="0.25">
      <c r="A16" s="65">
        <v>45997</v>
      </c>
      <c r="B16" s="9" t="s">
        <v>8</v>
      </c>
      <c r="C16" s="127">
        <v>57.32</v>
      </c>
      <c r="E16" s="103">
        <v>45997</v>
      </c>
      <c r="F16" s="9" t="s">
        <v>8</v>
      </c>
      <c r="G16" s="121">
        <v>14.2</v>
      </c>
      <c r="H16" s="108"/>
      <c r="I16" s="103">
        <v>46000</v>
      </c>
      <c r="J16" s="11" t="s">
        <v>10</v>
      </c>
      <c r="K16" s="121">
        <v>26.65</v>
      </c>
      <c r="N16" s="89" t="s">
        <v>69</v>
      </c>
      <c r="O16" s="90">
        <f>SUMIF(B6:B128,"OS - Ginger Peeled(Processed)",C6:C128)</f>
        <v>1.5</v>
      </c>
      <c r="P16" s="90"/>
    </row>
    <row r="17" spans="1:18" x14ac:dyDescent="0.25">
      <c r="A17" s="65">
        <v>46001</v>
      </c>
      <c r="B17" s="9" t="s">
        <v>8</v>
      </c>
      <c r="C17" s="127">
        <v>57.08</v>
      </c>
      <c r="E17" s="103">
        <v>45998</v>
      </c>
      <c r="F17" s="9" t="s">
        <v>8</v>
      </c>
      <c r="G17" s="121">
        <v>19.22</v>
      </c>
      <c r="H17" s="108"/>
      <c r="I17" s="103">
        <v>46001</v>
      </c>
      <c r="J17" s="11" t="s">
        <v>11</v>
      </c>
      <c r="K17" s="121">
        <v>17</v>
      </c>
      <c r="N17" s="89" t="s">
        <v>67</v>
      </c>
      <c r="O17" s="90">
        <f>SUMIF(B6:B128,"OS - Ginger Garlic Paste(Processed)",C6:C128)</f>
        <v>52</v>
      </c>
      <c r="P17" s="90"/>
    </row>
    <row r="18" spans="1:18" x14ac:dyDescent="0.25">
      <c r="A18" s="65">
        <v>46002</v>
      </c>
      <c r="B18" s="9" t="s">
        <v>9</v>
      </c>
      <c r="C18" s="127">
        <v>41.69</v>
      </c>
      <c r="E18" s="103">
        <v>45999</v>
      </c>
      <c r="F18" s="9" t="s">
        <v>9</v>
      </c>
      <c r="G18" s="121">
        <v>77.489999999999995</v>
      </c>
      <c r="H18" s="108"/>
      <c r="I18" s="103">
        <v>46001</v>
      </c>
      <c r="J18" s="11" t="s">
        <v>10</v>
      </c>
      <c r="K18" s="121">
        <v>69.88</v>
      </c>
      <c r="N18" s="89" t="s">
        <v>76</v>
      </c>
      <c r="O18" s="90">
        <f>SUMIF(B6:B128,"OS - Ginger Paste(Processed)",C6:C128)</f>
        <v>0</v>
      </c>
      <c r="P18" s="90"/>
    </row>
    <row r="19" spans="1:18" x14ac:dyDescent="0.25">
      <c r="A19" s="65">
        <v>46002</v>
      </c>
      <c r="B19" s="9" t="s">
        <v>9</v>
      </c>
      <c r="C19" s="127">
        <v>41.28</v>
      </c>
      <c r="E19" s="103">
        <v>46002</v>
      </c>
      <c r="F19" s="9" t="s">
        <v>9</v>
      </c>
      <c r="G19" s="121">
        <v>41.69</v>
      </c>
      <c r="H19" s="108"/>
      <c r="I19" s="103">
        <v>46003</v>
      </c>
      <c r="J19" s="11" t="s">
        <v>10</v>
      </c>
      <c r="K19" s="121">
        <v>89.4</v>
      </c>
      <c r="N19" s="89" t="s">
        <v>75</v>
      </c>
      <c r="O19" s="90">
        <f>SUMIF(B6:B128,"OS - Garlic Paste(Processed)",C6:C128)</f>
        <v>0</v>
      </c>
      <c r="P19" s="90"/>
    </row>
    <row r="20" spans="1:18" x14ac:dyDescent="0.25">
      <c r="A20" s="65">
        <v>46002</v>
      </c>
      <c r="B20" s="9" t="s">
        <v>9</v>
      </c>
      <c r="C20" s="127">
        <v>33.26</v>
      </c>
      <c r="E20" s="103">
        <v>46002</v>
      </c>
      <c r="F20" s="9" t="s">
        <v>9</v>
      </c>
      <c r="G20" s="121">
        <v>36.5</v>
      </c>
      <c r="H20" s="108"/>
      <c r="I20" s="103">
        <v>46003</v>
      </c>
      <c r="J20" s="11" t="s">
        <v>11</v>
      </c>
      <c r="K20" s="121">
        <v>13</v>
      </c>
    </row>
    <row r="21" spans="1:18" ht="15.75" x14ac:dyDescent="0.25">
      <c r="A21" s="65">
        <v>46002</v>
      </c>
      <c r="B21" s="9" t="s">
        <v>9</v>
      </c>
      <c r="C21" s="127">
        <v>38.4</v>
      </c>
      <c r="E21" s="103">
        <v>46002</v>
      </c>
      <c r="F21" s="9" t="s">
        <v>9</v>
      </c>
      <c r="G21" s="121">
        <v>33.200000000000003</v>
      </c>
      <c r="H21" s="108"/>
      <c r="I21" s="103">
        <v>46004</v>
      </c>
      <c r="J21" s="11" t="s">
        <v>11</v>
      </c>
      <c r="K21" s="121">
        <v>12</v>
      </c>
      <c r="N21" s="109" t="s">
        <v>3</v>
      </c>
      <c r="O21" s="110" t="s">
        <v>17</v>
      </c>
      <c r="P21" s="110" t="s">
        <v>17</v>
      </c>
    </row>
    <row r="22" spans="1:18" x14ac:dyDescent="0.25">
      <c r="A22" s="65">
        <v>46002</v>
      </c>
      <c r="B22" s="9" t="s">
        <v>9</v>
      </c>
      <c r="C22" s="127">
        <v>37.04</v>
      </c>
      <c r="E22" s="103">
        <v>46003</v>
      </c>
      <c r="F22" s="9" t="s">
        <v>8</v>
      </c>
      <c r="G22" s="121">
        <v>32.67</v>
      </c>
      <c r="H22" s="108"/>
      <c r="I22" s="103">
        <v>46004</v>
      </c>
      <c r="J22" s="11" t="s">
        <v>10</v>
      </c>
      <c r="K22" s="121">
        <v>64.680000000000007</v>
      </c>
      <c r="N22" s="44" t="s">
        <v>8</v>
      </c>
      <c r="O22" s="62">
        <f>SUMIF(F6:F127,"Ginger",G6:G127)</f>
        <v>572.04</v>
      </c>
      <c r="P22" s="100">
        <f>O22</f>
        <v>572.04</v>
      </c>
      <c r="R22" s="1">
        <f>SUM(P22:P24)</f>
        <v>1797.31</v>
      </c>
    </row>
    <row r="23" spans="1:18" x14ac:dyDescent="0.25">
      <c r="A23" s="65">
        <v>46002</v>
      </c>
      <c r="B23" s="9" t="s">
        <v>9</v>
      </c>
      <c r="C23" s="127">
        <v>37.83</v>
      </c>
      <c r="E23" s="103">
        <v>46004</v>
      </c>
      <c r="F23" s="9" t="s">
        <v>9</v>
      </c>
      <c r="G23" s="121">
        <v>63.8</v>
      </c>
      <c r="H23" s="108"/>
      <c r="I23" s="103">
        <v>46006</v>
      </c>
      <c r="J23" s="11" t="s">
        <v>10</v>
      </c>
      <c r="K23" s="121">
        <v>63.9</v>
      </c>
      <c r="N23" s="44" t="s">
        <v>9</v>
      </c>
      <c r="O23" s="63">
        <f>SUMIF(F6:F127,"Garlic",G6:G127)</f>
        <v>1225.27</v>
      </c>
      <c r="P23" s="191">
        <f>SUM(O23:O24)</f>
        <v>1225.27</v>
      </c>
    </row>
    <row r="24" spans="1:18" x14ac:dyDescent="0.25">
      <c r="A24" s="65">
        <v>46002</v>
      </c>
      <c r="B24" s="9" t="s">
        <v>9</v>
      </c>
      <c r="C24" s="127">
        <v>37.049999999999997</v>
      </c>
      <c r="E24" s="103">
        <v>46004</v>
      </c>
      <c r="F24" s="9" t="s">
        <v>8</v>
      </c>
      <c r="G24" s="121">
        <v>32.5</v>
      </c>
      <c r="H24" s="108"/>
      <c r="I24" s="118">
        <v>46006</v>
      </c>
      <c r="J24" s="9" t="s">
        <v>11</v>
      </c>
      <c r="K24" s="122">
        <v>25</v>
      </c>
      <c r="N24" s="44" t="s">
        <v>13</v>
      </c>
      <c r="O24" s="63">
        <f>SUMIF(F6:F127,"Broken Garlic",G6:G127)</f>
        <v>0</v>
      </c>
      <c r="P24" s="191"/>
    </row>
    <row r="25" spans="1:18" x14ac:dyDescent="0.25">
      <c r="A25" s="65">
        <v>46002</v>
      </c>
      <c r="B25" s="9" t="s">
        <v>9</v>
      </c>
      <c r="C25" s="127">
        <v>34.659999999999997</v>
      </c>
      <c r="E25" s="103">
        <v>46006</v>
      </c>
      <c r="F25" s="9" t="s">
        <v>9</v>
      </c>
      <c r="G25" s="121">
        <v>37.4</v>
      </c>
      <c r="H25" s="108"/>
      <c r="I25" s="103">
        <v>46007</v>
      </c>
      <c r="J25" s="11" t="s">
        <v>10</v>
      </c>
      <c r="K25" s="121">
        <v>91.4</v>
      </c>
    </row>
    <row r="26" spans="1:18" x14ac:dyDescent="0.25">
      <c r="A26" s="65">
        <v>46002</v>
      </c>
      <c r="B26" s="9" t="s">
        <v>9</v>
      </c>
      <c r="C26" s="127">
        <v>36.53</v>
      </c>
      <c r="E26" s="103">
        <v>46006</v>
      </c>
      <c r="F26" s="9" t="s">
        <v>9</v>
      </c>
      <c r="G26" s="121">
        <v>47.75</v>
      </c>
      <c r="H26" s="108"/>
      <c r="I26" s="103">
        <v>46008</v>
      </c>
      <c r="J26" s="11" t="s">
        <v>11</v>
      </c>
      <c r="K26" s="121">
        <v>7</v>
      </c>
    </row>
    <row r="27" spans="1:18" ht="15.75" x14ac:dyDescent="0.25">
      <c r="A27" s="65">
        <v>46002</v>
      </c>
      <c r="B27" s="9" t="s">
        <v>9</v>
      </c>
      <c r="C27" s="127">
        <v>41.5</v>
      </c>
      <c r="E27" s="103">
        <v>46007</v>
      </c>
      <c r="F27" s="9" t="s">
        <v>9</v>
      </c>
      <c r="G27" s="121">
        <v>34.270000000000003</v>
      </c>
      <c r="H27" s="108"/>
      <c r="I27" s="103">
        <v>46009</v>
      </c>
      <c r="J27" s="11" t="s">
        <v>11</v>
      </c>
      <c r="K27" s="121">
        <v>16</v>
      </c>
      <c r="N27" s="109" t="s">
        <v>4</v>
      </c>
      <c r="O27" s="110" t="s">
        <v>17</v>
      </c>
      <c r="P27" s="110" t="s">
        <v>79</v>
      </c>
    </row>
    <row r="28" spans="1:18" x14ac:dyDescent="0.25">
      <c r="A28" s="65">
        <v>46002</v>
      </c>
      <c r="B28" s="9" t="s">
        <v>9</v>
      </c>
      <c r="C28" s="127">
        <v>41.42</v>
      </c>
      <c r="E28" s="103">
        <v>46008</v>
      </c>
      <c r="F28" s="9" t="s">
        <v>9</v>
      </c>
      <c r="G28" s="121">
        <v>48.3</v>
      </c>
      <c r="H28" s="108"/>
      <c r="I28" s="103">
        <v>46009</v>
      </c>
      <c r="J28" s="11" t="s">
        <v>10</v>
      </c>
      <c r="K28" s="121">
        <v>158.68</v>
      </c>
      <c r="N28" s="44" t="s">
        <v>12</v>
      </c>
      <c r="O28" s="87">
        <f>SUMIF(J6:J127,"Ginger Peeled",K6:K127)</f>
        <v>0</v>
      </c>
      <c r="P28" s="87">
        <f>SUM(O28,O16)</f>
        <v>1.5</v>
      </c>
      <c r="R28" s="1">
        <f>SUM(P28:P32)</f>
        <v>2099.0099999999998</v>
      </c>
    </row>
    <row r="29" spans="1:18" x14ac:dyDescent="0.25">
      <c r="A29" s="65">
        <v>46002</v>
      </c>
      <c r="B29" s="9" t="s">
        <v>9</v>
      </c>
      <c r="C29" s="127">
        <v>15.8</v>
      </c>
      <c r="E29" s="103">
        <v>46009</v>
      </c>
      <c r="F29" s="9" t="s">
        <v>9</v>
      </c>
      <c r="G29" s="121">
        <v>40.799999999999997</v>
      </c>
      <c r="H29" s="108"/>
      <c r="I29" s="103">
        <v>46010</v>
      </c>
      <c r="J29" s="11" t="s">
        <v>11</v>
      </c>
      <c r="K29" s="121">
        <v>5</v>
      </c>
      <c r="N29" s="44" t="s">
        <v>11</v>
      </c>
      <c r="O29" s="87">
        <f>SUMIF(J6:J127,"Garlic Peeled",K6:K127)</f>
        <v>284</v>
      </c>
      <c r="P29" s="87">
        <f>SUM(O29,O15)</f>
        <v>290.2</v>
      </c>
    </row>
    <row r="30" spans="1:18" x14ac:dyDescent="0.25">
      <c r="A30" s="65">
        <v>46002</v>
      </c>
      <c r="B30" s="9" t="s">
        <v>9</v>
      </c>
      <c r="C30" s="127">
        <v>48.49</v>
      </c>
      <c r="E30" s="103">
        <v>46009</v>
      </c>
      <c r="F30" s="9" t="s">
        <v>8</v>
      </c>
      <c r="G30" s="121">
        <v>59.2</v>
      </c>
      <c r="H30" s="108"/>
      <c r="I30" s="103">
        <v>46011</v>
      </c>
      <c r="J30" s="11" t="s">
        <v>11</v>
      </c>
      <c r="K30" s="121">
        <v>26</v>
      </c>
      <c r="N30" s="44" t="s">
        <v>10</v>
      </c>
      <c r="O30" s="87">
        <f>SUMIF(J6:J127,"Ginger Garlic Paste",K6:K127)</f>
        <v>1755.31</v>
      </c>
      <c r="P30" s="87">
        <f>SUM(O30,O17)</f>
        <v>1807.31</v>
      </c>
    </row>
    <row r="31" spans="1:18" x14ac:dyDescent="0.25">
      <c r="A31" s="65">
        <v>46002</v>
      </c>
      <c r="B31" s="9" t="s">
        <v>9</v>
      </c>
      <c r="C31" s="127">
        <v>48.17</v>
      </c>
      <c r="E31" s="103">
        <v>46009</v>
      </c>
      <c r="F31" s="9" t="s">
        <v>9</v>
      </c>
      <c r="G31" s="121">
        <v>47.81</v>
      </c>
      <c r="H31" s="108"/>
      <c r="I31" s="103">
        <v>46013</v>
      </c>
      <c r="J31" s="11" t="s">
        <v>10</v>
      </c>
      <c r="K31" s="121">
        <v>92.62</v>
      </c>
      <c r="N31" s="44" t="s">
        <v>76</v>
      </c>
      <c r="O31" s="87">
        <f>SUMIF(J6:J127,"Ginger Paste",K6:K127)</f>
        <v>0</v>
      </c>
      <c r="P31" s="87">
        <f>SUM(O31,O18)</f>
        <v>0</v>
      </c>
    </row>
    <row r="32" spans="1:18" x14ac:dyDescent="0.25">
      <c r="A32" s="65">
        <v>46002</v>
      </c>
      <c r="B32" s="9" t="s">
        <v>9</v>
      </c>
      <c r="C32" s="127">
        <v>48.14</v>
      </c>
      <c r="E32" s="103">
        <v>46013</v>
      </c>
      <c r="F32" s="9" t="s">
        <v>9</v>
      </c>
      <c r="G32" s="121">
        <v>47.7</v>
      </c>
      <c r="H32" s="108"/>
      <c r="I32" s="103">
        <v>46014</v>
      </c>
      <c r="J32" s="11" t="s">
        <v>11</v>
      </c>
      <c r="K32" s="121">
        <v>25</v>
      </c>
      <c r="N32" s="44" t="s">
        <v>75</v>
      </c>
      <c r="O32" s="87">
        <f>SUMIF(J6:J127,"Garlic Paste",K6:K127)</f>
        <v>0</v>
      </c>
      <c r="P32" s="87">
        <f>SUM(O32,O19)</f>
        <v>0</v>
      </c>
    </row>
    <row r="33" spans="1:16" x14ac:dyDescent="0.25">
      <c r="A33" s="65">
        <v>46002</v>
      </c>
      <c r="B33" s="9" t="s">
        <v>9</v>
      </c>
      <c r="C33" s="127">
        <v>47.55</v>
      </c>
      <c r="E33" s="103">
        <v>46013</v>
      </c>
      <c r="F33" s="9" t="s">
        <v>8</v>
      </c>
      <c r="G33" s="121">
        <v>34.270000000000003</v>
      </c>
      <c r="H33" s="108"/>
      <c r="I33" s="103">
        <v>46014</v>
      </c>
      <c r="J33" s="11" t="s">
        <v>10</v>
      </c>
      <c r="K33" s="121">
        <v>79.5</v>
      </c>
      <c r="P33" s="2"/>
    </row>
    <row r="34" spans="1:16" ht="15.75" x14ac:dyDescent="0.25">
      <c r="A34" s="65">
        <v>46002</v>
      </c>
      <c r="B34" s="9" t="s">
        <v>9</v>
      </c>
      <c r="C34" s="127">
        <v>48.12</v>
      </c>
      <c r="E34" s="103">
        <v>46014</v>
      </c>
      <c r="F34" s="9" t="s">
        <v>9</v>
      </c>
      <c r="G34" s="121">
        <v>76.180000000000007</v>
      </c>
      <c r="H34" s="108"/>
      <c r="I34" s="103">
        <v>46015</v>
      </c>
      <c r="J34" s="11" t="s">
        <v>11</v>
      </c>
      <c r="K34" s="121">
        <v>19</v>
      </c>
      <c r="N34" s="110" t="s">
        <v>14</v>
      </c>
      <c r="O34" s="110" t="s">
        <v>17</v>
      </c>
      <c r="P34" s="2"/>
    </row>
    <row r="35" spans="1:16" x14ac:dyDescent="0.25">
      <c r="A35" s="65">
        <v>46004</v>
      </c>
      <c r="B35" s="9" t="s">
        <v>8</v>
      </c>
      <c r="C35" s="127">
        <v>57.16</v>
      </c>
      <c r="E35" s="103">
        <v>46014</v>
      </c>
      <c r="F35" s="9" t="s">
        <v>8</v>
      </c>
      <c r="G35" s="121">
        <v>27.34</v>
      </c>
      <c r="H35" s="108"/>
      <c r="I35" s="103">
        <v>46015</v>
      </c>
      <c r="J35" s="11" t="s">
        <v>10</v>
      </c>
      <c r="K35" s="121">
        <v>72.900000000000006</v>
      </c>
      <c r="N35" s="102" t="s">
        <v>73</v>
      </c>
      <c r="O35" s="87">
        <f>P9-P22</f>
        <v>173.64</v>
      </c>
      <c r="P35" s="2"/>
    </row>
    <row r="36" spans="1:16" x14ac:dyDescent="0.25">
      <c r="A36" s="65">
        <v>46007</v>
      </c>
      <c r="B36" s="9" t="s">
        <v>8</v>
      </c>
      <c r="C36" s="127">
        <v>56.93</v>
      </c>
      <c r="E36" s="103">
        <v>46015</v>
      </c>
      <c r="F36" s="9" t="s">
        <v>9</v>
      </c>
      <c r="G36" s="121">
        <v>40</v>
      </c>
      <c r="H36" s="108"/>
      <c r="I36" s="103">
        <v>46016</v>
      </c>
      <c r="J36" s="11" t="s">
        <v>10</v>
      </c>
      <c r="K36" s="121">
        <v>87</v>
      </c>
      <c r="N36" s="102" t="s">
        <v>9</v>
      </c>
      <c r="O36" s="87">
        <f>Q11-P23</f>
        <v>476.45999999999958</v>
      </c>
      <c r="P36" s="2"/>
    </row>
    <row r="37" spans="1:16" x14ac:dyDescent="0.25">
      <c r="A37" s="65">
        <v>46009</v>
      </c>
      <c r="B37" s="9" t="s">
        <v>8</v>
      </c>
      <c r="C37" s="127">
        <v>56.99</v>
      </c>
      <c r="E37" s="103">
        <v>46015</v>
      </c>
      <c r="F37" s="9" t="s">
        <v>8</v>
      </c>
      <c r="G37" s="121">
        <v>39.159999999999997</v>
      </c>
      <c r="H37" s="108"/>
      <c r="I37" s="103">
        <v>46016</v>
      </c>
      <c r="J37" s="11" t="s">
        <v>11</v>
      </c>
      <c r="K37" s="121">
        <v>12</v>
      </c>
      <c r="L37" s="1" t="s">
        <v>83</v>
      </c>
    </row>
    <row r="38" spans="1:16" x14ac:dyDescent="0.25">
      <c r="A38" s="65">
        <v>46013</v>
      </c>
      <c r="B38" s="9" t="s">
        <v>8</v>
      </c>
      <c r="C38" s="127">
        <v>49</v>
      </c>
      <c r="E38" s="103">
        <v>46016</v>
      </c>
      <c r="F38" s="9" t="s">
        <v>9</v>
      </c>
      <c r="G38" s="121">
        <v>37</v>
      </c>
      <c r="H38" s="108"/>
      <c r="I38" s="103">
        <v>46017</v>
      </c>
      <c r="J38" s="11" t="s">
        <v>10</v>
      </c>
      <c r="K38" s="121">
        <v>93.3</v>
      </c>
    </row>
    <row r="39" spans="1:16" x14ac:dyDescent="0.25">
      <c r="A39" s="65">
        <v>46013</v>
      </c>
      <c r="B39" s="9" t="s">
        <v>9</v>
      </c>
      <c r="C39" s="127">
        <v>160</v>
      </c>
      <c r="E39" s="103">
        <v>46016</v>
      </c>
      <c r="F39" s="9" t="s">
        <v>9</v>
      </c>
      <c r="G39" s="120">
        <v>40</v>
      </c>
      <c r="I39" s="65">
        <v>46017</v>
      </c>
      <c r="J39" s="11" t="s">
        <v>11</v>
      </c>
      <c r="K39" s="120">
        <v>20</v>
      </c>
    </row>
    <row r="40" spans="1:16" x14ac:dyDescent="0.25">
      <c r="A40" s="65">
        <v>46015</v>
      </c>
      <c r="B40" s="9" t="s">
        <v>8</v>
      </c>
      <c r="C40" s="127">
        <v>56.56</v>
      </c>
      <c r="E40" s="67">
        <v>46016</v>
      </c>
      <c r="F40" s="9" t="s">
        <v>8</v>
      </c>
      <c r="G40" s="120">
        <v>29.8</v>
      </c>
      <c r="I40" s="103">
        <v>46018</v>
      </c>
      <c r="J40" s="11" t="s">
        <v>10</v>
      </c>
      <c r="K40" s="120">
        <v>75.2</v>
      </c>
    </row>
    <row r="41" spans="1:16" x14ac:dyDescent="0.25">
      <c r="A41" s="65">
        <v>46016</v>
      </c>
      <c r="B41" s="9" t="s">
        <v>9</v>
      </c>
      <c r="C41" s="127">
        <v>40</v>
      </c>
      <c r="E41" s="67">
        <v>46017</v>
      </c>
      <c r="F41" s="9" t="s">
        <v>9</v>
      </c>
      <c r="G41" s="120">
        <v>80</v>
      </c>
      <c r="I41" s="103">
        <v>46018</v>
      </c>
      <c r="J41" s="11" t="s">
        <v>11</v>
      </c>
      <c r="K41" s="120">
        <v>17</v>
      </c>
    </row>
    <row r="42" spans="1:16" x14ac:dyDescent="0.25">
      <c r="A42" s="65">
        <v>46016</v>
      </c>
      <c r="B42" s="9" t="s">
        <v>9</v>
      </c>
      <c r="C42" s="127">
        <v>39.96</v>
      </c>
      <c r="E42" s="67">
        <v>46017</v>
      </c>
      <c r="F42" s="9" t="s">
        <v>8</v>
      </c>
      <c r="G42" s="120">
        <v>45.73</v>
      </c>
      <c r="I42" s="205">
        <v>46019</v>
      </c>
      <c r="J42" s="206" t="s">
        <v>10</v>
      </c>
      <c r="K42" s="207">
        <v>10.5</v>
      </c>
    </row>
    <row r="43" spans="1:16" x14ac:dyDescent="0.25">
      <c r="A43" s="65">
        <v>46016</v>
      </c>
      <c r="B43" s="9" t="s">
        <v>9</v>
      </c>
      <c r="C43" s="127">
        <v>40</v>
      </c>
      <c r="E43" s="67">
        <v>46018</v>
      </c>
      <c r="F43" s="9" t="s">
        <v>9</v>
      </c>
      <c r="G43" s="120">
        <v>39.94</v>
      </c>
      <c r="I43" s="67">
        <v>46020</v>
      </c>
      <c r="J43" s="11" t="s">
        <v>10</v>
      </c>
      <c r="K43" s="120">
        <v>227</v>
      </c>
    </row>
    <row r="44" spans="1:16" x14ac:dyDescent="0.25">
      <c r="A44" s="65">
        <v>46016</v>
      </c>
      <c r="B44" s="9" t="s">
        <v>9</v>
      </c>
      <c r="C44" s="127">
        <v>39.93</v>
      </c>
      <c r="E44" s="67">
        <v>46018</v>
      </c>
      <c r="F44" s="9" t="s">
        <v>8</v>
      </c>
      <c r="G44" s="120">
        <v>35.6</v>
      </c>
      <c r="I44" s="67">
        <v>46021</v>
      </c>
      <c r="J44" s="11" t="s">
        <v>10</v>
      </c>
      <c r="K44" s="120">
        <v>97</v>
      </c>
    </row>
    <row r="45" spans="1:16" x14ac:dyDescent="0.25">
      <c r="A45" s="65">
        <v>46016</v>
      </c>
      <c r="B45" s="9" t="s">
        <v>8</v>
      </c>
      <c r="C45" s="127">
        <v>46</v>
      </c>
      <c r="E45" s="67">
        <v>46020</v>
      </c>
      <c r="F45" s="9" t="s">
        <v>8</v>
      </c>
      <c r="G45" s="120">
        <v>48.86</v>
      </c>
      <c r="I45" s="67">
        <v>46021</v>
      </c>
      <c r="J45" s="11" t="s">
        <v>11</v>
      </c>
      <c r="K45" s="120">
        <v>11</v>
      </c>
      <c r="N45" s="1">
        <v>1296</v>
      </c>
    </row>
    <row r="46" spans="1:16" x14ac:dyDescent="0.25">
      <c r="A46" s="205">
        <v>46019</v>
      </c>
      <c r="B46" s="206" t="s">
        <v>9</v>
      </c>
      <c r="C46" s="207">
        <v>5</v>
      </c>
      <c r="E46" s="205">
        <v>46019</v>
      </c>
      <c r="F46" s="206" t="s">
        <v>108</v>
      </c>
      <c r="G46" s="207">
        <v>4.0999999999999996</v>
      </c>
      <c r="I46" s="67"/>
      <c r="J46" s="11"/>
      <c r="K46" s="120"/>
    </row>
    <row r="47" spans="1:16" x14ac:dyDescent="0.25">
      <c r="A47" s="205">
        <v>46019</v>
      </c>
      <c r="B47" s="206" t="s">
        <v>106</v>
      </c>
      <c r="C47" s="207">
        <v>5</v>
      </c>
      <c r="E47" s="205">
        <v>46019</v>
      </c>
      <c r="F47" s="206" t="s">
        <v>8</v>
      </c>
      <c r="G47" s="207">
        <v>4.5199999999999996</v>
      </c>
      <c r="I47" s="67"/>
      <c r="J47" s="11"/>
      <c r="K47" s="120"/>
    </row>
    <row r="48" spans="1:16" x14ac:dyDescent="0.25">
      <c r="A48" s="65">
        <v>46019</v>
      </c>
      <c r="B48" s="9" t="s">
        <v>8</v>
      </c>
      <c r="C48" s="127">
        <v>56.7</v>
      </c>
      <c r="E48" s="67">
        <v>46020</v>
      </c>
      <c r="F48" s="9" t="s">
        <v>9</v>
      </c>
      <c r="G48" s="120">
        <v>49.8</v>
      </c>
      <c r="I48" s="67"/>
      <c r="J48" s="11"/>
      <c r="K48" s="120"/>
    </row>
    <row r="49" spans="1:11" x14ac:dyDescent="0.25">
      <c r="A49" s="65">
        <v>46020</v>
      </c>
      <c r="B49" s="9" t="s">
        <v>8</v>
      </c>
      <c r="C49" s="127">
        <v>26</v>
      </c>
      <c r="E49" s="67">
        <v>46021</v>
      </c>
      <c r="F49" s="9" t="s">
        <v>9</v>
      </c>
      <c r="G49" s="120">
        <v>51.74</v>
      </c>
      <c r="I49" s="67"/>
      <c r="J49" s="23"/>
      <c r="K49" s="120"/>
    </row>
    <row r="50" spans="1:11" x14ac:dyDescent="0.25">
      <c r="A50" s="65">
        <v>46020</v>
      </c>
      <c r="B50" s="9" t="s">
        <v>9</v>
      </c>
      <c r="C50" s="127">
        <v>23.8</v>
      </c>
      <c r="E50" s="67">
        <v>46021</v>
      </c>
      <c r="F50" s="9" t="s">
        <v>8</v>
      </c>
      <c r="G50" s="120">
        <v>41.81</v>
      </c>
      <c r="I50" s="67"/>
      <c r="J50" s="11"/>
      <c r="K50" s="120"/>
    </row>
    <row r="51" spans="1:11" x14ac:dyDescent="0.25">
      <c r="A51" s="65">
        <v>46020</v>
      </c>
      <c r="B51" s="9" t="s">
        <v>9</v>
      </c>
      <c r="C51" s="127">
        <v>234.77</v>
      </c>
      <c r="E51" s="67">
        <v>46021</v>
      </c>
      <c r="F51" s="9" t="s">
        <v>9</v>
      </c>
      <c r="G51" s="120">
        <v>25.85</v>
      </c>
      <c r="I51" s="67"/>
      <c r="J51" s="11"/>
      <c r="K51" s="120"/>
    </row>
    <row r="52" spans="1:11" x14ac:dyDescent="0.25">
      <c r="A52" s="65">
        <v>46020</v>
      </c>
      <c r="B52" s="9" t="s">
        <v>9</v>
      </c>
      <c r="C52" s="127">
        <v>21.15</v>
      </c>
      <c r="E52" s="67">
        <v>46021</v>
      </c>
      <c r="F52" s="9" t="s">
        <v>8</v>
      </c>
      <c r="G52" s="120">
        <v>8.5</v>
      </c>
      <c r="I52" s="67"/>
      <c r="J52" s="23"/>
      <c r="K52" s="120"/>
    </row>
    <row r="53" spans="1:11" x14ac:dyDescent="0.25">
      <c r="A53" s="65">
        <v>46020</v>
      </c>
      <c r="B53" s="9" t="s">
        <v>8</v>
      </c>
      <c r="C53" s="127">
        <v>56.79</v>
      </c>
      <c r="E53" s="67"/>
      <c r="F53" s="9"/>
      <c r="G53" s="120"/>
      <c r="I53" s="67"/>
      <c r="J53" s="11"/>
      <c r="K53" s="120"/>
    </row>
    <row r="54" spans="1:11" x14ac:dyDescent="0.25">
      <c r="A54" s="65">
        <v>46021</v>
      </c>
      <c r="B54" s="9" t="s">
        <v>8</v>
      </c>
      <c r="C54" s="127">
        <v>56.99</v>
      </c>
      <c r="E54" s="67"/>
      <c r="F54" s="9"/>
      <c r="G54" s="120"/>
      <c r="I54" s="67"/>
      <c r="J54" s="11"/>
      <c r="K54" s="120"/>
    </row>
    <row r="55" spans="1:11" x14ac:dyDescent="0.25">
      <c r="A55" s="65">
        <v>46021</v>
      </c>
      <c r="B55" s="9" t="s">
        <v>9</v>
      </c>
      <c r="C55" s="127">
        <v>37.36</v>
      </c>
      <c r="E55" s="67"/>
      <c r="F55" s="9"/>
      <c r="G55" s="120"/>
      <c r="I55" s="67"/>
      <c r="J55" s="23"/>
      <c r="K55" s="120"/>
    </row>
    <row r="56" spans="1:11" x14ac:dyDescent="0.25">
      <c r="A56" s="65">
        <v>46021</v>
      </c>
      <c r="B56" s="9" t="s">
        <v>9</v>
      </c>
      <c r="C56" s="127">
        <v>37.1</v>
      </c>
      <c r="E56" s="67"/>
      <c r="F56" s="9"/>
      <c r="G56" s="120"/>
      <c r="I56" s="67"/>
      <c r="J56" s="11"/>
      <c r="K56" s="120"/>
    </row>
    <row r="57" spans="1:11" x14ac:dyDescent="0.25">
      <c r="A57" s="65">
        <v>46021</v>
      </c>
      <c r="B57" s="9" t="s">
        <v>9</v>
      </c>
      <c r="C57" s="127">
        <v>37.119999999999997</v>
      </c>
      <c r="E57" s="67"/>
      <c r="F57" s="9"/>
      <c r="G57" s="120"/>
      <c r="I57" s="67"/>
      <c r="J57" s="11"/>
      <c r="K57" s="120"/>
    </row>
    <row r="58" spans="1:11" x14ac:dyDescent="0.25">
      <c r="A58" s="65"/>
      <c r="B58" s="9"/>
      <c r="C58" s="127"/>
      <c r="E58" s="67"/>
      <c r="F58" s="9"/>
      <c r="G58" s="120"/>
      <c r="I58" s="67"/>
      <c r="J58" s="23"/>
      <c r="K58" s="120"/>
    </row>
    <row r="59" spans="1:11" x14ac:dyDescent="0.25">
      <c r="A59" s="65"/>
      <c r="B59" s="9"/>
      <c r="C59" s="127"/>
      <c r="E59" s="67"/>
      <c r="F59" s="9"/>
      <c r="G59" s="120"/>
      <c r="I59" s="67"/>
      <c r="J59" s="11"/>
      <c r="K59" s="120"/>
    </row>
    <row r="60" spans="1:11" x14ac:dyDescent="0.25">
      <c r="A60" s="65"/>
      <c r="B60" s="9"/>
      <c r="C60" s="127"/>
      <c r="E60" s="67"/>
      <c r="F60" s="9"/>
      <c r="G60" s="120"/>
      <c r="I60" s="67"/>
      <c r="J60" s="11"/>
      <c r="K60" s="120"/>
    </row>
    <row r="61" spans="1:11" x14ac:dyDescent="0.25">
      <c r="A61" s="65"/>
      <c r="B61" s="9"/>
      <c r="C61" s="127"/>
      <c r="E61" s="67"/>
      <c r="F61" s="9"/>
      <c r="G61" s="120"/>
      <c r="I61" s="67"/>
      <c r="J61" s="23"/>
      <c r="K61" s="120"/>
    </row>
    <row r="62" spans="1:11" x14ac:dyDescent="0.25">
      <c r="A62" s="65"/>
      <c r="B62" s="9"/>
      <c r="C62" s="127"/>
      <c r="E62" s="67"/>
      <c r="F62" s="9"/>
      <c r="G62" s="120"/>
      <c r="I62" s="67"/>
      <c r="J62" s="11"/>
      <c r="K62" s="120"/>
    </row>
    <row r="63" spans="1:11" x14ac:dyDescent="0.25">
      <c r="A63" s="65"/>
      <c r="B63" s="9"/>
      <c r="C63" s="127"/>
      <c r="E63" s="67"/>
      <c r="F63" s="9"/>
      <c r="G63" s="120"/>
      <c r="I63" s="67"/>
      <c r="J63" s="11"/>
      <c r="K63" s="120"/>
    </row>
    <row r="64" spans="1:11" x14ac:dyDescent="0.25">
      <c r="A64" s="65"/>
      <c r="B64" s="9"/>
      <c r="C64" s="127"/>
      <c r="E64" s="67"/>
      <c r="F64" s="9"/>
      <c r="G64" s="120"/>
      <c r="I64" s="67"/>
      <c r="J64" s="23"/>
      <c r="K64" s="120"/>
    </row>
    <row r="65" spans="1:11" x14ac:dyDescent="0.25">
      <c r="A65" s="65"/>
      <c r="B65" s="9"/>
      <c r="C65" s="127"/>
      <c r="E65" s="67"/>
      <c r="F65" s="9"/>
      <c r="G65" s="120"/>
      <c r="I65" s="67"/>
      <c r="J65" s="11"/>
      <c r="K65" s="120"/>
    </row>
    <row r="66" spans="1:11" x14ac:dyDescent="0.25">
      <c r="A66" s="65"/>
      <c r="B66" s="9"/>
      <c r="C66" s="127"/>
      <c r="E66" s="67"/>
      <c r="F66" s="9"/>
      <c r="G66" s="120"/>
      <c r="I66" s="67"/>
      <c r="J66" s="11"/>
      <c r="K66" s="120"/>
    </row>
    <row r="67" spans="1:11" x14ac:dyDescent="0.25">
      <c r="A67" s="65"/>
      <c r="B67" s="9"/>
      <c r="C67" s="127"/>
      <c r="E67" s="67"/>
      <c r="F67" s="9"/>
      <c r="G67" s="120"/>
      <c r="I67" s="67"/>
      <c r="J67" s="23"/>
      <c r="K67" s="120"/>
    </row>
    <row r="68" spans="1:11" x14ac:dyDescent="0.25">
      <c r="A68" s="65"/>
      <c r="B68" s="9"/>
      <c r="C68" s="127"/>
      <c r="E68" s="67"/>
      <c r="F68" s="9"/>
      <c r="G68" s="120"/>
      <c r="I68" s="67"/>
      <c r="J68" s="11"/>
      <c r="K68" s="120"/>
    </row>
    <row r="69" spans="1:11" x14ac:dyDescent="0.25">
      <c r="A69" s="65"/>
      <c r="B69" s="9"/>
      <c r="C69" s="127"/>
      <c r="E69" s="67"/>
      <c r="F69" s="9"/>
      <c r="G69" s="120"/>
      <c r="I69" s="67"/>
      <c r="J69" s="11"/>
      <c r="K69" s="120"/>
    </row>
    <row r="70" spans="1:11" x14ac:dyDescent="0.25">
      <c r="A70" s="65"/>
      <c r="B70" s="9"/>
      <c r="C70" s="127"/>
      <c r="E70" s="67"/>
      <c r="F70" s="9"/>
      <c r="G70" s="120"/>
      <c r="I70" s="67"/>
      <c r="J70" s="23"/>
      <c r="K70" s="120"/>
    </row>
    <row r="71" spans="1:11" x14ac:dyDescent="0.25">
      <c r="A71" s="65"/>
      <c r="B71" s="9"/>
      <c r="C71" s="127"/>
      <c r="E71" s="67"/>
      <c r="F71" s="9"/>
      <c r="G71" s="120"/>
      <c r="I71" s="67"/>
      <c r="J71" s="11"/>
      <c r="K71" s="120"/>
    </row>
    <row r="72" spans="1:11" x14ac:dyDescent="0.25">
      <c r="A72" s="65"/>
      <c r="B72" s="9"/>
      <c r="C72" s="127"/>
      <c r="E72" s="67"/>
      <c r="F72" s="9"/>
      <c r="G72" s="120"/>
      <c r="I72" s="67"/>
      <c r="J72" s="11"/>
      <c r="K72" s="120"/>
    </row>
    <row r="73" spans="1:11" x14ac:dyDescent="0.25">
      <c r="A73" s="65"/>
      <c r="B73" s="9"/>
      <c r="C73" s="127"/>
      <c r="E73" s="67"/>
      <c r="F73" s="9"/>
      <c r="G73" s="120"/>
      <c r="I73" s="67"/>
      <c r="J73" s="23"/>
      <c r="K73" s="120"/>
    </row>
    <row r="74" spans="1:11" x14ac:dyDescent="0.25">
      <c r="A74" s="65"/>
      <c r="B74" s="9"/>
      <c r="C74" s="127"/>
      <c r="E74" s="67"/>
      <c r="F74" s="9"/>
      <c r="G74" s="120"/>
      <c r="I74" s="67"/>
      <c r="J74" s="11"/>
      <c r="K74" s="120"/>
    </row>
    <row r="75" spans="1:11" x14ac:dyDescent="0.25">
      <c r="A75" s="65"/>
      <c r="B75" s="9"/>
      <c r="C75" s="127"/>
      <c r="E75" s="67"/>
      <c r="F75" s="9"/>
      <c r="G75" s="120"/>
      <c r="I75" s="67"/>
      <c r="J75" s="11"/>
      <c r="K75" s="120"/>
    </row>
    <row r="76" spans="1:11" x14ac:dyDescent="0.25">
      <c r="A76" s="65"/>
      <c r="B76" s="9"/>
      <c r="C76" s="127"/>
      <c r="E76" s="67"/>
      <c r="F76" s="9"/>
      <c r="G76" s="120"/>
      <c r="I76" s="67"/>
      <c r="J76" s="23"/>
      <c r="K76" s="120"/>
    </row>
    <row r="77" spans="1:11" x14ac:dyDescent="0.25">
      <c r="A77" s="65"/>
      <c r="B77" s="9"/>
      <c r="C77" s="127"/>
      <c r="E77" s="67"/>
      <c r="F77" s="9"/>
      <c r="G77" s="120"/>
      <c r="I77" s="67"/>
      <c r="J77" s="11"/>
      <c r="K77" s="120"/>
    </row>
    <row r="78" spans="1:11" x14ac:dyDescent="0.25">
      <c r="A78" s="65"/>
      <c r="B78" s="9"/>
      <c r="C78" s="127"/>
      <c r="E78" s="67"/>
      <c r="F78" s="9"/>
      <c r="G78" s="120"/>
      <c r="I78" s="67"/>
      <c r="J78" s="11"/>
      <c r="K78" s="120"/>
    </row>
    <row r="79" spans="1:11" x14ac:dyDescent="0.25">
      <c r="A79" s="65"/>
      <c r="B79" s="9"/>
      <c r="C79" s="127"/>
      <c r="E79" s="67"/>
      <c r="F79" s="9"/>
      <c r="G79" s="120"/>
      <c r="I79" s="67"/>
      <c r="J79" s="23"/>
      <c r="K79" s="120"/>
    </row>
    <row r="80" spans="1:11" x14ac:dyDescent="0.25">
      <c r="A80" s="65"/>
      <c r="B80" s="9"/>
      <c r="C80" s="127"/>
      <c r="E80" s="67"/>
      <c r="F80" s="9"/>
      <c r="G80" s="120"/>
      <c r="I80" s="67"/>
      <c r="J80" s="11"/>
      <c r="K80" s="120"/>
    </row>
    <row r="81" spans="1:11" x14ac:dyDescent="0.25">
      <c r="A81" s="65"/>
      <c r="B81" s="9"/>
      <c r="C81" s="127"/>
      <c r="E81" s="67"/>
      <c r="F81" s="9"/>
      <c r="G81" s="120"/>
      <c r="I81" s="67"/>
      <c r="J81" s="11"/>
      <c r="K81" s="120"/>
    </row>
    <row r="82" spans="1:11" x14ac:dyDescent="0.25">
      <c r="A82" s="65"/>
      <c r="B82" s="9"/>
      <c r="C82" s="127"/>
      <c r="E82" s="67"/>
      <c r="F82" s="9"/>
      <c r="G82" s="120"/>
      <c r="I82" s="67"/>
      <c r="J82" s="23"/>
      <c r="K82" s="120"/>
    </row>
    <row r="83" spans="1:11" x14ac:dyDescent="0.25">
      <c r="A83" s="65"/>
      <c r="B83" s="9"/>
      <c r="C83" s="127"/>
      <c r="E83" s="67"/>
      <c r="F83" s="9"/>
      <c r="G83" s="120"/>
      <c r="I83" s="67"/>
      <c r="J83" s="11"/>
      <c r="K83" s="120"/>
    </row>
    <row r="84" spans="1:11" x14ac:dyDescent="0.25">
      <c r="A84" s="65"/>
      <c r="B84" s="9"/>
      <c r="C84" s="127"/>
      <c r="E84" s="67"/>
      <c r="F84" s="9"/>
      <c r="G84" s="120"/>
      <c r="I84" s="67"/>
      <c r="J84" s="11"/>
      <c r="K84" s="120"/>
    </row>
    <row r="85" spans="1:11" x14ac:dyDescent="0.25">
      <c r="A85" s="65"/>
      <c r="B85" s="9"/>
      <c r="C85" s="127"/>
      <c r="E85" s="67"/>
      <c r="F85" s="9"/>
      <c r="G85" s="120"/>
      <c r="I85" s="67"/>
      <c r="J85" s="23"/>
      <c r="K85" s="120"/>
    </row>
    <row r="86" spans="1:11" x14ac:dyDescent="0.25">
      <c r="A86" s="65"/>
      <c r="B86" s="9"/>
      <c r="C86" s="127"/>
      <c r="E86" s="67"/>
      <c r="F86" s="9"/>
      <c r="G86" s="120"/>
      <c r="I86" s="67"/>
      <c r="J86" s="11"/>
      <c r="K86" s="120"/>
    </row>
    <row r="87" spans="1:11" x14ac:dyDescent="0.25">
      <c r="A87" s="65"/>
      <c r="B87" s="9"/>
      <c r="C87" s="127"/>
      <c r="E87" s="67"/>
      <c r="F87" s="9"/>
      <c r="G87" s="120"/>
      <c r="I87" s="67"/>
      <c r="J87" s="11"/>
      <c r="K87" s="120"/>
    </row>
    <row r="88" spans="1:11" x14ac:dyDescent="0.25">
      <c r="A88" s="65"/>
      <c r="B88" s="9"/>
      <c r="C88" s="127"/>
      <c r="E88" s="67"/>
      <c r="F88" s="9"/>
      <c r="G88" s="120"/>
      <c r="I88" s="67"/>
      <c r="J88" s="23"/>
      <c r="K88" s="120"/>
    </row>
    <row r="89" spans="1:11" x14ac:dyDescent="0.25">
      <c r="A89" s="65"/>
      <c r="B89" s="9"/>
      <c r="C89" s="127"/>
      <c r="E89" s="67"/>
      <c r="F89" s="9"/>
      <c r="G89" s="120"/>
      <c r="I89" s="67"/>
      <c r="J89" s="11"/>
      <c r="K89" s="120"/>
    </row>
    <row r="90" spans="1:11" x14ac:dyDescent="0.25">
      <c r="A90" s="65"/>
      <c r="B90" s="9"/>
      <c r="C90" s="127"/>
      <c r="E90" s="67"/>
      <c r="F90" s="9"/>
      <c r="G90" s="120"/>
      <c r="I90" s="67"/>
      <c r="J90" s="11"/>
      <c r="K90" s="120"/>
    </row>
    <row r="91" spans="1:11" x14ac:dyDescent="0.25">
      <c r="A91" s="65"/>
      <c r="B91" s="9"/>
      <c r="C91" s="127"/>
      <c r="E91" s="67"/>
      <c r="F91" s="9"/>
      <c r="G91" s="120"/>
      <c r="I91" s="67"/>
      <c r="J91" s="23"/>
      <c r="K91" s="120"/>
    </row>
    <row r="92" spans="1:11" x14ac:dyDescent="0.25">
      <c r="A92" s="65"/>
      <c r="B92" s="9"/>
      <c r="C92" s="127"/>
      <c r="E92" s="67"/>
      <c r="F92" s="9"/>
      <c r="G92" s="120"/>
      <c r="I92" s="67"/>
      <c r="J92" s="11"/>
      <c r="K92" s="120"/>
    </row>
    <row r="93" spans="1:11" x14ac:dyDescent="0.25">
      <c r="A93" s="65"/>
      <c r="B93" s="9"/>
      <c r="C93" s="127"/>
      <c r="E93" s="67"/>
      <c r="F93" s="9"/>
      <c r="G93" s="120"/>
      <c r="I93" s="67"/>
      <c r="J93" s="11"/>
      <c r="K93" s="120"/>
    </row>
    <row r="94" spans="1:11" x14ac:dyDescent="0.25">
      <c r="A94" s="65"/>
      <c r="B94" s="9"/>
      <c r="C94" s="127"/>
      <c r="E94" s="67"/>
      <c r="F94" s="9"/>
      <c r="G94" s="120"/>
      <c r="I94" s="67"/>
      <c r="J94" s="23"/>
      <c r="K94" s="120"/>
    </row>
    <row r="95" spans="1:11" x14ac:dyDescent="0.25">
      <c r="A95" s="65"/>
      <c r="B95" s="9"/>
      <c r="C95" s="127"/>
      <c r="E95" s="67"/>
      <c r="F95" s="9"/>
      <c r="G95" s="120"/>
      <c r="I95" s="67"/>
      <c r="J95" s="11"/>
      <c r="K95" s="120"/>
    </row>
    <row r="96" spans="1:11" x14ac:dyDescent="0.25">
      <c r="A96" s="65"/>
      <c r="B96" s="9"/>
      <c r="C96" s="127"/>
      <c r="E96" s="67"/>
      <c r="F96" s="9"/>
      <c r="G96" s="120"/>
      <c r="I96" s="67"/>
      <c r="J96" s="11"/>
      <c r="K96" s="120"/>
    </row>
    <row r="97" spans="1:11" x14ac:dyDescent="0.25">
      <c r="A97" s="65"/>
      <c r="B97" s="9"/>
      <c r="C97" s="127"/>
      <c r="E97" s="67"/>
      <c r="F97" s="9"/>
      <c r="G97" s="120"/>
      <c r="I97" s="67"/>
      <c r="J97" s="23"/>
      <c r="K97" s="120"/>
    </row>
    <row r="98" spans="1:11" x14ac:dyDescent="0.25">
      <c r="A98" s="65"/>
      <c r="B98" s="9"/>
      <c r="C98" s="127"/>
      <c r="E98" s="67"/>
      <c r="F98" s="9"/>
      <c r="G98" s="120"/>
      <c r="I98" s="67"/>
      <c r="J98" s="11"/>
      <c r="K98" s="120"/>
    </row>
    <row r="99" spans="1:11" x14ac:dyDescent="0.25">
      <c r="A99" s="65"/>
      <c r="B99" s="9"/>
      <c r="C99" s="127"/>
      <c r="E99" s="67"/>
      <c r="F99" s="9"/>
      <c r="G99" s="120"/>
      <c r="I99" s="67"/>
      <c r="J99" s="11"/>
      <c r="K99" s="120"/>
    </row>
    <row r="100" spans="1:11" x14ac:dyDescent="0.25">
      <c r="A100" s="65"/>
      <c r="B100" s="9"/>
      <c r="C100" s="127"/>
      <c r="E100" s="67"/>
      <c r="F100" s="9"/>
      <c r="G100" s="120"/>
      <c r="I100" s="67"/>
      <c r="J100" s="23"/>
      <c r="K100" s="120"/>
    </row>
    <row r="101" spans="1:11" x14ac:dyDescent="0.25">
      <c r="A101" s="65"/>
      <c r="B101" s="9"/>
      <c r="C101" s="127"/>
      <c r="E101" s="67"/>
      <c r="F101" s="9"/>
      <c r="G101" s="120"/>
      <c r="I101" s="67"/>
      <c r="J101" s="11"/>
      <c r="K101" s="120"/>
    </row>
    <row r="102" spans="1:11" x14ac:dyDescent="0.25">
      <c r="A102" s="65"/>
      <c r="B102" s="9"/>
      <c r="C102" s="127"/>
      <c r="E102" s="67"/>
      <c r="F102" s="9"/>
      <c r="G102" s="120"/>
      <c r="I102" s="67"/>
      <c r="J102" s="11"/>
      <c r="K102" s="120"/>
    </row>
    <row r="103" spans="1:11" x14ac:dyDescent="0.25">
      <c r="A103" s="65"/>
      <c r="B103" s="9"/>
      <c r="C103" s="127"/>
      <c r="E103" s="67"/>
      <c r="F103" s="9"/>
      <c r="G103" s="120"/>
      <c r="I103" s="67"/>
      <c r="J103" s="23"/>
      <c r="K103" s="120"/>
    </row>
    <row r="104" spans="1:11" x14ac:dyDescent="0.25">
      <c r="A104" s="65"/>
      <c r="B104" s="9"/>
      <c r="C104" s="127"/>
      <c r="E104" s="67"/>
      <c r="F104" s="9"/>
      <c r="G104" s="120"/>
      <c r="I104" s="67"/>
      <c r="J104" s="11"/>
      <c r="K104" s="120"/>
    </row>
    <row r="105" spans="1:11" x14ac:dyDescent="0.25">
      <c r="A105" s="65"/>
      <c r="B105" s="9"/>
      <c r="C105" s="127"/>
      <c r="E105" s="67"/>
      <c r="F105" s="9"/>
      <c r="G105" s="120"/>
      <c r="I105" s="67"/>
      <c r="J105" s="11"/>
      <c r="K105" s="120"/>
    </row>
    <row r="106" spans="1:11" x14ac:dyDescent="0.25">
      <c r="A106" s="65"/>
      <c r="B106" s="9"/>
      <c r="C106" s="127"/>
      <c r="E106" s="67"/>
      <c r="F106" s="9"/>
      <c r="G106" s="120"/>
      <c r="I106" s="67"/>
      <c r="J106" s="23"/>
      <c r="K106" s="120"/>
    </row>
    <row r="107" spans="1:11" x14ac:dyDescent="0.25">
      <c r="A107" s="65"/>
      <c r="B107" s="9"/>
      <c r="C107" s="127"/>
      <c r="E107" s="67"/>
      <c r="F107" s="9"/>
      <c r="G107" s="120"/>
      <c r="I107" s="67"/>
      <c r="J107" s="11"/>
      <c r="K107" s="120"/>
    </row>
    <row r="108" spans="1:11" x14ac:dyDescent="0.25">
      <c r="A108" s="65"/>
      <c r="B108" s="9"/>
      <c r="C108" s="127"/>
      <c r="E108" s="67"/>
      <c r="F108" s="9"/>
      <c r="G108" s="120"/>
      <c r="I108" s="67"/>
      <c r="J108" s="11"/>
      <c r="K108" s="120"/>
    </row>
    <row r="109" spans="1:11" x14ac:dyDescent="0.25">
      <c r="A109" s="65"/>
      <c r="B109" s="9"/>
      <c r="C109" s="127"/>
      <c r="E109" s="67"/>
      <c r="F109" s="9"/>
      <c r="G109" s="120"/>
      <c r="I109" s="67"/>
      <c r="J109" s="23"/>
      <c r="K109" s="120"/>
    </row>
    <row r="110" spans="1:11" x14ac:dyDescent="0.25">
      <c r="A110" s="65"/>
      <c r="B110" s="9"/>
      <c r="C110" s="127"/>
      <c r="E110" s="67"/>
      <c r="F110" s="9"/>
      <c r="G110" s="120"/>
      <c r="I110" s="67"/>
      <c r="J110" s="11"/>
      <c r="K110" s="120"/>
    </row>
    <row r="111" spans="1:11" x14ac:dyDescent="0.25">
      <c r="A111" s="65"/>
      <c r="B111" s="9"/>
      <c r="C111" s="127"/>
      <c r="E111" s="67"/>
      <c r="F111" s="9"/>
      <c r="G111" s="120"/>
      <c r="I111" s="67"/>
      <c r="J111" s="11"/>
      <c r="K111" s="120"/>
    </row>
    <row r="112" spans="1:11" x14ac:dyDescent="0.25">
      <c r="A112" s="65"/>
      <c r="B112" s="9"/>
      <c r="C112" s="127"/>
      <c r="E112" s="67"/>
      <c r="F112" s="9"/>
      <c r="G112" s="120"/>
      <c r="I112" s="67"/>
      <c r="J112" s="23"/>
      <c r="K112" s="120"/>
    </row>
    <row r="113" spans="1:11" x14ac:dyDescent="0.25">
      <c r="A113" s="65"/>
      <c r="B113" s="9"/>
      <c r="C113" s="127"/>
      <c r="E113" s="67"/>
      <c r="F113" s="9"/>
      <c r="G113" s="120"/>
      <c r="I113" s="67"/>
      <c r="J113" s="11"/>
      <c r="K113" s="120"/>
    </row>
    <row r="114" spans="1:11" x14ac:dyDescent="0.25">
      <c r="A114" s="65"/>
      <c r="B114" s="9"/>
      <c r="C114" s="127"/>
      <c r="E114" s="67"/>
      <c r="F114" s="9"/>
      <c r="G114" s="120"/>
      <c r="I114" s="67"/>
      <c r="J114" s="11"/>
      <c r="K114" s="120"/>
    </row>
    <row r="115" spans="1:11" x14ac:dyDescent="0.25">
      <c r="A115" s="65"/>
      <c r="B115" s="9"/>
      <c r="C115" s="127"/>
      <c r="E115" s="67"/>
      <c r="F115" s="9"/>
      <c r="G115" s="120"/>
      <c r="I115" s="67"/>
      <c r="J115" s="23"/>
      <c r="K115" s="120"/>
    </row>
    <row r="116" spans="1:11" x14ac:dyDescent="0.25">
      <c r="A116" s="65"/>
      <c r="B116" s="9"/>
      <c r="C116" s="127"/>
      <c r="E116" s="67"/>
      <c r="F116" s="9"/>
      <c r="G116" s="120"/>
      <c r="I116" s="67"/>
      <c r="J116" s="11"/>
      <c r="K116" s="120"/>
    </row>
    <row r="117" spans="1:11" x14ac:dyDescent="0.25">
      <c r="A117" s="65"/>
      <c r="B117" s="9"/>
      <c r="C117" s="127"/>
      <c r="E117" s="67"/>
      <c r="F117" s="9"/>
      <c r="G117" s="120"/>
      <c r="I117" s="67"/>
      <c r="J117" s="11"/>
      <c r="K117" s="120"/>
    </row>
    <row r="118" spans="1:11" x14ac:dyDescent="0.25">
      <c r="A118" s="65"/>
      <c r="B118" s="9"/>
      <c r="C118" s="127"/>
      <c r="E118" s="67"/>
      <c r="F118" s="9"/>
      <c r="G118" s="120"/>
      <c r="I118" s="67"/>
      <c r="J118" s="23"/>
      <c r="K118" s="120"/>
    </row>
    <row r="119" spans="1:11" x14ac:dyDescent="0.25">
      <c r="A119" s="65"/>
      <c r="B119" s="9"/>
      <c r="C119" s="127"/>
      <c r="E119" s="67"/>
      <c r="F119" s="9"/>
      <c r="G119" s="120"/>
      <c r="I119" s="67"/>
      <c r="J119" s="11"/>
      <c r="K119" s="120"/>
    </row>
    <row r="120" spans="1:11" x14ac:dyDescent="0.25">
      <c r="A120" s="65"/>
      <c r="B120" s="9"/>
      <c r="C120" s="127"/>
      <c r="E120" s="67"/>
      <c r="F120" s="9"/>
      <c r="G120" s="120"/>
      <c r="I120" s="67"/>
      <c r="J120" s="11"/>
      <c r="K120" s="120"/>
    </row>
    <row r="121" spans="1:11" x14ac:dyDescent="0.25">
      <c r="A121" s="65"/>
      <c r="B121" s="9"/>
      <c r="C121" s="127"/>
      <c r="E121" s="67"/>
      <c r="F121" s="9"/>
      <c r="G121" s="120"/>
      <c r="I121" s="67"/>
      <c r="J121" s="23"/>
      <c r="K121" s="120"/>
    </row>
    <row r="122" spans="1:11" x14ac:dyDescent="0.25">
      <c r="A122" s="65"/>
      <c r="B122" s="9"/>
      <c r="C122" s="127"/>
      <c r="E122" s="67"/>
      <c r="F122" s="9"/>
      <c r="G122" s="120"/>
      <c r="I122" s="67"/>
      <c r="J122" s="11"/>
      <c r="K122" s="120"/>
    </row>
    <row r="123" spans="1:11" x14ac:dyDescent="0.25">
      <c r="A123" s="65"/>
      <c r="B123" s="9"/>
      <c r="C123" s="127"/>
      <c r="E123" s="67"/>
      <c r="F123" s="9"/>
      <c r="G123" s="120"/>
      <c r="I123" s="67"/>
      <c r="J123" s="11"/>
      <c r="K123" s="120"/>
    </row>
    <row r="124" spans="1:11" x14ac:dyDescent="0.25">
      <c r="A124" s="65"/>
      <c r="B124" s="9"/>
      <c r="C124" s="127"/>
      <c r="E124" s="67"/>
      <c r="F124" s="9"/>
      <c r="G124" s="120"/>
      <c r="I124" s="67"/>
      <c r="J124" s="23"/>
      <c r="K124" s="120"/>
    </row>
    <row r="125" spans="1:11" x14ac:dyDescent="0.25">
      <c r="A125" s="65"/>
      <c r="B125" s="9"/>
      <c r="C125" s="127"/>
      <c r="E125" s="67"/>
      <c r="F125" s="9"/>
      <c r="G125" s="120"/>
      <c r="I125" s="67"/>
      <c r="J125" s="11"/>
      <c r="K125" s="120"/>
    </row>
    <row r="126" spans="1:11" x14ac:dyDescent="0.25">
      <c r="A126" s="65"/>
      <c r="B126" s="9"/>
      <c r="C126" s="127"/>
      <c r="E126" s="67"/>
      <c r="F126" s="9"/>
      <c r="G126" s="120"/>
      <c r="I126" s="67"/>
      <c r="J126" s="11"/>
      <c r="K126" s="120"/>
    </row>
    <row r="127" spans="1:11" ht="15.75" thickBot="1" x14ac:dyDescent="0.3">
      <c r="A127" s="65"/>
      <c r="B127" s="9"/>
      <c r="C127" s="127"/>
      <c r="E127" s="68"/>
      <c r="F127" s="10"/>
      <c r="G127" s="123"/>
      <c r="I127" s="68"/>
      <c r="J127" s="8"/>
      <c r="K127" s="123"/>
    </row>
    <row r="128" spans="1:11" x14ac:dyDescent="0.25">
      <c r="A128" s="65"/>
      <c r="B128" s="9"/>
      <c r="C128" s="127"/>
      <c r="F128" s="1" t="s">
        <v>83</v>
      </c>
      <c r="J128" s="1" t="s">
        <v>83</v>
      </c>
    </row>
    <row r="129" spans="2:2" x14ac:dyDescent="0.25">
      <c r="B129" s="1" t="s">
        <v>83</v>
      </c>
    </row>
  </sheetData>
  <mergeCells count="9">
    <mergeCell ref="Q11:Q14"/>
    <mergeCell ref="P13:P14"/>
    <mergeCell ref="P23:P24"/>
    <mergeCell ref="E1:G1"/>
    <mergeCell ref="A4:C4"/>
    <mergeCell ref="E4:G4"/>
    <mergeCell ref="I4:K4"/>
    <mergeCell ref="P9:P10"/>
    <mergeCell ref="P11:P12"/>
  </mergeCells>
  <printOptions horizontalCentered="1"/>
  <pageMargins left="0.23622047244094491" right="0.23622047244094491" top="0.15748031496062992" bottom="0.15748031496062992" header="0.11811023622047245" footer="0.19685039370078741"/>
  <pageSetup paperSize="9" fitToWidth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Sheet2!$A$2:$A$11</xm:f>
          </x14:formula1>
          <xm:sqref>B6:B128</xm:sqref>
        </x14:dataValidation>
        <x14:dataValidation type="list" allowBlank="1" showInputMessage="1" showErrorMessage="1">
          <x14:formula1>
            <xm:f>Sheet2!$B$2:$B$6</xm:f>
          </x14:formula1>
          <xm:sqref>J6:J127</xm:sqref>
        </x14:dataValidation>
        <x14:dataValidation type="list" allowBlank="1" showInputMessage="1" showErrorMessage="1">
          <x14:formula1>
            <xm:f>Sheet2!$A$2:$A$6</xm:f>
          </x14:formula1>
          <xm:sqref>F6:F127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6"/>
  <sheetViews>
    <sheetView topLeftCell="A4" zoomScale="85" zoomScaleNormal="85" workbookViewId="0">
      <selection activeCell="F31" sqref="F31"/>
    </sheetView>
  </sheetViews>
  <sheetFormatPr defaultColWidth="9.140625" defaultRowHeight="15" x14ac:dyDescent="0.25"/>
  <cols>
    <col min="1" max="1" width="13.42578125" style="25" customWidth="1"/>
    <col min="2" max="2" width="32.85546875" style="1" customWidth="1"/>
    <col min="3" max="3" width="12.7109375" style="28" bestFit="1" customWidth="1"/>
    <col min="4" max="4" width="0.5703125" style="3" customWidth="1"/>
    <col min="5" max="5" width="14.7109375" style="28" customWidth="1"/>
    <col min="6" max="6" width="21.85546875" style="1" customWidth="1"/>
    <col min="7" max="7" width="12.7109375" style="28" bestFit="1" customWidth="1"/>
    <col min="8" max="8" width="0.5703125" style="3" customWidth="1"/>
    <col min="9" max="9" width="15.85546875" style="28" customWidth="1"/>
    <col min="10" max="10" width="22.140625" style="1" customWidth="1"/>
    <col min="11" max="11" width="12.85546875" style="25" customWidth="1"/>
    <col min="12" max="13" width="9.140625" style="1"/>
    <col min="14" max="14" width="23.7109375" style="1" bestFit="1" customWidth="1"/>
    <col min="15" max="15" width="13.42578125" style="1" customWidth="1"/>
    <col min="16" max="16" width="20.7109375" style="1" bestFit="1" customWidth="1"/>
    <col min="17" max="16384" width="9.140625" style="1"/>
  </cols>
  <sheetData>
    <row r="1" spans="1:17" ht="24" thickBot="1" x14ac:dyDescent="0.4">
      <c r="E1" s="172" t="s">
        <v>0</v>
      </c>
      <c r="F1" s="173"/>
      <c r="G1" s="174"/>
    </row>
    <row r="2" spans="1:17" ht="15.75" x14ac:dyDescent="0.25">
      <c r="A2" s="31" t="s">
        <v>1</v>
      </c>
      <c r="C2" s="24">
        <v>46023</v>
      </c>
    </row>
    <row r="3" spans="1:17" ht="15.75" thickBot="1" x14ac:dyDescent="0.3"/>
    <row r="4" spans="1:17" ht="18.75" x14ac:dyDescent="0.3">
      <c r="A4" s="175" t="s">
        <v>2</v>
      </c>
      <c r="B4" s="176"/>
      <c r="C4" s="177"/>
      <c r="D4" s="12"/>
      <c r="E4" s="178" t="s">
        <v>3</v>
      </c>
      <c r="F4" s="179"/>
      <c r="G4" s="180"/>
      <c r="H4" s="12"/>
      <c r="I4" s="181" t="s">
        <v>4</v>
      </c>
      <c r="J4" s="182"/>
      <c r="K4" s="183"/>
    </row>
    <row r="5" spans="1:17" ht="21" customHeight="1" x14ac:dyDescent="0.25">
      <c r="A5" s="13" t="s">
        <v>5</v>
      </c>
      <c r="B5" s="14" t="s">
        <v>6</v>
      </c>
      <c r="C5" s="15" t="s">
        <v>7</v>
      </c>
      <c r="D5" s="16"/>
      <c r="E5" s="17" t="s">
        <v>5</v>
      </c>
      <c r="F5" s="18" t="s">
        <v>6</v>
      </c>
      <c r="G5" s="19" t="s">
        <v>7</v>
      </c>
      <c r="H5" s="16"/>
      <c r="I5" s="20" t="s">
        <v>5</v>
      </c>
      <c r="J5" s="21" t="s">
        <v>6</v>
      </c>
      <c r="K5" s="22" t="s">
        <v>7</v>
      </c>
      <c r="N5" s="119" t="s">
        <v>80</v>
      </c>
    </row>
    <row r="6" spans="1:17" x14ac:dyDescent="0.25">
      <c r="A6" s="116">
        <v>46023</v>
      </c>
      <c r="B6" s="117" t="s">
        <v>106</v>
      </c>
      <c r="C6" s="125"/>
      <c r="E6" s="67">
        <v>46023</v>
      </c>
      <c r="F6" s="9"/>
      <c r="G6" s="120"/>
      <c r="I6" s="65">
        <v>46023</v>
      </c>
      <c r="J6" s="11"/>
      <c r="K6" s="120"/>
    </row>
    <row r="7" spans="1:17" x14ac:dyDescent="0.25">
      <c r="A7" s="116">
        <v>46023</v>
      </c>
      <c r="B7" s="117" t="s">
        <v>107</v>
      </c>
      <c r="C7" s="125"/>
      <c r="E7" s="67"/>
      <c r="F7" s="9"/>
      <c r="G7" s="120"/>
      <c r="I7" s="65"/>
      <c r="J7" s="11"/>
      <c r="K7" s="120"/>
    </row>
    <row r="8" spans="1:17" s="163" customFormat="1" ht="15.75" x14ac:dyDescent="0.25">
      <c r="A8" s="116">
        <v>46023</v>
      </c>
      <c r="B8" s="154" t="s">
        <v>108</v>
      </c>
      <c r="C8" s="155"/>
      <c r="D8" s="156"/>
      <c r="E8" s="157"/>
      <c r="F8" s="158"/>
      <c r="G8" s="159"/>
      <c r="H8" s="156"/>
      <c r="I8" s="160"/>
      <c r="J8" s="161"/>
      <c r="K8" s="162"/>
      <c r="N8" s="164" t="s">
        <v>72</v>
      </c>
      <c r="O8" s="165" t="s">
        <v>17</v>
      </c>
      <c r="P8" s="165" t="s">
        <v>70</v>
      </c>
    </row>
    <row r="9" spans="1:17" x14ac:dyDescent="0.25">
      <c r="A9" s="116">
        <v>46023</v>
      </c>
      <c r="B9" s="154" t="s">
        <v>109</v>
      </c>
      <c r="C9" s="125"/>
      <c r="E9" s="67"/>
      <c r="F9" s="9"/>
      <c r="G9" s="120"/>
      <c r="I9" s="67"/>
      <c r="J9" s="11"/>
      <c r="K9" s="120"/>
      <c r="N9" s="91" t="s">
        <v>18</v>
      </c>
      <c r="O9" s="82">
        <f>SUMIF(B6:B125,"OS - Ginger(Raw)",C6:C125)</f>
        <v>0</v>
      </c>
      <c r="P9" s="192">
        <f>SUM(O9:O10)</f>
        <v>0</v>
      </c>
    </row>
    <row r="10" spans="1:17" ht="15.75" customHeight="1" x14ac:dyDescent="0.25">
      <c r="A10" s="116">
        <v>46023</v>
      </c>
      <c r="B10" s="117" t="s">
        <v>110</v>
      </c>
      <c r="C10" s="125"/>
      <c r="E10" s="67"/>
      <c r="F10" s="9"/>
      <c r="G10" s="120"/>
      <c r="I10" s="67"/>
      <c r="J10" s="11"/>
      <c r="K10" s="120"/>
      <c r="N10" s="92" t="s">
        <v>8</v>
      </c>
      <c r="O10" s="76">
        <f>SUMIF(B6:B125,"Ginger",C6:C125)</f>
        <v>0</v>
      </c>
      <c r="P10" s="193"/>
    </row>
    <row r="11" spans="1:17" x14ac:dyDescent="0.25">
      <c r="A11" s="116">
        <v>46023</v>
      </c>
      <c r="B11" s="117" t="s">
        <v>111</v>
      </c>
      <c r="C11" s="125"/>
      <c r="E11" s="67"/>
      <c r="F11" s="9"/>
      <c r="G11" s="120"/>
      <c r="I11" s="65"/>
      <c r="J11" s="11"/>
      <c r="K11" s="120"/>
      <c r="N11" s="56" t="s">
        <v>19</v>
      </c>
      <c r="O11" s="57">
        <f>SUMIF(B6:B125,"OS - Garlic(Raw)",C6:C125)</f>
        <v>0</v>
      </c>
      <c r="P11" s="194">
        <f>SUM(O11:O12)</f>
        <v>0</v>
      </c>
      <c r="Q11" s="198">
        <f>SUM(P11:P14)</f>
        <v>0</v>
      </c>
    </row>
    <row r="12" spans="1:17" x14ac:dyDescent="0.25">
      <c r="A12" s="116">
        <v>46023</v>
      </c>
      <c r="B12" s="117" t="s">
        <v>112</v>
      </c>
      <c r="C12" s="125"/>
      <c r="E12" s="67"/>
      <c r="F12" s="9"/>
      <c r="G12" s="120"/>
      <c r="I12" s="65"/>
      <c r="J12" s="11"/>
      <c r="K12" s="120"/>
      <c r="N12" s="88" t="s">
        <v>74</v>
      </c>
      <c r="O12" s="78">
        <f>SUMIF(B6:B125,"Garlic",C6:C125)</f>
        <v>0</v>
      </c>
      <c r="P12" s="195"/>
      <c r="Q12" s="198"/>
    </row>
    <row r="13" spans="1:17" x14ac:dyDescent="0.25">
      <c r="A13" s="116">
        <v>46023</v>
      </c>
      <c r="B13" s="117" t="s">
        <v>112</v>
      </c>
      <c r="C13" s="125"/>
      <c r="E13" s="103"/>
      <c r="F13" s="9"/>
      <c r="G13" s="121"/>
      <c r="H13" s="108"/>
      <c r="I13" s="103"/>
      <c r="J13" s="11"/>
      <c r="K13" s="121"/>
      <c r="N13" s="93" t="s">
        <v>71</v>
      </c>
      <c r="O13" s="62">
        <f>SUMIF(B6:B125,"OS - Broken Garlic(Raw)",C6:C125)</f>
        <v>0</v>
      </c>
      <c r="P13" s="196">
        <f>SUM(O13:O14)</f>
        <v>0</v>
      </c>
      <c r="Q13" s="198"/>
    </row>
    <row r="14" spans="1:17" x14ac:dyDescent="0.25">
      <c r="A14" s="116">
        <v>46023</v>
      </c>
      <c r="B14" s="117" t="s">
        <v>113</v>
      </c>
      <c r="C14" s="125"/>
      <c r="E14" s="103"/>
      <c r="F14" s="9"/>
      <c r="G14" s="121"/>
      <c r="H14" s="108"/>
      <c r="I14" s="103"/>
      <c r="J14" s="11"/>
      <c r="K14" s="121"/>
      <c r="N14" s="94" t="s">
        <v>13</v>
      </c>
      <c r="O14" s="73">
        <f>SUMIF(B6:B125,"Broken Garlic",C6:C125)</f>
        <v>0</v>
      </c>
      <c r="P14" s="197"/>
      <c r="Q14" s="198"/>
    </row>
    <row r="15" spans="1:17" x14ac:dyDescent="0.25">
      <c r="A15" s="65"/>
      <c r="B15" s="9"/>
      <c r="C15" s="127"/>
      <c r="E15" s="103"/>
      <c r="F15" s="9"/>
      <c r="G15" s="121"/>
      <c r="H15" s="108"/>
      <c r="I15" s="103"/>
      <c r="J15" s="11"/>
      <c r="K15" s="121"/>
      <c r="N15" s="89" t="s">
        <v>68</v>
      </c>
      <c r="O15" s="90">
        <f>SUMIF(B6:B125,"OS - Garlic Peeled(Processed)",C6:C125)</f>
        <v>0</v>
      </c>
      <c r="P15" s="111">
        <f>O15</f>
        <v>0</v>
      </c>
    </row>
    <row r="16" spans="1:17" x14ac:dyDescent="0.25">
      <c r="A16" s="65"/>
      <c r="B16" s="9"/>
      <c r="C16" s="127"/>
      <c r="E16" s="103"/>
      <c r="F16" s="9"/>
      <c r="G16" s="121"/>
      <c r="H16" s="108"/>
      <c r="I16" s="103"/>
      <c r="J16" s="11"/>
      <c r="K16" s="121"/>
      <c r="N16" s="89" t="s">
        <v>69</v>
      </c>
      <c r="O16" s="90">
        <f>SUMIF(B6:B125,"OS - Ginger Peeled(Processed)",C6:C125)</f>
        <v>0</v>
      </c>
      <c r="P16" s="90"/>
    </row>
    <row r="17" spans="1:18" x14ac:dyDescent="0.25">
      <c r="A17" s="65"/>
      <c r="B17" s="9"/>
      <c r="C17" s="127"/>
      <c r="E17" s="103"/>
      <c r="F17" s="9"/>
      <c r="G17" s="121"/>
      <c r="H17" s="108"/>
      <c r="I17" s="103"/>
      <c r="J17" s="11"/>
      <c r="K17" s="121"/>
      <c r="N17" s="89" t="s">
        <v>67</v>
      </c>
      <c r="O17" s="90">
        <f>SUMIF(B6:B125,"OS - Ginger Garlic Paste(Processed)",C6:C125)</f>
        <v>0</v>
      </c>
      <c r="P17" s="90"/>
    </row>
    <row r="18" spans="1:18" x14ac:dyDescent="0.25">
      <c r="A18" s="65"/>
      <c r="B18" s="9"/>
      <c r="C18" s="127"/>
      <c r="E18" s="103"/>
      <c r="F18" s="9"/>
      <c r="G18" s="121"/>
      <c r="H18" s="108"/>
      <c r="I18" s="103"/>
      <c r="J18" s="11"/>
      <c r="K18" s="121"/>
      <c r="N18" s="89" t="s">
        <v>76</v>
      </c>
      <c r="O18" s="90">
        <f>SUMIF(B6:B125,"OS - Ginger Paste",C6:C125)</f>
        <v>0</v>
      </c>
      <c r="P18" s="90"/>
    </row>
    <row r="19" spans="1:18" x14ac:dyDescent="0.25">
      <c r="A19" s="65"/>
      <c r="B19" s="9"/>
      <c r="C19" s="127"/>
      <c r="E19" s="103"/>
      <c r="F19" s="9"/>
      <c r="G19" s="121"/>
      <c r="H19" s="108"/>
      <c r="I19" s="103"/>
      <c r="J19" s="11"/>
      <c r="K19" s="121"/>
      <c r="N19" s="89" t="s">
        <v>75</v>
      </c>
      <c r="O19" s="90">
        <f>SUMIF(B6:B125,"OS - Garlic Paste",C6:C125)</f>
        <v>0</v>
      </c>
      <c r="P19" s="90"/>
    </row>
    <row r="20" spans="1:18" x14ac:dyDescent="0.25">
      <c r="A20" s="65"/>
      <c r="B20" s="9"/>
      <c r="C20" s="127"/>
      <c r="E20" s="103"/>
      <c r="F20" s="9"/>
      <c r="G20" s="121"/>
      <c r="H20" s="108"/>
      <c r="I20" s="103"/>
      <c r="J20" s="11"/>
      <c r="K20" s="121"/>
    </row>
    <row r="21" spans="1:18" ht="15.75" x14ac:dyDescent="0.25">
      <c r="A21" s="65"/>
      <c r="B21" s="9"/>
      <c r="C21" s="127"/>
      <c r="E21" s="103"/>
      <c r="F21" s="9"/>
      <c r="G21" s="121"/>
      <c r="H21" s="108"/>
      <c r="I21" s="103"/>
      <c r="J21" s="11"/>
      <c r="K21" s="121"/>
      <c r="N21" s="109" t="s">
        <v>3</v>
      </c>
      <c r="O21" s="110" t="s">
        <v>17</v>
      </c>
      <c r="P21" s="110" t="s">
        <v>17</v>
      </c>
    </row>
    <row r="22" spans="1:18" x14ac:dyDescent="0.25">
      <c r="A22" s="65"/>
      <c r="B22" s="9"/>
      <c r="C22" s="127"/>
      <c r="E22" s="104"/>
      <c r="F22" s="101"/>
      <c r="G22" s="124"/>
      <c r="H22" s="108"/>
      <c r="I22" s="103"/>
      <c r="J22" s="11"/>
      <c r="K22" s="121"/>
      <c r="N22" s="44" t="s">
        <v>8</v>
      </c>
      <c r="O22" s="62">
        <f>SUMIF(F6:F125,"Ginger",G6:G125)</f>
        <v>0</v>
      </c>
      <c r="P22" s="100">
        <f>O22</f>
        <v>0</v>
      </c>
      <c r="R22" s="1">
        <f>SUM(P22:P24)</f>
        <v>0</v>
      </c>
    </row>
    <row r="23" spans="1:18" x14ac:dyDescent="0.25">
      <c r="A23" s="65"/>
      <c r="B23" s="9"/>
      <c r="C23" s="127"/>
      <c r="E23" s="103"/>
      <c r="F23" s="9"/>
      <c r="G23" s="121"/>
      <c r="H23" s="108"/>
      <c r="I23" s="103"/>
      <c r="J23" s="11"/>
      <c r="K23" s="121"/>
      <c r="N23" s="44" t="s">
        <v>9</v>
      </c>
      <c r="O23" s="63">
        <f>SUMIF(F6:F125,"Garlic",G6:G125)</f>
        <v>0</v>
      </c>
      <c r="P23" s="191">
        <f>SUM(O23:O24)</f>
        <v>0</v>
      </c>
    </row>
    <row r="24" spans="1:18" x14ac:dyDescent="0.25">
      <c r="A24" s="65"/>
      <c r="B24" s="9"/>
      <c r="C24" s="127"/>
      <c r="E24" s="103"/>
      <c r="F24" s="9"/>
      <c r="G24" s="121"/>
      <c r="H24" s="108"/>
      <c r="I24" s="118"/>
      <c r="J24" s="9"/>
      <c r="K24" s="122"/>
      <c r="N24" s="44" t="s">
        <v>13</v>
      </c>
      <c r="O24" s="63">
        <f>SUMIF(F6:F125,"Broken Garlic",G6:G125)</f>
        <v>0</v>
      </c>
      <c r="P24" s="191"/>
    </row>
    <row r="25" spans="1:18" x14ac:dyDescent="0.25">
      <c r="A25" s="65"/>
      <c r="B25" s="9"/>
      <c r="C25" s="127"/>
      <c r="E25" s="103"/>
      <c r="F25" s="9"/>
      <c r="G25" s="121"/>
      <c r="H25" s="108"/>
      <c r="I25" s="103"/>
      <c r="J25" s="11"/>
      <c r="K25" s="121"/>
    </row>
    <row r="26" spans="1:18" x14ac:dyDescent="0.25">
      <c r="A26" s="65"/>
      <c r="B26" s="9"/>
      <c r="C26" s="127"/>
      <c r="E26" s="103"/>
      <c r="F26" s="9"/>
      <c r="G26" s="121"/>
      <c r="H26" s="108"/>
      <c r="I26" s="103"/>
      <c r="J26" s="11"/>
      <c r="K26" s="121"/>
    </row>
    <row r="27" spans="1:18" ht="15.75" x14ac:dyDescent="0.25">
      <c r="A27" s="65"/>
      <c r="B27" s="9"/>
      <c r="C27" s="127"/>
      <c r="E27" s="103"/>
      <c r="F27" s="9"/>
      <c r="G27" s="121"/>
      <c r="H27" s="108"/>
      <c r="I27" s="103"/>
      <c r="J27" s="11"/>
      <c r="K27" s="121"/>
      <c r="N27" s="109" t="s">
        <v>4</v>
      </c>
      <c r="O27" s="110" t="s">
        <v>17</v>
      </c>
      <c r="P27" s="110" t="s">
        <v>79</v>
      </c>
    </row>
    <row r="28" spans="1:18" x14ac:dyDescent="0.25">
      <c r="A28" s="65"/>
      <c r="B28" s="9"/>
      <c r="C28" s="127"/>
      <c r="E28" s="103"/>
      <c r="F28" s="9"/>
      <c r="G28" s="121"/>
      <c r="H28" s="108"/>
      <c r="I28" s="103"/>
      <c r="J28" s="11"/>
      <c r="K28" s="121"/>
      <c r="N28" s="44" t="s">
        <v>12</v>
      </c>
      <c r="O28" s="87">
        <f>SUMIF(J6:J125,"Ginger Peeled",K6:K125)</f>
        <v>0</v>
      </c>
      <c r="P28" s="87">
        <f>SUM(O28,O16)</f>
        <v>0</v>
      </c>
      <c r="R28" s="1">
        <f>SUM(P28:P32)</f>
        <v>0</v>
      </c>
    </row>
    <row r="29" spans="1:18" x14ac:dyDescent="0.25">
      <c r="A29" s="65"/>
      <c r="B29" s="9"/>
      <c r="C29" s="127"/>
      <c r="E29" s="103"/>
      <c r="F29" s="9"/>
      <c r="G29" s="121"/>
      <c r="H29" s="108"/>
      <c r="I29" s="103"/>
      <c r="J29" s="11"/>
      <c r="K29" s="121"/>
      <c r="N29" s="44" t="s">
        <v>11</v>
      </c>
      <c r="O29" s="87">
        <f>SUMIF(J6:J125,"Garlic Peeled",K6:K125)</f>
        <v>0</v>
      </c>
      <c r="P29" s="87">
        <f>SUM(O29,O15)</f>
        <v>0</v>
      </c>
    </row>
    <row r="30" spans="1:18" x14ac:dyDescent="0.25">
      <c r="A30" s="65"/>
      <c r="B30" s="9"/>
      <c r="C30" s="127"/>
      <c r="E30" s="104"/>
      <c r="F30" s="101"/>
      <c r="G30" s="124"/>
      <c r="H30" s="108"/>
      <c r="I30" s="103"/>
      <c r="J30" s="11"/>
      <c r="K30" s="121"/>
      <c r="N30" s="44" t="s">
        <v>10</v>
      </c>
      <c r="O30" s="87">
        <f>SUMIF(J6:J125,"Ginger Garlic Paste",K6:K125)</f>
        <v>0</v>
      </c>
      <c r="P30" s="87">
        <f>SUM(O30,O17)</f>
        <v>0</v>
      </c>
    </row>
    <row r="31" spans="1:18" x14ac:dyDescent="0.25">
      <c r="A31" s="65"/>
      <c r="B31" s="9"/>
      <c r="C31" s="127"/>
      <c r="E31" s="104"/>
      <c r="F31" s="101"/>
      <c r="G31" s="124"/>
      <c r="H31" s="108"/>
      <c r="I31" s="103"/>
      <c r="J31" s="11"/>
      <c r="K31" s="121"/>
      <c r="N31" s="44" t="s">
        <v>76</v>
      </c>
      <c r="O31" s="87">
        <f>SUMIF(J6:J125,"Ginger Paste",K6:K125)</f>
        <v>0</v>
      </c>
      <c r="P31" s="87">
        <f>SUM(O31,O18)</f>
        <v>0</v>
      </c>
    </row>
    <row r="32" spans="1:18" x14ac:dyDescent="0.25">
      <c r="A32" s="65"/>
      <c r="B32" s="9"/>
      <c r="C32" s="127"/>
      <c r="E32" s="103"/>
      <c r="F32" s="9"/>
      <c r="G32" s="121"/>
      <c r="H32" s="108"/>
      <c r="I32" s="103"/>
      <c r="J32" s="11"/>
      <c r="K32" s="121"/>
      <c r="N32" s="44" t="s">
        <v>75</v>
      </c>
      <c r="O32" s="87">
        <f>SUMIF(J6:J125,"Garlic Paste",K6:K125)</f>
        <v>0</v>
      </c>
      <c r="P32" s="87">
        <f>SUM(O32,O19)</f>
        <v>0</v>
      </c>
    </row>
    <row r="33" spans="1:16" x14ac:dyDescent="0.25">
      <c r="A33" s="65"/>
      <c r="B33" s="9"/>
      <c r="C33" s="127"/>
      <c r="E33" s="103"/>
      <c r="F33" s="9"/>
      <c r="G33" s="121"/>
      <c r="H33" s="108"/>
      <c r="I33" s="103"/>
      <c r="J33" s="11"/>
      <c r="K33" s="121"/>
      <c r="P33" s="2"/>
    </row>
    <row r="34" spans="1:16" ht="15.75" x14ac:dyDescent="0.25">
      <c r="A34" s="65"/>
      <c r="B34" s="9"/>
      <c r="C34" s="127"/>
      <c r="E34" s="103"/>
      <c r="F34" s="9"/>
      <c r="G34" s="121"/>
      <c r="H34" s="108"/>
      <c r="I34" s="103"/>
      <c r="J34" s="11"/>
      <c r="K34" s="121"/>
      <c r="N34" s="110" t="s">
        <v>14</v>
      </c>
      <c r="O34" s="110" t="s">
        <v>17</v>
      </c>
      <c r="P34" s="2"/>
    </row>
    <row r="35" spans="1:16" x14ac:dyDescent="0.25">
      <c r="A35" s="65"/>
      <c r="B35" s="9"/>
      <c r="C35" s="127"/>
      <c r="E35" s="103"/>
      <c r="F35" s="9"/>
      <c r="G35" s="121"/>
      <c r="H35" s="108"/>
      <c r="I35" s="103"/>
      <c r="J35" s="11"/>
      <c r="K35" s="121"/>
      <c r="N35" s="102" t="s">
        <v>73</v>
      </c>
      <c r="O35" s="87">
        <f>P9-P22</f>
        <v>0</v>
      </c>
      <c r="P35" s="2"/>
    </row>
    <row r="36" spans="1:16" x14ac:dyDescent="0.25">
      <c r="A36" s="65"/>
      <c r="B36" s="9"/>
      <c r="C36" s="127"/>
      <c r="E36" s="103"/>
      <c r="F36" s="9"/>
      <c r="G36" s="121"/>
      <c r="H36" s="108"/>
      <c r="I36" s="103"/>
      <c r="J36" s="11"/>
      <c r="K36" s="121"/>
      <c r="N36" s="102" t="s">
        <v>9</v>
      </c>
      <c r="O36" s="87">
        <f>Q11-P23</f>
        <v>0</v>
      </c>
      <c r="P36" s="2"/>
    </row>
    <row r="37" spans="1:16" x14ac:dyDescent="0.25">
      <c r="A37" s="65"/>
      <c r="B37" s="9"/>
      <c r="C37" s="127"/>
      <c r="E37" s="103"/>
      <c r="F37" s="9"/>
      <c r="G37" s="121"/>
      <c r="H37" s="108"/>
      <c r="I37" s="103"/>
      <c r="J37" s="11"/>
      <c r="K37" s="121"/>
      <c r="L37" s="1" t="s">
        <v>83</v>
      </c>
    </row>
    <row r="38" spans="1:16" x14ac:dyDescent="0.25">
      <c r="A38" s="65"/>
      <c r="B38" s="9"/>
      <c r="C38" s="127"/>
      <c r="E38" s="103"/>
      <c r="F38" s="9"/>
      <c r="G38" s="121"/>
      <c r="H38" s="108"/>
      <c r="I38" s="103"/>
      <c r="J38" s="11"/>
      <c r="K38" s="121"/>
    </row>
    <row r="39" spans="1:16" x14ac:dyDescent="0.25">
      <c r="A39" s="65"/>
      <c r="B39" s="9"/>
      <c r="C39" s="127"/>
      <c r="E39" s="103"/>
      <c r="F39" s="9"/>
      <c r="G39" s="120"/>
      <c r="I39" s="65"/>
      <c r="J39" s="11"/>
      <c r="K39" s="120"/>
    </row>
    <row r="40" spans="1:16" x14ac:dyDescent="0.25">
      <c r="A40" s="65"/>
      <c r="B40" s="9"/>
      <c r="C40" s="127"/>
      <c r="E40" s="67"/>
      <c r="F40" s="9"/>
      <c r="G40" s="120"/>
      <c r="I40" s="103"/>
      <c r="J40" s="11"/>
      <c r="K40" s="120"/>
    </row>
    <row r="41" spans="1:16" x14ac:dyDescent="0.25">
      <c r="A41" s="65"/>
      <c r="B41" s="9"/>
      <c r="C41" s="127"/>
      <c r="E41" s="67"/>
      <c r="F41" s="9"/>
      <c r="G41" s="120"/>
      <c r="I41" s="103"/>
      <c r="J41" s="11"/>
      <c r="K41" s="120"/>
    </row>
    <row r="42" spans="1:16" x14ac:dyDescent="0.25">
      <c r="A42" s="65"/>
      <c r="B42" s="9"/>
      <c r="C42" s="127"/>
      <c r="E42" s="67"/>
      <c r="F42" s="9"/>
      <c r="G42" s="120"/>
      <c r="I42" s="67"/>
      <c r="J42" s="11"/>
      <c r="K42" s="120"/>
    </row>
    <row r="43" spans="1:16" x14ac:dyDescent="0.25">
      <c r="A43" s="65"/>
      <c r="B43" s="9"/>
      <c r="C43" s="127"/>
      <c r="E43" s="67"/>
      <c r="F43" s="9"/>
      <c r="G43" s="120"/>
      <c r="I43" s="67"/>
      <c r="J43" s="11"/>
      <c r="K43" s="120"/>
    </row>
    <row r="44" spans="1:16" x14ac:dyDescent="0.25">
      <c r="A44" s="65"/>
      <c r="B44" s="9"/>
      <c r="C44" s="127"/>
      <c r="E44" s="67"/>
      <c r="F44" s="9"/>
      <c r="G44" s="120"/>
      <c r="I44" s="67"/>
      <c r="J44" s="11"/>
      <c r="K44" s="120"/>
      <c r="N44" s="1">
        <v>1296</v>
      </c>
    </row>
    <row r="45" spans="1:16" x14ac:dyDescent="0.25">
      <c r="A45" s="65"/>
      <c r="B45" s="9"/>
      <c r="C45" s="127"/>
      <c r="E45" s="67"/>
      <c r="F45" s="9"/>
      <c r="G45" s="120"/>
      <c r="I45" s="67"/>
      <c r="J45" s="11"/>
      <c r="K45" s="120"/>
    </row>
    <row r="46" spans="1:16" x14ac:dyDescent="0.25">
      <c r="A46" s="65"/>
      <c r="B46" s="9"/>
      <c r="C46" s="127"/>
      <c r="E46" s="67"/>
      <c r="F46" s="9"/>
      <c r="G46" s="120"/>
      <c r="I46" s="67"/>
      <c r="J46" s="11"/>
      <c r="K46" s="120"/>
    </row>
    <row r="47" spans="1:16" x14ac:dyDescent="0.25">
      <c r="A47" s="65"/>
      <c r="B47" s="9"/>
      <c r="C47" s="127"/>
      <c r="E47" s="67"/>
      <c r="F47" s="9"/>
      <c r="G47" s="120"/>
      <c r="I47" s="67"/>
      <c r="J47" s="23"/>
      <c r="K47" s="120"/>
    </row>
    <row r="48" spans="1:16" x14ac:dyDescent="0.25">
      <c r="A48" s="65"/>
      <c r="B48" s="9"/>
      <c r="C48" s="127"/>
      <c r="E48" s="67"/>
      <c r="F48" s="9"/>
      <c r="G48" s="120"/>
      <c r="I48" s="67"/>
      <c r="J48" s="11"/>
      <c r="K48" s="120"/>
    </row>
    <row r="49" spans="1:11" x14ac:dyDescent="0.25">
      <c r="A49" s="65"/>
      <c r="B49" s="9"/>
      <c r="C49" s="127"/>
      <c r="E49" s="67"/>
      <c r="F49" s="9"/>
      <c r="G49" s="120"/>
      <c r="I49" s="67"/>
      <c r="J49" s="11"/>
      <c r="K49" s="120"/>
    </row>
    <row r="50" spans="1:11" x14ac:dyDescent="0.25">
      <c r="A50" s="65"/>
      <c r="B50" s="9"/>
      <c r="C50" s="127"/>
      <c r="E50" s="67"/>
      <c r="F50" s="9"/>
      <c r="G50" s="120"/>
      <c r="I50" s="67"/>
      <c r="J50" s="23"/>
      <c r="K50" s="120"/>
    </row>
    <row r="51" spans="1:11" x14ac:dyDescent="0.25">
      <c r="A51" s="65"/>
      <c r="B51" s="9"/>
      <c r="C51" s="127"/>
      <c r="E51" s="67"/>
      <c r="F51" s="9"/>
      <c r="G51" s="120"/>
      <c r="I51" s="67"/>
      <c r="J51" s="11"/>
      <c r="K51" s="120"/>
    </row>
    <row r="52" spans="1:11" x14ac:dyDescent="0.25">
      <c r="A52" s="65"/>
      <c r="B52" s="9"/>
      <c r="C52" s="127"/>
      <c r="E52" s="67"/>
      <c r="F52" s="9"/>
      <c r="G52" s="120"/>
      <c r="I52" s="67"/>
      <c r="J52" s="11"/>
      <c r="K52" s="120"/>
    </row>
    <row r="53" spans="1:11" x14ac:dyDescent="0.25">
      <c r="A53" s="65"/>
      <c r="B53" s="9"/>
      <c r="C53" s="127"/>
      <c r="E53" s="67"/>
      <c r="F53" s="9"/>
      <c r="G53" s="120"/>
      <c r="I53" s="67"/>
      <c r="J53" s="23"/>
      <c r="K53" s="120"/>
    </row>
    <row r="54" spans="1:11" x14ac:dyDescent="0.25">
      <c r="A54" s="65"/>
      <c r="B54" s="9"/>
      <c r="C54" s="127"/>
      <c r="E54" s="67"/>
      <c r="F54" s="9"/>
      <c r="G54" s="120"/>
      <c r="I54" s="67"/>
      <c r="J54" s="11"/>
      <c r="K54" s="120"/>
    </row>
    <row r="55" spans="1:11" x14ac:dyDescent="0.25">
      <c r="A55" s="65"/>
      <c r="B55" s="9"/>
      <c r="C55" s="127"/>
      <c r="E55" s="67"/>
      <c r="F55" s="9"/>
      <c r="G55" s="120"/>
      <c r="I55" s="67"/>
      <c r="J55" s="11"/>
      <c r="K55" s="120"/>
    </row>
    <row r="56" spans="1:11" x14ac:dyDescent="0.25">
      <c r="A56" s="65"/>
      <c r="B56" s="9"/>
      <c r="C56" s="127"/>
      <c r="E56" s="67"/>
      <c r="F56" s="9"/>
      <c r="G56" s="120"/>
      <c r="I56" s="67"/>
      <c r="J56" s="23"/>
      <c r="K56" s="120"/>
    </row>
    <row r="57" spans="1:11" x14ac:dyDescent="0.25">
      <c r="A57" s="65"/>
      <c r="B57" s="9"/>
      <c r="C57" s="127"/>
      <c r="E57" s="67"/>
      <c r="F57" s="9"/>
      <c r="G57" s="120"/>
      <c r="I57" s="67"/>
      <c r="J57" s="11"/>
      <c r="K57" s="120"/>
    </row>
    <row r="58" spans="1:11" x14ac:dyDescent="0.25">
      <c r="A58" s="65"/>
      <c r="B58" s="9"/>
      <c r="C58" s="127"/>
      <c r="E58" s="67"/>
      <c r="F58" s="9"/>
      <c r="G58" s="120"/>
      <c r="I58" s="67"/>
      <c r="J58" s="11"/>
      <c r="K58" s="120"/>
    </row>
    <row r="59" spans="1:11" x14ac:dyDescent="0.25">
      <c r="A59" s="65"/>
      <c r="B59" s="9"/>
      <c r="C59" s="127"/>
      <c r="E59" s="67"/>
      <c r="F59" s="9"/>
      <c r="G59" s="120"/>
      <c r="I59" s="67"/>
      <c r="J59" s="23"/>
      <c r="K59" s="120"/>
    </row>
    <row r="60" spans="1:11" x14ac:dyDescent="0.25">
      <c r="A60" s="65"/>
      <c r="B60" s="9"/>
      <c r="C60" s="127"/>
      <c r="E60" s="67"/>
      <c r="F60" s="9"/>
      <c r="G60" s="120"/>
      <c r="I60" s="67"/>
      <c r="J60" s="11"/>
      <c r="K60" s="120"/>
    </row>
    <row r="61" spans="1:11" x14ac:dyDescent="0.25">
      <c r="A61" s="65"/>
      <c r="B61" s="9"/>
      <c r="C61" s="127"/>
      <c r="E61" s="67"/>
      <c r="F61" s="9"/>
      <c r="G61" s="120"/>
      <c r="I61" s="67"/>
      <c r="J61" s="11"/>
      <c r="K61" s="120"/>
    </row>
    <row r="62" spans="1:11" x14ac:dyDescent="0.25">
      <c r="A62" s="65"/>
      <c r="B62" s="9"/>
      <c r="C62" s="127"/>
      <c r="E62" s="67"/>
      <c r="F62" s="9"/>
      <c r="G62" s="120"/>
      <c r="I62" s="67"/>
      <c r="J62" s="23"/>
      <c r="K62" s="120"/>
    </row>
    <row r="63" spans="1:11" x14ac:dyDescent="0.25">
      <c r="A63" s="65"/>
      <c r="B63" s="9"/>
      <c r="C63" s="127"/>
      <c r="E63" s="67"/>
      <c r="F63" s="9"/>
      <c r="G63" s="120"/>
      <c r="I63" s="67"/>
      <c r="J63" s="11"/>
      <c r="K63" s="120"/>
    </row>
    <row r="64" spans="1:11" x14ac:dyDescent="0.25">
      <c r="A64" s="65"/>
      <c r="B64" s="9"/>
      <c r="C64" s="127"/>
      <c r="E64" s="67"/>
      <c r="F64" s="9"/>
      <c r="G64" s="120"/>
      <c r="I64" s="67"/>
      <c r="J64" s="11"/>
      <c r="K64" s="120"/>
    </row>
    <row r="65" spans="1:11" x14ac:dyDescent="0.25">
      <c r="A65" s="65"/>
      <c r="B65" s="9"/>
      <c r="C65" s="127"/>
      <c r="E65" s="67"/>
      <c r="F65" s="9"/>
      <c r="G65" s="120"/>
      <c r="I65" s="67"/>
      <c r="J65" s="23"/>
      <c r="K65" s="120"/>
    </row>
    <row r="66" spans="1:11" x14ac:dyDescent="0.25">
      <c r="A66" s="65"/>
      <c r="B66" s="9"/>
      <c r="C66" s="127"/>
      <c r="E66" s="67"/>
      <c r="F66" s="9"/>
      <c r="G66" s="120"/>
      <c r="I66" s="67"/>
      <c r="J66" s="11"/>
      <c r="K66" s="120"/>
    </row>
    <row r="67" spans="1:11" x14ac:dyDescent="0.25">
      <c r="A67" s="65"/>
      <c r="B67" s="9"/>
      <c r="C67" s="127"/>
      <c r="E67" s="67"/>
      <c r="F67" s="9"/>
      <c r="G67" s="120"/>
      <c r="I67" s="67"/>
      <c r="J67" s="11"/>
      <c r="K67" s="120"/>
    </row>
    <row r="68" spans="1:11" x14ac:dyDescent="0.25">
      <c r="A68" s="65"/>
      <c r="B68" s="9"/>
      <c r="C68" s="127"/>
      <c r="E68" s="67"/>
      <c r="F68" s="9"/>
      <c r="G68" s="120"/>
      <c r="I68" s="67"/>
      <c r="J68" s="23"/>
      <c r="K68" s="120"/>
    </row>
    <row r="69" spans="1:11" x14ac:dyDescent="0.25">
      <c r="A69" s="65"/>
      <c r="B69" s="9"/>
      <c r="C69" s="127"/>
      <c r="E69" s="67"/>
      <c r="F69" s="9"/>
      <c r="G69" s="120"/>
      <c r="I69" s="67"/>
      <c r="J69" s="11"/>
      <c r="K69" s="120"/>
    </row>
    <row r="70" spans="1:11" x14ac:dyDescent="0.25">
      <c r="A70" s="65"/>
      <c r="B70" s="9"/>
      <c r="C70" s="127"/>
      <c r="E70" s="67"/>
      <c r="F70" s="9"/>
      <c r="G70" s="120"/>
      <c r="I70" s="67"/>
      <c r="J70" s="11"/>
      <c r="K70" s="120"/>
    </row>
    <row r="71" spans="1:11" x14ac:dyDescent="0.25">
      <c r="A71" s="65"/>
      <c r="B71" s="9"/>
      <c r="C71" s="127"/>
      <c r="E71" s="67"/>
      <c r="F71" s="9"/>
      <c r="G71" s="120"/>
      <c r="I71" s="67"/>
      <c r="J71" s="23"/>
      <c r="K71" s="120"/>
    </row>
    <row r="72" spans="1:11" x14ac:dyDescent="0.25">
      <c r="A72" s="65"/>
      <c r="B72" s="9"/>
      <c r="C72" s="127"/>
      <c r="E72" s="67"/>
      <c r="F72" s="9"/>
      <c r="G72" s="120"/>
      <c r="I72" s="67"/>
      <c r="J72" s="11"/>
      <c r="K72" s="120"/>
    </row>
    <row r="73" spans="1:11" x14ac:dyDescent="0.25">
      <c r="A73" s="65"/>
      <c r="B73" s="9"/>
      <c r="C73" s="127"/>
      <c r="E73" s="67"/>
      <c r="F73" s="9"/>
      <c r="G73" s="120"/>
      <c r="I73" s="67"/>
      <c r="J73" s="11"/>
      <c r="K73" s="120"/>
    </row>
    <row r="74" spans="1:11" x14ac:dyDescent="0.25">
      <c r="A74" s="65"/>
      <c r="B74" s="9"/>
      <c r="C74" s="127"/>
      <c r="E74" s="67"/>
      <c r="F74" s="9"/>
      <c r="G74" s="120"/>
      <c r="I74" s="67"/>
      <c r="J74" s="23"/>
      <c r="K74" s="120"/>
    </row>
    <row r="75" spans="1:11" x14ac:dyDescent="0.25">
      <c r="A75" s="65"/>
      <c r="B75" s="9"/>
      <c r="C75" s="127"/>
      <c r="E75" s="67"/>
      <c r="F75" s="9"/>
      <c r="G75" s="120"/>
      <c r="I75" s="67"/>
      <c r="J75" s="11"/>
      <c r="K75" s="120"/>
    </row>
    <row r="76" spans="1:11" x14ac:dyDescent="0.25">
      <c r="A76" s="65"/>
      <c r="B76" s="9"/>
      <c r="C76" s="127"/>
      <c r="E76" s="67"/>
      <c r="F76" s="9"/>
      <c r="G76" s="120"/>
      <c r="I76" s="67"/>
      <c r="J76" s="11"/>
      <c r="K76" s="120"/>
    </row>
    <row r="77" spans="1:11" x14ac:dyDescent="0.25">
      <c r="A77" s="65"/>
      <c r="B77" s="9"/>
      <c r="C77" s="127"/>
      <c r="E77" s="67"/>
      <c r="F77" s="9"/>
      <c r="G77" s="120"/>
      <c r="I77" s="67"/>
      <c r="J77" s="23"/>
      <c r="K77" s="120"/>
    </row>
    <row r="78" spans="1:11" x14ac:dyDescent="0.25">
      <c r="A78" s="65"/>
      <c r="B78" s="9"/>
      <c r="C78" s="127"/>
      <c r="E78" s="67"/>
      <c r="F78" s="9"/>
      <c r="G78" s="120"/>
      <c r="I78" s="67"/>
      <c r="J78" s="11"/>
      <c r="K78" s="120"/>
    </row>
    <row r="79" spans="1:11" x14ac:dyDescent="0.25">
      <c r="A79" s="65"/>
      <c r="B79" s="9"/>
      <c r="C79" s="127"/>
      <c r="E79" s="67"/>
      <c r="F79" s="9"/>
      <c r="G79" s="120"/>
      <c r="I79" s="67"/>
      <c r="J79" s="11"/>
      <c r="K79" s="120"/>
    </row>
    <row r="80" spans="1:11" x14ac:dyDescent="0.25">
      <c r="A80" s="65"/>
      <c r="B80" s="9"/>
      <c r="C80" s="127"/>
      <c r="E80" s="67"/>
      <c r="F80" s="9"/>
      <c r="G80" s="120"/>
      <c r="I80" s="67"/>
      <c r="J80" s="23"/>
      <c r="K80" s="120"/>
    </row>
    <row r="81" spans="1:11" x14ac:dyDescent="0.25">
      <c r="A81" s="65"/>
      <c r="B81" s="9"/>
      <c r="C81" s="127"/>
      <c r="E81" s="67"/>
      <c r="F81" s="9"/>
      <c r="G81" s="120"/>
      <c r="I81" s="67"/>
      <c r="J81" s="11"/>
      <c r="K81" s="120"/>
    </row>
    <row r="82" spans="1:11" x14ac:dyDescent="0.25">
      <c r="A82" s="65"/>
      <c r="B82" s="9"/>
      <c r="C82" s="127"/>
      <c r="E82" s="67"/>
      <c r="F82" s="9"/>
      <c r="G82" s="120"/>
      <c r="I82" s="67"/>
      <c r="J82" s="11"/>
      <c r="K82" s="120"/>
    </row>
    <row r="83" spans="1:11" x14ac:dyDescent="0.25">
      <c r="A83" s="65"/>
      <c r="B83" s="9"/>
      <c r="C83" s="127"/>
      <c r="E83" s="67"/>
      <c r="F83" s="9"/>
      <c r="G83" s="120"/>
      <c r="I83" s="67"/>
      <c r="J83" s="23"/>
      <c r="K83" s="120"/>
    </row>
    <row r="84" spans="1:11" x14ac:dyDescent="0.25">
      <c r="A84" s="65"/>
      <c r="B84" s="9"/>
      <c r="C84" s="127"/>
      <c r="E84" s="67"/>
      <c r="F84" s="9"/>
      <c r="G84" s="120"/>
      <c r="I84" s="67"/>
      <c r="J84" s="11"/>
      <c r="K84" s="120"/>
    </row>
    <row r="85" spans="1:11" x14ac:dyDescent="0.25">
      <c r="A85" s="65"/>
      <c r="B85" s="9"/>
      <c r="C85" s="127"/>
      <c r="E85" s="67"/>
      <c r="F85" s="9"/>
      <c r="G85" s="120"/>
      <c r="I85" s="67"/>
      <c r="J85" s="11"/>
      <c r="K85" s="120"/>
    </row>
    <row r="86" spans="1:11" x14ac:dyDescent="0.25">
      <c r="A86" s="65"/>
      <c r="B86" s="9"/>
      <c r="C86" s="127"/>
      <c r="E86" s="67"/>
      <c r="F86" s="9"/>
      <c r="G86" s="120"/>
      <c r="I86" s="67"/>
      <c r="J86" s="23"/>
      <c r="K86" s="120"/>
    </row>
    <row r="87" spans="1:11" x14ac:dyDescent="0.25">
      <c r="A87" s="65"/>
      <c r="B87" s="9"/>
      <c r="C87" s="127"/>
      <c r="E87" s="67"/>
      <c r="F87" s="9"/>
      <c r="G87" s="120"/>
      <c r="I87" s="67"/>
      <c r="J87" s="11"/>
      <c r="K87" s="120"/>
    </row>
    <row r="88" spans="1:11" x14ac:dyDescent="0.25">
      <c r="A88" s="65"/>
      <c r="B88" s="9"/>
      <c r="C88" s="127"/>
      <c r="E88" s="67"/>
      <c r="F88" s="9"/>
      <c r="G88" s="120"/>
      <c r="I88" s="67"/>
      <c r="J88" s="11"/>
      <c r="K88" s="120"/>
    </row>
    <row r="89" spans="1:11" x14ac:dyDescent="0.25">
      <c r="A89" s="65"/>
      <c r="B89" s="9"/>
      <c r="C89" s="127"/>
      <c r="E89" s="67"/>
      <c r="F89" s="9"/>
      <c r="G89" s="120"/>
      <c r="I89" s="67"/>
      <c r="J89" s="23"/>
      <c r="K89" s="120"/>
    </row>
    <row r="90" spans="1:11" x14ac:dyDescent="0.25">
      <c r="A90" s="65"/>
      <c r="B90" s="9"/>
      <c r="C90" s="127"/>
      <c r="E90" s="67"/>
      <c r="F90" s="9"/>
      <c r="G90" s="120"/>
      <c r="I90" s="67"/>
      <c r="J90" s="11"/>
      <c r="K90" s="120"/>
    </row>
    <row r="91" spans="1:11" x14ac:dyDescent="0.25">
      <c r="A91" s="65"/>
      <c r="B91" s="9"/>
      <c r="C91" s="127"/>
      <c r="E91" s="67"/>
      <c r="F91" s="9"/>
      <c r="G91" s="120"/>
      <c r="I91" s="67"/>
      <c r="J91" s="11"/>
      <c r="K91" s="120"/>
    </row>
    <row r="92" spans="1:11" x14ac:dyDescent="0.25">
      <c r="A92" s="65"/>
      <c r="B92" s="9"/>
      <c r="C92" s="127"/>
      <c r="E92" s="67"/>
      <c r="F92" s="9"/>
      <c r="G92" s="120"/>
      <c r="I92" s="67"/>
      <c r="J92" s="23"/>
      <c r="K92" s="120"/>
    </row>
    <row r="93" spans="1:11" x14ac:dyDescent="0.25">
      <c r="A93" s="65"/>
      <c r="B93" s="9"/>
      <c r="C93" s="127"/>
      <c r="E93" s="67"/>
      <c r="F93" s="9"/>
      <c r="G93" s="120"/>
      <c r="I93" s="67"/>
      <c r="J93" s="11"/>
      <c r="K93" s="120"/>
    </row>
    <row r="94" spans="1:11" x14ac:dyDescent="0.25">
      <c r="A94" s="65"/>
      <c r="B94" s="9"/>
      <c r="C94" s="127"/>
      <c r="E94" s="67"/>
      <c r="F94" s="9"/>
      <c r="G94" s="120"/>
      <c r="I94" s="67"/>
      <c r="J94" s="11"/>
      <c r="K94" s="120"/>
    </row>
    <row r="95" spans="1:11" x14ac:dyDescent="0.25">
      <c r="A95" s="65"/>
      <c r="B95" s="9"/>
      <c r="C95" s="127"/>
      <c r="E95" s="67"/>
      <c r="F95" s="9"/>
      <c r="G95" s="120"/>
      <c r="I95" s="67"/>
      <c r="J95" s="23"/>
      <c r="K95" s="120"/>
    </row>
    <row r="96" spans="1:11" x14ac:dyDescent="0.25">
      <c r="A96" s="65"/>
      <c r="B96" s="9"/>
      <c r="C96" s="127"/>
      <c r="E96" s="67"/>
      <c r="F96" s="9"/>
      <c r="G96" s="120"/>
      <c r="I96" s="67"/>
      <c r="J96" s="11"/>
      <c r="K96" s="120"/>
    </row>
    <row r="97" spans="1:11" x14ac:dyDescent="0.25">
      <c r="A97" s="65"/>
      <c r="B97" s="9"/>
      <c r="C97" s="127"/>
      <c r="E97" s="67"/>
      <c r="F97" s="9"/>
      <c r="G97" s="120"/>
      <c r="I97" s="67"/>
      <c r="J97" s="11"/>
      <c r="K97" s="120"/>
    </row>
    <row r="98" spans="1:11" x14ac:dyDescent="0.25">
      <c r="A98" s="65"/>
      <c r="B98" s="9"/>
      <c r="C98" s="127"/>
      <c r="E98" s="67"/>
      <c r="F98" s="9"/>
      <c r="G98" s="120"/>
      <c r="I98" s="67"/>
      <c r="J98" s="23"/>
      <c r="K98" s="120"/>
    </row>
    <row r="99" spans="1:11" x14ac:dyDescent="0.25">
      <c r="A99" s="65"/>
      <c r="B99" s="9"/>
      <c r="C99" s="127"/>
      <c r="E99" s="67"/>
      <c r="F99" s="9"/>
      <c r="G99" s="120"/>
      <c r="I99" s="67"/>
      <c r="J99" s="11"/>
      <c r="K99" s="120"/>
    </row>
    <row r="100" spans="1:11" x14ac:dyDescent="0.25">
      <c r="A100" s="65"/>
      <c r="B100" s="9"/>
      <c r="C100" s="127"/>
      <c r="E100" s="67"/>
      <c r="F100" s="9"/>
      <c r="G100" s="120"/>
      <c r="I100" s="67"/>
      <c r="J100" s="11"/>
      <c r="K100" s="120"/>
    </row>
    <row r="101" spans="1:11" x14ac:dyDescent="0.25">
      <c r="A101" s="65"/>
      <c r="B101" s="9"/>
      <c r="C101" s="127"/>
      <c r="E101" s="67"/>
      <c r="F101" s="9"/>
      <c r="G101" s="120"/>
      <c r="I101" s="67"/>
      <c r="J101" s="23"/>
      <c r="K101" s="120"/>
    </row>
    <row r="102" spans="1:11" x14ac:dyDescent="0.25">
      <c r="A102" s="65"/>
      <c r="B102" s="9"/>
      <c r="C102" s="127"/>
      <c r="E102" s="67"/>
      <c r="F102" s="9"/>
      <c r="G102" s="120"/>
      <c r="I102" s="67"/>
      <c r="J102" s="11"/>
      <c r="K102" s="120"/>
    </row>
    <row r="103" spans="1:11" x14ac:dyDescent="0.25">
      <c r="A103" s="65"/>
      <c r="B103" s="9"/>
      <c r="C103" s="127"/>
      <c r="E103" s="67"/>
      <c r="F103" s="9"/>
      <c r="G103" s="120"/>
      <c r="I103" s="67"/>
      <c r="J103" s="11"/>
      <c r="K103" s="120"/>
    </row>
    <row r="104" spans="1:11" x14ac:dyDescent="0.25">
      <c r="A104" s="65"/>
      <c r="B104" s="9"/>
      <c r="C104" s="127"/>
      <c r="E104" s="67"/>
      <c r="F104" s="9"/>
      <c r="G104" s="120"/>
      <c r="I104" s="67"/>
      <c r="J104" s="23"/>
      <c r="K104" s="120"/>
    </row>
    <row r="105" spans="1:11" x14ac:dyDescent="0.25">
      <c r="A105" s="65"/>
      <c r="B105" s="9"/>
      <c r="C105" s="127"/>
      <c r="E105" s="67"/>
      <c r="F105" s="9"/>
      <c r="G105" s="120"/>
      <c r="I105" s="67"/>
      <c r="J105" s="11"/>
      <c r="K105" s="120"/>
    </row>
    <row r="106" spans="1:11" x14ac:dyDescent="0.25">
      <c r="A106" s="65"/>
      <c r="B106" s="9"/>
      <c r="C106" s="127"/>
      <c r="E106" s="67"/>
      <c r="F106" s="9"/>
      <c r="G106" s="120"/>
      <c r="I106" s="67"/>
      <c r="J106" s="11"/>
      <c r="K106" s="120"/>
    </row>
    <row r="107" spans="1:11" x14ac:dyDescent="0.25">
      <c r="A107" s="65"/>
      <c r="B107" s="9"/>
      <c r="C107" s="127"/>
      <c r="E107" s="67"/>
      <c r="F107" s="9"/>
      <c r="G107" s="120"/>
      <c r="I107" s="67"/>
      <c r="J107" s="23"/>
      <c r="K107" s="120"/>
    </row>
    <row r="108" spans="1:11" x14ac:dyDescent="0.25">
      <c r="A108" s="65"/>
      <c r="B108" s="9"/>
      <c r="C108" s="127"/>
      <c r="E108" s="67"/>
      <c r="F108" s="9"/>
      <c r="G108" s="120"/>
      <c r="I108" s="67"/>
      <c r="J108" s="11"/>
      <c r="K108" s="120"/>
    </row>
    <row r="109" spans="1:11" x14ac:dyDescent="0.25">
      <c r="A109" s="65"/>
      <c r="B109" s="9"/>
      <c r="C109" s="127"/>
      <c r="E109" s="67"/>
      <c r="F109" s="9"/>
      <c r="G109" s="120"/>
      <c r="I109" s="67"/>
      <c r="J109" s="11"/>
      <c r="K109" s="120"/>
    </row>
    <row r="110" spans="1:11" x14ac:dyDescent="0.25">
      <c r="A110" s="65"/>
      <c r="B110" s="9"/>
      <c r="C110" s="127"/>
      <c r="E110" s="67"/>
      <c r="F110" s="9"/>
      <c r="G110" s="120"/>
      <c r="I110" s="67"/>
      <c r="J110" s="23"/>
      <c r="K110" s="120"/>
    </row>
    <row r="111" spans="1:11" x14ac:dyDescent="0.25">
      <c r="A111" s="65"/>
      <c r="B111" s="9"/>
      <c r="C111" s="127"/>
      <c r="E111" s="67"/>
      <c r="F111" s="9"/>
      <c r="G111" s="120"/>
      <c r="I111" s="67"/>
      <c r="J111" s="11"/>
      <c r="K111" s="120"/>
    </row>
    <row r="112" spans="1:11" x14ac:dyDescent="0.25">
      <c r="A112" s="65"/>
      <c r="B112" s="9"/>
      <c r="C112" s="127"/>
      <c r="E112" s="67"/>
      <c r="F112" s="9"/>
      <c r="G112" s="120"/>
      <c r="I112" s="67"/>
      <c r="J112" s="11"/>
      <c r="K112" s="120"/>
    </row>
    <row r="113" spans="1:11" x14ac:dyDescent="0.25">
      <c r="A113" s="65"/>
      <c r="B113" s="9"/>
      <c r="C113" s="127"/>
      <c r="E113" s="67"/>
      <c r="F113" s="9"/>
      <c r="G113" s="120"/>
      <c r="I113" s="67"/>
      <c r="J113" s="23"/>
      <c r="K113" s="120"/>
    </row>
    <row r="114" spans="1:11" x14ac:dyDescent="0.25">
      <c r="A114" s="65"/>
      <c r="B114" s="9"/>
      <c r="C114" s="127"/>
      <c r="E114" s="67"/>
      <c r="F114" s="9"/>
      <c r="G114" s="120"/>
      <c r="I114" s="67"/>
      <c r="J114" s="11"/>
      <c r="K114" s="120"/>
    </row>
    <row r="115" spans="1:11" x14ac:dyDescent="0.25">
      <c r="A115" s="65"/>
      <c r="B115" s="9"/>
      <c r="C115" s="127"/>
      <c r="E115" s="67"/>
      <c r="F115" s="9"/>
      <c r="G115" s="120"/>
      <c r="I115" s="67"/>
      <c r="J115" s="11"/>
      <c r="K115" s="120"/>
    </row>
    <row r="116" spans="1:11" x14ac:dyDescent="0.25">
      <c r="A116" s="65"/>
      <c r="B116" s="9"/>
      <c r="C116" s="127"/>
      <c r="E116" s="67"/>
      <c r="F116" s="9"/>
      <c r="G116" s="120"/>
      <c r="I116" s="67"/>
      <c r="J116" s="23"/>
      <c r="K116" s="120"/>
    </row>
    <row r="117" spans="1:11" x14ac:dyDescent="0.25">
      <c r="A117" s="65"/>
      <c r="B117" s="9"/>
      <c r="C117" s="127"/>
      <c r="E117" s="67"/>
      <c r="F117" s="9"/>
      <c r="G117" s="120"/>
      <c r="I117" s="67"/>
      <c r="J117" s="11"/>
      <c r="K117" s="120"/>
    </row>
    <row r="118" spans="1:11" x14ac:dyDescent="0.25">
      <c r="A118" s="65"/>
      <c r="B118" s="9"/>
      <c r="C118" s="127"/>
      <c r="E118" s="67"/>
      <c r="F118" s="9"/>
      <c r="G118" s="120"/>
      <c r="I118" s="67"/>
      <c r="J118" s="11"/>
      <c r="K118" s="120"/>
    </row>
    <row r="119" spans="1:11" x14ac:dyDescent="0.25">
      <c r="A119" s="65"/>
      <c r="B119" s="9"/>
      <c r="C119" s="127"/>
      <c r="E119" s="67"/>
      <c r="F119" s="9"/>
      <c r="G119" s="120"/>
      <c r="I119" s="67"/>
      <c r="J119" s="23"/>
      <c r="K119" s="120"/>
    </row>
    <row r="120" spans="1:11" x14ac:dyDescent="0.25">
      <c r="A120" s="65"/>
      <c r="B120" s="9"/>
      <c r="C120" s="127"/>
      <c r="E120" s="67"/>
      <c r="F120" s="9"/>
      <c r="G120" s="120"/>
      <c r="I120" s="67"/>
      <c r="J120" s="11"/>
      <c r="K120" s="120"/>
    </row>
    <row r="121" spans="1:11" x14ac:dyDescent="0.25">
      <c r="A121" s="65"/>
      <c r="B121" s="9"/>
      <c r="C121" s="127"/>
      <c r="E121" s="67"/>
      <c r="F121" s="9"/>
      <c r="G121" s="120"/>
      <c r="I121" s="67"/>
      <c r="J121" s="11"/>
      <c r="K121" s="120"/>
    </row>
    <row r="122" spans="1:11" x14ac:dyDescent="0.25">
      <c r="A122" s="65"/>
      <c r="B122" s="9"/>
      <c r="C122" s="127"/>
      <c r="E122" s="67"/>
      <c r="F122" s="9"/>
      <c r="G122" s="120"/>
      <c r="I122" s="67"/>
      <c r="J122" s="23"/>
      <c r="K122" s="120"/>
    </row>
    <row r="123" spans="1:11" x14ac:dyDescent="0.25">
      <c r="A123" s="65"/>
      <c r="B123" s="9"/>
      <c r="C123" s="127"/>
      <c r="E123" s="67"/>
      <c r="F123" s="9"/>
      <c r="G123" s="120"/>
      <c r="I123" s="67"/>
      <c r="J123" s="11"/>
      <c r="K123" s="120"/>
    </row>
    <row r="124" spans="1:11" x14ac:dyDescent="0.25">
      <c r="A124" s="65"/>
      <c r="B124" s="9"/>
      <c r="C124" s="127"/>
      <c r="E124" s="67"/>
      <c r="F124" s="9"/>
      <c r="G124" s="120"/>
      <c r="I124" s="67"/>
      <c r="J124" s="11"/>
      <c r="K124" s="120"/>
    </row>
    <row r="125" spans="1:11" ht="15.75" thickBot="1" x14ac:dyDescent="0.3">
      <c r="A125" s="65"/>
      <c r="B125" s="9"/>
      <c r="C125" s="127"/>
      <c r="E125" s="68"/>
      <c r="F125" s="10"/>
      <c r="G125" s="123"/>
      <c r="I125" s="68"/>
      <c r="J125" s="8"/>
      <c r="K125" s="123"/>
    </row>
    <row r="126" spans="1:11" x14ac:dyDescent="0.25">
      <c r="B126" s="1" t="s">
        <v>83</v>
      </c>
      <c r="F126" s="1" t="s">
        <v>83</v>
      </c>
      <c r="J126" s="1" t="s">
        <v>83</v>
      </c>
    </row>
  </sheetData>
  <mergeCells count="9">
    <mergeCell ref="Q11:Q14"/>
    <mergeCell ref="P13:P14"/>
    <mergeCell ref="P23:P24"/>
    <mergeCell ref="E1:G1"/>
    <mergeCell ref="A4:C4"/>
    <mergeCell ref="E4:G4"/>
    <mergeCell ref="I4:K4"/>
    <mergeCell ref="P9:P10"/>
    <mergeCell ref="P11:P12"/>
  </mergeCells>
  <printOptions horizontalCentered="1"/>
  <pageMargins left="0.23622047244094491" right="0.23622047244094491" top="0.15748031496062992" bottom="0.15748031496062992" header="0.11811023622047245" footer="0.19685039370078741"/>
  <pageSetup paperSize="9" fitToWidth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Sheet2!$B$2:$B$6</xm:f>
          </x14:formula1>
          <xm:sqref>J6:J125</xm:sqref>
        </x14:dataValidation>
        <x14:dataValidation type="list" allowBlank="1" showInputMessage="1" showErrorMessage="1">
          <x14:formula1>
            <xm:f>Sheet2!$A$2:$A$11</xm:f>
          </x14:formula1>
          <xm:sqref>B6:B125</xm:sqref>
        </x14:dataValidation>
        <x14:dataValidation type="list" allowBlank="1" showInputMessage="1" showErrorMessage="1">
          <x14:formula1>
            <xm:f>Sheet2!$A$2:$A$6</xm:f>
          </x14:formula1>
          <xm:sqref>F6:F125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C14" sqref="C14"/>
    </sheetView>
  </sheetViews>
  <sheetFormatPr defaultRowHeight="15" x14ac:dyDescent="0.25"/>
  <cols>
    <col min="1" max="1" width="32.7109375" bestFit="1" customWidth="1"/>
    <col min="2" max="2" width="17.7109375" customWidth="1"/>
  </cols>
  <sheetData>
    <row r="1" spans="1:2" x14ac:dyDescent="0.25">
      <c r="A1" t="s">
        <v>2</v>
      </c>
      <c r="B1" t="s">
        <v>114</v>
      </c>
    </row>
    <row r="2" spans="1:2" x14ac:dyDescent="0.25">
      <c r="A2" t="s">
        <v>8</v>
      </c>
      <c r="B2" t="s">
        <v>10</v>
      </c>
    </row>
    <row r="3" spans="1:2" x14ac:dyDescent="0.25">
      <c r="A3" t="s">
        <v>9</v>
      </c>
      <c r="B3" t="s">
        <v>11</v>
      </c>
    </row>
    <row r="4" spans="1:2" x14ac:dyDescent="0.25">
      <c r="A4" t="s">
        <v>106</v>
      </c>
      <c r="B4" t="s">
        <v>12</v>
      </c>
    </row>
    <row r="5" spans="1:2" x14ac:dyDescent="0.25">
      <c r="A5" t="s">
        <v>107</v>
      </c>
      <c r="B5" t="s">
        <v>75</v>
      </c>
    </row>
    <row r="6" spans="1:2" x14ac:dyDescent="0.25">
      <c r="A6" t="s">
        <v>108</v>
      </c>
      <c r="B6" t="s">
        <v>76</v>
      </c>
    </row>
    <row r="7" spans="1:2" x14ac:dyDescent="0.25">
      <c r="A7" t="s">
        <v>109</v>
      </c>
    </row>
    <row r="8" spans="1:2" x14ac:dyDescent="0.25">
      <c r="A8" t="s">
        <v>110</v>
      </c>
    </row>
    <row r="9" spans="1:2" x14ac:dyDescent="0.25">
      <c r="A9" t="s">
        <v>111</v>
      </c>
    </row>
    <row r="10" spans="1:2" x14ac:dyDescent="0.25">
      <c r="A10" t="s">
        <v>112</v>
      </c>
    </row>
    <row r="11" spans="1:2" ht="20.25" customHeight="1" x14ac:dyDescent="0.25">
      <c r="A11" t="s">
        <v>113</v>
      </c>
    </row>
    <row r="12" spans="1:2" ht="14.25" x14ac:dyDescent="0.45"/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2:E20"/>
  <sheetViews>
    <sheetView workbookViewId="0">
      <selection activeCell="D12" sqref="D12:E20"/>
    </sheetView>
  </sheetViews>
  <sheetFormatPr defaultRowHeight="15" x14ac:dyDescent="0.25"/>
  <cols>
    <col min="4" max="4" width="18.140625" bestFit="1" customWidth="1"/>
    <col min="5" max="5" width="20.42578125" customWidth="1"/>
  </cols>
  <sheetData>
    <row r="12" spans="4:5" x14ac:dyDescent="0.25">
      <c r="D12" t="s">
        <v>104</v>
      </c>
      <c r="E12" s="117" t="s">
        <v>18</v>
      </c>
    </row>
    <row r="13" spans="4:5" x14ac:dyDescent="0.25">
      <c r="D13" t="s">
        <v>104</v>
      </c>
      <c r="E13" s="117" t="s">
        <v>19</v>
      </c>
    </row>
    <row r="14" spans="4:5" x14ac:dyDescent="0.25">
      <c r="D14" t="s">
        <v>105</v>
      </c>
      <c r="E14" s="154" t="s">
        <v>67</v>
      </c>
    </row>
    <row r="15" spans="4:5" x14ac:dyDescent="0.25">
      <c r="D15" t="s">
        <v>105</v>
      </c>
      <c r="E15" s="117" t="s">
        <v>68</v>
      </c>
    </row>
    <row r="16" spans="4:5" x14ac:dyDescent="0.25">
      <c r="D16" t="s">
        <v>105</v>
      </c>
      <c r="E16" s="117" t="s">
        <v>69</v>
      </c>
    </row>
    <row r="17" spans="4:5" x14ac:dyDescent="0.25">
      <c r="D17" t="s">
        <v>104</v>
      </c>
      <c r="E17" s="117" t="s">
        <v>71</v>
      </c>
    </row>
    <row r="18" spans="4:5" x14ac:dyDescent="0.25">
      <c r="D18" t="s">
        <v>104</v>
      </c>
      <c r="E18" s="117" t="s">
        <v>13</v>
      </c>
    </row>
    <row r="19" spans="4:5" x14ac:dyDescent="0.25">
      <c r="D19" t="s">
        <v>105</v>
      </c>
      <c r="E19" s="117" t="s">
        <v>77</v>
      </c>
    </row>
    <row r="20" spans="4:5" x14ac:dyDescent="0.25">
      <c r="D20" t="s">
        <v>105</v>
      </c>
      <c r="E20" s="117" t="s">
        <v>78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Sheet2!$A$2:$A$11</xm:f>
          </x14:formula1>
          <xm:sqref>E12:E20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Summary</vt:lpstr>
      <vt:lpstr>April 2025</vt:lpstr>
      <vt:lpstr>May 2025</vt:lpstr>
      <vt:lpstr>June 2025 </vt:lpstr>
      <vt:lpstr>June 2025111</vt:lpstr>
      <vt:lpstr>July 2025</vt:lpstr>
      <vt:lpstr>July 2025 (2)</vt:lpstr>
      <vt:lpstr>Aug 2025</vt:lpstr>
      <vt:lpstr>Sheet1</vt:lpstr>
      <vt:lpstr>Sep 2025</vt:lpstr>
      <vt:lpstr>Oct 2025</vt:lpstr>
      <vt:lpstr>Nov 2025</vt:lpstr>
      <vt:lpstr>Dec 2025 </vt:lpstr>
      <vt:lpstr>Jan 2026</vt:lpstr>
      <vt:lpstr>Sheet2</vt:lpstr>
      <vt:lpstr>Sheet3</vt:lpstr>
      <vt:lpstr>'April 2025'!Print_Area</vt:lpstr>
      <vt:lpstr>'Aug 2025'!Print_Area</vt:lpstr>
      <vt:lpstr>'Dec 2025 '!Print_Area</vt:lpstr>
      <vt:lpstr>'Jan 2026'!Print_Area</vt:lpstr>
      <vt:lpstr>'July 2025'!Print_Area</vt:lpstr>
      <vt:lpstr>'July 2025 (2)'!Print_Area</vt:lpstr>
      <vt:lpstr>'June 2025 '!Print_Area</vt:lpstr>
      <vt:lpstr>'June 2025111'!Print_Area</vt:lpstr>
      <vt:lpstr>'May 2025'!Print_Area</vt:lpstr>
      <vt:lpstr>'Nov 2025'!Print_Area</vt:lpstr>
      <vt:lpstr>'Oct 2025'!Print_Area</vt:lpstr>
      <vt:lpstr>'Sep 2025'!Print_Area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UmaiZahid</dc:creator>
  <cp:lastModifiedBy>UmaiZahid</cp:lastModifiedBy>
  <cp:lastPrinted>2025-04-20T12:13:23Z</cp:lastPrinted>
  <dcterms:created xsi:type="dcterms:W3CDTF">2025-04-20T11:54:06Z</dcterms:created>
  <dcterms:modified xsi:type="dcterms:W3CDTF">2025-12-30T15:22:19Z</dcterms:modified>
</cp:coreProperties>
</file>